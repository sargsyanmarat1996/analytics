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eget\OneDrive\Рабочий стол\"/>
    </mc:Choice>
  </mc:AlternateContent>
  <bookViews>
    <workbookView xWindow="360" yWindow="15" windowWidth="20955" windowHeight="9720" activeTab="1"/>
  </bookViews>
  <sheets>
    <sheet name="Задания" sheetId="1" r:id="rId1"/>
    <sheet name="ОТЧЕТ" sheetId="2" r:id="rId2"/>
    <sheet name="Справочник Сети" sheetId="3" r:id="rId3"/>
    <sheet name="Справочник по %" sheetId="4" r:id="rId4"/>
  </sheets>
  <definedNames>
    <definedName name="_xlnm._FilterDatabase" localSheetId="1" hidden="1">ОТЧЕТ!$A$1:$P$2799</definedName>
  </definedNames>
  <calcPr calcId="162913"/>
</workbook>
</file>

<file path=xl/calcChain.xml><?xml version="1.0" encoding="utf-8"?>
<calcChain xmlns="http://schemas.openxmlformats.org/spreadsheetml/2006/main">
  <c r="AD3" i="2" l="1"/>
  <c r="AD4" i="2"/>
  <c r="AD2" i="2"/>
  <c r="S2" i="2"/>
  <c r="Z3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" i="2"/>
  <c r="Z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W3" i="2"/>
  <c r="W2" i="2"/>
  <c r="I3" i="2"/>
  <c r="Q3" i="2" s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Q31" i="2" s="1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Q1074" i="2" s="1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Q2502" i="2" s="1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" i="2"/>
  <c r="Q438" i="2" l="1"/>
  <c r="AA2" i="2"/>
  <c r="Q184" i="2"/>
  <c r="Q806" i="2"/>
  <c r="Q7" i="2"/>
  <c r="Q12" i="2"/>
  <c r="Q8" i="2"/>
  <c r="Q6" i="2"/>
  <c r="Q2791" i="2"/>
  <c r="Q2755" i="2"/>
  <c r="Q2719" i="2"/>
  <c r="Q2695" i="2"/>
  <c r="Q2671" i="2"/>
  <c r="Q2647" i="2"/>
  <c r="Q2623" i="2"/>
  <c r="Q2611" i="2"/>
  <c r="Q2575" i="2"/>
  <c r="Q2551" i="2"/>
  <c r="Q2539" i="2"/>
  <c r="Q2515" i="2"/>
  <c r="Q2479" i="2"/>
  <c r="Q2455" i="2"/>
  <c r="Q2431" i="2"/>
  <c r="Q2419" i="2"/>
  <c r="Q2407" i="2"/>
  <c r="Q2395" i="2"/>
  <c r="Q2383" i="2"/>
  <c r="Q2371" i="2"/>
  <c r="Q2359" i="2"/>
  <c r="Q2347" i="2"/>
  <c r="Q2203" i="2"/>
  <c r="Q2191" i="2"/>
  <c r="Q2167" i="2"/>
  <c r="Q2071" i="2"/>
  <c r="Q2779" i="2"/>
  <c r="Q2743" i="2"/>
  <c r="Q2683" i="2"/>
  <c r="Q2635" i="2"/>
  <c r="Q2599" i="2"/>
  <c r="Q2587" i="2"/>
  <c r="Q2563" i="2"/>
  <c r="Q2527" i="2"/>
  <c r="Q2503" i="2"/>
  <c r="Q2491" i="2"/>
  <c r="Q2467" i="2"/>
  <c r="Q2443" i="2"/>
  <c r="Q2767" i="2"/>
  <c r="Q2731" i="2"/>
  <c r="Q2707" i="2"/>
  <c r="Q2659" i="2"/>
  <c r="Q2766" i="2"/>
  <c r="Q960" i="2"/>
  <c r="Q840" i="2"/>
  <c r="Q168" i="2"/>
  <c r="Q948" i="2"/>
  <c r="Q912" i="2"/>
  <c r="Q828" i="2"/>
  <c r="Q10" i="2"/>
  <c r="Q397" i="2"/>
  <c r="Q936" i="2"/>
  <c r="Q888" i="2"/>
  <c r="Q864" i="2"/>
  <c r="Q21" i="2"/>
  <c r="Q972" i="2"/>
  <c r="Q924" i="2"/>
  <c r="Q876" i="2"/>
  <c r="Q852" i="2"/>
  <c r="Q80" i="2"/>
  <c r="Q2011" i="2"/>
  <c r="Q1987" i="2"/>
  <c r="Q1975" i="2"/>
  <c r="Q1963" i="2"/>
  <c r="Q1951" i="2"/>
  <c r="Q1939" i="2"/>
  <c r="Q1927" i="2"/>
  <c r="Q1915" i="2"/>
  <c r="Q1903" i="2"/>
  <c r="Q1891" i="2"/>
  <c r="Q1879" i="2"/>
  <c r="Q1867" i="2"/>
  <c r="Q1855" i="2"/>
  <c r="Q1843" i="2"/>
  <c r="Q1831" i="2"/>
  <c r="Q1819" i="2"/>
  <c r="Q1807" i="2"/>
  <c r="Q1795" i="2"/>
  <c r="Q1783" i="2"/>
  <c r="Q1771" i="2"/>
  <c r="Q1759" i="2"/>
  <c r="Q1747" i="2"/>
  <c r="Q1735" i="2"/>
  <c r="Q1723" i="2"/>
  <c r="Q1711" i="2"/>
  <c r="Q1699" i="2"/>
  <c r="Q1687" i="2"/>
  <c r="Q1675" i="2"/>
  <c r="Q1663" i="2"/>
  <c r="Q1651" i="2"/>
  <c r="Q1639" i="2"/>
  <c r="Q1627" i="2"/>
  <c r="Q1615" i="2"/>
  <c r="Q1603" i="2"/>
  <c r="Q1591" i="2"/>
  <c r="Q1579" i="2"/>
  <c r="Q1567" i="2"/>
  <c r="Q1555" i="2"/>
  <c r="Q1543" i="2"/>
  <c r="Q1531" i="2"/>
  <c r="Q1519" i="2"/>
  <c r="Q1507" i="2"/>
  <c r="Q1495" i="2"/>
  <c r="Q1483" i="2"/>
  <c r="Q1471" i="2"/>
  <c r="Q1459" i="2"/>
  <c r="Q1447" i="2"/>
  <c r="Q1435" i="2"/>
  <c r="Q1411" i="2"/>
  <c r="Q1399" i="2"/>
  <c r="Q1387" i="2"/>
  <c r="Q1375" i="2"/>
  <c r="Q1363" i="2"/>
  <c r="Q1351" i="2"/>
  <c r="Q1327" i="2"/>
  <c r="Q1315" i="2"/>
  <c r="Q1303" i="2"/>
  <c r="Q1291" i="2"/>
  <c r="Q1267" i="2"/>
  <c r="Q1255" i="2"/>
  <c r="Q1243" i="2"/>
  <c r="Q1231" i="2"/>
  <c r="Q1207" i="2"/>
  <c r="Q1195" i="2"/>
  <c r="Q1183" i="2"/>
  <c r="Q1171" i="2"/>
  <c r="Q859" i="2"/>
  <c r="Q19" i="2"/>
  <c r="Q2155" i="2"/>
  <c r="Q2119" i="2"/>
  <c r="Q2035" i="2"/>
  <c r="Q1999" i="2"/>
  <c r="Q2083" i="2"/>
  <c r="Q2023" i="2"/>
  <c r="Q1492" i="2"/>
  <c r="Q460" i="2"/>
  <c r="Q2143" i="2"/>
  <c r="Q2107" i="2"/>
  <c r="Q2047" i="2"/>
  <c r="Q2727" i="2"/>
  <c r="Q2335" i="2"/>
  <c r="Q2323" i="2"/>
  <c r="Q2311" i="2"/>
  <c r="Q2299" i="2"/>
  <c r="Q2287" i="2"/>
  <c r="Q2275" i="2"/>
  <c r="Q2263" i="2"/>
  <c r="Q2251" i="2"/>
  <c r="Q2239" i="2"/>
  <c r="Q2227" i="2"/>
  <c r="Q2215" i="2"/>
  <c r="Q2179" i="2"/>
  <c r="Q2131" i="2"/>
  <c r="Q2095" i="2"/>
  <c r="Q2059" i="2"/>
  <c r="Q74" i="2"/>
  <c r="Q816" i="2"/>
  <c r="Q792" i="2"/>
  <c r="Q780" i="2"/>
  <c r="Q744" i="2"/>
  <c r="Q732" i="2"/>
  <c r="Q720" i="2"/>
  <c r="Q708" i="2"/>
  <c r="Q696" i="2"/>
  <c r="Q684" i="2"/>
  <c r="Q672" i="2"/>
  <c r="Q660" i="2"/>
  <c r="Q636" i="2"/>
  <c r="Q624" i="2"/>
  <c r="Q612" i="2"/>
  <c r="Q600" i="2"/>
  <c r="Q588" i="2"/>
  <c r="Q564" i="2"/>
  <c r="Q552" i="2"/>
  <c r="Q528" i="2"/>
  <c r="Q516" i="2"/>
  <c r="Q504" i="2"/>
  <c r="Q492" i="2"/>
  <c r="Q468" i="2"/>
  <c r="Q444" i="2"/>
  <c r="Q432" i="2"/>
  <c r="Q420" i="2"/>
  <c r="Q396" i="2"/>
  <c r="Q372" i="2"/>
  <c r="Q324" i="2"/>
  <c r="Q300" i="2"/>
  <c r="Q288" i="2"/>
  <c r="Q276" i="2"/>
  <c r="Q252" i="2"/>
  <c r="Q216" i="2"/>
  <c r="Q204" i="2"/>
  <c r="Q156" i="2"/>
  <c r="Q1150" i="2"/>
  <c r="Q1042" i="2"/>
  <c r="Q238" i="2"/>
  <c r="Q214" i="2"/>
  <c r="Q202" i="2"/>
  <c r="Q190" i="2"/>
  <c r="Q118" i="2"/>
  <c r="Q106" i="2"/>
  <c r="Q70" i="2"/>
  <c r="Q34" i="2"/>
  <c r="Q1509" i="2"/>
  <c r="Q453" i="2"/>
  <c r="Q321" i="2"/>
  <c r="Q237" i="2"/>
  <c r="Q213" i="2"/>
  <c r="Q177" i="2"/>
  <c r="Q153" i="2"/>
  <c r="Q141" i="2"/>
  <c r="Q129" i="2"/>
  <c r="Q117" i="2"/>
  <c r="Q93" i="2"/>
  <c r="Q81" i="2"/>
  <c r="Q57" i="2"/>
  <c r="Q45" i="2"/>
  <c r="Q33" i="2"/>
  <c r="Q1124" i="2"/>
  <c r="Q1123" i="2"/>
  <c r="Q1111" i="2"/>
  <c r="Q1099" i="2"/>
  <c r="Q1075" i="2"/>
  <c r="Q1063" i="2"/>
  <c r="Q1051" i="2"/>
  <c r="Q1015" i="2"/>
  <c r="Q991" i="2"/>
  <c r="Q979" i="2"/>
  <c r="Q943" i="2"/>
  <c r="Q319" i="2"/>
  <c r="Q307" i="2"/>
  <c r="Q295" i="2"/>
  <c r="Q259" i="2"/>
  <c r="Q247" i="2"/>
  <c r="Q235" i="2"/>
  <c r="Q223" i="2"/>
  <c r="Q211" i="2"/>
  <c r="Q187" i="2"/>
  <c r="Q175" i="2"/>
  <c r="Q151" i="2"/>
  <c r="Q139" i="2"/>
  <c r="Q127" i="2"/>
  <c r="Q115" i="2"/>
  <c r="Q103" i="2"/>
  <c r="Q91" i="2"/>
  <c r="Q79" i="2"/>
  <c r="Q67" i="2"/>
  <c r="Q55" i="2"/>
  <c r="Q43" i="2"/>
  <c r="Q1147" i="2"/>
  <c r="Q174" i="2"/>
  <c r="Q150" i="2"/>
  <c r="Q138" i="2"/>
  <c r="Q126" i="2"/>
  <c r="Q102" i="2"/>
  <c r="Q90" i="2"/>
  <c r="Q78" i="2"/>
  <c r="Q66" i="2"/>
  <c r="Q54" i="2"/>
  <c r="Q42" i="2"/>
  <c r="Q30" i="2"/>
  <c r="Q1159" i="2"/>
  <c r="Q1135" i="2"/>
  <c r="Q2790" i="2"/>
  <c r="Q2789" i="2"/>
  <c r="Q1193" i="2"/>
  <c r="Q497" i="2"/>
  <c r="Q485" i="2"/>
  <c r="Q473" i="2"/>
  <c r="Q461" i="2"/>
  <c r="Q437" i="2"/>
  <c r="Q425" i="2"/>
  <c r="Q389" i="2"/>
  <c r="Q377" i="2"/>
  <c r="Q365" i="2"/>
  <c r="Q353" i="2"/>
  <c r="Q341" i="2"/>
  <c r="Q329" i="2"/>
  <c r="Q317" i="2"/>
  <c r="Q305" i="2"/>
  <c r="Q293" i="2"/>
  <c r="Q281" i="2"/>
  <c r="Q269" i="2"/>
  <c r="Q257" i="2"/>
  <c r="Q233" i="2"/>
  <c r="Q209" i="2"/>
  <c r="Q185" i="2"/>
  <c r="Q173" i="2"/>
  <c r="Q161" i="2"/>
  <c r="Q137" i="2"/>
  <c r="Q125" i="2"/>
  <c r="Q113" i="2"/>
  <c r="Q101" i="2"/>
  <c r="Q89" i="2"/>
  <c r="Q77" i="2"/>
  <c r="Q65" i="2"/>
  <c r="Q53" i="2"/>
  <c r="Q29" i="2"/>
  <c r="Q17" i="2"/>
  <c r="Q244" i="2"/>
  <c r="Q232" i="2"/>
  <c r="Q208" i="2"/>
  <c r="Q196" i="2"/>
  <c r="Q172" i="2"/>
  <c r="Q148" i="2"/>
  <c r="Q136" i="2"/>
  <c r="Q124" i="2"/>
  <c r="Q112" i="2"/>
  <c r="Q100" i="2"/>
  <c r="Q88" i="2"/>
  <c r="Q76" i="2"/>
  <c r="Q64" i="2"/>
  <c r="Q52" i="2"/>
  <c r="Q40" i="2"/>
  <c r="Q28" i="2"/>
  <c r="Q16" i="2"/>
  <c r="Q4" i="2"/>
  <c r="Q1551" i="2"/>
  <c r="Q267" i="2"/>
  <c r="Q243" i="2"/>
  <c r="Q231" i="2"/>
  <c r="Q219" i="2"/>
  <c r="Q195" i="2"/>
  <c r="Q159" i="2"/>
  <c r="Q135" i="2"/>
  <c r="Q123" i="2"/>
  <c r="Q99" i="2"/>
  <c r="Q87" i="2"/>
  <c r="Q63" i="2"/>
  <c r="Q51" i="2"/>
  <c r="Q39" i="2"/>
  <c r="Q15" i="2"/>
  <c r="Q2785" i="2"/>
  <c r="Q2713" i="2"/>
  <c r="Q2629" i="2"/>
  <c r="Q2521" i="2"/>
  <c r="Q2449" i="2"/>
  <c r="Q2401" i="2"/>
  <c r="Q2736" i="2"/>
  <c r="Q2676" i="2"/>
  <c r="Q2616" i="2"/>
  <c r="Q2532" i="2"/>
  <c r="Q2460" i="2"/>
  <c r="Q2424" i="2"/>
  <c r="Q2412" i="2"/>
  <c r="Q2328" i="2"/>
  <c r="Q2794" i="2"/>
  <c r="Q2686" i="2"/>
  <c r="Q2638" i="2"/>
  <c r="Q2614" i="2"/>
  <c r="Q2566" i="2"/>
  <c r="Q2793" i="2"/>
  <c r="Q2781" i="2"/>
  <c r="Q2769" i="2"/>
  <c r="Q2757" i="2"/>
  <c r="Q2745" i="2"/>
  <c r="Q2733" i="2"/>
  <c r="Q2721" i="2"/>
  <c r="Q2697" i="2"/>
  <c r="Q2685" i="2"/>
  <c r="Q2673" i="2"/>
  <c r="Q2649" i="2"/>
  <c r="Q2625" i="2"/>
  <c r="Q2613" i="2"/>
  <c r="Q2589" i="2"/>
  <c r="Q2565" i="2"/>
  <c r="Q2541" i="2"/>
  <c r="Q2505" i="2"/>
  <c r="Q2493" i="2"/>
  <c r="Q2445" i="2"/>
  <c r="Q2421" i="2"/>
  <c r="Q2373" i="2"/>
  <c r="Q2361" i="2"/>
  <c r="Q2349" i="2"/>
  <c r="Q2313" i="2"/>
  <c r="Q2301" i="2"/>
  <c r="Q2265" i="2"/>
  <c r="Q2253" i="2"/>
  <c r="Q2241" i="2"/>
  <c r="Q2217" i="2"/>
  <c r="Q2181" i="2"/>
  <c r="Q2157" i="2"/>
  <c r="Q2121" i="2"/>
  <c r="Q2085" i="2"/>
  <c r="Q2049" i="2"/>
  <c r="Q2792" i="2"/>
  <c r="Q2780" i="2"/>
  <c r="Q2768" i="2"/>
  <c r="Q2756" i="2"/>
  <c r="Q2744" i="2"/>
  <c r="Q2732" i="2"/>
  <c r="Q2720" i="2"/>
  <c r="Q2708" i="2"/>
  <c r="Q2696" i="2"/>
  <c r="Q2684" i="2"/>
  <c r="Q2672" i="2"/>
  <c r="Q2660" i="2"/>
  <c r="Q1423" i="2"/>
  <c r="Q1339" i="2"/>
  <c r="Q1279" i="2"/>
  <c r="Q1219" i="2"/>
  <c r="Q1087" i="2"/>
  <c r="Q1039" i="2"/>
  <c r="Q1027" i="2"/>
  <c r="Q1003" i="2"/>
  <c r="Q667" i="2"/>
  <c r="Q2778" i="2"/>
  <c r="Q2730" i="2"/>
  <c r="Q2670" i="2"/>
  <c r="Q2658" i="2"/>
  <c r="Q2646" i="2"/>
  <c r="Q2634" i="2"/>
  <c r="Q2622" i="2"/>
  <c r="Q2610" i="2"/>
  <c r="Q2598" i="2"/>
  <c r="Q2586" i="2"/>
  <c r="Q2574" i="2"/>
  <c r="Q2562" i="2"/>
  <c r="Q2550" i="2"/>
  <c r="Q2538" i="2"/>
  <c r="Q2526" i="2"/>
  <c r="Q2514" i="2"/>
  <c r="Q2490" i="2"/>
  <c r="Q2478" i="2"/>
  <c r="Q2466" i="2"/>
  <c r="Q2454" i="2"/>
  <c r="Q2442" i="2"/>
  <c r="Q2430" i="2"/>
  <c r="Q2418" i="2"/>
  <c r="Q2406" i="2"/>
  <c r="Q2394" i="2"/>
  <c r="Q2382" i="2"/>
  <c r="Q2370" i="2"/>
  <c r="Q2358" i="2"/>
  <c r="Q2346" i="2"/>
  <c r="Q2334" i="2"/>
  <c r="Q2322" i="2"/>
  <c r="Q2310" i="2"/>
  <c r="Q2298" i="2"/>
  <c r="Q2286" i="2"/>
  <c r="Q2274" i="2"/>
  <c r="Q2262" i="2"/>
  <c r="Q2250" i="2"/>
  <c r="Q2238" i="2"/>
  <c r="Q2226" i="2"/>
  <c r="Q2214" i="2"/>
  <c r="Q2202" i="2"/>
  <c r="Q2190" i="2"/>
  <c r="Q2178" i="2"/>
  <c r="Q2166" i="2"/>
  <c r="Q2154" i="2"/>
  <c r="Q2142" i="2"/>
  <c r="Q2130" i="2"/>
  <c r="Q2118" i="2"/>
  <c r="Q2106" i="2"/>
  <c r="Q2094" i="2"/>
  <c r="Q2082" i="2"/>
  <c r="Q2070" i="2"/>
  <c r="Q2058" i="2"/>
  <c r="Q2046" i="2"/>
  <c r="Q2034" i="2"/>
  <c r="Q2022" i="2"/>
  <c r="Q2010" i="2"/>
  <c r="Q1998" i="2"/>
  <c r="Q1986" i="2"/>
  <c r="Q1974" i="2"/>
  <c r="Q2742" i="2"/>
  <c r="Q2706" i="2"/>
  <c r="Q2753" i="2"/>
  <c r="Q2741" i="2"/>
  <c r="Q2729" i="2"/>
  <c r="Q2717" i="2"/>
  <c r="Q2705" i="2"/>
  <c r="Q2693" i="2"/>
  <c r="Q2681" i="2"/>
  <c r="Q2669" i="2"/>
  <c r="Q2657" i="2"/>
  <c r="Q2645" i="2"/>
  <c r="Q2633" i="2"/>
  <c r="Q2621" i="2"/>
  <c r="Q2609" i="2"/>
  <c r="Q2597" i="2"/>
  <c r="Q2585" i="2"/>
  <c r="Q2573" i="2"/>
  <c r="Q2561" i="2"/>
  <c r="Q2549" i="2"/>
  <c r="Q2537" i="2"/>
  <c r="Q2525" i="2"/>
  <c r="Q2513" i="2"/>
  <c r="Q2501" i="2"/>
  <c r="Q2489" i="2"/>
  <c r="Q2477" i="2"/>
  <c r="Q2465" i="2"/>
  <c r="Q2453" i="2"/>
  <c r="Q2441" i="2"/>
  <c r="Q2429" i="2"/>
  <c r="Q2417" i="2"/>
  <c r="Q2405" i="2"/>
  <c r="Q2393" i="2"/>
  <c r="Q2381" i="2"/>
  <c r="Q2369" i="2"/>
  <c r="Q2357" i="2"/>
  <c r="Q2345" i="2"/>
  <c r="Q2333" i="2"/>
  <c r="Q2321" i="2"/>
  <c r="Q2309" i="2"/>
  <c r="Q2297" i="2"/>
  <c r="Q2285" i="2"/>
  <c r="Q2273" i="2"/>
  <c r="Q2261" i="2"/>
  <c r="Q2249" i="2"/>
  <c r="Q2237" i="2"/>
  <c r="Q2225" i="2"/>
  <c r="Q2213" i="2"/>
  <c r="Q2201" i="2"/>
  <c r="Q2189" i="2"/>
  <c r="Q2177" i="2"/>
  <c r="Q2165" i="2"/>
  <c r="Q2153" i="2"/>
  <c r="Q2141" i="2"/>
  <c r="Q2129" i="2"/>
  <c r="Q2117" i="2"/>
  <c r="Q2105" i="2"/>
  <c r="Q2093" i="2"/>
  <c r="Q2081" i="2"/>
  <c r="Q2069" i="2"/>
  <c r="Q2057" i="2"/>
  <c r="Q2045" i="2"/>
  <c r="Q2033" i="2"/>
  <c r="Q2021" i="2"/>
  <c r="Q2009" i="2"/>
  <c r="Q1997" i="2"/>
  <c r="Q1985" i="2"/>
  <c r="Q1973" i="2"/>
  <c r="Q1961" i="2"/>
  <c r="Q1949" i="2"/>
  <c r="Q1937" i="2"/>
  <c r="Q1925" i="2"/>
  <c r="Q1913" i="2"/>
  <c r="Q1217" i="2"/>
  <c r="Q2754" i="2"/>
  <c r="Q2718" i="2"/>
  <c r="Q2777" i="2"/>
  <c r="Q2776" i="2"/>
  <c r="Q2716" i="2"/>
  <c r="Q2704" i="2"/>
  <c r="Q2692" i="2"/>
  <c r="Q2680" i="2"/>
  <c r="Q2668" i="2"/>
  <c r="Q2656" i="2"/>
  <c r="Q2644" i="2"/>
  <c r="Q2632" i="2"/>
  <c r="Q2620" i="2"/>
  <c r="Q2608" i="2"/>
  <c r="Q2596" i="2"/>
  <c r="Q2584" i="2"/>
  <c r="Q2572" i="2"/>
  <c r="Q2560" i="2"/>
  <c r="Q2548" i="2"/>
  <c r="Q2536" i="2"/>
  <c r="Q2524" i="2"/>
  <c r="Q2512" i="2"/>
  <c r="Q2500" i="2"/>
  <c r="Q2488" i="2"/>
  <c r="Q2476" i="2"/>
  <c r="Q2464" i="2"/>
  <c r="Q2452" i="2"/>
  <c r="Q2440" i="2"/>
  <c r="Q2428" i="2"/>
  <c r="Q2416" i="2"/>
  <c r="Q2404" i="2"/>
  <c r="Q2392" i="2"/>
  <c r="Q2380" i="2"/>
  <c r="Q2368" i="2"/>
  <c r="Q2356" i="2"/>
  <c r="Q2344" i="2"/>
  <c r="Q2332" i="2"/>
  <c r="Q2320" i="2"/>
  <c r="Q2308" i="2"/>
  <c r="Q2296" i="2"/>
  <c r="Q2284" i="2"/>
  <c r="Q2272" i="2"/>
  <c r="Q2260" i="2"/>
  <c r="Q2248" i="2"/>
  <c r="Q2236" i="2"/>
  <c r="Q2224" i="2"/>
  <c r="Q2212" i="2"/>
  <c r="Q2200" i="2"/>
  <c r="Q2188" i="2"/>
  <c r="Q2176" i="2"/>
  <c r="Q2164" i="2"/>
  <c r="Q2152" i="2"/>
  <c r="Q2140" i="2"/>
  <c r="Q2128" i="2"/>
  <c r="Q2116" i="2"/>
  <c r="Q2104" i="2"/>
  <c r="Q2092" i="2"/>
  <c r="Q2080" i="2"/>
  <c r="Q2068" i="2"/>
  <c r="Q2056" i="2"/>
  <c r="Q2044" i="2"/>
  <c r="Q2032" i="2"/>
  <c r="Q2020" i="2"/>
  <c r="Q2008" i="2"/>
  <c r="Q1996" i="2"/>
  <c r="Q1984" i="2"/>
  <c r="Q1972" i="2"/>
  <c r="Q1960" i="2"/>
  <c r="Q1948" i="2"/>
  <c r="Q1936" i="2"/>
  <c r="Q1924" i="2"/>
  <c r="Q1912" i="2"/>
  <c r="Q1900" i="2"/>
  <c r="Q2694" i="2"/>
  <c r="Q2788" i="2"/>
  <c r="Q2799" i="2"/>
  <c r="Q2763" i="2"/>
  <c r="Q2739" i="2"/>
  <c r="Q2703" i="2"/>
  <c r="Q2691" i="2"/>
  <c r="Q2667" i="2"/>
  <c r="Q2643" i="2"/>
  <c r="Q2619" i="2"/>
  <c r="Q2595" i="2"/>
  <c r="Q2559" i="2"/>
  <c r="Q2547" i="2"/>
  <c r="Q2523" i="2"/>
  <c r="Q2487" i="2"/>
  <c r="Q2463" i="2"/>
  <c r="Q2451" i="2"/>
  <c r="Q2439" i="2"/>
  <c r="Q2427" i="2"/>
  <c r="Q2415" i="2"/>
  <c r="Q2403" i="2"/>
  <c r="Q2391" i="2"/>
  <c r="Q2379" i="2"/>
  <c r="Q2367" i="2"/>
  <c r="Q2355" i="2"/>
  <c r="Q2343" i="2"/>
  <c r="Q2331" i="2"/>
  <c r="Q2319" i="2"/>
  <c r="Q2307" i="2"/>
  <c r="Q2295" i="2"/>
  <c r="Q2283" i="2"/>
  <c r="Q2271" i="2"/>
  <c r="Q2259" i="2"/>
  <c r="Q2247" i="2"/>
  <c r="Q2235" i="2"/>
  <c r="Q2223" i="2"/>
  <c r="Q2211" i="2"/>
  <c r="Q2199" i="2"/>
  <c r="Q2187" i="2"/>
  <c r="Q2175" i="2"/>
  <c r="Q2163" i="2"/>
  <c r="Q2151" i="2"/>
  <c r="Q2139" i="2"/>
  <c r="Q2127" i="2"/>
  <c r="Q2115" i="2"/>
  <c r="Q2103" i="2"/>
  <c r="Q2091" i="2"/>
  <c r="Q2079" i="2"/>
  <c r="Q2067" i="2"/>
  <c r="Q2055" i="2"/>
  <c r="Q2043" i="2"/>
  <c r="Q2031" i="2"/>
  <c r="Q2019" i="2"/>
  <c r="Q2007" i="2"/>
  <c r="Q1995" i="2"/>
  <c r="Q1983" i="2"/>
  <c r="Q1971" i="2"/>
  <c r="Q1959" i="2"/>
  <c r="Q1947" i="2"/>
  <c r="Q1935" i="2"/>
  <c r="Q2682" i="2"/>
  <c r="Q2765" i="2"/>
  <c r="Q2" i="2"/>
  <c r="Q25" i="2"/>
  <c r="Q13" i="2"/>
  <c r="Q379" i="2"/>
  <c r="Q128" i="2"/>
  <c r="Q263" i="2"/>
  <c r="Q418" i="2"/>
  <c r="Q32" i="2"/>
  <c r="Q20" i="2"/>
  <c r="Q2764" i="2"/>
  <c r="Q2752" i="2"/>
  <c r="Q2740" i="2"/>
  <c r="Q2728" i="2"/>
  <c r="Q2787" i="2"/>
  <c r="Q2775" i="2"/>
  <c r="Q2751" i="2"/>
  <c r="Q2715" i="2"/>
  <c r="Q2679" i="2"/>
  <c r="Q2655" i="2"/>
  <c r="Q2631" i="2"/>
  <c r="Q2607" i="2"/>
  <c r="Q2583" i="2"/>
  <c r="Q2571" i="2"/>
  <c r="Q2535" i="2"/>
  <c r="Q2511" i="2"/>
  <c r="Q2499" i="2"/>
  <c r="Q2475" i="2"/>
  <c r="Q2798" i="2"/>
  <c r="Q2786" i="2"/>
  <c r="Q2774" i="2"/>
  <c r="Q2762" i="2"/>
  <c r="Q2750" i="2"/>
  <c r="Q2738" i="2"/>
  <c r="Q2726" i="2"/>
  <c r="Q2714" i="2"/>
  <c r="Q2702" i="2"/>
  <c r="Q2690" i="2"/>
  <c r="Q2678" i="2"/>
  <c r="Q2666" i="2"/>
  <c r="Q2654" i="2"/>
  <c r="Q2642" i="2"/>
  <c r="Q2630" i="2"/>
  <c r="Q2618" i="2"/>
  <c r="Q2606" i="2"/>
  <c r="Q2594" i="2"/>
  <c r="Q2582" i="2"/>
  <c r="Q2570" i="2"/>
  <c r="Q2558" i="2"/>
  <c r="Q2546" i="2"/>
  <c r="Q2534" i="2"/>
  <c r="Q2522" i="2"/>
  <c r="Q2510" i="2"/>
  <c r="Q2498" i="2"/>
  <c r="Q2486" i="2"/>
  <c r="Q2474" i="2"/>
  <c r="Q2462" i="2"/>
  <c r="Q2450" i="2"/>
  <c r="Q2438" i="2"/>
  <c r="Q2426" i="2"/>
  <c r="Q2414" i="2"/>
  <c r="Q2402" i="2"/>
  <c r="Q2390" i="2"/>
  <c r="Q2378" i="2"/>
  <c r="Q2366" i="2"/>
  <c r="Q2354" i="2"/>
  <c r="Q2342" i="2"/>
  <c r="Q2330" i="2"/>
  <c r="Q2318" i="2"/>
  <c r="Q2306" i="2"/>
  <c r="Q2294" i="2"/>
  <c r="Q2773" i="2"/>
  <c r="Q2701" i="2"/>
  <c r="Q2641" i="2"/>
  <c r="Q2593" i="2"/>
  <c r="Q2509" i="2"/>
  <c r="Q2425" i="2"/>
  <c r="Q2377" i="2"/>
  <c r="Q2365" i="2"/>
  <c r="Q2353" i="2"/>
  <c r="Q2341" i="2"/>
  <c r="Q2329" i="2"/>
  <c r="Q2317" i="2"/>
  <c r="Q2305" i="2"/>
  <c r="Q2293" i="2"/>
  <c r="Q2281" i="2"/>
  <c r="Q2269" i="2"/>
  <c r="Q2257" i="2"/>
  <c r="Q2245" i="2"/>
  <c r="Q2233" i="2"/>
  <c r="Q2221" i="2"/>
  <c r="Q2209" i="2"/>
  <c r="Q2197" i="2"/>
  <c r="Q2185" i="2"/>
  <c r="Q2173" i="2"/>
  <c r="Q2161" i="2"/>
  <c r="Q2149" i="2"/>
  <c r="Q2137" i="2"/>
  <c r="Q2125" i="2"/>
  <c r="Q2113" i="2"/>
  <c r="Q2101" i="2"/>
  <c r="Q2089" i="2"/>
  <c r="Q2737" i="2"/>
  <c r="Q2665" i="2"/>
  <c r="Q2581" i="2"/>
  <c r="Q2533" i="2"/>
  <c r="Q2473" i="2"/>
  <c r="Q2389" i="2"/>
  <c r="Q2760" i="2"/>
  <c r="Q2712" i="2"/>
  <c r="Q2640" i="2"/>
  <c r="Q2604" i="2"/>
  <c r="Q2556" i="2"/>
  <c r="Q2544" i="2"/>
  <c r="Q2520" i="2"/>
  <c r="Q2472" i="2"/>
  <c r="Q2400" i="2"/>
  <c r="Q2316" i="2"/>
  <c r="Q2304" i="2"/>
  <c r="Q2256" i="2"/>
  <c r="Q2232" i="2"/>
  <c r="Q2208" i="2"/>
  <c r="Q2076" i="2"/>
  <c r="Q2040" i="2"/>
  <c r="Q2028" i="2"/>
  <c r="Q2004" i="2"/>
  <c r="Q1980" i="2"/>
  <c r="Q1956" i="2"/>
  <c r="Q1932" i="2"/>
  <c r="Q1908" i="2"/>
  <c r="Q1884" i="2"/>
  <c r="Q1860" i="2"/>
  <c r="Q1848" i="2"/>
  <c r="Q1800" i="2"/>
  <c r="Q1764" i="2"/>
  <c r="Q1752" i="2"/>
  <c r="Q1740" i="2"/>
  <c r="Q1704" i="2"/>
  <c r="Q1680" i="2"/>
  <c r="Q1644" i="2"/>
  <c r="Q1620" i="2"/>
  <c r="Q1584" i="2"/>
  <c r="Q1536" i="2"/>
  <c r="Q1512" i="2"/>
  <c r="Q1488" i="2"/>
  <c r="Q1476" i="2"/>
  <c r="Q1464" i="2"/>
  <c r="Q1452" i="2"/>
  <c r="Q1440" i="2"/>
  <c r="Q1428" i="2"/>
  <c r="Q1416" i="2"/>
  <c r="Q1404" i="2"/>
  <c r="Q1392" i="2"/>
  <c r="Q1380" i="2"/>
  <c r="Q1368" i="2"/>
  <c r="Q1356" i="2"/>
  <c r="Q1344" i="2"/>
  <c r="Q1332" i="2"/>
  <c r="Q1320" i="2"/>
  <c r="Q1308" i="2"/>
  <c r="Q2761" i="2"/>
  <c r="Q2677" i="2"/>
  <c r="Q2605" i="2"/>
  <c r="Q2545" i="2"/>
  <c r="Q2461" i="2"/>
  <c r="Q2796" i="2"/>
  <c r="Q2784" i="2"/>
  <c r="Q2700" i="2"/>
  <c r="Q2652" i="2"/>
  <c r="Q2592" i="2"/>
  <c r="Q2508" i="2"/>
  <c r="Q2448" i="2"/>
  <c r="Q2364" i="2"/>
  <c r="Q2352" i="2"/>
  <c r="Q2268" i="2"/>
  <c r="Q2244" i="2"/>
  <c r="Q2220" i="2"/>
  <c r="Q2196" i="2"/>
  <c r="Q2184" i="2"/>
  <c r="Q2172" i="2"/>
  <c r="Q2160" i="2"/>
  <c r="Q2148" i="2"/>
  <c r="Q2136" i="2"/>
  <c r="Q2124" i="2"/>
  <c r="Q2112" i="2"/>
  <c r="Q2100" i="2"/>
  <c r="Q2088" i="2"/>
  <c r="Q2064" i="2"/>
  <c r="Q2052" i="2"/>
  <c r="Q2016" i="2"/>
  <c r="Q1992" i="2"/>
  <c r="Q1968" i="2"/>
  <c r="Q1944" i="2"/>
  <c r="Q1920" i="2"/>
  <c r="Q1896" i="2"/>
  <c r="Q1872" i="2"/>
  <c r="Q1836" i="2"/>
  <c r="Q1824" i="2"/>
  <c r="Q1812" i="2"/>
  <c r="Q1788" i="2"/>
  <c r="Q1776" i="2"/>
  <c r="Q1728" i="2"/>
  <c r="Q1716" i="2"/>
  <c r="Q1692" i="2"/>
  <c r="Q1668" i="2"/>
  <c r="Q1656" i="2"/>
  <c r="Q1632" i="2"/>
  <c r="Q1608" i="2"/>
  <c r="Q1596" i="2"/>
  <c r="Q1572" i="2"/>
  <c r="Q1560" i="2"/>
  <c r="Q1548" i="2"/>
  <c r="Q1524" i="2"/>
  <c r="Q1500" i="2"/>
  <c r="Q2795" i="2"/>
  <c r="Q2783" i="2"/>
  <c r="Q2771" i="2"/>
  <c r="Q2759" i="2"/>
  <c r="Q2747" i="2"/>
  <c r="Q2735" i="2"/>
  <c r="Q2723" i="2"/>
  <c r="Q2711" i="2"/>
  <c r="Q2699" i="2"/>
  <c r="Q2687" i="2"/>
  <c r="Q2675" i="2"/>
  <c r="Q2663" i="2"/>
  <c r="Q2651" i="2"/>
  <c r="Q2639" i="2"/>
  <c r="Q2627" i="2"/>
  <c r="Q2615" i="2"/>
  <c r="Q2603" i="2"/>
  <c r="Q2749" i="2"/>
  <c r="Q2689" i="2"/>
  <c r="Q2617" i="2"/>
  <c r="Q2557" i="2"/>
  <c r="Q2497" i="2"/>
  <c r="Q2413" i="2"/>
  <c r="Q2748" i="2"/>
  <c r="Q2688" i="2"/>
  <c r="Q2628" i="2"/>
  <c r="Q2568" i="2"/>
  <c r="Q2484" i="2"/>
  <c r="Q2436" i="2"/>
  <c r="Q2340" i="2"/>
  <c r="Q2292" i="2"/>
  <c r="Q2782" i="2"/>
  <c r="Q2734" i="2"/>
  <c r="Q2722" i="2"/>
  <c r="Q2710" i="2"/>
  <c r="Q2698" i="2"/>
  <c r="Q2662" i="2"/>
  <c r="Q2626" i="2"/>
  <c r="Q2602" i="2"/>
  <c r="Q2554" i="2"/>
  <c r="Q2530" i="2"/>
  <c r="Q2518" i="2"/>
  <c r="Q2506" i="2"/>
  <c r="Q2494" i="2"/>
  <c r="Q2482" i="2"/>
  <c r="Q2470" i="2"/>
  <c r="Q2458" i="2"/>
  <c r="Q2446" i="2"/>
  <c r="Q2434" i="2"/>
  <c r="Q2422" i="2"/>
  <c r="Q2410" i="2"/>
  <c r="Q2398" i="2"/>
  <c r="Q2386" i="2"/>
  <c r="Q2374" i="2"/>
  <c r="Q2362" i="2"/>
  <c r="Q2350" i="2"/>
  <c r="Q2338" i="2"/>
  <c r="Q2326" i="2"/>
  <c r="Q2314" i="2"/>
  <c r="Q2302" i="2"/>
  <c r="Q2290" i="2"/>
  <c r="Q2278" i="2"/>
  <c r="Q2266" i="2"/>
  <c r="Q2254" i="2"/>
  <c r="Q2242" i="2"/>
  <c r="Q2230" i="2"/>
  <c r="Q2218" i="2"/>
  <c r="Q2206" i="2"/>
  <c r="Q2194" i="2"/>
  <c r="Q2182" i="2"/>
  <c r="Q2170" i="2"/>
  <c r="Q2158" i="2"/>
  <c r="Q2146" i="2"/>
  <c r="Q2134" i="2"/>
  <c r="Q2122" i="2"/>
  <c r="Q2110" i="2"/>
  <c r="Q2098" i="2"/>
  <c r="Q2086" i="2"/>
  <c r="Q2074" i="2"/>
  <c r="Q2062" i="2"/>
  <c r="Q2050" i="2"/>
  <c r="Q2038" i="2"/>
  <c r="Q2026" i="2"/>
  <c r="Q2014" i="2"/>
  <c r="Q2002" i="2"/>
  <c r="Q2797" i="2"/>
  <c r="Q2725" i="2"/>
  <c r="Q2653" i="2"/>
  <c r="Q2569" i="2"/>
  <c r="Q2485" i="2"/>
  <c r="Q2437" i="2"/>
  <c r="Q2772" i="2"/>
  <c r="Q2724" i="2"/>
  <c r="Q2664" i="2"/>
  <c r="Q2580" i="2"/>
  <c r="Q2496" i="2"/>
  <c r="Q2388" i="2"/>
  <c r="Q2376" i="2"/>
  <c r="Q2280" i="2"/>
  <c r="Q2770" i="2"/>
  <c r="Q2758" i="2"/>
  <c r="Q2746" i="2"/>
  <c r="Q2674" i="2"/>
  <c r="Q2650" i="2"/>
  <c r="Q2590" i="2"/>
  <c r="Q2578" i="2"/>
  <c r="Q2542" i="2"/>
  <c r="Q2709" i="2"/>
  <c r="Q2661" i="2"/>
  <c r="Q2637" i="2"/>
  <c r="Q2601" i="2"/>
  <c r="Q2577" i="2"/>
  <c r="Q2553" i="2"/>
  <c r="Q2529" i="2"/>
  <c r="Q2517" i="2"/>
  <c r="Q2481" i="2"/>
  <c r="Q2469" i="2"/>
  <c r="Q2457" i="2"/>
  <c r="Q2433" i="2"/>
  <c r="Q2409" i="2"/>
  <c r="Q2397" i="2"/>
  <c r="Q2385" i="2"/>
  <c r="Q2337" i="2"/>
  <c r="Q2325" i="2"/>
  <c r="Q2289" i="2"/>
  <c r="Q2277" i="2"/>
  <c r="Q2229" i="2"/>
  <c r="Q2205" i="2"/>
  <c r="Q2193" i="2"/>
  <c r="Q2169" i="2"/>
  <c r="Q2145" i="2"/>
  <c r="Q2133" i="2"/>
  <c r="Q2109" i="2"/>
  <c r="Q2097" i="2"/>
  <c r="Q2073" i="2"/>
  <c r="Q2061" i="2"/>
  <c r="Q2037" i="2"/>
  <c r="Q2025" i="2"/>
  <c r="Q2013" i="2"/>
  <c r="Q2001" i="2"/>
  <c r="Q1989" i="2"/>
  <c r="Q1977" i="2"/>
  <c r="Q1965" i="2"/>
  <c r="Q1953" i="2"/>
  <c r="Q1941" i="2"/>
  <c r="Q1929" i="2"/>
  <c r="Q1917" i="2"/>
  <c r="Q1905" i="2"/>
  <c r="Q1893" i="2"/>
  <c r="Q1881" i="2"/>
  <c r="Q1901" i="2"/>
  <c r="Q1889" i="2"/>
  <c r="Q1877" i="2"/>
  <c r="Q1865" i="2"/>
  <c r="Q1853" i="2"/>
  <c r="Q1841" i="2"/>
  <c r="Q1829" i="2"/>
  <c r="Q1817" i="2"/>
  <c r="Q1805" i="2"/>
  <c r="Q1793" i="2"/>
  <c r="Q1781" i="2"/>
  <c r="Q1769" i="2"/>
  <c r="Q1757" i="2"/>
  <c r="Q1745" i="2"/>
  <c r="Q1733" i="2"/>
  <c r="Q1721" i="2"/>
  <c r="Q1709" i="2"/>
  <c r="Q1697" i="2"/>
  <c r="Q1685" i="2"/>
  <c r="Q1673" i="2"/>
  <c r="Q1661" i="2"/>
  <c r="Q1649" i="2"/>
  <c r="Q1637" i="2"/>
  <c r="Q1625" i="2"/>
  <c r="Q1613" i="2"/>
  <c r="Q1601" i="2"/>
  <c r="Q1589" i="2"/>
  <c r="Q1577" i="2"/>
  <c r="Q1565" i="2"/>
  <c r="Q1553" i="2"/>
  <c r="Q1541" i="2"/>
  <c r="Q1529" i="2"/>
  <c r="Q1517" i="2"/>
  <c r="Q1505" i="2"/>
  <c r="Q1493" i="2"/>
  <c r="Q1481" i="2"/>
  <c r="Q1469" i="2"/>
  <c r="Q1457" i="2"/>
  <c r="Q1445" i="2"/>
  <c r="Q1433" i="2"/>
  <c r="Q1421" i="2"/>
  <c r="Q1409" i="2"/>
  <c r="Q1397" i="2"/>
  <c r="Q1385" i="2"/>
  <c r="Q1373" i="2"/>
  <c r="Q1361" i="2"/>
  <c r="Q1349" i="2"/>
  <c r="Q1337" i="2"/>
  <c r="Q1325" i="2"/>
  <c r="Q1313" i="2"/>
  <c r="Q1301" i="2"/>
  <c r="Q1289" i="2"/>
  <c r="Q1277" i="2"/>
  <c r="Q1265" i="2"/>
  <c r="Q1253" i="2"/>
  <c r="Q1241" i="2"/>
  <c r="Q1229" i="2"/>
  <c r="Q1205" i="2"/>
  <c r="Q1181" i="2"/>
  <c r="Q1169" i="2"/>
  <c r="Q1157" i="2"/>
  <c r="Q1145" i="2"/>
  <c r="Q1133" i="2"/>
  <c r="Q1121" i="2"/>
  <c r="Q1109" i="2"/>
  <c r="Q1097" i="2"/>
  <c r="Q1085" i="2"/>
  <c r="Q1073" i="2"/>
  <c r="Q1061" i="2"/>
  <c r="Q1049" i="2"/>
  <c r="Q1037" i="2"/>
  <c r="Q1025" i="2"/>
  <c r="Q1013" i="2"/>
  <c r="Q1001" i="2"/>
  <c r="Q989" i="2"/>
  <c r="Q977" i="2"/>
  <c r="Q965" i="2"/>
  <c r="Q953" i="2"/>
  <c r="Q941" i="2"/>
  <c r="Q929" i="2"/>
  <c r="Q917" i="2"/>
  <c r="Q905" i="2"/>
  <c r="Q893" i="2"/>
  <c r="Q821" i="2"/>
  <c r="Q533" i="2"/>
  <c r="Q1888" i="2"/>
  <c r="Q1876" i="2"/>
  <c r="Q1864" i="2"/>
  <c r="Q1852" i="2"/>
  <c r="Q1840" i="2"/>
  <c r="Q1828" i="2"/>
  <c r="Q1816" i="2"/>
  <c r="Q1804" i="2"/>
  <c r="Q1792" i="2"/>
  <c r="Q1780" i="2"/>
  <c r="Q1768" i="2"/>
  <c r="Q1756" i="2"/>
  <c r="Q1744" i="2"/>
  <c r="Q1732" i="2"/>
  <c r="Q1720" i="2"/>
  <c r="Q1708" i="2"/>
  <c r="Q1696" i="2"/>
  <c r="Q1684" i="2"/>
  <c r="Q1672" i="2"/>
  <c r="Q1660" i="2"/>
  <c r="Q1648" i="2"/>
  <c r="Q1636" i="2"/>
  <c r="Q1624" i="2"/>
  <c r="Q1612" i="2"/>
  <c r="Q1600" i="2"/>
  <c r="Q1588" i="2"/>
  <c r="Q1576" i="2"/>
  <c r="Q1564" i="2"/>
  <c r="Q1552" i="2"/>
  <c r="Q1540" i="2"/>
  <c r="Q1528" i="2"/>
  <c r="Q1516" i="2"/>
  <c r="Q1504" i="2"/>
  <c r="Q1480" i="2"/>
  <c r="Q1468" i="2"/>
  <c r="Q1456" i="2"/>
  <c r="Q1444" i="2"/>
  <c r="Q1432" i="2"/>
  <c r="Q1420" i="2"/>
  <c r="Q1408" i="2"/>
  <c r="Q1396" i="2"/>
  <c r="Q1384" i="2"/>
  <c r="Q1372" i="2"/>
  <c r="Q1360" i="2"/>
  <c r="Q1348" i="2"/>
  <c r="Q1336" i="2"/>
  <c r="Q1324" i="2"/>
  <c r="Q1312" i="2"/>
  <c r="Q1300" i="2"/>
  <c r="Q1288" i="2"/>
  <c r="Q1276" i="2"/>
  <c r="Q1264" i="2"/>
  <c r="Q1252" i="2"/>
  <c r="Q1240" i="2"/>
  <c r="Q1228" i="2"/>
  <c r="Q1216" i="2"/>
  <c r="Q1204" i="2"/>
  <c r="Q1192" i="2"/>
  <c r="Q1180" i="2"/>
  <c r="Q1168" i="2"/>
  <c r="Q1156" i="2"/>
  <c r="Q1144" i="2"/>
  <c r="Q1132" i="2"/>
  <c r="Q1120" i="2"/>
  <c r="Q1108" i="2"/>
  <c r="Q1096" i="2"/>
  <c r="Q1084" i="2"/>
  <c r="Q1072" i="2"/>
  <c r="Q1060" i="2"/>
  <c r="Q1048" i="2"/>
  <c r="Q1036" i="2"/>
  <c r="Q1024" i="2"/>
  <c r="Q1012" i="2"/>
  <c r="Q1000" i="2"/>
  <c r="Q988" i="2"/>
  <c r="Q976" i="2"/>
  <c r="Q964" i="2"/>
  <c r="Q952" i="2"/>
  <c r="Q940" i="2"/>
  <c r="Q928" i="2"/>
  <c r="Q916" i="2"/>
  <c r="Q724" i="2"/>
  <c r="Q436" i="2"/>
  <c r="Q1923" i="2"/>
  <c r="Q1911" i="2"/>
  <c r="Q1899" i="2"/>
  <c r="Q1887" i="2"/>
  <c r="Q1875" i="2"/>
  <c r="Q1863" i="2"/>
  <c r="Q1851" i="2"/>
  <c r="Q1839" i="2"/>
  <c r="Q1827" i="2"/>
  <c r="Q1815" i="2"/>
  <c r="Q1803" i="2"/>
  <c r="Q1791" i="2"/>
  <c r="Q1779" i="2"/>
  <c r="Q1767" i="2"/>
  <c r="Q1755" i="2"/>
  <c r="Q1743" i="2"/>
  <c r="Q1731" i="2"/>
  <c r="Q1719" i="2"/>
  <c r="Q1707" i="2"/>
  <c r="Q1695" i="2"/>
  <c r="Q1683" i="2"/>
  <c r="Q1671" i="2"/>
  <c r="Q1659" i="2"/>
  <c r="Q1647" i="2"/>
  <c r="Q1635" i="2"/>
  <c r="Q1623" i="2"/>
  <c r="Q1611" i="2"/>
  <c r="Q1599" i="2"/>
  <c r="Q1587" i="2"/>
  <c r="Q1575" i="2"/>
  <c r="Q1563" i="2"/>
  <c r="Q1539" i="2"/>
  <c r="Q1527" i="2"/>
  <c r="Q1515" i="2"/>
  <c r="Q1503" i="2"/>
  <c r="Q1491" i="2"/>
  <c r="Q1479" i="2"/>
  <c r="Q1467" i="2"/>
  <c r="Q1455" i="2"/>
  <c r="Q1443" i="2"/>
  <c r="Q1431" i="2"/>
  <c r="Q1419" i="2"/>
  <c r="Q1407" i="2"/>
  <c r="Q1395" i="2"/>
  <c r="Q1383" i="2"/>
  <c r="Q1371" i="2"/>
  <c r="Q1359" i="2"/>
  <c r="Q1347" i="2"/>
  <c r="Q1335" i="2"/>
  <c r="Q1323" i="2"/>
  <c r="Q1311" i="2"/>
  <c r="Q1299" i="2"/>
  <c r="Q1287" i="2"/>
  <c r="Q1275" i="2"/>
  <c r="Q1263" i="2"/>
  <c r="Q1251" i="2"/>
  <c r="Q1239" i="2"/>
  <c r="Q1227" i="2"/>
  <c r="Q1215" i="2"/>
  <c r="Q1203" i="2"/>
  <c r="Q1191" i="2"/>
  <c r="Q1179" i="2"/>
  <c r="Q1167" i="2"/>
  <c r="Q1155" i="2"/>
  <c r="Q1143" i="2"/>
  <c r="Q1131" i="2"/>
  <c r="Q1119" i="2"/>
  <c r="Q1107" i="2"/>
  <c r="Q1095" i="2"/>
  <c r="Q1083" i="2"/>
  <c r="Q1071" i="2"/>
  <c r="Q1059" i="2"/>
  <c r="Q1047" i="2"/>
  <c r="Q1035" i="2"/>
  <c r="Q1023" i="2"/>
  <c r="Q1011" i="2"/>
  <c r="Q999" i="2"/>
  <c r="Q987" i="2"/>
  <c r="Q975" i="2"/>
  <c r="Q963" i="2"/>
  <c r="Q951" i="2"/>
  <c r="Q879" i="2"/>
  <c r="Q591" i="2"/>
  <c r="Q2282" i="2"/>
  <c r="Q2270" i="2"/>
  <c r="Q2258" i="2"/>
  <c r="Q2246" i="2"/>
  <c r="Q2234" i="2"/>
  <c r="Q2222" i="2"/>
  <c r="Q2210" i="2"/>
  <c r="Q2198" i="2"/>
  <c r="Q2186" i="2"/>
  <c r="Q2174" i="2"/>
  <c r="Q2162" i="2"/>
  <c r="Q2150" i="2"/>
  <c r="Q2138" i="2"/>
  <c r="Q2126" i="2"/>
  <c r="Q2114" i="2"/>
  <c r="Q2102" i="2"/>
  <c r="Q2090" i="2"/>
  <c r="Q2078" i="2"/>
  <c r="Q2066" i="2"/>
  <c r="Q2054" i="2"/>
  <c r="Q2042" i="2"/>
  <c r="Q2030" i="2"/>
  <c r="Q2018" i="2"/>
  <c r="Q2006" i="2"/>
  <c r="Q1994" i="2"/>
  <c r="Q1982" i="2"/>
  <c r="Q1970" i="2"/>
  <c r="Q1958" i="2"/>
  <c r="Q1946" i="2"/>
  <c r="Q1934" i="2"/>
  <c r="Q1922" i="2"/>
  <c r="Q1910" i="2"/>
  <c r="Q1898" i="2"/>
  <c r="Q1886" i="2"/>
  <c r="Q1874" i="2"/>
  <c r="Q1862" i="2"/>
  <c r="Q1850" i="2"/>
  <c r="Q1838" i="2"/>
  <c r="Q1826" i="2"/>
  <c r="Q1814" i="2"/>
  <c r="Q1802" i="2"/>
  <c r="Q1790" i="2"/>
  <c r="Q1778" i="2"/>
  <c r="Q1766" i="2"/>
  <c r="Q1754" i="2"/>
  <c r="Q1742" i="2"/>
  <c r="Q1730" i="2"/>
  <c r="Q1718" i="2"/>
  <c r="Q1706" i="2"/>
  <c r="Q1694" i="2"/>
  <c r="Q1682" i="2"/>
  <c r="Q1670" i="2"/>
  <c r="Q1658" i="2"/>
  <c r="Q1646" i="2"/>
  <c r="Q1634" i="2"/>
  <c r="Q1622" i="2"/>
  <c r="Q1610" i="2"/>
  <c r="Q1598" i="2"/>
  <c r="Q1586" i="2"/>
  <c r="Q1574" i="2"/>
  <c r="Q1562" i="2"/>
  <c r="Q1550" i="2"/>
  <c r="Q1538" i="2"/>
  <c r="Q1526" i="2"/>
  <c r="Q1514" i="2"/>
  <c r="Q1502" i="2"/>
  <c r="Q1490" i="2"/>
  <c r="Q1478" i="2"/>
  <c r="Q1466" i="2"/>
  <c r="Q1454" i="2"/>
  <c r="Q1442" i="2"/>
  <c r="Q1430" i="2"/>
  <c r="Q1418" i="2"/>
  <c r="Q1406" i="2"/>
  <c r="Q1394" i="2"/>
  <c r="Q1382" i="2"/>
  <c r="Q1370" i="2"/>
  <c r="Q1358" i="2"/>
  <c r="Q1346" i="2"/>
  <c r="Q1334" i="2"/>
  <c r="Q1322" i="2"/>
  <c r="Q1310" i="2"/>
  <c r="Q1298" i="2"/>
  <c r="Q1286" i="2"/>
  <c r="Q1274" i="2"/>
  <c r="Q1262" i="2"/>
  <c r="Q1250" i="2"/>
  <c r="Q1238" i="2"/>
  <c r="Q1226" i="2"/>
  <c r="Q1214" i="2"/>
  <c r="Q1202" i="2"/>
  <c r="Q1190" i="2"/>
  <c r="Q1178" i="2"/>
  <c r="Q1166" i="2"/>
  <c r="Q2077" i="2"/>
  <c r="Q2065" i="2"/>
  <c r="Q2053" i="2"/>
  <c r="Q2041" i="2"/>
  <c r="Q2029" i="2"/>
  <c r="Q2017" i="2"/>
  <c r="Q2005" i="2"/>
  <c r="Q1993" i="2"/>
  <c r="Q1981" i="2"/>
  <c r="Q1969" i="2"/>
  <c r="Q1957" i="2"/>
  <c r="Q1945" i="2"/>
  <c r="Q1933" i="2"/>
  <c r="Q1921" i="2"/>
  <c r="Q1909" i="2"/>
  <c r="Q1897" i="2"/>
  <c r="Q1885" i="2"/>
  <c r="Q1873" i="2"/>
  <c r="Q1861" i="2"/>
  <c r="Q1849" i="2"/>
  <c r="Q1837" i="2"/>
  <c r="Q1825" i="2"/>
  <c r="Q1813" i="2"/>
  <c r="Q1801" i="2"/>
  <c r="Q1789" i="2"/>
  <c r="Q1777" i="2"/>
  <c r="Q1765" i="2"/>
  <c r="Q1753" i="2"/>
  <c r="Q1741" i="2"/>
  <c r="Q1729" i="2"/>
  <c r="Q1717" i="2"/>
  <c r="Q1705" i="2"/>
  <c r="Q1693" i="2"/>
  <c r="Q1681" i="2"/>
  <c r="Q1669" i="2"/>
  <c r="Q1657" i="2"/>
  <c r="Q1645" i="2"/>
  <c r="Q1633" i="2"/>
  <c r="Q1621" i="2"/>
  <c r="Q1609" i="2"/>
  <c r="Q1597" i="2"/>
  <c r="Q1585" i="2"/>
  <c r="Q1573" i="2"/>
  <c r="Q1561" i="2"/>
  <c r="Q1549" i="2"/>
  <c r="Q1537" i="2"/>
  <c r="Q1525" i="2"/>
  <c r="Q1513" i="2"/>
  <c r="Q1501" i="2"/>
  <c r="Q1489" i="2"/>
  <c r="Q1477" i="2"/>
  <c r="Q1465" i="2"/>
  <c r="Q1453" i="2"/>
  <c r="Q1441" i="2"/>
  <c r="Q1429" i="2"/>
  <c r="Q1417" i="2"/>
  <c r="Q1405" i="2"/>
  <c r="Q1393" i="2"/>
  <c r="Q1381" i="2"/>
  <c r="Q1369" i="2"/>
  <c r="Q1357" i="2"/>
  <c r="Q1345" i="2"/>
  <c r="Q1333" i="2"/>
  <c r="Q1321" i="2"/>
  <c r="Q1309" i="2"/>
  <c r="Q1297" i="2"/>
  <c r="Q1285" i="2"/>
  <c r="Q1273" i="2"/>
  <c r="Q1261" i="2"/>
  <c r="Q1249" i="2"/>
  <c r="Q1237" i="2"/>
  <c r="Q1225" i="2"/>
  <c r="Q1213" i="2"/>
  <c r="Q1201" i="2"/>
  <c r="Q1189" i="2"/>
  <c r="Q1177" i="2"/>
  <c r="Q1165" i="2"/>
  <c r="Q1153" i="2"/>
  <c r="Q985" i="2"/>
  <c r="Q781" i="2"/>
  <c r="Q685" i="2"/>
  <c r="Q1296" i="2"/>
  <c r="Q1284" i="2"/>
  <c r="Q1272" i="2"/>
  <c r="Q1260" i="2"/>
  <c r="Q1248" i="2"/>
  <c r="Q1236" i="2"/>
  <c r="Q1224" i="2"/>
  <c r="Q1212" i="2"/>
  <c r="Q1200" i="2"/>
  <c r="Q1188" i="2"/>
  <c r="Q1176" i="2"/>
  <c r="Q1164" i="2"/>
  <c r="Q1152" i="2"/>
  <c r="Q1140" i="2"/>
  <c r="Q1128" i="2"/>
  <c r="Q1116" i="2"/>
  <c r="Q1104" i="2"/>
  <c r="Q1092" i="2"/>
  <c r="Q1080" i="2"/>
  <c r="Q1068" i="2"/>
  <c r="Q1056" i="2"/>
  <c r="Q1044" i="2"/>
  <c r="Q1032" i="2"/>
  <c r="Q1020" i="2"/>
  <c r="Q1008" i="2"/>
  <c r="Q996" i="2"/>
  <c r="Q984" i="2"/>
  <c r="Q900" i="2"/>
  <c r="Q804" i="2"/>
  <c r="Q768" i="2"/>
  <c r="Q756" i="2"/>
  <c r="Q648" i="2"/>
  <c r="Q576" i="2"/>
  <c r="Q540" i="2"/>
  <c r="Q348" i="2"/>
  <c r="Q228" i="2"/>
  <c r="Q180" i="2"/>
  <c r="Q144" i="2"/>
  <c r="Q2591" i="2"/>
  <c r="Q2579" i="2"/>
  <c r="Q2567" i="2"/>
  <c r="Q2555" i="2"/>
  <c r="Q2543" i="2"/>
  <c r="Q2531" i="2"/>
  <c r="Q2519" i="2"/>
  <c r="Q2507" i="2"/>
  <c r="Q2495" i="2"/>
  <c r="Q2483" i="2"/>
  <c r="Q2471" i="2"/>
  <c r="Q2459" i="2"/>
  <c r="Q2447" i="2"/>
  <c r="Q2435" i="2"/>
  <c r="Q2423" i="2"/>
  <c r="Q2411" i="2"/>
  <c r="Q2399" i="2"/>
  <c r="Q2387" i="2"/>
  <c r="Q2375" i="2"/>
  <c r="Q2363" i="2"/>
  <c r="Q2351" i="2"/>
  <c r="Q2339" i="2"/>
  <c r="Q2327" i="2"/>
  <c r="Q2315" i="2"/>
  <c r="Q2303" i="2"/>
  <c r="Q2291" i="2"/>
  <c r="Q2279" i="2"/>
  <c r="Q2267" i="2"/>
  <c r="Q2255" i="2"/>
  <c r="Q2243" i="2"/>
  <c r="Q2231" i="2"/>
  <c r="Q2219" i="2"/>
  <c r="Q2207" i="2"/>
  <c r="Q2195" i="2"/>
  <c r="Q2183" i="2"/>
  <c r="Q2171" i="2"/>
  <c r="Q2159" i="2"/>
  <c r="Q2147" i="2"/>
  <c r="Q2135" i="2"/>
  <c r="Q2123" i="2"/>
  <c r="Q2111" i="2"/>
  <c r="Q2099" i="2"/>
  <c r="Q2087" i="2"/>
  <c r="Q2075" i="2"/>
  <c r="Q2063" i="2"/>
  <c r="Q2051" i="2"/>
  <c r="Q2039" i="2"/>
  <c r="Q2027" i="2"/>
  <c r="Q2015" i="2"/>
  <c r="Q2003" i="2"/>
  <c r="Q1991" i="2"/>
  <c r="Q1979" i="2"/>
  <c r="Q1967" i="2"/>
  <c r="Q1955" i="2"/>
  <c r="Q1943" i="2"/>
  <c r="Q1931" i="2"/>
  <c r="Q1919" i="2"/>
  <c r="Q1907" i="2"/>
  <c r="Q1895" i="2"/>
  <c r="Q1883" i="2"/>
  <c r="Q1871" i="2"/>
  <c r="Q1859" i="2"/>
  <c r="Q1847" i="2"/>
  <c r="Q1835" i="2"/>
  <c r="Q1823" i="2"/>
  <c r="Q1811" i="2"/>
  <c r="Q1799" i="2"/>
  <c r="Q1787" i="2"/>
  <c r="Q1775" i="2"/>
  <c r="Q1763" i="2"/>
  <c r="Q1751" i="2"/>
  <c r="Q1739" i="2"/>
  <c r="Q1727" i="2"/>
  <c r="Q1715" i="2"/>
  <c r="Q1703" i="2"/>
  <c r="Q1691" i="2"/>
  <c r="Q1679" i="2"/>
  <c r="Q1667" i="2"/>
  <c r="Q1655" i="2"/>
  <c r="Q1643" i="2"/>
  <c r="Q1367" i="2"/>
  <c r="Q899" i="2"/>
  <c r="Q839" i="2"/>
  <c r="Q743" i="2"/>
  <c r="Q551" i="2"/>
  <c r="Q1990" i="2"/>
  <c r="Q1978" i="2"/>
  <c r="Q1966" i="2"/>
  <c r="Q1954" i="2"/>
  <c r="Q1942" i="2"/>
  <c r="Q1930" i="2"/>
  <c r="Q1918" i="2"/>
  <c r="Q1906" i="2"/>
  <c r="Q1894" i="2"/>
  <c r="Q1882" i="2"/>
  <c r="Q1870" i="2"/>
  <c r="Q1858" i="2"/>
  <c r="Q1846" i="2"/>
  <c r="Q1834" i="2"/>
  <c r="Q1822" i="2"/>
  <c r="Q1810" i="2"/>
  <c r="Q1798" i="2"/>
  <c r="Q1786" i="2"/>
  <c r="Q1774" i="2"/>
  <c r="Q1762" i="2"/>
  <c r="Q1750" i="2"/>
  <c r="Q1738" i="2"/>
  <c r="Q1726" i="2"/>
  <c r="Q1714" i="2"/>
  <c r="Q1702" i="2"/>
  <c r="Q1690" i="2"/>
  <c r="Q1678" i="2"/>
  <c r="Q1666" i="2"/>
  <c r="Q1654" i="2"/>
  <c r="Q1642" i="2"/>
  <c r="Q1630" i="2"/>
  <c r="Q1618" i="2"/>
  <c r="Q1606" i="2"/>
  <c r="Q1594" i="2"/>
  <c r="Q1582" i="2"/>
  <c r="Q1570" i="2"/>
  <c r="Q1558" i="2"/>
  <c r="Q1546" i="2"/>
  <c r="Q1534" i="2"/>
  <c r="Q1522" i="2"/>
  <c r="Q1510" i="2"/>
  <c r="Q1498" i="2"/>
  <c r="Q1486" i="2"/>
  <c r="Q1474" i="2"/>
  <c r="Q1462" i="2"/>
  <c r="Q1450" i="2"/>
  <c r="Q1438" i="2"/>
  <c r="Q1426" i="2"/>
  <c r="Q1414" i="2"/>
  <c r="Q1402" i="2"/>
  <c r="Q1390" i="2"/>
  <c r="Q1378" i="2"/>
  <c r="Q1366" i="2"/>
  <c r="Q1354" i="2"/>
  <c r="Q1342" i="2"/>
  <c r="Q1330" i="2"/>
  <c r="Q1318" i="2"/>
  <c r="Q1306" i="2"/>
  <c r="Q1294" i="2"/>
  <c r="Q1282" i="2"/>
  <c r="Q1270" i="2"/>
  <c r="Q1258" i="2"/>
  <c r="Q1246" i="2"/>
  <c r="Q1234" i="2"/>
  <c r="Q1222" i="2"/>
  <c r="Q1210" i="2"/>
  <c r="Q1198" i="2"/>
  <c r="Q1186" i="2"/>
  <c r="Q1174" i="2"/>
  <c r="Q1162" i="2"/>
  <c r="Q1138" i="2"/>
  <c r="Q1126" i="2"/>
  <c r="Q1114" i="2"/>
  <c r="Q1102" i="2"/>
  <c r="Q1090" i="2"/>
  <c r="Q1078" i="2"/>
  <c r="Q922" i="2"/>
  <c r="Q706" i="2"/>
  <c r="Q1869" i="2"/>
  <c r="Q1857" i="2"/>
  <c r="Q1845" i="2"/>
  <c r="Q1833" i="2"/>
  <c r="Q1821" i="2"/>
  <c r="Q1809" i="2"/>
  <c r="Q1797" i="2"/>
  <c r="Q1785" i="2"/>
  <c r="Q1773" i="2"/>
  <c r="Q1761" i="2"/>
  <c r="Q1749" i="2"/>
  <c r="Q1737" i="2"/>
  <c r="Q1725" i="2"/>
  <c r="Q1713" i="2"/>
  <c r="Q1701" i="2"/>
  <c r="Q1689" i="2"/>
  <c r="Q1677" i="2"/>
  <c r="Q1665" i="2"/>
  <c r="Q1653" i="2"/>
  <c r="Q1641" i="2"/>
  <c r="Q1629" i="2"/>
  <c r="Q1617" i="2"/>
  <c r="Q1605" i="2"/>
  <c r="Q1593" i="2"/>
  <c r="Q1581" i="2"/>
  <c r="Q1569" i="2"/>
  <c r="Q1557" i="2"/>
  <c r="Q1545" i="2"/>
  <c r="Q1533" i="2"/>
  <c r="Q1521" i="2"/>
  <c r="Q1497" i="2"/>
  <c r="Q1485" i="2"/>
  <c r="Q1473" i="2"/>
  <c r="Q1461" i="2"/>
  <c r="Q1449" i="2"/>
  <c r="Q1437" i="2"/>
  <c r="Q1425" i="2"/>
  <c r="Q1413" i="2"/>
  <c r="Q1401" i="2"/>
  <c r="Q1389" i="2"/>
  <c r="Q1377" i="2"/>
  <c r="Q1365" i="2"/>
  <c r="Q1353" i="2"/>
  <c r="Q1341" i="2"/>
  <c r="Q1329" i="2"/>
  <c r="Q1317" i="2"/>
  <c r="Q1305" i="2"/>
  <c r="Q1293" i="2"/>
  <c r="Q1281" i="2"/>
  <c r="Q1269" i="2"/>
  <c r="Q1257" i="2"/>
  <c r="Q1245" i="2"/>
  <c r="Q1233" i="2"/>
  <c r="Q1221" i="2"/>
  <c r="Q1209" i="2"/>
  <c r="Q1197" i="2"/>
  <c r="Q1185" i="2"/>
  <c r="Q1173" i="2"/>
  <c r="Q1161" i="2"/>
  <c r="Q1149" i="2"/>
  <c r="Q1137" i="2"/>
  <c r="Q1125" i="2"/>
  <c r="Q1113" i="2"/>
  <c r="Q1101" i="2"/>
  <c r="Q1089" i="2"/>
  <c r="Q1077" i="2"/>
  <c r="Q1065" i="2"/>
  <c r="Q1053" i="2"/>
  <c r="Q1041" i="2"/>
  <c r="Q1029" i="2"/>
  <c r="Q1017" i="2"/>
  <c r="Q1005" i="2"/>
  <c r="Q993" i="2"/>
  <c r="Q981" i="2"/>
  <c r="Q969" i="2"/>
  <c r="Q957" i="2"/>
  <c r="Q945" i="2"/>
  <c r="Q933" i="2"/>
  <c r="Q921" i="2"/>
  <c r="Q801" i="2"/>
  <c r="Q609" i="2"/>
  <c r="Q513" i="2"/>
  <c r="Q225" i="2"/>
  <c r="Q2648" i="2"/>
  <c r="Q2636" i="2"/>
  <c r="Q2624" i="2"/>
  <c r="Q2612" i="2"/>
  <c r="Q2600" i="2"/>
  <c r="Q2588" i="2"/>
  <c r="Q2576" i="2"/>
  <c r="Q2564" i="2"/>
  <c r="Q2552" i="2"/>
  <c r="Q2540" i="2"/>
  <c r="Q2528" i="2"/>
  <c r="Q2516" i="2"/>
  <c r="Q2504" i="2"/>
  <c r="Q2492" i="2"/>
  <c r="Q2480" i="2"/>
  <c r="Q2468" i="2"/>
  <c r="Q2456" i="2"/>
  <c r="Q2444" i="2"/>
  <c r="Q2432" i="2"/>
  <c r="Q2420" i="2"/>
  <c r="Q2408" i="2"/>
  <c r="Q2396" i="2"/>
  <c r="Q2384" i="2"/>
  <c r="Q2372" i="2"/>
  <c r="Q2360" i="2"/>
  <c r="Q2348" i="2"/>
  <c r="Q2336" i="2"/>
  <c r="Q2324" i="2"/>
  <c r="Q2312" i="2"/>
  <c r="Q2300" i="2"/>
  <c r="Q2288" i="2"/>
  <c r="Q2276" i="2"/>
  <c r="Q2264" i="2"/>
  <c r="Q2252" i="2"/>
  <c r="Q2240" i="2"/>
  <c r="Q2228" i="2"/>
  <c r="Q2216" i="2"/>
  <c r="Q2204" i="2"/>
  <c r="Q2192" i="2"/>
  <c r="Q2180" i="2"/>
  <c r="Q2168" i="2"/>
  <c r="Q2156" i="2"/>
  <c r="Q2144" i="2"/>
  <c r="Q2132" i="2"/>
  <c r="Q2120" i="2"/>
  <c r="Q2108" i="2"/>
  <c r="Q2096" i="2"/>
  <c r="Q2084" i="2"/>
  <c r="Q2072" i="2"/>
  <c r="Q2060" i="2"/>
  <c r="Q2048" i="2"/>
  <c r="Q2036" i="2"/>
  <c r="Q2024" i="2"/>
  <c r="Q2012" i="2"/>
  <c r="Q2000" i="2"/>
  <c r="Q1988" i="2"/>
  <c r="Q1976" i="2"/>
  <c r="Q1964" i="2"/>
  <c r="Q1952" i="2"/>
  <c r="Q1940" i="2"/>
  <c r="Q1928" i="2"/>
  <c r="Q1916" i="2"/>
  <c r="Q1904" i="2"/>
  <c r="Q1892" i="2"/>
  <c r="Q1880" i="2"/>
  <c r="Q1868" i="2"/>
  <c r="Q1856" i="2"/>
  <c r="Q1844" i="2"/>
  <c r="Q1832" i="2"/>
  <c r="Q1820" i="2"/>
  <c r="Q1808" i="2"/>
  <c r="Q1796" i="2"/>
  <c r="Q1784" i="2"/>
  <c r="Q1772" i="2"/>
  <c r="Q1760" i="2"/>
  <c r="Q1748" i="2"/>
  <c r="Q1736" i="2"/>
  <c r="Q1724" i="2"/>
  <c r="Q1712" i="2"/>
  <c r="Q1700" i="2"/>
  <c r="Q1688" i="2"/>
  <c r="Q1676" i="2"/>
  <c r="Q1664" i="2"/>
  <c r="Q1652" i="2"/>
  <c r="Q1640" i="2"/>
  <c r="Q1628" i="2"/>
  <c r="Q1616" i="2"/>
  <c r="Q1604" i="2"/>
  <c r="Q1592" i="2"/>
  <c r="Q1580" i="2"/>
  <c r="Q1568" i="2"/>
  <c r="Q1556" i="2"/>
  <c r="Q1544" i="2"/>
  <c r="Q1532" i="2"/>
  <c r="Q1520" i="2"/>
  <c r="Q1508" i="2"/>
  <c r="Q1496" i="2"/>
  <c r="Q1484" i="2"/>
  <c r="Q1472" i="2"/>
  <c r="Q1460" i="2"/>
  <c r="Q1448" i="2"/>
  <c r="Q1436" i="2"/>
  <c r="Q1424" i="2"/>
  <c r="Q1412" i="2"/>
  <c r="Q1400" i="2"/>
  <c r="Q1388" i="2"/>
  <c r="Q1376" i="2"/>
  <c r="Q1364" i="2"/>
  <c r="Q1352" i="2"/>
  <c r="Q1340" i="2"/>
  <c r="Q1328" i="2"/>
  <c r="Q1316" i="2"/>
  <c r="Q1304" i="2"/>
  <c r="Q1292" i="2"/>
  <c r="Q1280" i="2"/>
  <c r="Q1268" i="2"/>
  <c r="Q1256" i="2"/>
  <c r="Q1244" i="2"/>
  <c r="Q1232" i="2"/>
  <c r="Q1220" i="2"/>
  <c r="Q1208" i="2"/>
  <c r="Q1196" i="2"/>
  <c r="Q1184" i="2"/>
  <c r="Q1172" i="2"/>
  <c r="Q1160" i="2"/>
  <c r="Q1148" i="2"/>
  <c r="Q1052" i="2"/>
  <c r="Q764" i="2"/>
  <c r="Q628" i="2"/>
  <c r="Q1962" i="2"/>
  <c r="Q1950" i="2"/>
  <c r="Q1938" i="2"/>
  <c r="Q1926" i="2"/>
  <c r="Q1914" i="2"/>
  <c r="Q1902" i="2"/>
  <c r="Q1890" i="2"/>
  <c r="Q1878" i="2"/>
  <c r="Q1866" i="2"/>
  <c r="Q1854" i="2"/>
  <c r="Q1842" i="2"/>
  <c r="Q1830" i="2"/>
  <c r="Q1818" i="2"/>
  <c r="Q1806" i="2"/>
  <c r="Q1794" i="2"/>
  <c r="Q1782" i="2"/>
  <c r="Q1770" i="2"/>
  <c r="Q1758" i="2"/>
  <c r="Q1746" i="2"/>
  <c r="Q1734" i="2"/>
  <c r="Q1722" i="2"/>
  <c r="Q1710" i="2"/>
  <c r="Q1698" i="2"/>
  <c r="Q1686" i="2"/>
  <c r="Q1674" i="2"/>
  <c r="Q1662" i="2"/>
  <c r="Q1650" i="2"/>
  <c r="Q1638" i="2"/>
  <c r="Q1626" i="2"/>
  <c r="Q1614" i="2"/>
  <c r="Q1602" i="2"/>
  <c r="Q1590" i="2"/>
  <c r="Q1578" i="2"/>
  <c r="Q1566" i="2"/>
  <c r="Q1554" i="2"/>
  <c r="Q1542" i="2"/>
  <c r="Q1530" i="2"/>
  <c r="Q1518" i="2"/>
  <c r="Q1506" i="2"/>
  <c r="Q1494" i="2"/>
  <c r="Q1482" i="2"/>
  <c r="Q1470" i="2"/>
  <c r="Q1458" i="2"/>
  <c r="Q1446" i="2"/>
  <c r="Q1434" i="2"/>
  <c r="Q1422" i="2"/>
  <c r="Q1410" i="2"/>
  <c r="Q1398" i="2"/>
  <c r="Q1386" i="2"/>
  <c r="Q1374" i="2"/>
  <c r="Q1362" i="2"/>
  <c r="Q1350" i="2"/>
  <c r="Q1338" i="2"/>
  <c r="Q1326" i="2"/>
  <c r="Q1314" i="2"/>
  <c r="Q1302" i="2"/>
  <c r="Q1290" i="2"/>
  <c r="Q1278" i="2"/>
  <c r="Q1266" i="2"/>
  <c r="Q1254" i="2"/>
  <c r="Q1242" i="2"/>
  <c r="Q1230" i="2"/>
  <c r="Q1218" i="2"/>
  <c r="Q1206" i="2"/>
  <c r="Q1194" i="2"/>
  <c r="Q1182" i="2"/>
  <c r="Q1170" i="2"/>
  <c r="Q1158" i="2"/>
  <c r="Q1146" i="2"/>
  <c r="Q1134" i="2"/>
  <c r="Q1122" i="2"/>
  <c r="Q1110" i="2"/>
  <c r="Q1098" i="2"/>
  <c r="Q1086" i="2"/>
  <c r="Q1062" i="2"/>
  <c r="Q1050" i="2"/>
  <c r="Q1038" i="2"/>
  <c r="Q1026" i="2"/>
  <c r="Q1014" i="2"/>
  <c r="Q1002" i="2"/>
  <c r="Q990" i="2"/>
  <c r="Q978" i="2"/>
  <c r="Q1631" i="2"/>
  <c r="Q1619" i="2"/>
  <c r="Q1607" i="2"/>
  <c r="Q1595" i="2"/>
  <c r="Q1583" i="2"/>
  <c r="Q1571" i="2"/>
  <c r="Q1559" i="2"/>
  <c r="Q1547" i="2"/>
  <c r="Q1535" i="2"/>
  <c r="Q1523" i="2"/>
  <c r="Q1511" i="2"/>
  <c r="Q1499" i="2"/>
  <c r="Q1487" i="2"/>
  <c r="Q1475" i="2"/>
  <c r="Q1463" i="2"/>
  <c r="Q1451" i="2"/>
  <c r="Q1439" i="2"/>
  <c r="Q1427" i="2"/>
  <c r="Q1415" i="2"/>
  <c r="Q1403" i="2"/>
  <c r="Q1391" i="2"/>
  <c r="Q1379" i="2"/>
  <c r="Q1355" i="2"/>
  <c r="Q1343" i="2"/>
  <c r="Q1331" i="2"/>
  <c r="Q1319" i="2"/>
  <c r="Q1307" i="2"/>
  <c r="Q1295" i="2"/>
  <c r="Q1283" i="2"/>
  <c r="Q1271" i="2"/>
  <c r="Q1259" i="2"/>
  <c r="Q1247" i="2"/>
  <c r="Q1235" i="2"/>
  <c r="Q1223" i="2"/>
  <c r="Q1211" i="2"/>
  <c r="Q1199" i="2"/>
  <c r="Q1187" i="2"/>
  <c r="Q1175" i="2"/>
  <c r="Q1163" i="2"/>
  <c r="Q1151" i="2"/>
  <c r="Q1139" i="2"/>
  <c r="Q1127" i="2"/>
  <c r="Q1115" i="2"/>
  <c r="Q1103" i="2"/>
  <c r="Q1091" i="2"/>
  <c r="Q1079" i="2"/>
  <c r="Q1067" i="2"/>
  <c r="Q1055" i="2"/>
  <c r="Q1043" i="2"/>
  <c r="Q1031" i="2"/>
  <c r="Q1019" i="2"/>
  <c r="Q1007" i="2"/>
  <c r="Q995" i="2"/>
  <c r="Q983" i="2"/>
  <c r="Q971" i="2"/>
  <c r="Q959" i="2"/>
  <c r="Q947" i="2"/>
  <c r="Q935" i="2"/>
  <c r="Q923" i="2"/>
  <c r="Q911" i="2"/>
  <c r="Q887" i="2"/>
  <c r="Q875" i="2"/>
  <c r="Q863" i="2"/>
  <c r="Q851" i="2"/>
  <c r="Q827" i="2"/>
  <c r="Q815" i="2"/>
  <c r="Q803" i="2"/>
  <c r="Q791" i="2"/>
  <c r="Q779" i="2"/>
  <c r="Q767" i="2"/>
  <c r="Q755" i="2"/>
  <c r="Q731" i="2"/>
  <c r="Q719" i="2"/>
  <c r="Q707" i="2"/>
  <c r="Q695" i="2"/>
  <c r="Q683" i="2"/>
  <c r="Q671" i="2"/>
  <c r="Q659" i="2"/>
  <c r="Q647" i="2"/>
  <c r="Q635" i="2"/>
  <c r="Q623" i="2"/>
  <c r="Q611" i="2"/>
  <c r="Q599" i="2"/>
  <c r="Q587" i="2"/>
  <c r="Q575" i="2"/>
  <c r="Q563" i="2"/>
  <c r="Q539" i="2"/>
  <c r="Q527" i="2"/>
  <c r="Q515" i="2"/>
  <c r="Q503" i="2"/>
  <c r="Q491" i="2"/>
  <c r="Q479" i="2"/>
  <c r="Q467" i="2"/>
  <c r="Q431" i="2"/>
  <c r="Q419" i="2"/>
  <c r="Q407" i="2"/>
  <c r="Q395" i="2"/>
  <c r="Q383" i="2"/>
  <c r="Q359" i="2"/>
  <c r="Q347" i="2"/>
  <c r="Q335" i="2"/>
  <c r="Q323" i="2"/>
  <c r="Q311" i="2"/>
  <c r="Q287" i="2"/>
  <c r="Q275" i="2"/>
  <c r="Q251" i="2"/>
  <c r="Q239" i="2"/>
  <c r="Q215" i="2"/>
  <c r="Q203" i="2"/>
  <c r="Q191" i="2"/>
  <c r="Q179" i="2"/>
  <c r="Q167" i="2"/>
  <c r="Q155" i="2"/>
  <c r="Q143" i="2"/>
  <c r="Q131" i="2"/>
  <c r="Q119" i="2"/>
  <c r="Q107" i="2"/>
  <c r="Q95" i="2"/>
  <c r="Q83" i="2"/>
  <c r="Q71" i="2"/>
  <c r="Q59" i="2"/>
  <c r="Q47" i="2"/>
  <c r="Q188" i="2"/>
  <c r="Q1066" i="2"/>
  <c r="Q1054" i="2"/>
  <c r="Q1030" i="2"/>
  <c r="Q1018" i="2"/>
  <c r="Q1006" i="2"/>
  <c r="Q994" i="2"/>
  <c r="Q982" i="2"/>
  <c r="Q970" i="2"/>
  <c r="Q958" i="2"/>
  <c r="Q946" i="2"/>
  <c r="Q934" i="2"/>
  <c r="Q910" i="2"/>
  <c r="Q898" i="2"/>
  <c r="Q886" i="2"/>
  <c r="Q874" i="2"/>
  <c r="Q862" i="2"/>
  <c r="Q850" i="2"/>
  <c r="Q838" i="2"/>
  <c r="Q826" i="2"/>
  <c r="Q814" i="2"/>
  <c r="Q802" i="2"/>
  <c r="Q790" i="2"/>
  <c r="Q778" i="2"/>
  <c r="Q766" i="2"/>
  <c r="Q754" i="2"/>
  <c r="Q742" i="2"/>
  <c r="Q730" i="2"/>
  <c r="Q718" i="2"/>
  <c r="Q694" i="2"/>
  <c r="Q682" i="2"/>
  <c r="Q670" i="2"/>
  <c r="Q658" i="2"/>
  <c r="Q646" i="2"/>
  <c r="Q634" i="2"/>
  <c r="Q622" i="2"/>
  <c r="Q610" i="2"/>
  <c r="Q598" i="2"/>
  <c r="Q586" i="2"/>
  <c r="Q574" i="2"/>
  <c r="Q562" i="2"/>
  <c r="Q550" i="2"/>
  <c r="Q538" i="2"/>
  <c r="Q526" i="2"/>
  <c r="Q514" i="2"/>
  <c r="Q502" i="2"/>
  <c r="Q490" i="2"/>
  <c r="Q478" i="2"/>
  <c r="Q466" i="2"/>
  <c r="Q454" i="2"/>
  <c r="Q442" i="2"/>
  <c r="Q430" i="2"/>
  <c r="Q406" i="2"/>
  <c r="Q382" i="2"/>
  <c r="Q358" i="2"/>
  <c r="Q346" i="2"/>
  <c r="Q334" i="2"/>
  <c r="Q310" i="2"/>
  <c r="Q286" i="2"/>
  <c r="Q274" i="2"/>
  <c r="Q262" i="2"/>
  <c r="Q166" i="2"/>
  <c r="Q154" i="2"/>
  <c r="Q142" i="2"/>
  <c r="Q130" i="2"/>
  <c r="Q94" i="2"/>
  <c r="Q82" i="2"/>
  <c r="Q58" i="2"/>
  <c r="Q46" i="2"/>
  <c r="Q22" i="2"/>
  <c r="Q44" i="2"/>
  <c r="Q205" i="2"/>
  <c r="Q909" i="2"/>
  <c r="Q897" i="2"/>
  <c r="Q885" i="2"/>
  <c r="Q873" i="2"/>
  <c r="Q861" i="2"/>
  <c r="Q849" i="2"/>
  <c r="Q837" i="2"/>
  <c r="Q825" i="2"/>
  <c r="Q813" i="2"/>
  <c r="Q789" i="2"/>
  <c r="Q777" i="2"/>
  <c r="Q765" i="2"/>
  <c r="Q753" i="2"/>
  <c r="Q741" i="2"/>
  <c r="Q729" i="2"/>
  <c r="Q717" i="2"/>
  <c r="Q705" i="2"/>
  <c r="Q693" i="2"/>
  <c r="Q681" i="2"/>
  <c r="Q669" i="2"/>
  <c r="Q657" i="2"/>
  <c r="Q645" i="2"/>
  <c r="Q633" i="2"/>
  <c r="Q621" i="2"/>
  <c r="Q597" i="2"/>
  <c r="Q585" i="2"/>
  <c r="Q573" i="2"/>
  <c r="Q561" i="2"/>
  <c r="Q549" i="2"/>
  <c r="Q537" i="2"/>
  <c r="Q525" i="2"/>
  <c r="Q501" i="2"/>
  <c r="Q489" i="2"/>
  <c r="Q477" i="2"/>
  <c r="Q465" i="2"/>
  <c r="Q441" i="2"/>
  <c r="Q429" i="2"/>
  <c r="Q417" i="2"/>
  <c r="Q405" i="2"/>
  <c r="Q393" i="2"/>
  <c r="Q381" i="2"/>
  <c r="Q369" i="2"/>
  <c r="Q357" i="2"/>
  <c r="Q345" i="2"/>
  <c r="Q333" i="2"/>
  <c r="Q309" i="2"/>
  <c r="Q297" i="2"/>
  <c r="Q285" i="2"/>
  <c r="Q273" i="2"/>
  <c r="Q261" i="2"/>
  <c r="Q249" i="2"/>
  <c r="Q201" i="2"/>
  <c r="Q189" i="2"/>
  <c r="Q165" i="2"/>
  <c r="Q105" i="2"/>
  <c r="Q69" i="2"/>
  <c r="Q9" i="2"/>
  <c r="Q56" i="2"/>
  <c r="Q455" i="2"/>
  <c r="Q1136" i="2"/>
  <c r="Q1112" i="2"/>
  <c r="Q1100" i="2"/>
  <c r="Q1088" i="2"/>
  <c r="Q1076" i="2"/>
  <c r="Q1064" i="2"/>
  <c r="Q1040" i="2"/>
  <c r="Q1028" i="2"/>
  <c r="Q1016" i="2"/>
  <c r="Q1004" i="2"/>
  <c r="Q992" i="2"/>
  <c r="Q980" i="2"/>
  <c r="Q968" i="2"/>
  <c r="Q956" i="2"/>
  <c r="Q944" i="2"/>
  <c r="Q932" i="2"/>
  <c r="Q920" i="2"/>
  <c r="Q908" i="2"/>
  <c r="Q896" i="2"/>
  <c r="Q884" i="2"/>
  <c r="Q872" i="2"/>
  <c r="Q860" i="2"/>
  <c r="Q848" i="2"/>
  <c r="Q836" i="2"/>
  <c r="Q824" i="2"/>
  <c r="Q812" i="2"/>
  <c r="Q800" i="2"/>
  <c r="Q788" i="2"/>
  <c r="Q776" i="2"/>
  <c r="Q752" i="2"/>
  <c r="Q740" i="2"/>
  <c r="Q728" i="2"/>
  <c r="Q716" i="2"/>
  <c r="Q704" i="2"/>
  <c r="Q692" i="2"/>
  <c r="Q680" i="2"/>
  <c r="Q668" i="2"/>
  <c r="Q656" i="2"/>
  <c r="Q644" i="2"/>
  <c r="Q632" i="2"/>
  <c r="Q620" i="2"/>
  <c r="Q608" i="2"/>
  <c r="Q596" i="2"/>
  <c r="Q584" i="2"/>
  <c r="Q560" i="2"/>
  <c r="Q548" i="2"/>
  <c r="Q536" i="2"/>
  <c r="Q512" i="2"/>
  <c r="Q488" i="2"/>
  <c r="Q464" i="2"/>
  <c r="Q440" i="2"/>
  <c r="Q416" i="2"/>
  <c r="Q404" i="2"/>
  <c r="Q392" i="2"/>
  <c r="Q368" i="2"/>
  <c r="Q344" i="2"/>
  <c r="Q332" i="2"/>
  <c r="Q320" i="2"/>
  <c r="Q296" i="2"/>
  <c r="Q272" i="2"/>
  <c r="Q260" i="2"/>
  <c r="Q248" i="2"/>
  <c r="Q224" i="2"/>
  <c r="Q200" i="2"/>
  <c r="Q176" i="2"/>
  <c r="Q164" i="2"/>
  <c r="Q152" i="2"/>
  <c r="Q68" i="2"/>
  <c r="Q245" i="2"/>
  <c r="Q476" i="2"/>
  <c r="Q967" i="2"/>
  <c r="Q955" i="2"/>
  <c r="Q931" i="2"/>
  <c r="Q919" i="2"/>
  <c r="Q907" i="2"/>
  <c r="Q895" i="2"/>
  <c r="Q883" i="2"/>
  <c r="Q871" i="2"/>
  <c r="Q847" i="2"/>
  <c r="Q835" i="2"/>
  <c r="Q823" i="2"/>
  <c r="Q811" i="2"/>
  <c r="Q799" i="2"/>
  <c r="Q787" i="2"/>
  <c r="Q775" i="2"/>
  <c r="Q763" i="2"/>
  <c r="Q751" i="2"/>
  <c r="Q739" i="2"/>
  <c r="Q727" i="2"/>
  <c r="Q715" i="2"/>
  <c r="Q703" i="2"/>
  <c r="Q691" i="2"/>
  <c r="Q679" i="2"/>
  <c r="Q655" i="2"/>
  <c r="Q643" i="2"/>
  <c r="Q631" i="2"/>
  <c r="Q619" i="2"/>
  <c r="Q607" i="2"/>
  <c r="Q595" i="2"/>
  <c r="Q583" i="2"/>
  <c r="Q547" i="2"/>
  <c r="Q535" i="2"/>
  <c r="Q523" i="2"/>
  <c r="Q511" i="2"/>
  <c r="Q499" i="2"/>
  <c r="Q475" i="2"/>
  <c r="Q463" i="2"/>
  <c r="Q451" i="2"/>
  <c r="Q439" i="2"/>
  <c r="Q427" i="2"/>
  <c r="Q403" i="2"/>
  <c r="Q391" i="2"/>
  <c r="Q367" i="2"/>
  <c r="Q355" i="2"/>
  <c r="Q331" i="2"/>
  <c r="Q163" i="2"/>
  <c r="Q493" i="2"/>
  <c r="Q966" i="2"/>
  <c r="Q954" i="2"/>
  <c r="Q942" i="2"/>
  <c r="Q930" i="2"/>
  <c r="Q918" i="2"/>
  <c r="Q906" i="2"/>
  <c r="Q894" i="2"/>
  <c r="Q882" i="2"/>
  <c r="Q870" i="2"/>
  <c r="Q858" i="2"/>
  <c r="Q846" i="2"/>
  <c r="Q834" i="2"/>
  <c r="Q822" i="2"/>
  <c r="Q810" i="2"/>
  <c r="Q798" i="2"/>
  <c r="Q786" i="2"/>
  <c r="Q774" i="2"/>
  <c r="Q762" i="2"/>
  <c r="Q750" i="2"/>
  <c r="Q738" i="2"/>
  <c r="Q726" i="2"/>
  <c r="Q714" i="2"/>
  <c r="Q702" i="2"/>
  <c r="Q690" i="2"/>
  <c r="Q678" i="2"/>
  <c r="Q666" i="2"/>
  <c r="Q654" i="2"/>
  <c r="Q642" i="2"/>
  <c r="Q630" i="2"/>
  <c r="Q618" i="2"/>
  <c r="Q606" i="2"/>
  <c r="Q594" i="2"/>
  <c r="Q582" i="2"/>
  <c r="Q570" i="2"/>
  <c r="Q558" i="2"/>
  <c r="Q546" i="2"/>
  <c r="Q534" i="2"/>
  <c r="Q522" i="2"/>
  <c r="Q510" i="2"/>
  <c r="Q498" i="2"/>
  <c r="Q486" i="2"/>
  <c r="Q474" i="2"/>
  <c r="Q462" i="2"/>
  <c r="Q450" i="2"/>
  <c r="Q426" i="2"/>
  <c r="Q414" i="2"/>
  <c r="Q402" i="2"/>
  <c r="Q390" i="2"/>
  <c r="Q378" i="2"/>
  <c r="Q366" i="2"/>
  <c r="Q354" i="2"/>
  <c r="Q342" i="2"/>
  <c r="Q330" i="2"/>
  <c r="Q318" i="2"/>
  <c r="Q306" i="2"/>
  <c r="Q162" i="2"/>
  <c r="Q114" i="2"/>
  <c r="Q18" i="2"/>
  <c r="Q92" i="2"/>
  <c r="Q283" i="2"/>
  <c r="Q881" i="2"/>
  <c r="Q869" i="2"/>
  <c r="Q857" i="2"/>
  <c r="Q845" i="2"/>
  <c r="Q833" i="2"/>
  <c r="Q809" i="2"/>
  <c r="Q797" i="2"/>
  <c r="Q785" i="2"/>
  <c r="Q773" i="2"/>
  <c r="Q761" i="2"/>
  <c r="Q749" i="2"/>
  <c r="Q737" i="2"/>
  <c r="Q725" i="2"/>
  <c r="Q713" i="2"/>
  <c r="Q701" i="2"/>
  <c r="Q689" i="2"/>
  <c r="Q677" i="2"/>
  <c r="Q665" i="2"/>
  <c r="Q653" i="2"/>
  <c r="Q641" i="2"/>
  <c r="Q629" i="2"/>
  <c r="Q617" i="2"/>
  <c r="Q605" i="2"/>
  <c r="Q593" i="2"/>
  <c r="Q581" i="2"/>
  <c r="Q569" i="2"/>
  <c r="Q557" i="2"/>
  <c r="Q545" i="2"/>
  <c r="Q521" i="2"/>
  <c r="Q509" i="2"/>
  <c r="Q449" i="2"/>
  <c r="Q413" i="2"/>
  <c r="Q401" i="2"/>
  <c r="Q149" i="2"/>
  <c r="Q41" i="2"/>
  <c r="Q5" i="2"/>
  <c r="Q104" i="2"/>
  <c r="Q303" i="2"/>
  <c r="Q904" i="2"/>
  <c r="Q892" i="2"/>
  <c r="Q880" i="2"/>
  <c r="Q868" i="2"/>
  <c r="Q856" i="2"/>
  <c r="Q844" i="2"/>
  <c r="Q832" i="2"/>
  <c r="Q820" i="2"/>
  <c r="Q808" i="2"/>
  <c r="Q796" i="2"/>
  <c r="Q784" i="2"/>
  <c r="Q772" i="2"/>
  <c r="Q760" i="2"/>
  <c r="Q748" i="2"/>
  <c r="Q736" i="2"/>
  <c r="Q712" i="2"/>
  <c r="Q700" i="2"/>
  <c r="Q688" i="2"/>
  <c r="Q676" i="2"/>
  <c r="Q664" i="2"/>
  <c r="Q652" i="2"/>
  <c r="Q640" i="2"/>
  <c r="Q616" i="2"/>
  <c r="Q604" i="2"/>
  <c r="Q592" i="2"/>
  <c r="Q580" i="2"/>
  <c r="Q568" i="2"/>
  <c r="Q556" i="2"/>
  <c r="Q544" i="2"/>
  <c r="Q532" i="2"/>
  <c r="Q520" i="2"/>
  <c r="Q508" i="2"/>
  <c r="Q496" i="2"/>
  <c r="Q484" i="2"/>
  <c r="Q472" i="2"/>
  <c r="Q448" i="2"/>
  <c r="Q424" i="2"/>
  <c r="Q412" i="2"/>
  <c r="Q388" i="2"/>
  <c r="Q376" i="2"/>
  <c r="Q364" i="2"/>
  <c r="Q352" i="2"/>
  <c r="Q316" i="2"/>
  <c r="Q304" i="2"/>
  <c r="Q292" i="2"/>
  <c r="Q280" i="2"/>
  <c r="Q268" i="2"/>
  <c r="Q220" i="2"/>
  <c r="Q160" i="2"/>
  <c r="Q116" i="2"/>
  <c r="Q939" i="2"/>
  <c r="Q927" i="2"/>
  <c r="Q915" i="2"/>
  <c r="Q903" i="2"/>
  <c r="Q891" i="2"/>
  <c r="Q867" i="2"/>
  <c r="Q855" i="2"/>
  <c r="Q843" i="2"/>
  <c r="Q831" i="2"/>
  <c r="Q819" i="2"/>
  <c r="Q807" i="2"/>
  <c r="Q795" i="2"/>
  <c r="Q783" i="2"/>
  <c r="Q771" i="2"/>
  <c r="Q759" i="2"/>
  <c r="Q747" i="2"/>
  <c r="Q735" i="2"/>
  <c r="Q723" i="2"/>
  <c r="Q711" i="2"/>
  <c r="Q699" i="2"/>
  <c r="Q687" i="2"/>
  <c r="Q675" i="2"/>
  <c r="Q663" i="2"/>
  <c r="Q651" i="2"/>
  <c r="Q639" i="2"/>
  <c r="Q627" i="2"/>
  <c r="Q615" i="2"/>
  <c r="Q603" i="2"/>
  <c r="Q579" i="2"/>
  <c r="Q567" i="2"/>
  <c r="Q555" i="2"/>
  <c r="Q543" i="2"/>
  <c r="Q531" i="2"/>
  <c r="Q519" i="2"/>
  <c r="Q507" i="2"/>
  <c r="Q495" i="2"/>
  <c r="Q483" i="2"/>
  <c r="Q471" i="2"/>
  <c r="Q459" i="2"/>
  <c r="Q447" i="2"/>
  <c r="Q435" i="2"/>
  <c r="Q423" i="2"/>
  <c r="Q411" i="2"/>
  <c r="Q387" i="2"/>
  <c r="Q375" i="2"/>
  <c r="Q363" i="2"/>
  <c r="Q339" i="2"/>
  <c r="Q315" i="2"/>
  <c r="Q291" i="2"/>
  <c r="Q147" i="2"/>
  <c r="Q111" i="2"/>
  <c r="Q75" i="2"/>
  <c r="Q27" i="2"/>
  <c r="Q340" i="2"/>
  <c r="Q571" i="2"/>
  <c r="Q1154" i="2"/>
  <c r="Q1142" i="2"/>
  <c r="Q1130" i="2"/>
  <c r="Q1118" i="2"/>
  <c r="Q1106" i="2"/>
  <c r="Q1094" i="2"/>
  <c r="Q1082" i="2"/>
  <c r="Q1070" i="2"/>
  <c r="Q1058" i="2"/>
  <c r="Q1046" i="2"/>
  <c r="Q1034" i="2"/>
  <c r="Q1022" i="2"/>
  <c r="Q1010" i="2"/>
  <c r="Q998" i="2"/>
  <c r="Q986" i="2"/>
  <c r="Q974" i="2"/>
  <c r="Q962" i="2"/>
  <c r="Q950" i="2"/>
  <c r="Q938" i="2"/>
  <c r="Q926" i="2"/>
  <c r="Q914" i="2"/>
  <c r="Q902" i="2"/>
  <c r="Q890" i="2"/>
  <c r="Q878" i="2"/>
  <c r="Q866" i="2"/>
  <c r="Q854" i="2"/>
  <c r="Q842" i="2"/>
  <c r="Q830" i="2"/>
  <c r="Q818" i="2"/>
  <c r="Q794" i="2"/>
  <c r="Q782" i="2"/>
  <c r="Q770" i="2"/>
  <c r="Q758" i="2"/>
  <c r="Q746" i="2"/>
  <c r="Q734" i="2"/>
  <c r="Q722" i="2"/>
  <c r="Q710" i="2"/>
  <c r="Q698" i="2"/>
  <c r="Q686" i="2"/>
  <c r="Q674" i="2"/>
  <c r="Q662" i="2"/>
  <c r="Q650" i="2"/>
  <c r="Q638" i="2"/>
  <c r="Q626" i="2"/>
  <c r="Q614" i="2"/>
  <c r="Q602" i="2"/>
  <c r="Q590" i="2"/>
  <c r="Q578" i="2"/>
  <c r="Q566" i="2"/>
  <c r="Q554" i="2"/>
  <c r="Q542" i="2"/>
  <c r="Q530" i="2"/>
  <c r="Q518" i="2"/>
  <c r="Q506" i="2"/>
  <c r="Q494" i="2"/>
  <c r="Q482" i="2"/>
  <c r="Q470" i="2"/>
  <c r="Q458" i="2"/>
  <c r="Q446" i="2"/>
  <c r="Q434" i="2"/>
  <c r="Q422" i="2"/>
  <c r="Q410" i="2"/>
  <c r="Q398" i="2"/>
  <c r="Q386" i="2"/>
  <c r="Q374" i="2"/>
  <c r="Q362" i="2"/>
  <c r="Q350" i="2"/>
  <c r="Q338" i="2"/>
  <c r="Q326" i="2"/>
  <c r="Q314" i="2"/>
  <c r="Q302" i="2"/>
  <c r="Q290" i="2"/>
  <c r="Q146" i="2"/>
  <c r="Q134" i="2"/>
  <c r="Q122" i="2"/>
  <c r="Q110" i="2"/>
  <c r="Q98" i="2"/>
  <c r="Q86" i="2"/>
  <c r="Q62" i="2"/>
  <c r="Q50" i="2"/>
  <c r="Q38" i="2"/>
  <c r="Q26" i="2"/>
  <c r="Q14" i="2"/>
  <c r="Q140" i="2"/>
  <c r="Q360" i="2"/>
  <c r="Q1141" i="2"/>
  <c r="Q1129" i="2"/>
  <c r="Q1117" i="2"/>
  <c r="Q1105" i="2"/>
  <c r="Q1093" i="2"/>
  <c r="Q1081" i="2"/>
  <c r="Q1069" i="2"/>
  <c r="Q1057" i="2"/>
  <c r="Q1045" i="2"/>
  <c r="Q1033" i="2"/>
  <c r="Q1021" i="2"/>
  <c r="Q1009" i="2"/>
  <c r="Q997" i="2"/>
  <c r="Q973" i="2"/>
  <c r="Q961" i="2"/>
  <c r="Q949" i="2"/>
  <c r="Q937" i="2"/>
  <c r="Q925" i="2"/>
  <c r="Q913" i="2"/>
  <c r="Q901" i="2"/>
  <c r="Q889" i="2"/>
  <c r="Q877" i="2"/>
  <c r="Q865" i="2"/>
  <c r="Q853" i="2"/>
  <c r="Q841" i="2"/>
  <c r="Q829" i="2"/>
  <c r="Q817" i="2"/>
  <c r="Q805" i="2"/>
  <c r="Q793" i="2"/>
  <c r="Q769" i="2"/>
  <c r="Q757" i="2"/>
  <c r="Q745" i="2"/>
  <c r="Q733" i="2"/>
  <c r="Q721" i="2"/>
  <c r="Q709" i="2"/>
  <c r="Q697" i="2"/>
  <c r="Q673" i="2"/>
  <c r="Q661" i="2"/>
  <c r="Q649" i="2"/>
  <c r="Q637" i="2"/>
  <c r="Q625" i="2"/>
  <c r="Q613" i="2"/>
  <c r="Q601" i="2"/>
  <c r="Q589" i="2"/>
  <c r="Q577" i="2"/>
  <c r="Q565" i="2"/>
  <c r="Q553" i="2"/>
  <c r="Q541" i="2"/>
  <c r="Q529" i="2"/>
  <c r="Q517" i="2"/>
  <c r="Q505" i="2"/>
  <c r="Q481" i="2"/>
  <c r="Q469" i="2"/>
  <c r="Q445" i="2"/>
  <c r="Q433" i="2"/>
  <c r="Q421" i="2"/>
  <c r="Q409" i="2"/>
  <c r="Q373" i="2"/>
  <c r="Q361" i="2"/>
  <c r="Q349" i="2"/>
  <c r="Q337" i="2"/>
  <c r="Q325" i="2"/>
  <c r="Q301" i="2"/>
  <c r="Q289" i="2"/>
  <c r="Q277" i="2"/>
  <c r="Q265" i="2"/>
  <c r="Q253" i="2"/>
  <c r="Q229" i="2"/>
  <c r="Q217" i="2"/>
  <c r="Q193" i="2"/>
  <c r="Q181" i="2"/>
  <c r="Q133" i="2"/>
  <c r="Q121" i="2"/>
  <c r="Q109" i="2"/>
  <c r="Q97" i="2"/>
  <c r="Q85" i="2"/>
  <c r="Q73" i="2"/>
  <c r="Q61" i="2"/>
  <c r="Q49" i="2"/>
  <c r="Q572" i="2"/>
  <c r="Q524" i="2"/>
  <c r="Q500" i="2"/>
  <c r="Q452" i="2"/>
  <c r="Q428" i="2"/>
  <c r="Q380" i="2"/>
  <c r="Q356" i="2"/>
  <c r="Q308" i="2"/>
  <c r="Q284" i="2"/>
  <c r="Q236" i="2"/>
  <c r="Q212" i="2"/>
  <c r="Q559" i="2"/>
  <c r="Q487" i="2"/>
  <c r="Q415" i="2"/>
  <c r="Q343" i="2"/>
  <c r="Q271" i="2"/>
  <c r="Q199" i="2"/>
  <c r="Q294" i="2"/>
  <c r="Q282" i="2"/>
  <c r="Q270" i="2"/>
  <c r="Q258" i="2"/>
  <c r="Q246" i="2"/>
  <c r="Q234" i="2"/>
  <c r="Q222" i="2"/>
  <c r="Q210" i="2"/>
  <c r="Q198" i="2"/>
  <c r="Q186" i="2"/>
  <c r="Q11" i="2"/>
  <c r="Q23" i="2"/>
  <c r="Q35" i="2"/>
  <c r="Q221" i="2"/>
  <c r="Q197" i="2"/>
  <c r="Q24" i="2"/>
  <c r="Q36" i="2"/>
  <c r="Q48" i="2"/>
  <c r="Q60" i="2"/>
  <c r="Q72" i="2"/>
  <c r="Q84" i="2"/>
  <c r="Q96" i="2"/>
  <c r="Q108" i="2"/>
  <c r="Q120" i="2"/>
  <c r="Q132" i="2"/>
  <c r="Q400" i="2"/>
  <c r="Q328" i="2"/>
  <c r="Q256" i="2"/>
  <c r="Q37" i="2"/>
  <c r="Q399" i="2"/>
  <c r="Q351" i="2"/>
  <c r="Q327" i="2"/>
  <c r="Q279" i="2"/>
  <c r="Q255" i="2"/>
  <c r="Q207" i="2"/>
  <c r="Q183" i="2"/>
  <c r="Q171" i="2"/>
  <c r="Q278" i="2"/>
  <c r="Q266" i="2"/>
  <c r="Q254" i="2"/>
  <c r="Q242" i="2"/>
  <c r="Q230" i="2"/>
  <c r="Q218" i="2"/>
  <c r="Q206" i="2"/>
  <c r="Q194" i="2"/>
  <c r="Q182" i="2"/>
  <c r="Q170" i="2"/>
  <c r="Q158" i="2"/>
  <c r="Q457" i="2"/>
  <c r="Q385" i="2"/>
  <c r="Q313" i="2"/>
  <c r="Q241" i="2"/>
  <c r="Q169" i="2"/>
  <c r="Q157" i="2"/>
  <c r="Q145" i="2"/>
  <c r="Q480" i="2"/>
  <c r="Q456" i="2"/>
  <c r="Q408" i="2"/>
  <c r="Q384" i="2"/>
  <c r="Q336" i="2"/>
  <c r="Q312" i="2"/>
  <c r="Q264" i="2"/>
  <c r="Q240" i="2"/>
  <c r="Q192" i="2"/>
  <c r="Q443" i="2"/>
  <c r="Q371" i="2"/>
  <c r="Q299" i="2"/>
  <c r="Q227" i="2"/>
  <c r="Q394" i="2"/>
  <c r="Q370" i="2"/>
  <c r="Q322" i="2"/>
  <c r="Q298" i="2"/>
  <c r="Q250" i="2"/>
  <c r="Q226" i="2"/>
  <c r="Q178" i="2"/>
  <c r="W5" i="2"/>
  <c r="W4" i="2"/>
  <c r="V3" i="2"/>
  <c r="V4" i="2"/>
  <c r="V5" i="2"/>
  <c r="V2" i="2"/>
  <c r="X4" i="2" l="1"/>
  <c r="X5" i="2"/>
  <c r="X2" i="2"/>
  <c r="X3" i="2"/>
</calcChain>
</file>

<file path=xl/sharedStrings.xml><?xml version="1.0" encoding="utf-8"?>
<sst xmlns="http://schemas.openxmlformats.org/spreadsheetml/2006/main" count="22718" uniqueCount="7960">
  <si>
    <t>Данные:</t>
  </si>
  <si>
    <t>Файл содержит несколько вкладок с иcходными данными</t>
  </si>
  <si>
    <t>ОТЧЕТ</t>
  </si>
  <si>
    <t xml:space="preserve">на данной вкладке расположена информация по сканированию товаров. </t>
  </si>
  <si>
    <t>Унифицированное название SKU</t>
  </si>
  <si>
    <t>наименование товара</t>
  </si>
  <si>
    <t>Кол-во</t>
  </si>
  <si>
    <t>кол-во проданных упаковок</t>
  </si>
  <si>
    <t>Стоимость товара</t>
  </si>
  <si>
    <t>стоимовть товара</t>
  </si>
  <si>
    <t>Адрес</t>
  </si>
  <si>
    <t>адрес аптеки</t>
  </si>
  <si>
    <t>ИНН</t>
  </si>
  <si>
    <t>ИНН аптеки</t>
  </si>
  <si>
    <t>Название аптеки</t>
  </si>
  <si>
    <t>название аптеки</t>
  </si>
  <si>
    <t>Дата продажи</t>
  </si>
  <si>
    <t>когда продан товар</t>
  </si>
  <si>
    <t>Время продажи</t>
  </si>
  <si>
    <t>Дата сканирования</t>
  </si>
  <si>
    <t>когда отсканирован товар</t>
  </si>
  <si>
    <t>Время сканирования</t>
  </si>
  <si>
    <t>Пользователь</t>
  </si>
  <si>
    <t>Номер Чека</t>
  </si>
  <si>
    <t>Справочник сети</t>
  </si>
  <si>
    <t>на вкладке содержится информация принадлежности ИНН к той или иной аптечной сети (АС)</t>
  </si>
  <si>
    <t>Обращаем внимание, что все ИНН из вкладки "ОТЧЕТ" содержатся в справочнике</t>
  </si>
  <si>
    <t>Справочник по %</t>
  </si>
  <si>
    <t>на вкладке содержится информация по %, за который клиент платит дополнительно</t>
  </si>
  <si>
    <t>Задания:</t>
  </si>
  <si>
    <t>Просьба в исходниках выделить цветом все дополнительно добавляемые поля.</t>
  </si>
  <si>
    <t>Для каждого SKU необходимо посмотреть сколько упаковок продано, на какую сумму и в скольких аптеках в той или иной сети</t>
  </si>
  <si>
    <t>Посчитать сколько клиент должен заплатить дополнительно, если:</t>
  </si>
  <si>
    <t>Размер и тип комиссии прописан в справочнике. (размеры и формула расчета указаны на вкладке "Справочник по %")</t>
  </si>
  <si>
    <t>Размер комиссии для SKU3=20%, для остальных 15%</t>
  </si>
  <si>
    <t>Показать сколько пользователей загружают чеки в систему в зависимости от частоты сканирования</t>
  </si>
  <si>
    <t>Стоимость товаров</t>
  </si>
  <si>
    <t>SKU2</t>
  </si>
  <si>
    <t>Ярославская обл, г Рыбинск, ул Плеханова, д 37А</t>
  </si>
  <si>
    <t>Аптека;сайт:www.planetazdorovo.ru</t>
  </si>
  <si>
    <t>2025-02-24</t>
  </si>
  <si>
    <t>11:39:00</t>
  </si>
  <si>
    <t>11:41:38</t>
  </si>
  <si>
    <t>SKU1</t>
  </si>
  <si>
    <t>Ярославская обл, г Рыбинск, ул Моторостроителей, д 16А</t>
  </si>
  <si>
    <t>ул. Черемуховая, 22, Касса №3</t>
  </si>
  <si>
    <t>2025-03-10</t>
  </si>
  <si>
    <t>12:43:00</t>
  </si>
  <si>
    <t>11:43:03</t>
  </si>
  <si>
    <t>Ярославская обл, г Рыбинск, ул Крестовая/Гоголя, д 29/15</t>
  </si>
  <si>
    <t>Аптека</t>
  </si>
  <si>
    <t>2025-03-09</t>
  </si>
  <si>
    <t>16:38:00</t>
  </si>
  <si>
    <t>11:53:04</t>
  </si>
  <si>
    <t>Ямало-Ненецкий АО, г Новый Уренгой, ул Заречная, д 2А</t>
  </si>
  <si>
    <t>15:12:00</t>
  </si>
  <si>
    <t>15:14:58</t>
  </si>
  <si>
    <t>2025-03-13</t>
  </si>
  <si>
    <t>15:21:00</t>
  </si>
  <si>
    <t>15:25:09</t>
  </si>
  <si>
    <t>Ямало-Ненецкий АО, г Новый Уренгой, ул 26 Съезда КПСС, д 4В</t>
  </si>
  <si>
    <t>Аптека № 508</t>
  </si>
  <si>
    <t>15:16:00</t>
  </si>
  <si>
    <t>15:29:30</t>
  </si>
  <si>
    <t>аптека</t>
  </si>
  <si>
    <t>2025-03-01</t>
  </si>
  <si>
    <t>15:26:00</t>
  </si>
  <si>
    <t>15:31:19</t>
  </si>
  <si>
    <t>Ямало-Ненецкий АО, г Новый Уренгой, пр-кт Губкина, д 19</t>
  </si>
  <si>
    <t>Торговый зал</t>
  </si>
  <si>
    <t>2025-03-12</t>
  </si>
  <si>
    <t>15:38:00</t>
  </si>
  <si>
    <t>15:41:20</t>
  </si>
  <si>
    <t>Мск Аптека 80 127576, Москва г, Череповецкая ул, дом № 18</t>
  </si>
  <si>
    <t>2025-01-04</t>
  </si>
  <si>
    <t>15:47:00</t>
  </si>
  <si>
    <t>15:47:23</t>
  </si>
  <si>
    <t>15:52:00</t>
  </si>
  <si>
    <t>15:52:29</t>
  </si>
  <si>
    <t>2025-02-22</t>
  </si>
  <si>
    <t>15:45:00</t>
  </si>
  <si>
    <t>15:57:49</t>
  </si>
  <si>
    <t>Ямало-Ненецкий АО, г Новый Уренгой, мкр Тундровый, д 3</t>
  </si>
  <si>
    <t>2025-02-27</t>
  </si>
  <si>
    <t>15:41:00</t>
  </si>
  <si>
    <t>16:01:12</t>
  </si>
  <si>
    <t>Аптечный пункт-АФ-(Мск)-Войковская-1</t>
  </si>
  <si>
    <t>2025-02-03</t>
  </si>
  <si>
    <t>16:02:00</t>
  </si>
  <si>
    <t>16:03:08</t>
  </si>
  <si>
    <t>Ямало-Ненецкий АО, г Новый Уренгой, мкр Советский, д 6 к 3</t>
  </si>
  <si>
    <t>Аптечный пункт</t>
  </si>
  <si>
    <t>2025-02-26</t>
  </si>
  <si>
    <t>15:11:00</t>
  </si>
  <si>
    <t>16:14:47</t>
  </si>
  <si>
    <t>Аптека № 217</t>
  </si>
  <si>
    <t>2025-03-11</t>
  </si>
  <si>
    <t>16:29:00</t>
  </si>
  <si>
    <t>16:33:38</t>
  </si>
  <si>
    <t>Аптечный пункт-ТФ-(Мск)-Строгино-1</t>
  </si>
  <si>
    <t>16:35:00</t>
  </si>
  <si>
    <t>16:35:08</t>
  </si>
  <si>
    <t>Ямало-Ненецкий АО, г Новый Уренгой, мкр Советский, д 5 к 3</t>
  </si>
  <si>
    <t>72 - Тюменская область, г.о. город Тюмень,625046,, г Тюмень,, ул Моторостроителей, д. 4а</t>
  </si>
  <si>
    <t>2025-02-05</t>
  </si>
  <si>
    <t>12:38:00</t>
  </si>
  <si>
    <t>2025-02-06</t>
  </si>
  <si>
    <t>16:35:50</t>
  </si>
  <si>
    <t>Ямало-Ненецкий АО, г Новый Уренгой, мкр Советский, д 2 к 2</t>
  </si>
  <si>
    <t>Аптека "Здоровье+"</t>
  </si>
  <si>
    <t>2025-01-03</t>
  </si>
  <si>
    <t>16:36:00</t>
  </si>
  <si>
    <t>16:39:59</t>
  </si>
  <si>
    <t>Ямало-Ненецкий АО, г Новый Уренгой, мкр Славянский, д 6/2</t>
  </si>
  <si>
    <t>Аптечный пункт-АФ-(Мск)-Щелковская-1</t>
  </si>
  <si>
    <t>16:48:00</t>
  </si>
  <si>
    <t>2025-02-04</t>
  </si>
  <si>
    <t>16:48:16</t>
  </si>
  <si>
    <t>16:25:00</t>
  </si>
  <si>
    <t>16:48:42</t>
  </si>
  <si>
    <t>Ямало-Ненецкий АО, г Новый Уренгой, мкр Приозёрный, д 5А</t>
  </si>
  <si>
    <t>2025-01-14</t>
  </si>
  <si>
    <t>16:18:00</t>
  </si>
  <si>
    <t>16:57:59</t>
  </si>
  <si>
    <t>Аптека №4</t>
  </si>
  <si>
    <t>16:59:00</t>
  </si>
  <si>
    <t>16:58:55</t>
  </si>
  <si>
    <t>16:08:00</t>
  </si>
  <si>
    <t>16:58:57</t>
  </si>
  <si>
    <t>17:01:00</t>
  </si>
  <si>
    <t>17:02:05</t>
  </si>
  <si>
    <t>Ямало-Ненецкий АО, г Новый Уренгой, мкр Оптимистов, д 3 к 1</t>
  </si>
  <si>
    <t>Аптека "Живика"</t>
  </si>
  <si>
    <t>2025-02-07</t>
  </si>
  <si>
    <t>19:08:00</t>
  </si>
  <si>
    <t>17:10:51</t>
  </si>
  <si>
    <t>72 - Тюменская область, г.о. город Тюмень,625014,, г Тюмень,, ул Домостроителей, д. 16а</t>
  </si>
  <si>
    <t>19:10:00</t>
  </si>
  <si>
    <t>17:16:06</t>
  </si>
  <si>
    <t>17:17:00</t>
  </si>
  <si>
    <t>17:17:56</t>
  </si>
  <si>
    <t>Аптечный пункт ,№50-247</t>
  </si>
  <si>
    <t>2025-01-17</t>
  </si>
  <si>
    <t>17:21:17</t>
  </si>
  <si>
    <t>17:24:00</t>
  </si>
  <si>
    <t>17:25:45</t>
  </si>
  <si>
    <t>SKU3</t>
  </si>
  <si>
    <t>Ямало-Ненецкий АО, г Новый Уренгой, мкр Мирный, д 4 к 3к</t>
  </si>
  <si>
    <t>Аптечный пункт №77-051</t>
  </si>
  <si>
    <t>2025-01-16</t>
  </si>
  <si>
    <t>17:27:00</t>
  </si>
  <si>
    <t>17:29:05</t>
  </si>
  <si>
    <t>Ямало-Ненецкий АО, г Новый Уренгой, мкр Мирный, д 3 к 2</t>
  </si>
  <si>
    <t>Аптека "Доброго здоровья"</t>
  </si>
  <si>
    <t>17:23:00</t>
  </si>
  <si>
    <t>2025-02-28</t>
  </si>
  <si>
    <t>17:43:49</t>
  </si>
  <si>
    <t>Ямало-Ненецкий АО, г Новый Уренгой, мкр Дружба, д 2 к 7, помещ 2</t>
  </si>
  <si>
    <t>19:44:00</t>
  </si>
  <si>
    <t>17:44:58</t>
  </si>
  <si>
    <t>Ямало-Ненецкий АО, г Новый Уренгой, мкр Дружба, д 2 к 1, помещ 40</t>
  </si>
  <si>
    <t>Аптечный пункт , ул. Урицкого,1</t>
  </si>
  <si>
    <t>14:29:00</t>
  </si>
  <si>
    <t>17:47:14</t>
  </si>
  <si>
    <t>Ямало-Ненецкий АО, г Новый Уренгой, мкр Восточный, д 2 к 2б</t>
  </si>
  <si>
    <t>13:05:00</t>
  </si>
  <si>
    <t>17:48:18</t>
  </si>
  <si>
    <t>АПТЕКА</t>
  </si>
  <si>
    <t>2025-01-19</t>
  </si>
  <si>
    <t>17:47:00</t>
  </si>
  <si>
    <t>17:50:56</t>
  </si>
  <si>
    <t>Ямало-Ненецкий АО, г Новый Уренгой, мкр Восточный, д 1 к 2</t>
  </si>
  <si>
    <t>17:57:00</t>
  </si>
  <si>
    <t>17:58:16</t>
  </si>
  <si>
    <t>2025-02-23</t>
  </si>
  <si>
    <t>17:37:00</t>
  </si>
  <si>
    <t>17:58:54</t>
  </si>
  <si>
    <t>Аптека №1 "24 часа"</t>
  </si>
  <si>
    <t>18:05:00</t>
  </si>
  <si>
    <t>18:00:42</t>
  </si>
  <si>
    <t>Ямало-Ненецкий АО, г Надым, ул Строителей, стр 1Б</t>
  </si>
  <si>
    <t>18:00:00</t>
  </si>
  <si>
    <t>18:01:22</t>
  </si>
  <si>
    <t>Аптека "Ваша №1"</t>
  </si>
  <si>
    <t>17:54:00</t>
  </si>
  <si>
    <t>2025-01-18</t>
  </si>
  <si>
    <t>18:04:41</t>
  </si>
  <si>
    <t>Ямало-Ненецкий АО, г Надым, ул Комсомольская, стр 5</t>
  </si>
  <si>
    <t>Аптечный пункт-АФ-(Мск)-Автозаводская-1</t>
  </si>
  <si>
    <t>17:52:00</t>
  </si>
  <si>
    <t>18:07:03</t>
  </si>
  <si>
    <t>Ямало-Ненецкий АО, г Надым, пр-кт Ленинградский, д 3, помещ 2</t>
  </si>
  <si>
    <t>Аптека "Мир Лекарств"</t>
  </si>
  <si>
    <t>2025-03-02</t>
  </si>
  <si>
    <t>18:06:00</t>
  </si>
  <si>
    <t>18:08:02</t>
  </si>
  <si>
    <t>Ямало-Ненецкий АО, г Надым, пр-кт Ленинградский, д 10Г</t>
  </si>
  <si>
    <t>18:10:00</t>
  </si>
  <si>
    <t>18:11:01</t>
  </si>
  <si>
    <t>Аптечный пункт №77-557</t>
  </si>
  <si>
    <t>18:16:00</t>
  </si>
  <si>
    <t>18:16:21</t>
  </si>
  <si>
    <t>Ямало-Ненецкий АО, г Надым, мкр Олимпийский, д 1</t>
  </si>
  <si>
    <t>2025-02-08</t>
  </si>
  <si>
    <t>18:24:34</t>
  </si>
  <si>
    <t>Чувашская Республика - Чувашия, с Яльчики, ул Кооперативная, влд 67</t>
  </si>
  <si>
    <t>18:50:00</t>
  </si>
  <si>
    <t>18:54:43</t>
  </si>
  <si>
    <t>Чувашская Республика - Чувашия, с Порецкое, ул Ленина, стр 2</t>
  </si>
  <si>
    <t>Чувашская Республика - Чувашия, с Комсомольское, ул Ленина, зд 7</t>
  </si>
  <si>
    <t>Чувашская Республика - Чувашия, с Батырево, ул Дружбы, влд 6Б</t>
  </si>
  <si>
    <t>Аптека №93</t>
  </si>
  <si>
    <t>12:18:00</t>
  </si>
  <si>
    <t>19:08:05</t>
  </si>
  <si>
    <t>18:40:00</t>
  </si>
  <si>
    <t>19:17:37</t>
  </si>
  <si>
    <t>19:20:00</t>
  </si>
  <si>
    <t>19:26:40</t>
  </si>
  <si>
    <t>Чувашская Республика - Чувашия, пгт Вурнары, ул Ленина, д 2, помещ 2</t>
  </si>
  <si>
    <t>19:33:00</t>
  </si>
  <si>
    <t>19:28:43</t>
  </si>
  <si>
    <t>19:31:55</t>
  </si>
  <si>
    <t>19:29:00</t>
  </si>
  <si>
    <t>19:32:06</t>
  </si>
  <si>
    <t>16:20:00</t>
  </si>
  <si>
    <t>19:33:19</t>
  </si>
  <si>
    <t>19:34:20</t>
  </si>
  <si>
    <t>Чувашская Республика - Чувашия, пгт Вурнары, ул Ж.Илюкина, д 15</t>
  </si>
  <si>
    <t>19:40:00</t>
  </si>
  <si>
    <t>19:40:46</t>
  </si>
  <si>
    <t>Чувашская Республика - Чувашия, п Кугеси, ул Советская, д 74, помещ 5</t>
  </si>
  <si>
    <t>19:39:00</t>
  </si>
  <si>
    <t>19:44:02</t>
  </si>
  <si>
    <t>Аптечный пункт-ТФ-(Мск)-Беляево-1</t>
  </si>
  <si>
    <t>19:52:00</t>
  </si>
  <si>
    <t>19:52:47</t>
  </si>
  <si>
    <t>13:01:00</t>
  </si>
  <si>
    <t>19:55:14</t>
  </si>
  <si>
    <t>19:56:00</t>
  </si>
  <si>
    <t>2025-01-05</t>
  </si>
  <si>
    <t>19:59:23</t>
  </si>
  <si>
    <t>19:59:00</t>
  </si>
  <si>
    <t>20:00:17</t>
  </si>
  <si>
    <t>Чувашская Республика - Чувашия, г Цивильск, ул Никитина, д 2А</t>
  </si>
  <si>
    <t>19:09:00</t>
  </si>
  <si>
    <t>20:03:14</t>
  </si>
  <si>
    <t>20:03:00</t>
  </si>
  <si>
    <t>20:03:41</t>
  </si>
  <si>
    <t>Чувашская Республика - Чувашия, г Новочебоксарск, ул Винокурова, д 66, помещ 2</t>
  </si>
  <si>
    <t>20:07:00</t>
  </si>
  <si>
    <t>20:07:54</t>
  </si>
  <si>
    <t>2025-01-02</t>
  </si>
  <si>
    <t>19:16:00</t>
  </si>
  <si>
    <t>20:09:21</t>
  </si>
  <si>
    <t>20:08:00</t>
  </si>
  <si>
    <t>2025-02-25</t>
  </si>
  <si>
    <t>20:13:25</t>
  </si>
  <si>
    <t>Чувашская Республика - Чувашия, г Новочебоксарск, ул 10 Пятилетки, д 40</t>
  </si>
  <si>
    <t>20:15:00</t>
  </si>
  <si>
    <t>20:24:37</t>
  </si>
  <si>
    <t>18:53:00</t>
  </si>
  <si>
    <t>20:33:06</t>
  </si>
  <si>
    <t>19:25:00</t>
  </si>
  <si>
    <t>20:33:10</t>
  </si>
  <si>
    <t>19:34:00</t>
  </si>
  <si>
    <t>20:33:20</t>
  </si>
  <si>
    <t>Чувашская Республика - Чувашия, г Канаш, ул 30 лет Победы, д 92А, помещ 12</t>
  </si>
  <si>
    <t>21:48:00</t>
  </si>
  <si>
    <t>21:49:01</t>
  </si>
  <si>
    <t>21:36:00</t>
  </si>
  <si>
    <t>21:49:11</t>
  </si>
  <si>
    <t>21:52:00</t>
  </si>
  <si>
    <t>21:52:53</t>
  </si>
  <si>
    <t>Аптека №688</t>
  </si>
  <si>
    <t>21:54:30</t>
  </si>
  <si>
    <t>Челябинская обл, Сосновский р-н, с Кайгородово, ул Школьная, д 16, помещ 4</t>
  </si>
  <si>
    <t>21:35:00</t>
  </si>
  <si>
    <t>22:48:28</t>
  </si>
  <si>
    <t>17:44:00</t>
  </si>
  <si>
    <t>22:48:45</t>
  </si>
  <si>
    <t>16:16:00</t>
  </si>
  <si>
    <t>22:48:53</t>
  </si>
  <si>
    <t>Челябинская обл, Сосновский р-н, п Рощино, ул Ленина, д 11А</t>
  </si>
  <si>
    <t>21:29:00</t>
  </si>
  <si>
    <t>23:01:32</t>
  </si>
  <si>
    <t>Челябинская обл, с Миасское, ул Кирова, д 55А</t>
  </si>
  <si>
    <t>23:54:53</t>
  </si>
  <si>
    <t>22:14:00</t>
  </si>
  <si>
    <t>23:54:57</t>
  </si>
  <si>
    <t>Челябинская обл, с Долгодеревенское, ул Свердловская, д 17</t>
  </si>
  <si>
    <t>13:27:00</t>
  </si>
  <si>
    <t>23:55:08</t>
  </si>
  <si>
    <t>Челябинская обл, г Чебаркуль, ул Карпенко, д 7</t>
  </si>
  <si>
    <t>10:29:00</t>
  </si>
  <si>
    <t>07:10:31</t>
  </si>
  <si>
    <t>Челябинская обл, г Чебаркуль, ул Карпенко, д 15</t>
  </si>
  <si>
    <t>11:53:00</t>
  </si>
  <si>
    <t>08:54:00</t>
  </si>
  <si>
    <t>Аптечный пункт ИП Полупанова В.И.</t>
  </si>
  <si>
    <t>11:17:00</t>
  </si>
  <si>
    <t>11:17:18</t>
  </si>
  <si>
    <t>"Аптека плюс"</t>
  </si>
  <si>
    <t>12:55:31</t>
  </si>
  <si>
    <t>Челябинская обл, г Троицк, ул им. Ю.А. Гагарина, д 96</t>
  </si>
  <si>
    <t>аптечный пункт №50-1055</t>
  </si>
  <si>
    <t>13:54:00</t>
  </si>
  <si>
    <t>13:58:16</t>
  </si>
  <si>
    <t>Челябинская обл, г Трехгорный, ул Маршала Жукова, д 1А</t>
  </si>
  <si>
    <t>14:04:00</t>
  </si>
  <si>
    <t>14:04:34</t>
  </si>
  <si>
    <t>Челябинская обл, г Миасс, ул 8 Марта, д 136</t>
  </si>
  <si>
    <t>13:51:00</t>
  </si>
  <si>
    <t>14:20:52</t>
  </si>
  <si>
    <t>Челябинская обл, г Миасс, пр-кт Автозаводцев, д 17</t>
  </si>
  <si>
    <t>198260, Санкт-Петербург, Ветеранов проспект, д.78, лит. А</t>
  </si>
  <si>
    <t>2025-01-13</t>
  </si>
  <si>
    <t>14:41:00</t>
  </si>
  <si>
    <t>14:46:14</t>
  </si>
  <si>
    <t>Челябинская обл, г Магнитогорск, ул Чкалова, д 44А</t>
  </si>
  <si>
    <t>Аптека 1</t>
  </si>
  <si>
    <t>15:14:00</t>
  </si>
  <si>
    <t>15:14:54</t>
  </si>
  <si>
    <t>2025-01-01</t>
  </si>
  <si>
    <t>15:17:23</t>
  </si>
  <si>
    <t>г.Новокузнецк, ул. Климасенко, 11/1</t>
  </si>
  <si>
    <t>19:21:00</t>
  </si>
  <si>
    <t>15:29:46</t>
  </si>
  <si>
    <t>Аптечный пункт-ТФ-(Мск)-Преображенская площадь-1</t>
  </si>
  <si>
    <t>15:58:00</t>
  </si>
  <si>
    <t>15:59:12</t>
  </si>
  <si>
    <t>16:07:00</t>
  </si>
  <si>
    <t>16:07:07</t>
  </si>
  <si>
    <t>16:54:00</t>
  </si>
  <si>
    <t>16:55:19</t>
  </si>
  <si>
    <t>Аптека ООО "Шалфей"00</t>
  </si>
  <si>
    <t>2025-03-15</t>
  </si>
  <si>
    <t>17:01:43</t>
  </si>
  <si>
    <t>17:07:00</t>
  </si>
  <si>
    <t>17:12:08</t>
  </si>
  <si>
    <t>15:28:00</t>
  </si>
  <si>
    <t>17:20:01</t>
  </si>
  <si>
    <t>Аптечный пункт №77-281</t>
  </si>
  <si>
    <t>17:34:00</t>
  </si>
  <si>
    <t>17:34:31</t>
  </si>
  <si>
    <t>Челябинская обл, г Магнитогорск, ул Труда, д 25</t>
  </si>
  <si>
    <t>22:19:00</t>
  </si>
  <si>
    <t>20:21:27</t>
  </si>
  <si>
    <t>Челябинская обл, г Магнитогорск, ул Советская, д 86</t>
  </si>
  <si>
    <t>20:35:00</t>
  </si>
  <si>
    <t>20:37:16</t>
  </si>
  <si>
    <t>Аптека №10 ул. Карамзина г. Калининград</t>
  </si>
  <si>
    <t>20:37:24</t>
  </si>
  <si>
    <t>Челябинская обл, г Магнитогорск, ул Советская, д 172</t>
  </si>
  <si>
    <t>2025-01-15</t>
  </si>
  <si>
    <t>19:32:00</t>
  </si>
  <si>
    <t>22:37:40</t>
  </si>
  <si>
    <t>22:41:00</t>
  </si>
  <si>
    <t>22:43:57</t>
  </si>
  <si>
    <t>Челябинская обл, г Магнитогорск, ул Советская, д 166А</t>
  </si>
  <si>
    <t>22:15:00</t>
  </si>
  <si>
    <t>22:48:37</t>
  </si>
  <si>
    <t>Челябинская обл, г Златоуст, ул им. Карла Маркса, д 13</t>
  </si>
  <si>
    <t>2025-03-16</t>
  </si>
  <si>
    <t>06:24:48</t>
  </si>
  <si>
    <t>Аптека Маркет</t>
  </si>
  <si>
    <t>01:45:00</t>
  </si>
  <si>
    <t>06:25:12</t>
  </si>
  <si>
    <t>Челябинская обл, г Златоуст, ул им. В.И.Ленина, д 6</t>
  </si>
  <si>
    <t>Аптечный пункт №2</t>
  </si>
  <si>
    <t>10:39:00</t>
  </si>
  <si>
    <t>06:43:26</t>
  </si>
  <si>
    <t>18 - Удмуртская Республика, г.о. город Ижевск,426035,, г Ижевск,, ул Тимирязева, д. 3</t>
  </si>
  <si>
    <t>2025-03-14</t>
  </si>
  <si>
    <t>14:49:00</t>
  </si>
  <si>
    <t>06:58:03</t>
  </si>
  <si>
    <t>12:22:00</t>
  </si>
  <si>
    <t>07:00:38</t>
  </si>
  <si>
    <t>Челябинская обл, г Златоуст, ул Дворцовая, д 24</t>
  </si>
  <si>
    <t>Новинки Фарма Касса1</t>
  </si>
  <si>
    <t>14:00:00</t>
  </si>
  <si>
    <t>07:18:22</t>
  </si>
  <si>
    <t>09:14:00</t>
  </si>
  <si>
    <t>07:20:14</t>
  </si>
  <si>
    <t>Челябинская обл, г Златоуст, тер. СНТ Металлург, ул 1-я линия, д 19</t>
  </si>
  <si>
    <t>пр-кт 100-летия Владивостока, д 46 , Касса №2</t>
  </si>
  <si>
    <t>14:18:00</t>
  </si>
  <si>
    <t>07:22:56</t>
  </si>
  <si>
    <t>Челябинская обл, г Златоуст, тер. СНТ Металлург, ул 1-я линия, д 12</t>
  </si>
  <si>
    <t>10:31:00</t>
  </si>
  <si>
    <t>07:33:25</t>
  </si>
  <si>
    <t>Ставропольский край, г Пятигорск, б-р Гагарина, зд 21</t>
  </si>
  <si>
    <t>Аптечный пункт №77-674</t>
  </si>
  <si>
    <t>19:47:00</t>
  </si>
  <si>
    <t>19:47:41</t>
  </si>
  <si>
    <t>18:38:00</t>
  </si>
  <si>
    <t>19:51:42</t>
  </si>
  <si>
    <t>18:32:00</t>
  </si>
  <si>
    <t>20:00:52</t>
  </si>
  <si>
    <t>15:35:00</t>
  </si>
  <si>
    <t>20:01:14</t>
  </si>
  <si>
    <t>13:16:00</t>
  </si>
  <si>
    <t>20:01:50</t>
  </si>
  <si>
    <t>Аптека №48</t>
  </si>
  <si>
    <t>19:57:00</t>
  </si>
  <si>
    <t>20:03:05</t>
  </si>
  <si>
    <t>Аптечный пункт-АФ-(Мск)-Рязанский проспект-1</t>
  </si>
  <si>
    <t>20:07:39</t>
  </si>
  <si>
    <t>14:02:00</t>
  </si>
  <si>
    <t>20:16:27</t>
  </si>
  <si>
    <t>Ставропольский край, г Михайловск, ул Ленина, зд 111</t>
  </si>
  <si>
    <t>Аптечный пункт №77-714</t>
  </si>
  <si>
    <t>20:25:00</t>
  </si>
  <si>
    <t>20:25:55</t>
  </si>
  <si>
    <t>Аптечный пункт-АФ-(Мск)-Тушинская-1</t>
  </si>
  <si>
    <t>20:29:00</t>
  </si>
  <si>
    <t>20:29:23</t>
  </si>
  <si>
    <t>20:40:00</t>
  </si>
  <si>
    <t>20:41:10</t>
  </si>
  <si>
    <t>Ставропольский край, г Михайловск, ул Вокзальная, влд 121</t>
  </si>
  <si>
    <t>09:13:00</t>
  </si>
  <si>
    <t>20:44:38</t>
  </si>
  <si>
    <t>Ставропольский край, г Михайловск, ул Войкова, зд 393</t>
  </si>
  <si>
    <t>666034.Иркутская обл. г. Шелехов 8 квартал дом 13</t>
  </si>
  <si>
    <t>01:40:00</t>
  </si>
  <si>
    <t>20:44:53</t>
  </si>
  <si>
    <t>Ставропольский край, г Михайловск, ул Войкова, д 391</t>
  </si>
  <si>
    <t>Аптека "РИГЛА"</t>
  </si>
  <si>
    <t>19:15:00</t>
  </si>
  <si>
    <t>20:45:19</t>
  </si>
  <si>
    <t>Ставропольский край, г Минеральные Воды, пр-кт 22 Партсъезда, стр 86/1</t>
  </si>
  <si>
    <t>Аптечный пункт №77-404</t>
  </si>
  <si>
    <t>14:10:00</t>
  </si>
  <si>
    <t>20:49:38</t>
  </si>
  <si>
    <t>19:28:00</t>
  </si>
  <si>
    <t>20:50:10</t>
  </si>
  <si>
    <t>Ставропольский край, г Минеральные Воды, пр-кт 22 Партсъезда, зд 137/1</t>
  </si>
  <si>
    <t>20:21:00</t>
  </si>
  <si>
    <t>21:02:20</t>
  </si>
  <si>
    <t>Ставропольский край, г Минеральные Воды, пр-кт 22 Партсъезда, д 141</t>
  </si>
  <si>
    <t>Аптека "ЛИА"</t>
  </si>
  <si>
    <t>23:07:00</t>
  </si>
  <si>
    <t>21:12:57</t>
  </si>
  <si>
    <t>Ставропольский край, г Лермонтов, ул Патриса Лумумбы, д 33</t>
  </si>
  <si>
    <t>Аптека №15</t>
  </si>
  <si>
    <t>10:44:00</t>
  </si>
  <si>
    <t>21:35:51</t>
  </si>
  <si>
    <t>Ставропольский край, г Кисловодск, ул Российская, д 5</t>
  </si>
  <si>
    <t>21:33:00</t>
  </si>
  <si>
    <t>21:45:27</t>
  </si>
  <si>
    <t>Ставропольский край, г Кисловодск, ул Кутузова, зд 83А</t>
  </si>
  <si>
    <t>Филиал 3 ЦРА 123</t>
  </si>
  <si>
    <t>00:24:00</t>
  </si>
  <si>
    <t>21:46:13</t>
  </si>
  <si>
    <t>11:31:00</t>
  </si>
  <si>
    <t>07:35:46</t>
  </si>
  <si>
    <t>NSK-MZ13-SRV</t>
  </si>
  <si>
    <t>13:30:00</t>
  </si>
  <si>
    <t>09:55:26</t>
  </si>
  <si>
    <t>Ставропольский край, г Кисловодск, ул Куйбышева, д 66</t>
  </si>
  <si>
    <t>Аптека, ул. Краснофлотская, 36А</t>
  </si>
  <si>
    <t>13:50:00</t>
  </si>
  <si>
    <t>08:49:54</t>
  </si>
  <si>
    <t>15:36:00</t>
  </si>
  <si>
    <t>10:40:53</t>
  </si>
  <si>
    <t>Аптечный пункт "ТРИКА"</t>
  </si>
  <si>
    <t>22:01:00</t>
  </si>
  <si>
    <t>22:02:42</t>
  </si>
  <si>
    <t>21:47:00</t>
  </si>
  <si>
    <t>22:06:48</t>
  </si>
  <si>
    <t>22:14:17</t>
  </si>
  <si>
    <t>Аптечный пункт-АФ-(Мск)-Планерная-1</t>
  </si>
  <si>
    <t>15:30:00</t>
  </si>
  <si>
    <t>22:53:21</t>
  </si>
  <si>
    <t>22:44:00</t>
  </si>
  <si>
    <t>23:41:00</t>
  </si>
  <si>
    <t>АПТЕКА "Фармадом"</t>
  </si>
  <si>
    <t>22:50:00</t>
  </si>
  <si>
    <t>23:47:44</t>
  </si>
  <si>
    <t>00:02:00</t>
  </si>
  <si>
    <t>00:04:47</t>
  </si>
  <si>
    <t>Свердловская обл, г Невьянск, ул Ленина, д 4</t>
  </si>
  <si>
    <t>13:48:00</t>
  </si>
  <si>
    <t>11:05:14</t>
  </si>
  <si>
    <t>Свердловская обл, г Красноуфимск, ул Мизерова, д 80</t>
  </si>
  <si>
    <t>13:20:00</t>
  </si>
  <si>
    <t>11:06:29</t>
  </si>
  <si>
    <t>Свердловская обл, г Кировград, ул Свердлова, д 67А</t>
  </si>
  <si>
    <t>Аптечный пункт-АФ-(Мск)-Раменки-2</t>
  </si>
  <si>
    <t>11:06:00</t>
  </si>
  <si>
    <t>11:06:34</t>
  </si>
  <si>
    <t>Свердловская обл, г Кировград, ул Свердлова, д 55</t>
  </si>
  <si>
    <t>191014, Санкт-Петербург, Восстания ул., д.30/7, лит. А</t>
  </si>
  <si>
    <t>10:34:00</t>
  </si>
  <si>
    <t>11:07:50</t>
  </si>
  <si>
    <t>Аптечный пункт-ТФ-(Мск)-Октябрьское Поле-1</t>
  </si>
  <si>
    <t>09:32:00</t>
  </si>
  <si>
    <t>11:09:51</t>
  </si>
  <si>
    <t>Свердловская обл, г Каменск-Уральский, ул Строителей, д 25</t>
  </si>
  <si>
    <t>16:28:00</t>
  </si>
  <si>
    <t>11:12:22</t>
  </si>
  <si>
    <t>Свердловская обл, г Каменск-Уральский, ул Кунавина, д 15</t>
  </si>
  <si>
    <t>11:48:00</t>
  </si>
  <si>
    <t>11:13:10</t>
  </si>
  <si>
    <t>Свердловская обл, г Каменск-Уральский, ул Каменская, д 58</t>
  </si>
  <si>
    <t>2025-02-02</t>
  </si>
  <si>
    <t>11:11:00</t>
  </si>
  <si>
    <t>11:14:33</t>
  </si>
  <si>
    <t>Свердловская обл, г Каменск-Уральский, пр-кт Победы, д 40</t>
  </si>
  <si>
    <t>11:15:00</t>
  </si>
  <si>
    <t>11:20:22</t>
  </si>
  <si>
    <t>11:20:55</t>
  </si>
  <si>
    <t>Аптечный пункт;сайт:www.planetazdorovo.ru</t>
  </si>
  <si>
    <t>2025-02-12</t>
  </si>
  <si>
    <t>2025-02-13</t>
  </si>
  <si>
    <t>11:23:48</t>
  </si>
  <si>
    <t>10:58:00</t>
  </si>
  <si>
    <t>11:24:20</t>
  </si>
  <si>
    <t>10:56:00</t>
  </si>
  <si>
    <t>11:25:39</t>
  </si>
  <si>
    <t>Аптека №2</t>
  </si>
  <si>
    <t>2025-02-09</t>
  </si>
  <si>
    <t>11:26:00</t>
  </si>
  <si>
    <t>11:27:58</t>
  </si>
  <si>
    <t>Свердловская обл, г Каменск-Уральский, пр-кт Победы, д 19А</t>
  </si>
  <si>
    <t>Аптечный пункт №50-209</t>
  </si>
  <si>
    <t>11:22:00</t>
  </si>
  <si>
    <t>11:28:38</t>
  </si>
  <si>
    <t>Свердловская обл, г Заречный, ул Ленина, д 25, помещ 3</t>
  </si>
  <si>
    <t>Аптека № 104</t>
  </si>
  <si>
    <t>18:37:00</t>
  </si>
  <si>
    <t>11:28:46</t>
  </si>
  <si>
    <t>11:28:00</t>
  </si>
  <si>
    <t>11:31:19</t>
  </si>
  <si>
    <t>Свердловская обл, г Верхняя Пышма, ул Юбилейная, д 13</t>
  </si>
  <si>
    <t>18:39:00</t>
  </si>
  <si>
    <t>11:38:12</t>
  </si>
  <si>
    <t>Свердловская обл, г Верхняя Пышма, ул Петрова, зд 34Б</t>
  </si>
  <si>
    <t>14:38:00</t>
  </si>
  <si>
    <t>11:41:03</t>
  </si>
  <si>
    <t>Свердловская обл, г Верхняя Пышма, ул Кривоусова, д 34</t>
  </si>
  <si>
    <t>11:41:07</t>
  </si>
  <si>
    <t>11:41:19</t>
  </si>
  <si>
    <t>Свердловская обл, г Верхняя Пышма, ул Кривоусова, д 18Д</t>
  </si>
  <si>
    <t>15:37:00</t>
  </si>
  <si>
    <t>11:43:00</t>
  </si>
  <si>
    <t>18:41:00</t>
  </si>
  <si>
    <t>11:43:14</t>
  </si>
  <si>
    <t>11:44:07</t>
  </si>
  <si>
    <t>Свердловская обл, г Верхняя Пышма, ул Калинина, д 64</t>
  </si>
  <si>
    <t>Аптека Астра</t>
  </si>
  <si>
    <t>10:15:00</t>
  </si>
  <si>
    <t>11:44:54</t>
  </si>
  <si>
    <t>11:44:00</t>
  </si>
  <si>
    <t>11:46:24</t>
  </si>
  <si>
    <t>Аптека "ЖИВА"</t>
  </si>
  <si>
    <t>11:41:00</t>
  </si>
  <si>
    <t>11:46:30</t>
  </si>
  <si>
    <t>Свердловская обл, г Верхняя Пышма, пр-кт Успенский, зд 56</t>
  </si>
  <si>
    <t>11:33:00</t>
  </si>
  <si>
    <t>11:46:53</t>
  </si>
  <si>
    <t>Свердловская обл, г Верхняя Пышма, пр-кт Успенский, д 1</t>
  </si>
  <si>
    <t>аптечный пункт Мелздрав</t>
  </si>
  <si>
    <t>15:54:00</t>
  </si>
  <si>
    <t>11:47:41</t>
  </si>
  <si>
    <t>Сахалинская обл, г Невельск, ул Советская, д 7</t>
  </si>
  <si>
    <t>15:55:00</t>
  </si>
  <si>
    <t>11:56:36</t>
  </si>
  <si>
    <t>12:03:00</t>
  </si>
  <si>
    <t>12:03:53</t>
  </si>
  <si>
    <t>Сахалинская обл, г Невельск, ул Советская, д 22</t>
  </si>
  <si>
    <t>18 - Удмуртская Республика, 426021, Ижевск г, Машиностроителей городок, 102</t>
  </si>
  <si>
    <t>13:08:00</t>
  </si>
  <si>
    <t>12:09:23</t>
  </si>
  <si>
    <t>14:09:00</t>
  </si>
  <si>
    <t>12:10:09</t>
  </si>
  <si>
    <t>Сахалинская обл, г Корсаков, ул Советская, д 19, помещ 33</t>
  </si>
  <si>
    <t>12:09:00</t>
  </si>
  <si>
    <t>12:10:36</t>
  </si>
  <si>
    <t>12:00:00</t>
  </si>
  <si>
    <t>12:14:30</t>
  </si>
  <si>
    <t>16 - Республика Татарстан (Татарстан), г.о. город Казань,420106,, г Казань,, ул Нурихана Фаттаха, д. 17/4</t>
  </si>
  <si>
    <t>12:24:00</t>
  </si>
  <si>
    <t>12:25:14</t>
  </si>
  <si>
    <t>12:25:28</t>
  </si>
  <si>
    <t>Сахалинская обл, г Корсаков, ул Советская, д 19</t>
  </si>
  <si>
    <t>196600, Санкт-Петербург, г. Пушкин, Малая ул., д.51, лит. А</t>
  </si>
  <si>
    <t>11:55:00</t>
  </si>
  <si>
    <t>12:26:46</t>
  </si>
  <si>
    <t>Сахалинская обл, г Корсаков, ул Октябрьская, зд 15</t>
  </si>
  <si>
    <t>14:03:00</t>
  </si>
  <si>
    <t>12:35:07</t>
  </si>
  <si>
    <t>12:21:00</t>
  </si>
  <si>
    <t>12:35:06</t>
  </si>
  <si>
    <t>пр-кт 100-летия Владивостока, д 46 , Касса №3</t>
  </si>
  <si>
    <t>12:35:10</t>
  </si>
  <si>
    <t>198903, Санкт-Петербург, г. Петродворец, Константиновская ул., д.2, лит. А</t>
  </si>
  <si>
    <t>12:32:00</t>
  </si>
  <si>
    <t>12:35:12</t>
  </si>
  <si>
    <t>12:35:00</t>
  </si>
  <si>
    <t>12:35:43</t>
  </si>
  <si>
    <t>Аптечный пункт №4</t>
  </si>
  <si>
    <t>12:14:00</t>
  </si>
  <si>
    <t>12:35:50</t>
  </si>
  <si>
    <t>12:36:35</t>
  </si>
  <si>
    <t>Сахалинская обл, г Корсаков, ул Октябрьская, д 22</t>
  </si>
  <si>
    <t>12:02:00</t>
  </si>
  <si>
    <t>12:36:52</t>
  </si>
  <si>
    <t>12:01:00</t>
  </si>
  <si>
    <t>12:36:58</t>
  </si>
  <si>
    <t>17:48:00</t>
  </si>
  <si>
    <t>12:37:04</t>
  </si>
  <si>
    <t>12:37:20</t>
  </si>
  <si>
    <t>Сахалинская обл, г Корсаков, ул Нагорная, д 3</t>
  </si>
  <si>
    <t>13:44:00</t>
  </si>
  <si>
    <t>12:37:37</t>
  </si>
  <si>
    <t>Аптека, a-plus.ru, aptekiplus.ru</t>
  </si>
  <si>
    <t>12:06:00</t>
  </si>
  <si>
    <t>12:38:43</t>
  </si>
  <si>
    <t>Саратовская обл, Энгельсский р-н, с Красный Яр, ул Комсомольская, д 59</t>
  </si>
  <si>
    <t>14:35:00</t>
  </si>
  <si>
    <t>12:39:19</t>
  </si>
  <si>
    <t>17:38:00</t>
  </si>
  <si>
    <t>12:42:42</t>
  </si>
  <si>
    <t>Саратовская обл, Энгельсский р-н, мкр Энгельс-19 (рп Приволжский), ул 5-й квартал, д 10, помещ 7</t>
  </si>
  <si>
    <t>Аптечный пункт-ФП-(Мск)-Сокол-2</t>
  </si>
  <si>
    <t>12:44:00</t>
  </si>
  <si>
    <t>12:44:23</t>
  </si>
  <si>
    <t>12:45:00</t>
  </si>
  <si>
    <t>12:45:50</t>
  </si>
  <si>
    <t>190068, Санкт-Петербург, ул. Садовая, д.68, лит.А</t>
  </si>
  <si>
    <t>12:41:00</t>
  </si>
  <si>
    <t>12:45:59</t>
  </si>
  <si>
    <t>12:31:00</t>
  </si>
  <si>
    <t>12:47:25</t>
  </si>
  <si>
    <t>г.Кемерово, пр-кт Химиков, д.19</t>
  </si>
  <si>
    <t>16:45:00</t>
  </si>
  <si>
    <t>12:48:02</t>
  </si>
  <si>
    <t>Саратовская обл, рп Татищево, ул Чапаева, д 40А</t>
  </si>
  <si>
    <t>АПТЕКА $ 126</t>
  </si>
  <si>
    <t>17:46:00</t>
  </si>
  <si>
    <t>12:51:39</t>
  </si>
  <si>
    <t>Саратовская обл, рп Романовка, ул Народная, д 16</t>
  </si>
  <si>
    <t>12:52:00</t>
  </si>
  <si>
    <t>12:52:23</t>
  </si>
  <si>
    <t>15:51:00</t>
  </si>
  <si>
    <t>12:53:32</t>
  </si>
  <si>
    <t>аптека №2</t>
  </si>
  <si>
    <t>19:14:00</t>
  </si>
  <si>
    <t>12:53:48</t>
  </si>
  <si>
    <t>12:53:56</t>
  </si>
  <si>
    <t>Аптека_Дудергофский</t>
  </si>
  <si>
    <t>12:23:00</t>
  </si>
  <si>
    <t>12:54:20</t>
  </si>
  <si>
    <t>Саратовская обл, п Светлый, пл Центральная, д 2А</t>
  </si>
  <si>
    <t>Аптечный пункт №8</t>
  </si>
  <si>
    <t>12:54:00</t>
  </si>
  <si>
    <t>12:56:25</t>
  </si>
  <si>
    <t>Саратовская обл, г Энгельс, ул Тельмана, д 150/5</t>
  </si>
  <si>
    <t>Аптека,сайт:www.planetazdorovo.ru</t>
  </si>
  <si>
    <t>13:02:06</t>
  </si>
  <si>
    <t>Саратовская обл, г Энгельс, ул Петровская, д 88</t>
  </si>
  <si>
    <t>13:10:00</t>
  </si>
  <si>
    <t>13:11:31</t>
  </si>
  <si>
    <t>17:12:00</t>
  </si>
  <si>
    <t>13:12:19</t>
  </si>
  <si>
    <t>Саратовская обл, г Энгельс, пр-кт Строителей, д 17</t>
  </si>
  <si>
    <t>г. Новокузнецк, ул. Павловского, 11</t>
  </si>
  <si>
    <t>16:52:00</t>
  </si>
  <si>
    <t>13:16:12</t>
  </si>
  <si>
    <t>Саратовская обл, г Энгельс, пл Ленина, д 4</t>
  </si>
  <si>
    <t>Аптечный пункт-АФ-(Мск)-Алексеевская-2</t>
  </si>
  <si>
    <t>13:16:31</t>
  </si>
  <si>
    <t>Саратовская обл, г Хвалынск, ул Имени К.С.Петрова-Водкина, д 14</t>
  </si>
  <si>
    <t>13:17:03</t>
  </si>
  <si>
    <t>Саратовская обл, г Ртищево, ул Железнодорожная, д 19, помещ 39</t>
  </si>
  <si>
    <t>10:47:00</t>
  </si>
  <si>
    <t>13:17:44</t>
  </si>
  <si>
    <t>Саратовская обл, г Балаково, ул Трнавская, д 44/1</t>
  </si>
  <si>
    <t>13:18:00</t>
  </si>
  <si>
    <t>13:18:45</t>
  </si>
  <si>
    <t>Саратовская обл, г Балаково, ул Степная, д 84/1</t>
  </si>
  <si>
    <t>13:19:24</t>
  </si>
  <si>
    <t>Саратовская обл, г Балаково, ул Менделеева, д 2</t>
  </si>
  <si>
    <t>Аптека 15</t>
  </si>
  <si>
    <t>13:07:00</t>
  </si>
  <si>
    <t>13:20:34</t>
  </si>
  <si>
    <t>Саратовская обл, г Балаково, ул Ленина, д 91</t>
  </si>
  <si>
    <t>Аптечный пункт-ТФ-(Мск)-Бабушкинская-1</t>
  </si>
  <si>
    <t>13:22:00</t>
  </si>
  <si>
    <t>13:23:02</t>
  </si>
  <si>
    <t>Саратовская обл, г Балаково, ул Братьев Захаровых, д 14А</t>
  </si>
  <si>
    <t>13:24:00</t>
  </si>
  <si>
    <t>13:23:57</t>
  </si>
  <si>
    <t>13:15:00</t>
  </si>
  <si>
    <t>13:26:53</t>
  </si>
  <si>
    <t>13:26:57</t>
  </si>
  <si>
    <t>Саратовская обл, г Аткарск, ул Чапаева, д 71, помещ 1</t>
  </si>
  <si>
    <t>Аптека "Морская"</t>
  </si>
  <si>
    <t>13:27:37</t>
  </si>
  <si>
    <t>Саратовская обл, г Аткарск, ул Гагарина, зд 48</t>
  </si>
  <si>
    <t>Аптека "Для бережливых"</t>
  </si>
  <si>
    <t>13:39:00</t>
  </si>
  <si>
    <t>13:28:53</t>
  </si>
  <si>
    <t>Саратовская обл, Воскресенский р-н, с Синодское, ул Клочкова, д 28</t>
  </si>
  <si>
    <t>13:40:00</t>
  </si>
  <si>
    <t>13:34:29</t>
  </si>
  <si>
    <t>Самарская обл, Ставропольский р-н, с Подстепки, ул Советская, зд 1Б</t>
  </si>
  <si>
    <t>18:28:00</t>
  </si>
  <si>
    <t>13:35:16</t>
  </si>
  <si>
    <t>Самарская обл, с Красный Яр, ул Кооперативная, д 97</t>
  </si>
  <si>
    <t>13:35:00</t>
  </si>
  <si>
    <t>13:36:08</t>
  </si>
  <si>
    <t>Самарская обл, Красноярский р-н, пгт Новосемейкино, ул Матюгина, д 19А/1, ком 5</t>
  </si>
  <si>
    <t>Аптечный пункт №77-203</t>
  </si>
  <si>
    <t>13:23:00</t>
  </si>
  <si>
    <t>13:37:40</t>
  </si>
  <si>
    <t>13:41:53</t>
  </si>
  <si>
    <t>Самарская обл, Кинельский р-н, с Сырейка, ул Советская, д 20</t>
  </si>
  <si>
    <t>13:42:59</t>
  </si>
  <si>
    <t>13:45:00</t>
  </si>
  <si>
    <t>13:43:04</t>
  </si>
  <si>
    <t>Самарская обл, Кинельский р-н, с Александровка, ул Алексеева, д 20</t>
  </si>
  <si>
    <t>13:44:31</t>
  </si>
  <si>
    <t>Клиника "Скандинавия" (Аптечный пункт)</t>
  </si>
  <si>
    <t>13:45:27</t>
  </si>
  <si>
    <t>Аптека "Сивилла"</t>
  </si>
  <si>
    <t>13:14:00</t>
  </si>
  <si>
    <t>13:45:41</t>
  </si>
  <si>
    <t>Самарская обл, г Тольятти, ул Юбилейная, д 5, ком 33-38</t>
  </si>
  <si>
    <t>Аптека №103</t>
  </si>
  <si>
    <t>13:48:12</t>
  </si>
  <si>
    <t>Самарская обл, г Тольятти, ул Юбилейная, влд 40</t>
  </si>
  <si>
    <t>13:47:00</t>
  </si>
  <si>
    <t>13:52:33</t>
  </si>
  <si>
    <t>17:51:00</t>
  </si>
  <si>
    <t>13:54:51</t>
  </si>
  <si>
    <t>Самарская обл, г Тольятти, ул Тополиная, д 1Б</t>
  </si>
  <si>
    <t>2025-01-12</t>
  </si>
  <si>
    <t>13:31:00</t>
  </si>
  <si>
    <t>13:58:32</t>
  </si>
  <si>
    <t>Самарская обл, г Тольятти, ул Толстого, зд 12</t>
  </si>
  <si>
    <t>14:03:14</t>
  </si>
  <si>
    <t>13:46:00</t>
  </si>
  <si>
    <t>14:04:26</t>
  </si>
  <si>
    <t>13:41:00</t>
  </si>
  <si>
    <t>14:04:31</t>
  </si>
  <si>
    <t>13:42:00</t>
  </si>
  <si>
    <t>14:04:29</t>
  </si>
  <si>
    <t>18:02:00</t>
  </si>
  <si>
    <t>14:04:36</t>
  </si>
  <si>
    <t>АПТЕЧНЫЙ ПУНКТ</t>
  </si>
  <si>
    <t>17:31:00</t>
  </si>
  <si>
    <t>14:05:27</t>
  </si>
  <si>
    <t>14:07:11</t>
  </si>
  <si>
    <t>13:58:00</t>
  </si>
  <si>
    <t>14:07:37</t>
  </si>
  <si>
    <t>Аптека "НА ИНЕ"</t>
  </si>
  <si>
    <t>13:33:00</t>
  </si>
  <si>
    <t>14:07:57</t>
  </si>
  <si>
    <t>14:05:00</t>
  </si>
  <si>
    <t>14:08:23</t>
  </si>
  <si>
    <t>"Аптека"</t>
  </si>
  <si>
    <t>19:00:00</t>
  </si>
  <si>
    <t>14:10:48</t>
  </si>
  <si>
    <t>13:36:00</t>
  </si>
  <si>
    <t>14:11:03</t>
  </si>
  <si>
    <t>ООО "Фарма Партнер-Плюс"</t>
  </si>
  <si>
    <t>16:13:00</t>
  </si>
  <si>
    <t>14:13:30</t>
  </si>
  <si>
    <t>чебАпт5245</t>
  </si>
  <si>
    <t>14:16:00</t>
  </si>
  <si>
    <t>14:17:45</t>
  </si>
  <si>
    <t>Самарская обл, г Тольятти, ул Спортивная, д 4 к в</t>
  </si>
  <si>
    <t>аптека №3</t>
  </si>
  <si>
    <t>14:26:00</t>
  </si>
  <si>
    <t>14:27:58</t>
  </si>
  <si>
    <t>198096, Санкт-Петербург, Стачек проспект, д.88, лит. А</t>
  </si>
  <si>
    <t>14:28:05</t>
  </si>
  <si>
    <t>Аптека №78-1377</t>
  </si>
  <si>
    <t>14:28:00</t>
  </si>
  <si>
    <t>14:28:27</t>
  </si>
  <si>
    <t>19:26:00</t>
  </si>
  <si>
    <t>14:32:54</t>
  </si>
  <si>
    <t>Самарская обл, г Тольятти, ул Революционная, д 24</t>
  </si>
  <si>
    <t>17:32:00</t>
  </si>
  <si>
    <t>14:34:11</t>
  </si>
  <si>
    <t>Самарская обл, г Тольятти, ул Революционная, влд 66</t>
  </si>
  <si>
    <t>14:38:28</t>
  </si>
  <si>
    <t>14:37:00</t>
  </si>
  <si>
    <t>14:38:30</t>
  </si>
  <si>
    <t>14:33:00</t>
  </si>
  <si>
    <t>14:39:41</t>
  </si>
  <si>
    <t>ООО "АПТЕКА №1 - КРАСНОДАР"</t>
  </si>
  <si>
    <t>14:40:11</t>
  </si>
  <si>
    <t>Самарская обл, г Тольятти, ул Революционная, влд 6</t>
  </si>
  <si>
    <t>Аптечный пункт №77-244</t>
  </si>
  <si>
    <t>14:42:09</t>
  </si>
  <si>
    <t>Самарская обл, г Тольятти, ул Революционная, влд 52А</t>
  </si>
  <si>
    <t>Аптека "Петрофарм"</t>
  </si>
  <si>
    <t>14:42:34</t>
  </si>
  <si>
    <t>18 - Удмуртская Республика, г.о. город Ижевск,426008,, г Ижевск,, ул Красноармейская, д. 140,,,</t>
  </si>
  <si>
    <t>15:48:00</t>
  </si>
  <si>
    <t>14:50:23</t>
  </si>
  <si>
    <t>14:53:33</t>
  </si>
  <si>
    <t>14:53:35</t>
  </si>
  <si>
    <t>14:47:00</t>
  </si>
  <si>
    <t>14:55:14</t>
  </si>
  <si>
    <t>Аптека "ТРИКА Ярославль-10"</t>
  </si>
  <si>
    <t>14:54:00</t>
  </si>
  <si>
    <t>14:55:32</t>
  </si>
  <si>
    <t>Аптечный пункт-АФ-(Мск)-Алма-Атинская-1</t>
  </si>
  <si>
    <t>14:56:00</t>
  </si>
  <si>
    <t>14:56:12</t>
  </si>
  <si>
    <t>Аптечный пункт №5</t>
  </si>
  <si>
    <t>13:49:00</t>
  </si>
  <si>
    <t>14:56:47</t>
  </si>
  <si>
    <t>Аптечный пункт-НФ-(НН)-Советская площадь-1</t>
  </si>
  <si>
    <t>14:57:00</t>
  </si>
  <si>
    <t>14:57:32</t>
  </si>
  <si>
    <t>14:57:40</t>
  </si>
  <si>
    <t>Аптека "Мелодия Здоровья"</t>
  </si>
  <si>
    <t>19:03:00</t>
  </si>
  <si>
    <t>15:02:28</t>
  </si>
  <si>
    <t>18:01:00</t>
  </si>
  <si>
    <t>15:03:04</t>
  </si>
  <si>
    <t>15:01:00</t>
  </si>
  <si>
    <t>15:14:55</t>
  </si>
  <si>
    <t>15:15:00</t>
  </si>
  <si>
    <t>15:16:15</t>
  </si>
  <si>
    <t>15:19:48</t>
  </si>
  <si>
    <t>15:25:00</t>
  </si>
  <si>
    <t>15:20:33</t>
  </si>
  <si>
    <t>15:18:00</t>
  </si>
  <si>
    <t>15:21:18</t>
  </si>
  <si>
    <t>15:09:00</t>
  </si>
  <si>
    <t>15:24:52</t>
  </si>
  <si>
    <t>Ростовская обл, с Чалтырь, ул 3-я Линия, д 37</t>
  </si>
  <si>
    <t>20:03:22</t>
  </si>
  <si>
    <t>Ростовская обл, п Тарасовский, ул Кирова, зд 6В</t>
  </si>
  <si>
    <t>20:02:00</t>
  </si>
  <si>
    <t>20:07:44</t>
  </si>
  <si>
    <t>Аптека №78-874</t>
  </si>
  <si>
    <t>19:50:00</t>
  </si>
  <si>
    <t>20:12:21</t>
  </si>
  <si>
    <t>Ростовская обл, Неклиновский р-н, с Николаевка, ул Ленина, стр 309Ф</t>
  </si>
  <si>
    <t>20:19:00</t>
  </si>
  <si>
    <t>20:20:37</t>
  </si>
  <si>
    <t>Ростовская обл, Мясниковский р-н, х Ленинаван, ул Ленина, зд 56А</t>
  </si>
  <si>
    <t>20:22:06</t>
  </si>
  <si>
    <t>Аптечный пункт №77-306</t>
  </si>
  <si>
    <t>20:14:00</t>
  </si>
  <si>
    <t>20:22:54</t>
  </si>
  <si>
    <t>Аптека №6</t>
  </si>
  <si>
    <t>20:23:19</t>
  </si>
  <si>
    <t>Ростовская обл, Мясниковский р-н, с Крым, ул Большесальская, д 12</t>
  </si>
  <si>
    <t>23:29:00</t>
  </si>
  <si>
    <t>20:29:28</t>
  </si>
  <si>
    <t>Остановочный комплекс "Лесная", Аптека "Здравница"</t>
  </si>
  <si>
    <t>16:39:00</t>
  </si>
  <si>
    <t>20:39:30</t>
  </si>
  <si>
    <t>198516, Санкт-Петербург, г. Петергоф, Разводная ул., д. 19, корп.1, лит. А</t>
  </si>
  <si>
    <t>20:32:00</t>
  </si>
  <si>
    <t>20:40:04</t>
  </si>
  <si>
    <t>20:22:00</t>
  </si>
  <si>
    <t>20:41:55</t>
  </si>
  <si>
    <t>Аптека №78-896</t>
  </si>
  <si>
    <t>20:39:00</t>
  </si>
  <si>
    <t>20:42:57</t>
  </si>
  <si>
    <t>аптека "АКТА-КРЫМ" ПОДРАЗДЕЛЕНИЕ "35"</t>
  </si>
  <si>
    <t>20:49:00</t>
  </si>
  <si>
    <t>20:49:49</t>
  </si>
  <si>
    <t>Ростовская обл, Мясниковский р-н, с Большие Салы, ул Ленина, д 1Л</t>
  </si>
  <si>
    <t>18 - Удмуртская Республика, г.о. город Ижевск,426025,, г Ижевск,, ш Воткинское, д. 39</t>
  </si>
  <si>
    <t>18:29:00</t>
  </si>
  <si>
    <t>20:50:30</t>
  </si>
  <si>
    <t>Ростовская обл, Кагальницкий р-н, ст-ца Кировская, ул Черняховского, зд 68</t>
  </si>
  <si>
    <t>Аптека 71</t>
  </si>
  <si>
    <t>20:34:00</t>
  </si>
  <si>
    <t>20:55:10</t>
  </si>
  <si>
    <t>Ростовская обл, Зерноградский р-н, ст-ца Мечетинская, ул Советская, д 28</t>
  </si>
  <si>
    <t>Аптечный пункт-АФ-(Мск)-Отрадное-1</t>
  </si>
  <si>
    <t>20:57:00</t>
  </si>
  <si>
    <t>20:57:11</t>
  </si>
  <si>
    <t>Ростовская обл, г Шахты, ул Шевченко, зд 153А</t>
  </si>
  <si>
    <t>21:01:00</t>
  </si>
  <si>
    <t>21:06:41</t>
  </si>
  <si>
    <t>21:02:00</t>
  </si>
  <si>
    <t>21:06:47</t>
  </si>
  <si>
    <t>Аптека №2552</t>
  </si>
  <si>
    <t>21:12:00</t>
  </si>
  <si>
    <t>21:12:13</t>
  </si>
  <si>
    <t>21:15:00</t>
  </si>
  <si>
    <t>21:16:25</t>
  </si>
  <si>
    <t>21:24:00</t>
  </si>
  <si>
    <t>21:25:08</t>
  </si>
  <si>
    <t>Ростовская обл, г Шахты, ул Индустриальная, зд 7А</t>
  </si>
  <si>
    <t>20:45:00</t>
  </si>
  <si>
    <t>21:59:21</t>
  </si>
  <si>
    <t>Ростовская обл, г Шахты, пр-кт Ленинского Комсомола, д 37</t>
  </si>
  <si>
    <t>21:38:00</t>
  </si>
  <si>
    <t>22:19:36</t>
  </si>
  <si>
    <t>Ростовская обл, г Таганрог, ул Чехова, д 355Б</t>
  </si>
  <si>
    <t>23:11:00</t>
  </si>
  <si>
    <t>23:14:13</t>
  </si>
  <si>
    <t>Ростовская обл, г Таганрог, ул Чехова, д 353А</t>
  </si>
  <si>
    <t>17:05:00</t>
  </si>
  <si>
    <t>23:28:00</t>
  </si>
  <si>
    <t>Ростовская обл, г Таганрог, ул Урицкого, д 29</t>
  </si>
  <si>
    <t>00:18:00</t>
  </si>
  <si>
    <t>00:21:01</t>
  </si>
  <si>
    <t>00:20:00</t>
  </si>
  <si>
    <t>00:22:01</t>
  </si>
  <si>
    <t>Ростовская обл, г Таганрог, ул Седова, д 10</t>
  </si>
  <si>
    <t>04:22:00</t>
  </si>
  <si>
    <t>01:22:55</t>
  </si>
  <si>
    <t>Ростовская обл, г Таганрог, ул Свободы, д 28</t>
  </si>
  <si>
    <t>ул. Русская 16, Касса №2</t>
  </si>
  <si>
    <t>10:06:00</t>
  </si>
  <si>
    <t>03:17:41</t>
  </si>
  <si>
    <t>Ростовская обл, г Таганрог, ул Пархоменко, зд 7</t>
  </si>
  <si>
    <t>23:05:00</t>
  </si>
  <si>
    <t>08:30:40</t>
  </si>
  <si>
    <t>Ростовская обл, г Таганрог, ул Пархоменко, зд 5-2</t>
  </si>
  <si>
    <t>09:23:24</t>
  </si>
  <si>
    <t>Ростовская обл, Азовский р-н, с Кулешовка, пл Гагарина, д 16Г</t>
  </si>
  <si>
    <t>14:52:00</t>
  </si>
  <si>
    <t>09:52:03</t>
  </si>
  <si>
    <t>Аптечный пункт-АФ-(Мск)-Фили-1</t>
  </si>
  <si>
    <t>09:53:00</t>
  </si>
  <si>
    <t>09:53:28</t>
  </si>
  <si>
    <t>09:54:10</t>
  </si>
  <si>
    <t>Респ Хакасия, Усть-Абаканский р-н, с Калинино, ул Ленина, д 1</t>
  </si>
  <si>
    <t>Аптека 26 касса 1</t>
  </si>
  <si>
    <t>09:54:18</t>
  </si>
  <si>
    <t>Респ Хакасия, г Черногорск, ул Юбилейная, д 16, помещ 77Н</t>
  </si>
  <si>
    <t>09:56:00</t>
  </si>
  <si>
    <t>09:57:10</t>
  </si>
  <si>
    <t>Респ Хакасия, г Черногорск, ул Юбилейная, д 16</t>
  </si>
  <si>
    <t>09:57:44</t>
  </si>
  <si>
    <t>09:59:34</t>
  </si>
  <si>
    <t>Респ Хакасия, г Черногорск, ул Октябрьская, д 89, помещ 24Н</t>
  </si>
  <si>
    <t>ул. Сахалинская 38, Касса №1</t>
  </si>
  <si>
    <t>16:49:00</t>
  </si>
  <si>
    <t>10:06:47</t>
  </si>
  <si>
    <t>Респ Хакасия, г Черногорск, ул Инициативная, д 121</t>
  </si>
  <si>
    <t>10:07:04</t>
  </si>
  <si>
    <t>Аптечный пункт "Добрый доктор"</t>
  </si>
  <si>
    <t>10:08:00</t>
  </si>
  <si>
    <t>10:10:20</t>
  </si>
  <si>
    <t>10:10:00</t>
  </si>
  <si>
    <t>10:10:58</t>
  </si>
  <si>
    <t>Аптека "ГорФарма"</t>
  </si>
  <si>
    <t>10:11:06</t>
  </si>
  <si>
    <t>Респ Хакасия, г Сорск, ул Кирова, д 17, помещ 21Н</t>
  </si>
  <si>
    <t>Аптека №9</t>
  </si>
  <si>
    <t>10:11:09</t>
  </si>
  <si>
    <t>Респ Хакасия, г Саяногорск, мкр Интернациональный, стр 2А</t>
  </si>
  <si>
    <t>10:11:00</t>
  </si>
  <si>
    <t>10:11:43</t>
  </si>
  <si>
    <t>10:05:00</t>
  </si>
  <si>
    <t>10:13:48</t>
  </si>
  <si>
    <t>09:42:00</t>
  </si>
  <si>
    <t>10:16:40</t>
  </si>
  <si>
    <t>10:17:00</t>
  </si>
  <si>
    <t>10:18:13</t>
  </si>
  <si>
    <t>Аптека №15А</t>
  </si>
  <si>
    <t>10:20:00</t>
  </si>
  <si>
    <t>10:19:51</t>
  </si>
  <si>
    <t>Респ Хакасия, г Саяногорск, мкр Заводской, д 38</t>
  </si>
  <si>
    <t>14:23:00</t>
  </si>
  <si>
    <t>10:25:15</t>
  </si>
  <si>
    <t>13:57:00</t>
  </si>
  <si>
    <t>10:29:11</t>
  </si>
  <si>
    <t>Респ Удмуртская, Ярский р-н, п Яр, ул Флора Васильева, д 3</t>
  </si>
  <si>
    <t>10:40:13</t>
  </si>
  <si>
    <t>10:44:30</t>
  </si>
  <si>
    <t>10:40:00</t>
  </si>
  <si>
    <t>10:44:39</t>
  </si>
  <si>
    <t>10:47:14</t>
  </si>
  <si>
    <t>Респ Удмуртская, с Каракулино, ул Каманина, д 16</t>
  </si>
  <si>
    <t>00:13:00</t>
  </si>
  <si>
    <t>10:51:11</t>
  </si>
  <si>
    <t>Аптечный пункт-ТФ-(Мск)-Семеновская-1</t>
  </si>
  <si>
    <t>10:54:00</t>
  </si>
  <si>
    <t>10:54:42</t>
  </si>
  <si>
    <t>Респ Удмуртская, с Завьялово, ул Калинина, д 55</t>
  </si>
  <si>
    <t>10:50:00</t>
  </si>
  <si>
    <t>10:55:12</t>
  </si>
  <si>
    <t>10:56:16</t>
  </si>
  <si>
    <t>Респ Удмуртская, Завьяловский р-н, с Октябрьский, ул Полесская, д 2</t>
  </si>
  <si>
    <t>10:57:23</t>
  </si>
  <si>
    <t>17:35:00</t>
  </si>
  <si>
    <t>10:59:08</t>
  </si>
  <si>
    <t>Ангарск г.,81-й кв-л,1</t>
  </si>
  <si>
    <t>10:59:12</t>
  </si>
  <si>
    <t>Респ Удмуртская, г Сарапул, ул Советская, д 116</t>
  </si>
  <si>
    <t>14:43:00</t>
  </si>
  <si>
    <t>11:05:50</t>
  </si>
  <si>
    <t>Респ Удмуртская, г Можга, ул Наговицына, д 82</t>
  </si>
  <si>
    <t>Аптечный пункт-ЗД-(МО)-Щёлково (Бахчиванджи)-1</t>
  </si>
  <si>
    <t>08:59:00</t>
  </si>
  <si>
    <t>11:09:01</t>
  </si>
  <si>
    <t>Аптека №7</t>
  </si>
  <si>
    <t>11:07:00</t>
  </si>
  <si>
    <t>11:09:05</t>
  </si>
  <si>
    <t>13:55:00</t>
  </si>
  <si>
    <t>11:09:26</t>
  </si>
  <si>
    <t>Аптечный пункт-АФ-(Мск)-Смоленская-1</t>
  </si>
  <si>
    <t>11:11:58</t>
  </si>
  <si>
    <t>72 - Тюменская область, г.о. город Тюмень,625001,, г Тюмень,, ул Ямская, д. 112,,,</t>
  </si>
  <si>
    <t>13:12:00</t>
  </si>
  <si>
    <t>11:14:45</t>
  </si>
  <si>
    <t>11:18:57</t>
  </si>
  <si>
    <t>Респ Удмуртская, г Воткинск, ул Ст.Разина, д 7</t>
  </si>
  <si>
    <t>11:30:00</t>
  </si>
  <si>
    <t>11:30:32</t>
  </si>
  <si>
    <t>Респ Удмуртская, г Воткинск, тер ГК 1, ул 1-я, д 83</t>
  </si>
  <si>
    <t>11:33:10</t>
  </si>
  <si>
    <t>Респ Татарстан, Тукаевский р-н, д Старые Ерыклы, ул Дуслык, д 27В</t>
  </si>
  <si>
    <t>Аптека №78-763</t>
  </si>
  <si>
    <t>11:10:00</t>
  </si>
  <si>
    <t>11:33:29</t>
  </si>
  <si>
    <t>11:32:00</t>
  </si>
  <si>
    <t>11:33:31</t>
  </si>
  <si>
    <t>Респ Татарстан, с Сарманово, ул Ленина, д 22</t>
  </si>
  <si>
    <t>11:35:45</t>
  </si>
  <si>
    <t>Респ Татарстан, п ж/д станции Высокая Гора, д 214, помещ 1000</t>
  </si>
  <si>
    <t>NSK-MZ23-SRV</t>
  </si>
  <si>
    <t>15:39:00</t>
  </si>
  <si>
    <t>11:39:08</t>
  </si>
  <si>
    <t>11:34:00</t>
  </si>
  <si>
    <t>11:40:11</t>
  </si>
  <si>
    <t>11:41:23</t>
  </si>
  <si>
    <t>11:37:00</t>
  </si>
  <si>
    <t>11:41:59</t>
  </si>
  <si>
    <t>аптечный пункт №77-281</t>
  </si>
  <si>
    <t>11:42:00</t>
  </si>
  <si>
    <t>11:43:08</t>
  </si>
  <si>
    <t>Респ Татарстан, Лаишевский р-н, с Усады, ул Счастливая, д 11</t>
  </si>
  <si>
    <t>Аптека Польза</t>
  </si>
  <si>
    <t>11:46:46</t>
  </si>
  <si>
    <t>Респ Татарстан, Лаишевский р-н, с Столбище, ул Советская, д 92</t>
  </si>
  <si>
    <t>11:48:58</t>
  </si>
  <si>
    <t>02 - Республика Башкортостан, г.о. город Стерлитамак,453120,, г Стерлитамак,, ул Коммунистическая, д. 51</t>
  </si>
  <si>
    <t>11:49:33</t>
  </si>
  <si>
    <t>Респ Татарстан, Зеленодольский р-н, с Осиново, ул Светлая, зд 10</t>
  </si>
  <si>
    <t>Аптека №1</t>
  </si>
  <si>
    <t>11:52:45</t>
  </si>
  <si>
    <t>11:51:00</t>
  </si>
  <si>
    <t>11:56:17</t>
  </si>
  <si>
    <t>Приморский край. г-Владивосток Борисенко 35 к3</t>
  </si>
  <si>
    <t>18:55:00</t>
  </si>
  <si>
    <t>11:56:26</t>
  </si>
  <si>
    <t>11:57:43</t>
  </si>
  <si>
    <t>12:26:00</t>
  </si>
  <si>
    <t>11:57:56</t>
  </si>
  <si>
    <t>Аптека Лека</t>
  </si>
  <si>
    <t>11:59:04</t>
  </si>
  <si>
    <t>Респ Татарстан, Зеленодольский р-н, с Осиново, ул 40 лет Победы, зд 6А</t>
  </si>
  <si>
    <t>12:00:14</t>
  </si>
  <si>
    <t>666034.Иркутская область  г. Шелехов квартал 8 дом 13</t>
  </si>
  <si>
    <t>16:57:00</t>
  </si>
  <si>
    <t>12:00:55</t>
  </si>
  <si>
    <t>13:11:00</t>
  </si>
  <si>
    <t>12:01:47</t>
  </si>
  <si>
    <t>Респ Татарстан, Зеленодольский р-н, пгт Васильево, ул Школьная, д 2</t>
  </si>
  <si>
    <t>г. Новосибирск, ул. Гоголя, д. 180</t>
  </si>
  <si>
    <t>12:09:13</t>
  </si>
  <si>
    <t>17:02:00</t>
  </si>
  <si>
    <t>12:09:44</t>
  </si>
  <si>
    <t>Респ Татарстан, г Чистополь, ул Энгельса, д 142</t>
  </si>
  <si>
    <t>ЦРА 8 ЦРА 56</t>
  </si>
  <si>
    <t>16:12:00</t>
  </si>
  <si>
    <t>12:12:15</t>
  </si>
  <si>
    <t>Респ Татарстан, г Чистополь, ул Чернышевского, д 180, помещ Н</t>
  </si>
  <si>
    <t>12:05:00</t>
  </si>
  <si>
    <t>12:17:36</t>
  </si>
  <si>
    <t>12:13:00</t>
  </si>
  <si>
    <t>12:18:26</t>
  </si>
  <si>
    <t>12:18:35</t>
  </si>
  <si>
    <t>11:59:00</t>
  </si>
  <si>
    <t>12:18:44</t>
  </si>
  <si>
    <t>11:24:00</t>
  </si>
  <si>
    <t>12:24:18</t>
  </si>
  <si>
    <t>Аптека "Экономия"</t>
  </si>
  <si>
    <t>12:25:25</t>
  </si>
  <si>
    <t>12:27:59</t>
  </si>
  <si>
    <t>16:58:00</t>
  </si>
  <si>
    <t>12:28:29</t>
  </si>
  <si>
    <t>Аптечный пункт №77-186</t>
  </si>
  <si>
    <t>12:28:00</t>
  </si>
  <si>
    <t>12:29:27</t>
  </si>
  <si>
    <t>12:32:47</t>
  </si>
  <si>
    <t>12:34:41</t>
  </si>
  <si>
    <t>Аптечный пункт-ТФ-(Мск)-Новые Черемушки-2</t>
  </si>
  <si>
    <t>12:35:23</t>
  </si>
  <si>
    <t>12:35:59</t>
  </si>
  <si>
    <t>Респ Татарстан, г Чистополь, ул Ленина, д 48</t>
  </si>
  <si>
    <t>12:37:00</t>
  </si>
  <si>
    <t>12:42:50</t>
  </si>
  <si>
    <t>Респ Татарстан, г Чистополь, ул Ленина, д 2А</t>
  </si>
  <si>
    <t>12:36:00</t>
  </si>
  <si>
    <t>12:43:37</t>
  </si>
  <si>
    <t>12:30:00</t>
  </si>
  <si>
    <t>12:44:49</t>
  </si>
  <si>
    <t>17:42:00</t>
  </si>
  <si>
    <t>12:47:37</t>
  </si>
  <si>
    <t>17:40:00</t>
  </si>
  <si>
    <t>12:47:59</t>
  </si>
  <si>
    <t>ул. Луговая, 85а, Касса №1</t>
  </si>
  <si>
    <t>19:46:00</t>
  </si>
  <si>
    <t>12:48:15</t>
  </si>
  <si>
    <t>12:49:11</t>
  </si>
  <si>
    <t>14:15:00</t>
  </si>
  <si>
    <t>12:49:26</t>
  </si>
  <si>
    <t>12:49:31</t>
  </si>
  <si>
    <t>12:52:13</t>
  </si>
  <si>
    <t>Респ Татарстан, г Чистополь, ул К.Маркса, д 92Б</t>
  </si>
  <si>
    <t>12:52:42</t>
  </si>
  <si>
    <t>12:55:05</t>
  </si>
  <si>
    <t>Аптека 5+</t>
  </si>
  <si>
    <t>21:21:00</t>
  </si>
  <si>
    <t>12:58:47</t>
  </si>
  <si>
    <t>12:58:59</t>
  </si>
  <si>
    <t>17:58:00</t>
  </si>
  <si>
    <t>12:59:05</t>
  </si>
  <si>
    <t>NSK-MZ09-KAS1</t>
  </si>
  <si>
    <t>17:03:00</t>
  </si>
  <si>
    <t>13:03:15</t>
  </si>
  <si>
    <t>14:48:00</t>
  </si>
  <si>
    <t>13:05:26</t>
  </si>
  <si>
    <t>12:47:00</t>
  </si>
  <si>
    <t>13:08:35</t>
  </si>
  <si>
    <t>аптека "Фламинго" по адресу: г.Владикавказ, Проспект Коста 117</t>
  </si>
  <si>
    <t>13:12:37</t>
  </si>
  <si>
    <t>РСО-Алания, г. Владикавказ, проспект Коста, д. 180</t>
  </si>
  <si>
    <t>13:17:29</t>
  </si>
  <si>
    <t>13:19:54</t>
  </si>
  <si>
    <t>Респ Татарстан, г Нижнекамск, ул Чулман, д 9</t>
  </si>
  <si>
    <t>АПТЕКА №78-465</t>
  </si>
  <si>
    <t>13:13:00</t>
  </si>
  <si>
    <t>13:22:26</t>
  </si>
  <si>
    <t>Респ Татарстан, г Нижнекамск, ул Студенческая, зд 48А</t>
  </si>
  <si>
    <t>Аптека  Лека</t>
  </si>
  <si>
    <t>13:24:02</t>
  </si>
  <si>
    <t>Респ Татарстан, г Нижнекамск, ул Менделеева, зд 46</t>
  </si>
  <si>
    <t>Аптека Кременчугская 11 (А12)</t>
  </si>
  <si>
    <t>13:24:14</t>
  </si>
  <si>
    <t>Респ Татарстан, г Нижнекамск, ул Баки Урманче, зд 15</t>
  </si>
  <si>
    <t>11:57:00</t>
  </si>
  <si>
    <t>13:33:27</t>
  </si>
  <si>
    <t>19:42:00</t>
  </si>
  <si>
    <t>13:33:33</t>
  </si>
  <si>
    <t>Респ Татарстан, г Нижнекамск, пр-кт Химиков, д 10, помещ 4</t>
  </si>
  <si>
    <t>Аптечный пункт-АФ-(Мск)-Речной вокзал-1</t>
  </si>
  <si>
    <t>13:34:00</t>
  </si>
  <si>
    <t>13:34:50</t>
  </si>
  <si>
    <t>Респ Татарстан, г Набережные Челны, ул Шамиля Усманова, д 127А</t>
  </si>
  <si>
    <t>13:38:39</t>
  </si>
  <si>
    <t>13:39:25</t>
  </si>
  <si>
    <t>Аптека "СитиФарм"</t>
  </si>
  <si>
    <t>Аптечный пункт № 2158</t>
  </si>
  <si>
    <t>13:48:31</t>
  </si>
  <si>
    <t>18:46:00</t>
  </si>
  <si>
    <t>13:56:22</t>
  </si>
  <si>
    <t>13:53:00</t>
  </si>
  <si>
    <t>13:58:54</t>
  </si>
  <si>
    <t>13:59:28</t>
  </si>
  <si>
    <t>Аптека №78-1200</t>
  </si>
  <si>
    <t>14:01:00</t>
  </si>
  <si>
    <t>14:02:19</t>
  </si>
  <si>
    <t>14:05:13</t>
  </si>
  <si>
    <t>13:56:00</t>
  </si>
  <si>
    <t>14:08:05</t>
  </si>
  <si>
    <t>14:09:47</t>
  </si>
  <si>
    <t>06:25:00</t>
  </si>
  <si>
    <t>06:32:32</t>
  </si>
  <si>
    <t>17:37:54</t>
  </si>
  <si>
    <t>13:00:00</t>
  </si>
  <si>
    <t>10:01:25</t>
  </si>
  <si>
    <t>Респ Татарстан, г Набережные Челны, ул Татарстан, д 16</t>
  </si>
  <si>
    <t>16:42:00</t>
  </si>
  <si>
    <t>12:45:49</t>
  </si>
  <si>
    <t>199004, Санкт-Петербург, 7-я линия В.О., д.60, лит. А</t>
  </si>
  <si>
    <t>13:09:00</t>
  </si>
  <si>
    <t>12:55:08</t>
  </si>
  <si>
    <t>13:02:00</t>
  </si>
  <si>
    <t>13:06:59</t>
  </si>
  <si>
    <t>Респ Татарстан, г Набережные Челны, ул Авангардная, д 43</t>
  </si>
  <si>
    <t>16:42:26</t>
  </si>
  <si>
    <t>Респ Татарстан, г Набережные Челны, пр-кт Яшьлек, д 8В, помещ 4</t>
  </si>
  <si>
    <t>17:40:34</t>
  </si>
  <si>
    <t>Респ Татарстан, г Набережные Челны, пр-кт Яшьлек, д 13</t>
  </si>
  <si>
    <t>196655, Санкт-Петербург, г. Колпино, Веры Слуцкой ул., д.38, лит. А</t>
  </si>
  <si>
    <t>18:11:12</t>
  </si>
  <si>
    <t>Респ Татарстан, г Набережные Челны, пр-кт Чулман, д 17/2, помещ 82</t>
  </si>
  <si>
    <t>18:19:00</t>
  </si>
  <si>
    <t>18:31:09</t>
  </si>
  <si>
    <t>Респ Татарстан, г Набережные Челны, пр-кт Сююмбике, д 64</t>
  </si>
  <si>
    <t>04:38:12</t>
  </si>
  <si>
    <t>Респ Татарстан, г Набережные Челны, пр-кт Раиса Беляева, д 12</t>
  </si>
  <si>
    <t>Аптека,aptekiplus.ru</t>
  </si>
  <si>
    <t>11:21:00</t>
  </si>
  <si>
    <t>07:21:48</t>
  </si>
  <si>
    <t>Респ Татарстан, г Набережные Челны, пр-кт Набережночелнинский, д 8А</t>
  </si>
  <si>
    <t>12:25:00</t>
  </si>
  <si>
    <t>10:59:00</t>
  </si>
  <si>
    <t>08:02:24</t>
  </si>
  <si>
    <t>г. Новокузнецк, ул. Новобайдаевская 7</t>
  </si>
  <si>
    <t>11:46:00</t>
  </si>
  <si>
    <t>08:05:14</t>
  </si>
  <si>
    <t>08:12:00</t>
  </si>
  <si>
    <t>08:13:13</t>
  </si>
  <si>
    <t>08:19:00</t>
  </si>
  <si>
    <t>08:25:19</t>
  </si>
  <si>
    <t>12:12:00</t>
  </si>
  <si>
    <t>08:46:05</t>
  </si>
  <si>
    <t>ОСП Аптека № 202</t>
  </si>
  <si>
    <t>10:24:00</t>
  </si>
  <si>
    <t>08:52:34</t>
  </si>
  <si>
    <t>09:19:00</t>
  </si>
  <si>
    <t>09:19:35</t>
  </si>
  <si>
    <t>09:30:12</t>
  </si>
  <si>
    <t>Респ Татарстан, г Набережные Челны, пр-кт Набережночелнинский, д 70/56</t>
  </si>
  <si>
    <t>09:58:00</t>
  </si>
  <si>
    <t>09:57:34</t>
  </si>
  <si>
    <t>03:17:00</t>
  </si>
  <si>
    <t>09:58:07</t>
  </si>
  <si>
    <t>10:19:00</t>
  </si>
  <si>
    <t>Респ Татарстан, г Набережные Челны, пр-кт Набережночелнинский, д 7, помещ 11А</t>
  </si>
  <si>
    <t>11:29:00</t>
  </si>
  <si>
    <t>10:22:18</t>
  </si>
  <si>
    <t>Респ Татарстан, г Набережные Челны, пр-кт Набережночелнинский, д 51</t>
  </si>
  <si>
    <t>10:43:35</t>
  </si>
  <si>
    <t>11:22:24</t>
  </si>
  <si>
    <t>11:38:11</t>
  </si>
  <si>
    <t>11:42:58</t>
  </si>
  <si>
    <t>КлгАпт390036 км1</t>
  </si>
  <si>
    <t>10:46:00</t>
  </si>
  <si>
    <t>11:48:25</t>
  </si>
  <si>
    <t>Респ Татарстан, г Набережные Челны, пр-кт Московский, д 86</t>
  </si>
  <si>
    <t>16:56:00</t>
  </si>
  <si>
    <t>11:56:04</t>
  </si>
  <si>
    <t>Респ Татарстан, г Набережные Челны, пр-кт Московский, д 146</t>
  </si>
  <si>
    <t>16:00:00</t>
  </si>
  <si>
    <t>12:11:18</t>
  </si>
  <si>
    <t>196600, Санкт-Петербург, г. Пушкин, Генерала Хазова ул., д.20, лит. А</t>
  </si>
  <si>
    <t>12:30:21</t>
  </si>
  <si>
    <t>16 - Республика Татарстан (Татарстан), м.р-н Зеленодольский,422527, с/п Осиновское, с Осиново,, ул Светлая, зд. 10</t>
  </si>
  <si>
    <t>12:39:05</t>
  </si>
  <si>
    <t>54 - Новосибирская область, г.о. город Новосибирск,630066,, г Новосибирск,, ул Комсомольская, д. 23а/1</t>
  </si>
  <si>
    <t>15:06:00</t>
  </si>
  <si>
    <t>12:39:31</t>
  </si>
  <si>
    <t>12:40:08</t>
  </si>
  <si>
    <t>Аптека "АптекарЪ" №2</t>
  </si>
  <si>
    <t>12:40:00</t>
  </si>
  <si>
    <t>12:43:10</t>
  </si>
  <si>
    <t>12:48:07</t>
  </si>
  <si>
    <t>Респ Татарстан, г Набережные Челны, пр-кт Московский, д 129/5</t>
  </si>
  <si>
    <t>12:56:00</t>
  </si>
  <si>
    <t>12:56:27</t>
  </si>
  <si>
    <t>Респ Татарстан, г Набережные Челны, пр-кт Мира, д 53</t>
  </si>
  <si>
    <t>15:13:00</t>
  </si>
  <si>
    <t>13:17:35</t>
  </si>
  <si>
    <t>Респ Татарстан, г Набережные Челны, пр-кт Абдурахмана Абсалямова, д 15, помещ 1003</t>
  </si>
  <si>
    <t>14:15:12</t>
  </si>
  <si>
    <t>Респ Татарстан, г Мамадыш, пер Габдуллы Тукая, д 42/75</t>
  </si>
  <si>
    <t>18:14:00</t>
  </si>
  <si>
    <t>14:19:50</t>
  </si>
  <si>
    <t>Респ Татарстан, г Зеленодольск, ул Королева, д 9</t>
  </si>
  <si>
    <t>Аптечный пункт-ГР-(Мск)-Кузьминки-1</t>
  </si>
  <si>
    <t>14:27:00</t>
  </si>
  <si>
    <t>14:27:13</t>
  </si>
  <si>
    <t>14:30:45</t>
  </si>
  <si>
    <t>14:31:00</t>
  </si>
  <si>
    <t>14:32:18</t>
  </si>
  <si>
    <t>Аптека на Устиновича</t>
  </si>
  <si>
    <t>18:36:00</t>
  </si>
  <si>
    <t>14:37:12</t>
  </si>
  <si>
    <t>Гастелло</t>
  </si>
  <si>
    <t>17:25:00</t>
  </si>
  <si>
    <t>14:41:34</t>
  </si>
  <si>
    <t>Респ Крым, г Ялта, ул Московская, д 11</t>
  </si>
  <si>
    <t>17:10:00</t>
  </si>
  <si>
    <t>15:11:48</t>
  </si>
  <si>
    <t>аптечный пункт</t>
  </si>
  <si>
    <t>15:12:15</t>
  </si>
  <si>
    <t>Респ Крым, г Ялта, ул Киевская, д 6</t>
  </si>
  <si>
    <t>15:13:04</t>
  </si>
  <si>
    <t>14:51:00</t>
  </si>
  <si>
    <t>15:13:14</t>
  </si>
  <si>
    <t>15:19:19</t>
  </si>
  <si>
    <t>15:20:50</t>
  </si>
  <si>
    <t>19:27:00</t>
  </si>
  <si>
    <t>15:29:09</t>
  </si>
  <si>
    <t>Аптечный пункт №77-014</t>
  </si>
  <si>
    <t>15:43:00</t>
  </si>
  <si>
    <t>15:44:08</t>
  </si>
  <si>
    <t>Аптека № 12</t>
  </si>
  <si>
    <t>15:56:00</t>
  </si>
  <si>
    <t>15:55:16</t>
  </si>
  <si>
    <t>Респ Крым, г Ялта, ул Киевская, д 50</t>
  </si>
  <si>
    <t>15:46:00</t>
  </si>
  <si>
    <t>15:55:39</t>
  </si>
  <si>
    <t>Респ Крым, г Ялта, пгт Ливадия, ш Севастопольское, д 2</t>
  </si>
  <si>
    <t>15:27:00</t>
  </si>
  <si>
    <t>16:20:26</t>
  </si>
  <si>
    <t>Респ Крым, г Ялта, пгт Гурзуф, ул Подвойского, д 19</t>
  </si>
  <si>
    <t>16:27:00</t>
  </si>
  <si>
    <t>16:33:57</t>
  </si>
  <si>
    <t>Респ Крым, г Ялта, пгт Гурзуф, ул Ленинградская, д 70Е, помещ 2-5</t>
  </si>
  <si>
    <t>16:57:53</t>
  </si>
  <si>
    <t>16:59:26</t>
  </si>
  <si>
    <t>16:50:00</t>
  </si>
  <si>
    <t>17:06:30</t>
  </si>
  <si>
    <t>Аптечный пункт №6</t>
  </si>
  <si>
    <t>17:11:00</t>
  </si>
  <si>
    <t>17:12:15</t>
  </si>
  <si>
    <t>АПТЕЧНЫЙ ПУНКТ №77-1269</t>
  </si>
  <si>
    <t>17:13:18</t>
  </si>
  <si>
    <t>18:15:00</t>
  </si>
  <si>
    <t>17:21:19</t>
  </si>
  <si>
    <t>Аптечный пункт-ЗД-(МО)-Химки-1</t>
  </si>
  <si>
    <t>17:35:11</t>
  </si>
  <si>
    <t>18:05:54</t>
  </si>
  <si>
    <t>Респ Крым, г Ялта, наб Ленина В.И. имени, д 21/1</t>
  </si>
  <si>
    <t>ТРИКА на Зеленодольской</t>
  </si>
  <si>
    <t>18:07:28</t>
  </si>
  <si>
    <t>Аптека Киришская ул. 4</t>
  </si>
  <si>
    <t>18:25:00</t>
  </si>
  <si>
    <t>18:26:03</t>
  </si>
  <si>
    <t>Аптека №67</t>
  </si>
  <si>
    <t>18:44:00</t>
  </si>
  <si>
    <t>18:46:15</t>
  </si>
  <si>
    <t>Респ Крым, г Ялта, г Алупка, ул Фрунзе, д 7</t>
  </si>
  <si>
    <t>Аптека № 27</t>
  </si>
  <si>
    <t>18:53:50</t>
  </si>
  <si>
    <t>Респ Крым, г Феодосия, ул Чкалова, д 86</t>
  </si>
  <si>
    <t>19:26:35</t>
  </si>
  <si>
    <t>19:38:00</t>
  </si>
  <si>
    <t>19:43:15</t>
  </si>
  <si>
    <t>Респ Крым, г Феодосия, ул Советская, д 16</t>
  </si>
  <si>
    <t>19:47:23</t>
  </si>
  <si>
    <t>Респ Крым, г Феодосия, ул Крымская, д 11</t>
  </si>
  <si>
    <t>2025-02-17</t>
  </si>
  <si>
    <t>07:58:00</t>
  </si>
  <si>
    <t>2025-02-18</t>
  </si>
  <si>
    <t>20:07:41</t>
  </si>
  <si>
    <t>Респ Крым, г Судак, ул Ленина, д 61</t>
  </si>
  <si>
    <t>00:45:21</t>
  </si>
  <si>
    <t>14:24:00</t>
  </si>
  <si>
    <t>02:24:46</t>
  </si>
  <si>
    <t>07:38:00</t>
  </si>
  <si>
    <t>03:47:01</t>
  </si>
  <si>
    <t>Респ Крым, г Судак, ул Гвардейская, д 2</t>
  </si>
  <si>
    <t>08:52:00</t>
  </si>
  <si>
    <t>04:58:31</t>
  </si>
  <si>
    <t>Аптека.</t>
  </si>
  <si>
    <t>09:20:00</t>
  </si>
  <si>
    <t>05:09:41</t>
  </si>
  <si>
    <t>Респ Крым, г Симферополь, ул Чехова, д 68</t>
  </si>
  <si>
    <t>09:11:00</t>
  </si>
  <si>
    <t>05:14:12</t>
  </si>
  <si>
    <t>Респ Крым, г Симферополь, ул Старозенитная, д 5</t>
  </si>
  <si>
    <t>ул. Луговая, 85а, Касса №2</t>
  </si>
  <si>
    <t>12:48:00</t>
  </si>
  <si>
    <t>05:49:02</t>
  </si>
  <si>
    <t>06:22:20</t>
  </si>
  <si>
    <t>12:55:00</t>
  </si>
  <si>
    <t>06:26:42</t>
  </si>
  <si>
    <t>Респ Крым, г Симферополь, ул Семашко, зд 4</t>
  </si>
  <si>
    <t>08:53:00</t>
  </si>
  <si>
    <t>06:55:31</t>
  </si>
  <si>
    <t>19:13:00</t>
  </si>
  <si>
    <t>06:57:43</t>
  </si>
  <si>
    <t>07:02:45</t>
  </si>
  <si>
    <t>Аптека № 57</t>
  </si>
  <si>
    <t>07:12:49</t>
  </si>
  <si>
    <t>Респ Крым, г Симферополь, ул Сельби, д 25 к к</t>
  </si>
  <si>
    <t>Аптечный пункт № 77-747</t>
  </si>
  <si>
    <t>07:16:00</t>
  </si>
  <si>
    <t>07:31:21</t>
  </si>
  <si>
    <t>Аптечный пункт №77-178</t>
  </si>
  <si>
    <t>07:21:00</t>
  </si>
  <si>
    <t>07:32:42</t>
  </si>
  <si>
    <t>Аптека "АКТА-КРЫМ" ПОДРАЗДЕЛЕНИЕ "2"</t>
  </si>
  <si>
    <t>07:30:00</t>
  </si>
  <si>
    <t>07:40:16</t>
  </si>
  <si>
    <t>18:52:00</t>
  </si>
  <si>
    <t>07:50:22</t>
  </si>
  <si>
    <t>Респ Крым, г Симферополь, ул Севастопольская, зд 70Д</t>
  </si>
  <si>
    <t>08:11:45</t>
  </si>
  <si>
    <t>аптека № 83</t>
  </si>
  <si>
    <t>13:06:00</t>
  </si>
  <si>
    <t>08:12:23</t>
  </si>
  <si>
    <t>Респ Крым, г Симферополь, ул Севастопольская, зд 62</t>
  </si>
  <si>
    <t>08:12:50</t>
  </si>
  <si>
    <t>Респ Крым, г Симферополь, ул Севастопольская, д 47</t>
  </si>
  <si>
    <t>10:02:00</t>
  </si>
  <si>
    <t>08:12:59</t>
  </si>
  <si>
    <t>2025-03-08</t>
  </si>
  <si>
    <t>08:13:36</t>
  </si>
  <si>
    <t>08:13:40</t>
  </si>
  <si>
    <t>08:13:44</t>
  </si>
  <si>
    <t>08:13:48</t>
  </si>
  <si>
    <t>08:15:46</t>
  </si>
  <si>
    <t>Респ Крым, г Симферополь, ул Павленко, д 13</t>
  </si>
  <si>
    <t>18:58:00</t>
  </si>
  <si>
    <t>08:17:09</t>
  </si>
  <si>
    <t>Респ Крым, г Симферополь, ул Озимая, зд 29</t>
  </si>
  <si>
    <t>08:18:14</t>
  </si>
  <si>
    <t>Респ Крым, г Симферополь, ул Мичурина, д 14</t>
  </si>
  <si>
    <t>Уссурийск, ул. Русская 5А, Касса 2</t>
  </si>
  <si>
    <t>08:28:20</t>
  </si>
  <si>
    <t>Респ Крым, г Симферополь, ул Механизаторов, д 51</t>
  </si>
  <si>
    <t>08:38:48</t>
  </si>
  <si>
    <t>Респ Крым, г Симферополь, ул Лермонтова, д 18В</t>
  </si>
  <si>
    <t>Аптечный пункт;сайт:planetazdorovo.ru</t>
  </si>
  <si>
    <t>08:43:23</t>
  </si>
  <si>
    <t>08:46:20</t>
  </si>
  <si>
    <t>Респ Крым, г Симферополь, ул Куйбышева, д 36</t>
  </si>
  <si>
    <t>08:52:57</t>
  </si>
  <si>
    <t>11:56:00</t>
  </si>
  <si>
    <t>08:56:59</t>
  </si>
  <si>
    <t>Респ Крым, г Симферополь, ул Кубанская, д 16</t>
  </si>
  <si>
    <t>Аптечный пункт №77-700</t>
  </si>
  <si>
    <t>08:57:00</t>
  </si>
  <si>
    <t>08:58:02</t>
  </si>
  <si>
    <t>Респ Крым, г Симферополь, ул Киевская, д 83</t>
  </si>
  <si>
    <t>09:05:00</t>
  </si>
  <si>
    <t>09:06:48</t>
  </si>
  <si>
    <t>Респ Крым, г Симферополь, ул Киевская, д 57/1</t>
  </si>
  <si>
    <t>09:11:50</t>
  </si>
  <si>
    <t>Респ Крым, г Симферополь, ул Киевская, д 5/2</t>
  </si>
  <si>
    <t>09:00:00</t>
  </si>
  <si>
    <t>09:13:34</t>
  </si>
  <si>
    <t>09:13:58</t>
  </si>
  <si>
    <t>09:15:00</t>
  </si>
  <si>
    <t>09:14:39</t>
  </si>
  <si>
    <t>09:20:54</t>
  </si>
  <si>
    <t>АГФ № 39</t>
  </si>
  <si>
    <t>ТЦ МОСКВА 2у/1085</t>
  </si>
  <si>
    <t>09:21:00</t>
  </si>
  <si>
    <t>09:21:43</t>
  </si>
  <si>
    <t>09:24:26</t>
  </si>
  <si>
    <t>Респ Крым, г Симферополь, ул Киевская, д 136А</t>
  </si>
  <si>
    <t>09:30:45</t>
  </si>
  <si>
    <t>09:34:14</t>
  </si>
  <si>
    <t>Респ Крым, г Симферополь, ул Киевская, д 136</t>
  </si>
  <si>
    <t>Аптека №83</t>
  </si>
  <si>
    <t>09:29:00</t>
  </si>
  <si>
    <t>09:34:40</t>
  </si>
  <si>
    <t>Респ Крым, г Симферополь, ул Киевская, д 114</t>
  </si>
  <si>
    <t>12:46:00</t>
  </si>
  <si>
    <t>09:35:26</t>
  </si>
  <si>
    <t>Респ Крым, г Симферополь, ул Кечкеметская, д 69/155</t>
  </si>
  <si>
    <t>аптека №18</t>
  </si>
  <si>
    <t>09:24:00</t>
  </si>
  <si>
    <t>09:44:45</t>
  </si>
  <si>
    <t>09:44:00</t>
  </si>
  <si>
    <t>09:44:57</t>
  </si>
  <si>
    <t>Респ Крым, г Симферополь, ул Залесская, д 68</t>
  </si>
  <si>
    <t>09:58:29</t>
  </si>
  <si>
    <t>10:00:00</t>
  </si>
  <si>
    <t>10:03:06</t>
  </si>
  <si>
    <t>Аптечный пункт № 1013</t>
  </si>
  <si>
    <t>09:59:00</t>
  </si>
  <si>
    <t>10:04:24</t>
  </si>
  <si>
    <t>Аптека16</t>
  </si>
  <si>
    <t>09:04:00</t>
  </si>
  <si>
    <t>10:05:33</t>
  </si>
  <si>
    <t>10:04:00</t>
  </si>
  <si>
    <t>10:05:47</t>
  </si>
  <si>
    <t>10:12:00</t>
  </si>
  <si>
    <t>10:07:26</t>
  </si>
  <si>
    <t>54 - Новосибирская область, м.р-н Новосибирский,630501, г/п рабочий поселок Краснообск, рп Краснообск, мкр 2,, д. 246</t>
  </si>
  <si>
    <t>14:11:00</t>
  </si>
  <si>
    <t>10:12:05</t>
  </si>
  <si>
    <t>10:15:32</t>
  </si>
  <si>
    <t>Респ Крым, г Симферополь, ул Д.И.Ульянова, д 22</t>
  </si>
  <si>
    <t>17:15:00</t>
  </si>
  <si>
    <t>10:23:41</t>
  </si>
  <si>
    <t>16:05:00</t>
  </si>
  <si>
    <t>г. Бийск, ул. Декабристов, д. 15/1</t>
  </si>
  <si>
    <t>10:25:34</t>
  </si>
  <si>
    <t>АПТЕКА №23 "Здравсити"</t>
  </si>
  <si>
    <t>14:21:00</t>
  </si>
  <si>
    <t>10:25:56</t>
  </si>
  <si>
    <t>Респ Крым, г Симферополь, ул Д.И.Ульянова, д 18</t>
  </si>
  <si>
    <t>10:26:21</t>
  </si>
  <si>
    <t>Респ Крым, г Симферополь, ул Д.И.Ульянова, д 12, помещ 52</t>
  </si>
  <si>
    <t>2025-02-20</t>
  </si>
  <si>
    <t>2025-02-21</t>
  </si>
  <si>
    <t>10:26:22</t>
  </si>
  <si>
    <t>Респ Крым, г Симферополь, ул Героев Сталинграда, д 3А</t>
  </si>
  <si>
    <t>14:25:00</t>
  </si>
  <si>
    <t>10:26:46</t>
  </si>
  <si>
    <t>10:26:47</t>
  </si>
  <si>
    <t>ООО "Аптека Витамин"</t>
  </si>
  <si>
    <t>11:40:00</t>
  </si>
  <si>
    <t>10:27:19</t>
  </si>
  <si>
    <t>10:30:51</t>
  </si>
  <si>
    <t>Аптека №78-740</t>
  </si>
  <si>
    <t>10:33:00</t>
  </si>
  <si>
    <t>10:34:29</t>
  </si>
  <si>
    <t>10:40:39</t>
  </si>
  <si>
    <t>Аптечный пункт-АФ-(Мск)-ВДНХ-2</t>
  </si>
  <si>
    <t>10:43:00</t>
  </si>
  <si>
    <t>10:43:04</t>
  </si>
  <si>
    <t>10:50:05</t>
  </si>
  <si>
    <t>10:55:39</t>
  </si>
  <si>
    <t>10:57:31</t>
  </si>
  <si>
    <t>Респ Крым, г Симферополь, ул Генерала Родионова, д 3А</t>
  </si>
  <si>
    <t>10:55:00</t>
  </si>
  <si>
    <t>11:00:40</t>
  </si>
  <si>
    <t>09:51:00</t>
  </si>
  <si>
    <t>11:08:12</t>
  </si>
  <si>
    <t>Аптека №16</t>
  </si>
  <si>
    <t>11:09:10</t>
  </si>
  <si>
    <t>Аптека "А.Р.М."</t>
  </si>
  <si>
    <t>11:09:00</t>
  </si>
  <si>
    <t>11:10:13</t>
  </si>
  <si>
    <t>11:10:44</t>
  </si>
  <si>
    <t>11:11:36</t>
  </si>
  <si>
    <t>11:11:44</t>
  </si>
  <si>
    <t>14:53:00</t>
  </si>
  <si>
    <t>11:14:54</t>
  </si>
  <si>
    <t>11:15:03</t>
  </si>
  <si>
    <t>Аптека №13</t>
  </si>
  <si>
    <t>10:37:00</t>
  </si>
  <si>
    <t>11:18:18</t>
  </si>
  <si>
    <t>11:03:00</t>
  </si>
  <si>
    <t>11:20:14</t>
  </si>
  <si>
    <t>11:23:44</t>
  </si>
  <si>
    <t>11:25:22</t>
  </si>
  <si>
    <t>11:02:00</t>
  </si>
  <si>
    <t>11:25:36</t>
  </si>
  <si>
    <t>11:23:00</t>
  </si>
  <si>
    <t>11:29:29</t>
  </si>
  <si>
    <t>11:27:00</t>
  </si>
  <si>
    <t>11:30:29</t>
  </si>
  <si>
    <t>Аптека, ул. Октябрьская, 39</t>
  </si>
  <si>
    <t>16:30:00</t>
  </si>
  <si>
    <t>11:30:46</t>
  </si>
  <si>
    <t>Аптека "ЛЕКА"</t>
  </si>
  <si>
    <t>15:24:00</t>
  </si>
  <si>
    <t>Респ Крым, г Симферополь, ул Беспалова, д 85, помещ 1</t>
  </si>
  <si>
    <t>11:41:34</t>
  </si>
  <si>
    <t>Респ Крым, г Симферополь, ул Беспалова, д 3/1</t>
  </si>
  <si>
    <t>11:36:00</t>
  </si>
  <si>
    <t>11:41:46</t>
  </si>
  <si>
    <t>Респ Крым, г Симферополь, ул Батурина, д 113, офис 1</t>
  </si>
  <si>
    <t>11:04:00</t>
  </si>
  <si>
    <t>11:42:42</t>
  </si>
  <si>
    <t>Респ Крым, г Симферополь, ул 60 лет Октября, д 28/80</t>
  </si>
  <si>
    <t>11:52:00</t>
  </si>
  <si>
    <t>11:56:52</t>
  </si>
  <si>
    <t>Аптечный пункт 726</t>
  </si>
  <si>
    <t>11:58:43</t>
  </si>
  <si>
    <t>12:02:35</t>
  </si>
  <si>
    <t>12:10:11</t>
  </si>
  <si>
    <t>12:14:05</t>
  </si>
  <si>
    <t>17:22:00</t>
  </si>
  <si>
    <t>12:17:00</t>
  </si>
  <si>
    <t>Аптека №49</t>
  </si>
  <si>
    <t>12:17:14</t>
  </si>
  <si>
    <t>12:17:50</t>
  </si>
  <si>
    <t>12:19:18</t>
  </si>
  <si>
    <t>12:19:00</t>
  </si>
  <si>
    <t>12:22:26</t>
  </si>
  <si>
    <t>Аптека "МЕЛОДИЯ ЗДОРОВЬЯ" влд 9 срв</t>
  </si>
  <si>
    <t>13:04:00</t>
  </si>
  <si>
    <t>12:29:03</t>
  </si>
  <si>
    <t>15:20:00</t>
  </si>
  <si>
    <t>12:29:21</t>
  </si>
  <si>
    <t>Аптечный пункт №17</t>
  </si>
  <si>
    <t>12:32:21</t>
  </si>
  <si>
    <t>12:35:37</t>
  </si>
  <si>
    <t>Аптека 366 касса 1</t>
  </si>
  <si>
    <t>12:33:00</t>
  </si>
  <si>
    <t>12:35:55</t>
  </si>
  <si>
    <t>Респ Крым, г Симферополь, ул 60 лет Октября, д 27</t>
  </si>
  <si>
    <t>12:36:41</t>
  </si>
  <si>
    <t>12:40:42</t>
  </si>
  <si>
    <t>15:05:00</t>
  </si>
  <si>
    <t>12:40:53</t>
  </si>
  <si>
    <t>Респ Крым, г Симферополь, ул 60 лет Октября, д 20</t>
  </si>
  <si>
    <t>Аптечный пункт №50-036</t>
  </si>
  <si>
    <t>12:07:00</t>
  </si>
  <si>
    <t>12:51:00</t>
  </si>
  <si>
    <t>12:46:25</t>
  </si>
  <si>
    <t>12:51:18</t>
  </si>
  <si>
    <t>12:58:17</t>
  </si>
  <si>
    <t>12:59:04</t>
  </si>
  <si>
    <t>Аптека № 2202</t>
  </si>
  <si>
    <t>12:53:00</t>
  </si>
  <si>
    <t>12:59:30</t>
  </si>
  <si>
    <t>Респ Крым, г Симферополь, ул 26-я Улица коллективных садов, зд 285</t>
  </si>
  <si>
    <t>11:20:00</t>
  </si>
  <si>
    <t>13:02:07</t>
  </si>
  <si>
    <t>Респ Крым, г Симферополь, ул 25-я Улица коллективных садов, зд 297</t>
  </si>
  <si>
    <t>ЦРА 8 Аптека 100</t>
  </si>
  <si>
    <t>16:44:00</t>
  </si>
  <si>
    <t>13:02:20</t>
  </si>
  <si>
    <t>Респ Крым, г Симферополь, пр-кт Победы, зд 216Е</t>
  </si>
  <si>
    <t>Аптека 245</t>
  </si>
  <si>
    <t>13:02:54</t>
  </si>
  <si>
    <t>Респ Крым, г Симферополь, пр-кт Победы, д 56</t>
  </si>
  <si>
    <t>Аптечный пункт-ЗД-(МО)-Красногорск-1</t>
  </si>
  <si>
    <t>13:03:53</t>
  </si>
  <si>
    <t>Респ Крым, г Симферополь, пр-кт Победы, д 35</t>
  </si>
  <si>
    <t>13:20:19</t>
  </si>
  <si>
    <t>Респ Крым, г Симферополь, пр-кт Кирова, д 57</t>
  </si>
  <si>
    <t>13:26:59</t>
  </si>
  <si>
    <t>Респ Крым, г Симферополь, пр-кт Кирова, д 32</t>
  </si>
  <si>
    <t>13:27:01</t>
  </si>
  <si>
    <t>Респ Крым, г Симферополь, пр-кт Кирова, д 16</t>
  </si>
  <si>
    <t>195112, Санкт-Петербург, Новочеркасский проспект, д.12, корп.1, лит. А</t>
  </si>
  <si>
    <t>13:27:04</t>
  </si>
  <si>
    <t>Респ Крым, г Симферополь, пер Смежный, зд 10</t>
  </si>
  <si>
    <t>16:14:00</t>
  </si>
  <si>
    <t>13:30:53</t>
  </si>
  <si>
    <t>Респ Крым, г Симферополь, пер Пионерский, зд 2/10</t>
  </si>
  <si>
    <t>13:31:55</t>
  </si>
  <si>
    <t>13:34:48</t>
  </si>
  <si>
    <t>13:37:26</t>
  </si>
  <si>
    <t>Респ Крым, г Симферополь, пер Козлова, д 8</t>
  </si>
  <si>
    <t>13:40:57</t>
  </si>
  <si>
    <t>Аптечный пункт,сайт:www.planetazdorovo.ru</t>
  </si>
  <si>
    <t>13:43:28</t>
  </si>
  <si>
    <t>Респ Крым, г Симферополь, б-р Ленина, д 20/1</t>
  </si>
  <si>
    <t>15:03:00</t>
  </si>
  <si>
    <t>14:01:38</t>
  </si>
  <si>
    <t>14:03:26</t>
  </si>
  <si>
    <t>Респ Крым, г Саки, ул Ленина, д 18</t>
  </si>
  <si>
    <t>420139, Республика Татарстан (Татарстан), город Казань г.о., Казань г, Рихарда Зорге ул, 97 д.</t>
  </si>
  <si>
    <t>14:06:42</t>
  </si>
  <si>
    <t>14:07:51</t>
  </si>
  <si>
    <t>Респ Крым, г Саки, ул Кузнецова, д 14/28</t>
  </si>
  <si>
    <t>19:05:00</t>
  </si>
  <si>
    <t>14:09:45</t>
  </si>
  <si>
    <t>14:12:45</t>
  </si>
  <si>
    <t>14:14:00</t>
  </si>
  <si>
    <t>14:14:21</t>
  </si>
  <si>
    <t>Респ Крым, г Красноперекопск, ул Ломоносова, д 8</t>
  </si>
  <si>
    <t>Супер аптека №2</t>
  </si>
  <si>
    <t>14:16:45</t>
  </si>
  <si>
    <t>Аптечный пункт-ГР-(Мск)-Шаболовская-3</t>
  </si>
  <si>
    <t>14:17:26</t>
  </si>
  <si>
    <t>14:17:42</t>
  </si>
  <si>
    <t>Респ Крым, г Красноперекопск, мкр 2, д 11</t>
  </si>
  <si>
    <t>14:20:31</t>
  </si>
  <si>
    <t>Респ Крым, г Керчь, ул Сморжевского, д 6</t>
  </si>
  <si>
    <t>14:21:17</t>
  </si>
  <si>
    <t>Респ Крым, г Керчь, ул Пролетарская, д 11, помещ 8</t>
  </si>
  <si>
    <t>72 - Тюменская область, 625001, Тюмень г, Ямская ул, д.112</t>
  </si>
  <si>
    <t>14:24:28</t>
  </si>
  <si>
    <t>14:19:00</t>
  </si>
  <si>
    <t>14:26:13</t>
  </si>
  <si>
    <t>195276, Санкт-Петербург г, Просвещения пр-кт, дом № 68, корпус 1, лит. А, пом. 2</t>
  </si>
  <si>
    <t>14:28:42</t>
  </si>
  <si>
    <t>14:29:20</t>
  </si>
  <si>
    <t>18:49:00</t>
  </si>
  <si>
    <t>14:30:30</t>
  </si>
  <si>
    <t>14:33:47</t>
  </si>
  <si>
    <t>14:40:00</t>
  </si>
  <si>
    <t>14:40:52</t>
  </si>
  <si>
    <t>14:41:20</t>
  </si>
  <si>
    <t>Аптека "Гедеон"</t>
  </si>
  <si>
    <t>13:21:00</t>
  </si>
  <si>
    <t>14:41:39</t>
  </si>
  <si>
    <t>13:32:00</t>
  </si>
  <si>
    <t>14:41:58</t>
  </si>
  <si>
    <t>17:43:00</t>
  </si>
  <si>
    <t>14:44:01</t>
  </si>
  <si>
    <t>12:29:00</t>
  </si>
  <si>
    <t>14:44:10</t>
  </si>
  <si>
    <t>Аптека №52</t>
  </si>
  <si>
    <t>14:17:00</t>
  </si>
  <si>
    <t>14:46:26</t>
  </si>
  <si>
    <t>14:46:59</t>
  </si>
  <si>
    <t>14:56:44</t>
  </si>
  <si>
    <t>Респ Крым, г Керчь, ул Орджоникидзе, зд 10В</t>
  </si>
  <si>
    <t>Северный Берлизова</t>
  </si>
  <si>
    <t>15:01:42</t>
  </si>
  <si>
    <t>Аптека №113</t>
  </si>
  <si>
    <t>15:02:00</t>
  </si>
  <si>
    <t>15:04:00</t>
  </si>
  <si>
    <t>15:06:24</t>
  </si>
  <si>
    <t>15:09:33</t>
  </si>
  <si>
    <t>Респ Крым, г Керчь, ул Орджоникидзе, д 117</t>
  </si>
  <si>
    <t>Аптечный пункт ООО 'Сириус-С'</t>
  </si>
  <si>
    <t>15:11:10</t>
  </si>
  <si>
    <t>Аптека "Фиалочка"</t>
  </si>
  <si>
    <t>15:11:21</t>
  </si>
  <si>
    <t>Респ Крым, г Керчь, ул Маршала Еременко, зд 30Б</t>
  </si>
  <si>
    <t>15:11:34</t>
  </si>
  <si>
    <t>15:12:40</t>
  </si>
  <si>
    <t>Респ Крым, г Керчь, ул Маршала Еременко, д 30</t>
  </si>
  <si>
    <t>15:17:00</t>
  </si>
  <si>
    <t>15:17:36</t>
  </si>
  <si>
    <t>Респ Крым, г Керчь, ул Ленина, зд 1</t>
  </si>
  <si>
    <t>15:22:02</t>
  </si>
  <si>
    <t>Респ Крым, г Керчь, ул Ворошилова, зд 6Б</t>
  </si>
  <si>
    <t>15:39:01</t>
  </si>
  <si>
    <t>КлгАпт39009 км1.1</t>
  </si>
  <si>
    <t>15:43:27</t>
  </si>
  <si>
    <t>Респ Крым, г Керчь, ул Войкова, зд 26В</t>
  </si>
  <si>
    <t>Аптека (Сеть аптек Экономъ)</t>
  </si>
  <si>
    <t>15:44:56</t>
  </si>
  <si>
    <t>20:09:00</t>
  </si>
  <si>
    <t>15:45:17</t>
  </si>
  <si>
    <t>15:45:45</t>
  </si>
  <si>
    <t>11:12:00</t>
  </si>
  <si>
    <t>15:47:52</t>
  </si>
  <si>
    <t>15:49:25</t>
  </si>
  <si>
    <t>Респ Крым, г Керчь, пл Ленина, д 37</t>
  </si>
  <si>
    <t>17:49:00</t>
  </si>
  <si>
    <t>15:51:49</t>
  </si>
  <si>
    <t>Респ Крым, г Керчь, пер Орджоникидзе, д 49</t>
  </si>
  <si>
    <t>19:54:00</t>
  </si>
  <si>
    <t>15:55:54</t>
  </si>
  <si>
    <t>Респ Крым, г Керчь, пер Орджоникидзе, д 39Г</t>
  </si>
  <si>
    <t>15:55:57</t>
  </si>
  <si>
    <t>Филиал 300 Аптечный пункт</t>
  </si>
  <si>
    <t>15:55:59</t>
  </si>
  <si>
    <t>16:00:49</t>
  </si>
  <si>
    <t>Респ Крым, г Евпатория, ул Советская, д 11/83, кв 2</t>
  </si>
  <si>
    <t>16:14:40</t>
  </si>
  <si>
    <t>Респ Крым, г Евпатория, ул Интернациональная, д 38/19</t>
  </si>
  <si>
    <t>15:22:00</t>
  </si>
  <si>
    <t>16:20:56</t>
  </si>
  <si>
    <t>Аптека "ФАРМЭСТЕТ"</t>
  </si>
  <si>
    <t>16:22:34</t>
  </si>
  <si>
    <t>196226, Санкт-Петербург, Наличная ул., д.32, корп.1, лит. А</t>
  </si>
  <si>
    <t>16:23:20</t>
  </si>
  <si>
    <t>Респ Крым, г Евпатория, ул Интернациональная, д 139А, помещ 6</t>
  </si>
  <si>
    <t>16:24:11</t>
  </si>
  <si>
    <t>Аптека №94</t>
  </si>
  <si>
    <t>16:24:22</t>
  </si>
  <si>
    <t>Респ Крым, г Евпатория, ул им.Крупской, д 7В</t>
  </si>
  <si>
    <t>16:26:20</t>
  </si>
  <si>
    <t>20:33:00</t>
  </si>
  <si>
    <t>16:27:30</t>
  </si>
  <si>
    <t>Аптечный пункт №50-037</t>
  </si>
  <si>
    <t>16:32:00</t>
  </si>
  <si>
    <t>16:32:14</t>
  </si>
  <si>
    <t>16:36:50</t>
  </si>
  <si>
    <t>16:39:09</t>
  </si>
  <si>
    <t>16:39:33</t>
  </si>
  <si>
    <t>16:33:00</t>
  </si>
  <si>
    <t>16:39:44</t>
  </si>
  <si>
    <t>16:37:00</t>
  </si>
  <si>
    <t>16:40:27</t>
  </si>
  <si>
    <t>Респ Крым, г Евпатория, ул им.Конституции, д 11</t>
  </si>
  <si>
    <t>16:40:37</t>
  </si>
  <si>
    <t>Респ Крым, г Евпатория, ул им.9-го Мая, д 47А</t>
  </si>
  <si>
    <t>17:00:00</t>
  </si>
  <si>
    <t>16:42:52</t>
  </si>
  <si>
    <t>Респ Крым, г Евпатория, ул им.9-го Мая, д 124, помещ 22</t>
  </si>
  <si>
    <t>Аптечный пункт Недергаева Т.М</t>
  </si>
  <si>
    <t>06:59:58</t>
  </si>
  <si>
    <t>Респ Крым, г Евпатория, пр-кт Победы, д 85</t>
  </si>
  <si>
    <t>Аптека  Ваша №1</t>
  </si>
  <si>
    <t>16:54:32</t>
  </si>
  <si>
    <t>16:55:00</t>
  </si>
  <si>
    <t>16:57:08</t>
  </si>
  <si>
    <t>Респ Крым, г Евпатория, мкр Исмаил-бей, ул 27 Августа, д 28, помещ 3</t>
  </si>
  <si>
    <t>17:03:09</t>
  </si>
  <si>
    <t>Аптечный пункт №77-015</t>
  </si>
  <si>
    <t>17:09:00</t>
  </si>
  <si>
    <t>17:09:50</t>
  </si>
  <si>
    <t>16:21:00</t>
  </si>
  <si>
    <t>17:14:09</t>
  </si>
  <si>
    <t>17:04:00</t>
  </si>
  <si>
    <t>17:16:42</t>
  </si>
  <si>
    <t>17:18:03</t>
  </si>
  <si>
    <t>Респ Крым, г Джанкой, ул Крымская, д 62</t>
  </si>
  <si>
    <t>Аптечный пункт "Не болей"</t>
  </si>
  <si>
    <t>17:20:28</t>
  </si>
  <si>
    <t>Аптека №2, рынок "Кольцо"</t>
  </si>
  <si>
    <t>17:23:08</t>
  </si>
  <si>
    <t>15:34:00</t>
  </si>
  <si>
    <t>17:29:42</t>
  </si>
  <si>
    <t>Аптечный пункт №77-627</t>
  </si>
  <si>
    <t>17:42:01</t>
  </si>
  <si>
    <t>21:20:00</t>
  </si>
  <si>
    <t>08:51:42</t>
  </si>
  <si>
    <t>17:41:00</t>
  </si>
  <si>
    <t>17:44:40</t>
  </si>
  <si>
    <t>20:43:00</t>
  </si>
  <si>
    <t>17:45:48</t>
  </si>
  <si>
    <t>АПТЕЧНЫЙ ПУНКТ №77-562</t>
  </si>
  <si>
    <t>17:33:00</t>
  </si>
  <si>
    <t>17:54:13</t>
  </si>
  <si>
    <t>17:54:12</t>
  </si>
  <si>
    <t>Респ Крым, г Джанкой, ул Интернациональная, д 82Б</t>
  </si>
  <si>
    <t>249000 Калужская обл. г.Балабаново ул.50 лет Октября д 6 "Орбита" Аптека</t>
  </si>
  <si>
    <t>17:55:00</t>
  </si>
  <si>
    <t>17:55:53</t>
  </si>
  <si>
    <t>Респ Крым, г Алушта, ул Ялтинская, д 1 к к</t>
  </si>
  <si>
    <t>Аптечный пункт-ЗД-(МО)-Коломна-1</t>
  </si>
  <si>
    <t>17:57:40</t>
  </si>
  <si>
    <t>Респ Крым, г Алушта, ул Первомайская, д 1</t>
  </si>
  <si>
    <t>Аптека 12</t>
  </si>
  <si>
    <t>17:56:00</t>
  </si>
  <si>
    <t>18:00:35</t>
  </si>
  <si>
    <t>Респ Крым, г Алушта, ул В.Хромых, д 22</t>
  </si>
  <si>
    <t>18:11:00</t>
  </si>
  <si>
    <t>18:11:58</t>
  </si>
  <si>
    <t>18:12:00</t>
  </si>
  <si>
    <t>18:14:56</t>
  </si>
  <si>
    <t>18:09:00</t>
  </si>
  <si>
    <t>18:15:04</t>
  </si>
  <si>
    <t>18:17:14</t>
  </si>
  <si>
    <t>18:17:00</t>
  </si>
  <si>
    <t>18:18:42</t>
  </si>
  <si>
    <t>16:09:00</t>
  </si>
  <si>
    <t>18:21:25</t>
  </si>
  <si>
    <t>Аптека №123</t>
  </si>
  <si>
    <t>18:27:47</t>
  </si>
  <si>
    <t>20:46:00</t>
  </si>
  <si>
    <t>18:28:35</t>
  </si>
  <si>
    <t>18:34:00</t>
  </si>
  <si>
    <t>18:29:19</t>
  </si>
  <si>
    <t>18:31:00</t>
  </si>
  <si>
    <t>18:32:20</t>
  </si>
  <si>
    <t>18:40:23</t>
  </si>
  <si>
    <t>18:07:00</t>
  </si>
  <si>
    <t>18:40:28</t>
  </si>
  <si>
    <t>18:41:33</t>
  </si>
  <si>
    <t>Респ Крым, Белогорский р-н, с Ароматное, пер Мира, зд 3</t>
  </si>
  <si>
    <t>18:47:00</t>
  </si>
  <si>
    <t>18:48:45</t>
  </si>
  <si>
    <t>Респ Крым, Белогорский р-н, пгт Зуя, ул Шоссейная, зд 99Б</t>
  </si>
  <si>
    <t>18:49:46</t>
  </si>
  <si>
    <t>18:51:00</t>
  </si>
  <si>
    <t>18:54:45</t>
  </si>
  <si>
    <t>18:57:00</t>
  </si>
  <si>
    <t>18:59:56</t>
  </si>
  <si>
    <t>Аптечный пункт  ТРИКА</t>
  </si>
  <si>
    <t>19:05:09</t>
  </si>
  <si>
    <t>23:03:00</t>
  </si>
  <si>
    <t>19:07:06</t>
  </si>
  <si>
    <t>21:06:00</t>
  </si>
  <si>
    <t>19:08:48</t>
  </si>
  <si>
    <t>Респ Крым, Белогорский р-н, пгт Зуя, ул Шоссейная, д 128А литера а</t>
  </si>
  <si>
    <t>Аптека "Фармак-Аптека"</t>
  </si>
  <si>
    <t>19:09:23</t>
  </si>
  <si>
    <t>10:09:00</t>
  </si>
  <si>
    <t>19:13:17</t>
  </si>
  <si>
    <t>19:27:56</t>
  </si>
  <si>
    <t>19:28:06</t>
  </si>
  <si>
    <t>19:30:17</t>
  </si>
  <si>
    <t>66 - Свердловская область, г.о. город Екатеринбург,620043,, г Екатеринбург,, ул Заводская, д. 75, стр. 2</t>
  </si>
  <si>
    <t>21:28:00</t>
  </si>
  <si>
    <t>19:31:19</t>
  </si>
  <si>
    <t>19:34:34</t>
  </si>
  <si>
    <t>Респ Крым, Белогорский р-н, г Белогорск, ул Николая Бойко, зд 19</t>
  </si>
  <si>
    <t>19:36:49</t>
  </si>
  <si>
    <t>Респ Крым, Бахчисарайский р-н, тер. СПК Союз (с Приятное свидание), ул Жасминовая, д 1 стр 1</t>
  </si>
  <si>
    <t>19:19:00</t>
  </si>
  <si>
    <t>19:38:40</t>
  </si>
  <si>
    <t>Респ Крым, Бахчисарайский р-н, с Угловое, ул Ленина, зд 22А</t>
  </si>
  <si>
    <t>19:43:00</t>
  </si>
  <si>
    <t>19:45:00</t>
  </si>
  <si>
    <t>Респ Крым, Бахчисарайский р-н, с Танковое, ул Ялтинская, д 7А</t>
  </si>
  <si>
    <t>Аптека №91</t>
  </si>
  <si>
    <t>19:51:00</t>
  </si>
  <si>
    <t>19:47:03</t>
  </si>
  <si>
    <t>Респ Крым, Бахчисарайский р-н, с Скалистое, ул Ленина, зд 47</t>
  </si>
  <si>
    <t>19:52:48</t>
  </si>
  <si>
    <t>Аптека ООО "ДиЭл Фарм"</t>
  </si>
  <si>
    <t>19:49:00</t>
  </si>
  <si>
    <t>19:53:51</t>
  </si>
  <si>
    <t>21:59:00</t>
  </si>
  <si>
    <t>20:02:37</t>
  </si>
  <si>
    <t>Аптека № 13</t>
  </si>
  <si>
    <t>09:25:00</t>
  </si>
  <si>
    <t>20:09:11</t>
  </si>
  <si>
    <t>Респ Крым, Бахчисарайский р-н, с Вилино, ул Ленина, д 126</t>
  </si>
  <si>
    <t>Аптека №79</t>
  </si>
  <si>
    <t>20:04:00</t>
  </si>
  <si>
    <t>20:11:55</t>
  </si>
  <si>
    <t>Респ Крым, Бахчисарайский р-н, пгт Почтовое, ул Ленина, влд 12</t>
  </si>
  <si>
    <t>00:10:00</t>
  </si>
  <si>
    <t>20:13:30</t>
  </si>
  <si>
    <t>20:10:00</t>
  </si>
  <si>
    <t>20:15:09</t>
  </si>
  <si>
    <t>20:19:06</t>
  </si>
  <si>
    <t>23:22:00</t>
  </si>
  <si>
    <t>23:24:30</t>
  </si>
  <si>
    <t>21:53:00</t>
  </si>
  <si>
    <t>23:45:18</t>
  </si>
  <si>
    <t>23:52:32</t>
  </si>
  <si>
    <t>23:52:38</t>
  </si>
  <si>
    <t>21:43:00</t>
  </si>
  <si>
    <t>23:53:41</t>
  </si>
  <si>
    <t>Респ Крым, Бахчисарайский р-н, г Бахчисарай, ул Фрунзе, д 99, помещ 99</t>
  </si>
  <si>
    <t>22:10:00</t>
  </si>
  <si>
    <t>00:15:04</t>
  </si>
  <si>
    <t>Респ Крым, Бахчисарайский р-н, г Бахчисарай, ул Фрунзе, д 97</t>
  </si>
  <si>
    <t>23:23:00</t>
  </si>
  <si>
    <t>00:28:26</t>
  </si>
  <si>
    <t>Респ Крым, Бахчисарайский р-н, г Бахчисарай, ул Советская, д 10</t>
  </si>
  <si>
    <t>22:29:00</t>
  </si>
  <si>
    <t>00:56:16</t>
  </si>
  <si>
    <t>Респ Крым, Бахчисарайский р-н, г Бахчисарай, ул Самойленко, д 1</t>
  </si>
  <si>
    <t>22:09:00</t>
  </si>
  <si>
    <t>00:56:37</t>
  </si>
  <si>
    <t>Респ Коми, г Ухта, ул Интернациональная, д 42, помещ 5</t>
  </si>
  <si>
    <t>Аптека Касса 2</t>
  </si>
  <si>
    <t>08:05:00</t>
  </si>
  <si>
    <t>01:05:32</t>
  </si>
  <si>
    <t>Респ Коми, г Воркута, ул Гагарина, д 5</t>
  </si>
  <si>
    <t>10:12:20</t>
  </si>
  <si>
    <t>02:22:00</t>
  </si>
  <si>
    <t>02:28:41</t>
  </si>
  <si>
    <t>Респ Карелия, Прионежский р-н, с Заозерье, ул Логморучейная, д 13</t>
  </si>
  <si>
    <t>04:37:51</t>
  </si>
  <si>
    <t>Аптека "Семейная"</t>
  </si>
  <si>
    <t>12:15:00</t>
  </si>
  <si>
    <t>05:35:48</t>
  </si>
  <si>
    <t>Аптека, ул. Мира, 33/3</t>
  </si>
  <si>
    <t>07:45:42</t>
  </si>
  <si>
    <t>Респ Карелия, г Сортавала, ш Выборгское, д 81А, помещ 4</t>
  </si>
  <si>
    <t>115551, г. Москва, ул. Домодедовская, д. 13, Аптека №53</t>
  </si>
  <si>
    <t>09:58:59</t>
  </si>
  <si>
    <t>10:02:10</t>
  </si>
  <si>
    <t>11:48:27</t>
  </si>
  <si>
    <t>Респ Карелия, г Сортавала, ул Бондарева, д 10</t>
  </si>
  <si>
    <t>12:52:14</t>
  </si>
  <si>
    <t>Респ Карелия, г Сегежа, ул Спиридонова, д 35</t>
  </si>
  <si>
    <t>Аптека "Миницен"</t>
  </si>
  <si>
    <t>2025-03-07</t>
  </si>
  <si>
    <t>00:56:51</t>
  </si>
  <si>
    <t>00:56:55</t>
  </si>
  <si>
    <t>21:08:00</t>
  </si>
  <si>
    <t>03:48:46</t>
  </si>
  <si>
    <t>Респ Карелия, г Питкяранта, ул Горького, д 36</t>
  </si>
  <si>
    <t>06:47:35</t>
  </si>
  <si>
    <t>Респ Карелия, г Костомукша, ул Строителей, д 1</t>
  </si>
  <si>
    <t>08:39:00</t>
  </si>
  <si>
    <t>06:53:21</t>
  </si>
  <si>
    <t>Респ Карелия, г Костомукша, ул Советская, д 7</t>
  </si>
  <si>
    <t>07:44:49</t>
  </si>
  <si>
    <t>Респ Карелия, г Костомукша, б-р Лазарева, д 1</t>
  </si>
  <si>
    <t>08:16:00</t>
  </si>
  <si>
    <t>08:17:23</t>
  </si>
  <si>
    <t>08:23:35</t>
  </si>
  <si>
    <t>Респ Карачаево-Черкесская, ст-ца Зеленчукская, ул Мира, д 30</t>
  </si>
  <si>
    <t>54 - Новосибирская область, г.о. город Новосибирск,630027,, г Новосибирск,, ул Объединения, д. 27</t>
  </si>
  <si>
    <t>08:54:11</t>
  </si>
  <si>
    <t>Аптека "Ромашка"</t>
  </si>
  <si>
    <t>09:03:59</t>
  </si>
  <si>
    <t>11:13:00</t>
  </si>
  <si>
    <t>09:14:11</t>
  </si>
  <si>
    <t>Респ Карачаево-Черкесская, ст-ца Зеленчукская, ул Мира, д 29</t>
  </si>
  <si>
    <t>Аптека №83А</t>
  </si>
  <si>
    <t>09:48:00</t>
  </si>
  <si>
    <t>09:54:32</t>
  </si>
  <si>
    <t>Респ Кабардино-Балкарская, Урванский р-н, с Старый Черек, ул Почтовая, д 10</t>
  </si>
  <si>
    <t>10:52:00</t>
  </si>
  <si>
    <t>11:19:51</t>
  </si>
  <si>
    <t>Респ Кабардино-Балкарская, г Прохладный, ул Ленина, д 113/4</t>
  </si>
  <si>
    <t>АПТЕЧНЫЙ ПУНКТ №77-601</t>
  </si>
  <si>
    <t>12:07:25</t>
  </si>
  <si>
    <t>16:06:00</t>
  </si>
  <si>
    <t>12:08:57</t>
  </si>
  <si>
    <t>12:40:25</t>
  </si>
  <si>
    <t>Респ Кабардино-Балкарская, г Нарткала, ул Красная, зд 217А</t>
  </si>
  <si>
    <t>16:10:00</t>
  </si>
  <si>
    <t>13:17:20</t>
  </si>
  <si>
    <t>Респ Кабардино-Балкарская, г Баксан, ул имени Гагарина Юрия Алексеевича, д 136А, помещ 1</t>
  </si>
  <si>
    <t>14:20:20</t>
  </si>
  <si>
    <t>14:31:37</t>
  </si>
  <si>
    <t>Респ Кабардино-Балкарская, г Баксан, пр-кт Ленина, д 14</t>
  </si>
  <si>
    <t>аптечный пункт №77-378</t>
  </si>
  <si>
    <t>14:55:59</t>
  </si>
  <si>
    <t>15:57:51</t>
  </si>
  <si>
    <t>16:05:43</t>
  </si>
  <si>
    <t>Аптека т.2 58 15 78</t>
  </si>
  <si>
    <t>16:12:15</t>
  </si>
  <si>
    <t>16:11:03</t>
  </si>
  <si>
    <t>Аптечный пункт №77-616</t>
  </si>
  <si>
    <t>16:15:00</t>
  </si>
  <si>
    <t>16:15:11</t>
  </si>
  <si>
    <t>Респ Ингушетия, г Назрань, тер Центральный округ, ул Московская, д 1</t>
  </si>
  <si>
    <t>16:37:03</t>
  </si>
  <si>
    <t>Респ Дагестан, с Гергебиль, ул Наиба Идриса, д 12</t>
  </si>
  <si>
    <t>17:03:32</t>
  </si>
  <si>
    <t>17:19:00</t>
  </si>
  <si>
    <t>17:22:53</t>
  </si>
  <si>
    <t>17:39:20</t>
  </si>
  <si>
    <t>17:47:54</t>
  </si>
  <si>
    <t>Респ Дагестан, г Кизилюрт, ул Г.Цадаса, зд 66Б</t>
  </si>
  <si>
    <t>20:03:46</t>
  </si>
  <si>
    <t>21:09:37</t>
  </si>
  <si>
    <t>12:50:00</t>
  </si>
  <si>
    <t>02:38:26</t>
  </si>
  <si>
    <t>03:09:25</t>
  </si>
  <si>
    <t>08:28:00</t>
  </si>
  <si>
    <t>03:28:45</t>
  </si>
  <si>
    <t>07:39:00</t>
  </si>
  <si>
    <t>04:02:42</t>
  </si>
  <si>
    <t>04:25:39</t>
  </si>
  <si>
    <t>04:32:10</t>
  </si>
  <si>
    <t>09:12:00</t>
  </si>
  <si>
    <t>05:36:06</t>
  </si>
  <si>
    <t>Респ Дагестан, г Кизилюрт, ул Аскерханова, д 11А</t>
  </si>
  <si>
    <t>652873, Кемеровская область - Кузбасс, Междуреченский г.о., Междуреченск г, Шахтеров пр-кт, 45 д.</t>
  </si>
  <si>
    <t>06:00:22</t>
  </si>
  <si>
    <t>10:01:00</t>
  </si>
  <si>
    <t>06:01:50</t>
  </si>
  <si>
    <t>06:16:07</t>
  </si>
  <si>
    <t>06:20:40</t>
  </si>
  <si>
    <t>06:36:26</t>
  </si>
  <si>
    <t>08:48:00</t>
  </si>
  <si>
    <t>06:50:47</t>
  </si>
  <si>
    <t>07:00:45</t>
  </si>
  <si>
    <t>11:54:00</t>
  </si>
  <si>
    <t>07:05:16</t>
  </si>
  <si>
    <t>06:55:00</t>
  </si>
  <si>
    <t>07:11:58</t>
  </si>
  <si>
    <t>07:36:24</t>
  </si>
  <si>
    <t>07:36:43</t>
  </si>
  <si>
    <t>07:25:00</t>
  </si>
  <si>
    <t>07:38:22</t>
  </si>
  <si>
    <t>Аптечный пункт №77-248</t>
  </si>
  <si>
    <t>07:42:00</t>
  </si>
  <si>
    <t>07:43:20</t>
  </si>
  <si>
    <t>11:38:00</t>
  </si>
  <si>
    <t>07:46:08</t>
  </si>
  <si>
    <t>72 - Тюменская область, 625001, Тюмень г, Ямская ул, д. 112</t>
  </si>
  <si>
    <t>07:57:39</t>
  </si>
  <si>
    <t>07:58:37</t>
  </si>
  <si>
    <t>07:58:39</t>
  </si>
  <si>
    <t>07:31:00</t>
  </si>
  <si>
    <t>07:59:24</t>
  </si>
  <si>
    <t>18:43:00</t>
  </si>
  <si>
    <t>08:02:56</t>
  </si>
  <si>
    <t>Аптечный пункт"КОМФ-ОРТ"</t>
  </si>
  <si>
    <t>08:14:34</t>
  </si>
  <si>
    <t>18:26:00</t>
  </si>
  <si>
    <t>08:18:21</t>
  </si>
  <si>
    <t>08:19:47</t>
  </si>
  <si>
    <t>08:22:00</t>
  </si>
  <si>
    <t>08:23:05</t>
  </si>
  <si>
    <t>Аптека № 4</t>
  </si>
  <si>
    <t>08:26:00</t>
  </si>
  <si>
    <t>08:27:27</t>
  </si>
  <si>
    <t>Респ Дагестан, г Каспийск, ул Назарова, влд 13</t>
  </si>
  <si>
    <t>08:38:00</t>
  </si>
  <si>
    <t>08:39:17</t>
  </si>
  <si>
    <t>08:40:15</t>
  </si>
  <si>
    <t>08:48:31</t>
  </si>
  <si>
    <t>Респ Дагестан, г Каспийск, ул Ленина, д 51В</t>
  </si>
  <si>
    <t>08:46:00</t>
  </si>
  <si>
    <t>08:49:57</t>
  </si>
  <si>
    <t>Аптечный пункт-ТФ-(Мск)-Щукинская-1</t>
  </si>
  <si>
    <t>08:52:54</t>
  </si>
  <si>
    <t>Аптека 77-264</t>
  </si>
  <si>
    <t>08:53:26</t>
  </si>
  <si>
    <t>08:51:00</t>
  </si>
  <si>
    <t>08:54:29</t>
  </si>
  <si>
    <t>Респ Дагестан, г Каспийск, ул Ленина, д 27</t>
  </si>
  <si>
    <t>09:00:01</t>
  </si>
  <si>
    <t>Респ Дагестан, г Каспийск, ул Зейнудина Батманова, д 12</t>
  </si>
  <si>
    <t>08:33:00</t>
  </si>
  <si>
    <t>09:03:49</t>
  </si>
  <si>
    <t>Респ Дагестан, г Каспийск, пр-кт М.Омарова, зд 8</t>
  </si>
  <si>
    <t>09:03:00</t>
  </si>
  <si>
    <t>09:04:24</t>
  </si>
  <si>
    <t>Респ Дагестан, г Дербент, ул Ю.Гагарина, д 12, помещ 14</t>
  </si>
  <si>
    <t>09:06:11</t>
  </si>
  <si>
    <t>Респ Дагестан, г Дагестанские Огни, пр-кт Михаила Ивановича Калинина, д 5</t>
  </si>
  <si>
    <t>Аптечный пункт №50-189</t>
  </si>
  <si>
    <t>09:07:00</t>
  </si>
  <si>
    <t>09:10:50</t>
  </si>
  <si>
    <t>09:18:00</t>
  </si>
  <si>
    <t>09:18:55</t>
  </si>
  <si>
    <t>09:18:56</t>
  </si>
  <si>
    <t>08:55:00</t>
  </si>
  <si>
    <t>09:19:37</t>
  </si>
  <si>
    <t>Респ Бурятия, Иволгинский р-н, с Поселье, ул Магистральная, зд 2А</t>
  </si>
  <si>
    <t>10:38:00</t>
  </si>
  <si>
    <t>09:21:39</t>
  </si>
  <si>
    <t>09:27:07</t>
  </si>
  <si>
    <t>Аптека №34</t>
  </si>
  <si>
    <t>09:22:00</t>
  </si>
  <si>
    <t>09:27:08</t>
  </si>
  <si>
    <t>Респ Бурятия, г Закаменск, ул Крупской, д 15, помещ 2</t>
  </si>
  <si>
    <t>Аптека "ИХЛАС"</t>
  </si>
  <si>
    <t>09:33:00</t>
  </si>
  <si>
    <t>09:33:49</t>
  </si>
  <si>
    <t>09:37:20</t>
  </si>
  <si>
    <t>Аптека ул. Леваневского 46</t>
  </si>
  <si>
    <t>09:38:00</t>
  </si>
  <si>
    <t>09:28:00</t>
  </si>
  <si>
    <t>09:38:28</t>
  </si>
  <si>
    <t>16:31:00</t>
  </si>
  <si>
    <t>09:38:52</t>
  </si>
  <si>
    <t>Респ Башкортостан, Чишминский р-н, с Алкино-2, ул Центральная, зд 12</t>
  </si>
  <si>
    <t>13:37:00</t>
  </si>
  <si>
    <t>09:40:57</t>
  </si>
  <si>
    <t>Респ Башкортостан, Уфимский р-н, с Зубово, ул Осенняя, д 4, помещ 253</t>
  </si>
  <si>
    <t>18:27:00</t>
  </si>
  <si>
    <t>09:41:25</t>
  </si>
  <si>
    <t>Респ Башкортостан, с Верхние Татышлы, ул Ленина, зд 63А</t>
  </si>
  <si>
    <t>09:49:00</t>
  </si>
  <si>
    <t>09:49:47</t>
  </si>
  <si>
    <t>Респ Башкортостан, с Верхнеяркеево, ул 50 лет Октября, д 7/4</t>
  </si>
  <si>
    <t>191011, Санкт-Петербург, Садовая ул., д.13-15/50, лит. А</t>
  </si>
  <si>
    <t>09:39:00</t>
  </si>
  <si>
    <t>09:52:31</t>
  </si>
  <si>
    <t>Респ Башкортостан, Нуримановский р-н, с Павловка, ул Ленина, д 40</t>
  </si>
  <si>
    <t>10:00:32</t>
  </si>
  <si>
    <t>10:01:32</t>
  </si>
  <si>
    <t>Респ Башкортостан, г Туймазы, ул Комарова, д 14, офис 37</t>
  </si>
  <si>
    <t>10:05:16</t>
  </si>
  <si>
    <t>Респ Башкортостан, г Стерлитамак, ул Худайбердина, влд 120</t>
  </si>
  <si>
    <t>10:06:33</t>
  </si>
  <si>
    <t>Респ Башкортостан, г Стерлитамак, ул Коммунистическая, д 84</t>
  </si>
  <si>
    <t>10:08:01</t>
  </si>
  <si>
    <t>Респ Башкортостан, г Стерлитамак, ул Коммунистическая, д 54Б</t>
  </si>
  <si>
    <t>09:50:00</t>
  </si>
  <si>
    <t>10:12:08</t>
  </si>
  <si>
    <t>Аптека "ДОКТОР ЧЕХОВ"</t>
  </si>
  <si>
    <t>10:13:32</t>
  </si>
  <si>
    <t>Респ Башкортостан, г Стерлитамак, ул Коммунистическая, д 51</t>
  </si>
  <si>
    <t>15:40:00</t>
  </si>
  <si>
    <t>10:23:27</t>
  </si>
  <si>
    <t>Респ Башкортостан, г Стерлитамак, ул Гоголя, д 133</t>
  </si>
  <si>
    <t>2025-03-06</t>
  </si>
  <si>
    <t>10:25:57</t>
  </si>
  <si>
    <t>Аптечный пункт №77-452</t>
  </si>
  <si>
    <t>10:25:00</t>
  </si>
  <si>
    <t>10:26:09</t>
  </si>
  <si>
    <t>Респ Башкортостан, г Стерлитамак, ул Артема, д 76</t>
  </si>
  <si>
    <t>10:27:43</t>
  </si>
  <si>
    <t>Респ Башкортостан, г Салават, ул Речная, д 2</t>
  </si>
  <si>
    <t>10:30:00</t>
  </si>
  <si>
    <t>10:30:05</t>
  </si>
  <si>
    <t>Респ Башкортостан, г Салават, ул Октябрьская, д 54</t>
  </si>
  <si>
    <t>Средняя</t>
  </si>
  <si>
    <t>10:30:06</t>
  </si>
  <si>
    <t>Респ Башкортостан, г Салават, ул Октябрьская, д 35</t>
  </si>
  <si>
    <t>Респ Башкортостан, г Салават, ул Ленина, д 53</t>
  </si>
  <si>
    <t>10:30:15</t>
  </si>
  <si>
    <t>Респ Башкортостан, г Салават, ул 30 лет Победы, д 23</t>
  </si>
  <si>
    <t>10:30:20</t>
  </si>
  <si>
    <t>Респ Башкортостан, г Октябрьский, пр-кт Ленина, д 39</t>
  </si>
  <si>
    <t>10:31:09</t>
  </si>
  <si>
    <t>Респ Башкортостан, г Мелеуз, ул Смоленская, д 189В</t>
  </si>
  <si>
    <t>10:37:39</t>
  </si>
  <si>
    <t>Филиал 3 Аптека 90</t>
  </si>
  <si>
    <t>10:39:36</t>
  </si>
  <si>
    <t>10:48:22</t>
  </si>
  <si>
    <t>17:06:00</t>
  </si>
  <si>
    <t>10:49:21</t>
  </si>
  <si>
    <t>Респ Башкортостан, г Ишимбай, пр-кт Ленина, д 42</t>
  </si>
  <si>
    <t>11:04:11</t>
  </si>
  <si>
    <t>Респ Башкортостан, г Бирск, ул Мира, д 157Б</t>
  </si>
  <si>
    <t>Аптечный пункт-АФ-(Мск)-Водный стадион-1</t>
  </si>
  <si>
    <t>09:47:00</t>
  </si>
  <si>
    <t>11:07:18</t>
  </si>
  <si>
    <t>Респ Алтай, с Майма, ул Ленина, д 32А</t>
  </si>
  <si>
    <t>11:08:00</t>
  </si>
  <si>
    <t>18:08:00</t>
  </si>
  <si>
    <t>11:10:09</t>
  </si>
  <si>
    <t>Респ Алтай, Майминский р-н, с Соузга, ул Трактовая, зд 31</t>
  </si>
  <si>
    <t>Аптека Касса 1</t>
  </si>
  <si>
    <t>11:12:12</t>
  </si>
  <si>
    <t>11:13:33</t>
  </si>
  <si>
    <t>Аптечный пункт "Аптекарь"</t>
  </si>
  <si>
    <t>11:17:44</t>
  </si>
  <si>
    <t>11:18:00</t>
  </si>
  <si>
    <t>11:18:35</t>
  </si>
  <si>
    <t>12:34:00</t>
  </si>
  <si>
    <t>11:19:11</t>
  </si>
  <si>
    <t>11:21:23</t>
  </si>
  <si>
    <t>11:14:00</t>
  </si>
  <si>
    <t>11:24:21</t>
  </si>
  <si>
    <t>Аптека ДАНАФАРМ</t>
  </si>
  <si>
    <t>11:30:05</t>
  </si>
  <si>
    <t>11:32:34</t>
  </si>
  <si>
    <t>11:01:00</t>
  </si>
  <si>
    <t>11:33:21</t>
  </si>
  <si>
    <t>10:35:00</t>
  </si>
  <si>
    <t>11:33:43</t>
  </si>
  <si>
    <t>Аптечный пункт №8 г. Саратова 410018, Саратовская обл, Саратов г, Усть-Курдюмская ул, дом 21</t>
  </si>
  <si>
    <t>11:33:59</t>
  </si>
  <si>
    <t>ул. Давыдова, 18, Касса 3</t>
  </si>
  <si>
    <t>11:34:18</t>
  </si>
  <si>
    <t>42 - Кемеровская область, 654041, Новокузнецк г, Металлургов пр-кт, 2</t>
  </si>
  <si>
    <t>09:57:18</t>
  </si>
  <si>
    <t>11:37:40</t>
  </si>
  <si>
    <t>72 - Тюменская область, г.о. город Тюмень,625051,, г Тюмень,, ул Пермякова, д. 39</t>
  </si>
  <si>
    <t>11:38:09</t>
  </si>
  <si>
    <t>г.Новокузнецк, ул.40 лет ВЛКСМ, 3Г</t>
  </si>
  <si>
    <t>11:38:17</t>
  </si>
  <si>
    <t>07:46:00</t>
  </si>
  <si>
    <t>11:38:22</t>
  </si>
  <si>
    <t>10:03:00</t>
  </si>
  <si>
    <t>11:39:01</t>
  </si>
  <si>
    <t>11:41:14</t>
  </si>
  <si>
    <t>Аптека № 260</t>
  </si>
  <si>
    <t>11:42:27</t>
  </si>
  <si>
    <t>11:42:45</t>
  </si>
  <si>
    <t>11:35:00</t>
  </si>
  <si>
    <t>11:42:53</t>
  </si>
  <si>
    <t>11:45:10</t>
  </si>
  <si>
    <t>Респ Адыгея, Тахтамукайский р-н, пгт Яблоновский, ул Тургеневское шоссе, д 34К</t>
  </si>
  <si>
    <t>11:54:34</t>
  </si>
  <si>
    <t>Респ Адыгея, с Красногвардейское, ул Первомайская, д 11 стр к</t>
  </si>
  <si>
    <t>16:04:00</t>
  </si>
  <si>
    <t>12:08:08</t>
  </si>
  <si>
    <t>Аптека №50</t>
  </si>
  <si>
    <t>12:10:00</t>
  </si>
  <si>
    <t>12:11:27</t>
  </si>
  <si>
    <t>12:14:11</t>
  </si>
  <si>
    <t>Респ Адыгея, п Тульский, ул Школьная, влд 35</t>
  </si>
  <si>
    <t>12:15:09</t>
  </si>
  <si>
    <t>Аптечный пункт №77-464</t>
  </si>
  <si>
    <t>12:15:17</t>
  </si>
  <si>
    <t>670031, г. Улан-Удэ, ул. Терешковой 11</t>
  </si>
  <si>
    <t>12:19:33</t>
  </si>
  <si>
    <t>Респ Адыгея, Красногвардейский р-н, аул Хатукай, ул 50 лет Октября, влд 4А</t>
  </si>
  <si>
    <t>12:21:40</t>
  </si>
  <si>
    <t>Респ Адыгея, Гиагинский р-н, ст-ца Дондуковская, ул Ленина, д 149</t>
  </si>
  <si>
    <t>12:21:53</t>
  </si>
  <si>
    <t>Псковская обл, Псковский р-н, д Череха, д 34А стр 2</t>
  </si>
  <si>
    <t>Аптека 794</t>
  </si>
  <si>
    <t>12:27:00</t>
  </si>
  <si>
    <t>12:28:56</t>
  </si>
  <si>
    <t>12:31:41</t>
  </si>
  <si>
    <t>12:33:26</t>
  </si>
  <si>
    <t>Аптека Саффарм Оренбург Гагарина 48/3</t>
  </si>
  <si>
    <t>12:34:58</t>
  </si>
  <si>
    <t>Псковская обл, Псковский р-н, д Череха, д 18</t>
  </si>
  <si>
    <t>12:43:35</t>
  </si>
  <si>
    <t>18:42:00</t>
  </si>
  <si>
    <t>12:47:33</t>
  </si>
  <si>
    <t>Аптечный пункт-АФ-(Мск)-Международная-1</t>
  </si>
  <si>
    <t>12:48:09</t>
  </si>
  <si>
    <t>12:48:49</t>
  </si>
  <si>
    <t>Филиал Полтавская ЦРА № 20</t>
  </si>
  <si>
    <t>12:52:48</t>
  </si>
  <si>
    <t>16:51:00</t>
  </si>
  <si>
    <t>12:53:52</t>
  </si>
  <si>
    <t>Псковская обл, Псковский р-н, д Неелово-1, ул Юбилейная, д 5А к 1</t>
  </si>
  <si>
    <t>13:00:22</t>
  </si>
  <si>
    <t>13:03:13</t>
  </si>
  <si>
    <t>ул. Нейбута, 67, Касса №1</t>
  </si>
  <si>
    <t>19:58:00</t>
  </si>
  <si>
    <t>13:04:39</t>
  </si>
  <si>
    <t>16:40:00</t>
  </si>
  <si>
    <t>13:05:28</t>
  </si>
  <si>
    <t>Аптека "Здоровье +" г.Владимир, ул.Безыменского, д.9</t>
  </si>
  <si>
    <t>Псковская обл, г Остров, ул 25 Октября, д 19</t>
  </si>
  <si>
    <t>13:16:10</t>
  </si>
  <si>
    <t>19:41:00</t>
  </si>
  <si>
    <t>13:16:22</t>
  </si>
  <si>
    <t>Псковская обл, г Великие Луки, ул М.Кузьмина, д 13, помещ 1001</t>
  </si>
  <si>
    <t>Аптечный пункт №50-1352</t>
  </si>
  <si>
    <t>13:21:14</t>
  </si>
  <si>
    <t>Аптека №241</t>
  </si>
  <si>
    <t>13:19:00</t>
  </si>
  <si>
    <t>13:22:55</t>
  </si>
  <si>
    <t>Псковская обл, г Великие Луки, ул Вокзальная, д 28, помещ 1004</t>
  </si>
  <si>
    <t>13:28:45</t>
  </si>
  <si>
    <t>Псковская обл, г Великие Луки, ул Вокзальная, д 11</t>
  </si>
  <si>
    <t>г.Осинники, ул.Революции, 5</t>
  </si>
  <si>
    <t>13:36:30</t>
  </si>
  <si>
    <t>Аптечный пункт №50-785</t>
  </si>
  <si>
    <t>13:37:28</t>
  </si>
  <si>
    <t>Аптечный пункт №52-1207</t>
  </si>
  <si>
    <t>13:39:41</t>
  </si>
  <si>
    <t>13:39:44</t>
  </si>
  <si>
    <t>13:40:31</t>
  </si>
  <si>
    <t>13:41:40</t>
  </si>
  <si>
    <t>13:47:18</t>
  </si>
  <si>
    <t>13:47:57</t>
  </si>
  <si>
    <t>13:49:10</t>
  </si>
  <si>
    <t>22:38:00</t>
  </si>
  <si>
    <t>13:49:28</t>
  </si>
  <si>
    <t>Псковская обл, г Великие Луки, пр-кт Октябрьский, д 24/18, помещ 1005</t>
  </si>
  <si>
    <t>Аптека 59</t>
  </si>
  <si>
    <t>13:52:58</t>
  </si>
  <si>
    <t>Псковская обл, г Великие Луки, пр-кт Октябрьский, д 2</t>
  </si>
  <si>
    <t>66 - Свердловская область, 620072, Екатеринбург г, Сиреневый б-р, 1</t>
  </si>
  <si>
    <t>13:55:39</t>
  </si>
  <si>
    <t>13:57:16</t>
  </si>
  <si>
    <t>13:57:30</t>
  </si>
  <si>
    <t>Псковская обл, г Великие Луки, пр-кт Октябрьский, д 124А</t>
  </si>
  <si>
    <t>13:57:47</t>
  </si>
  <si>
    <t>Псковская обл, г Великие Луки, пр-кт Гагарина, д 114</t>
  </si>
  <si>
    <t>66 - Свердловская область, г.о. город Екатеринбург,620105,, г Екатеринбург,, ул Академика Парина, д. 37а</t>
  </si>
  <si>
    <t>14:01:19</t>
  </si>
  <si>
    <t>14:01:32</t>
  </si>
  <si>
    <t>Аптека №107</t>
  </si>
  <si>
    <t>14:08:00</t>
  </si>
  <si>
    <t>14:11:16</t>
  </si>
  <si>
    <t>Приморский край, Спасский р-н, с Спасское, ул Хрещатинская, зд 68Б/1</t>
  </si>
  <si>
    <t>Сочи г,Ростовская ул, д.7/2</t>
  </si>
  <si>
    <t>14:21:26</t>
  </si>
  <si>
    <t>14:10:19</t>
  </si>
  <si>
    <t>14:26:59</t>
  </si>
  <si>
    <t>Приморский край, Спасский р-н, с Спасское, ул Хрещатинская, д 68Б</t>
  </si>
  <si>
    <t>14:13:00</t>
  </si>
  <si>
    <t>14:28:44</t>
  </si>
  <si>
    <t>14:28:48</t>
  </si>
  <si>
    <t>14:29:04</t>
  </si>
  <si>
    <t>14:36:40</t>
  </si>
  <si>
    <t>Приморский край, с Покровка, ул Советов, д 90Б, помещ 2</t>
  </si>
  <si>
    <t>11:19:00</t>
  </si>
  <si>
    <t>14:44:22</t>
  </si>
  <si>
    <t>16:01:00</t>
  </si>
  <si>
    <t>14:44:27</t>
  </si>
  <si>
    <t>Приморский край, с Вольно-Надеждинское, ул Железнодорожная, зд 13</t>
  </si>
  <si>
    <t>14:45:32</t>
  </si>
  <si>
    <t>г Владивосток, ул Вилкова, д 5 Касса №1</t>
  </si>
  <si>
    <t>14:49:53</t>
  </si>
  <si>
    <t>16 - Республика Татарстан (Татарстан), Зеленодольский р-н, 422545, Зеленодольск г, Комарова ул, д. 21</t>
  </si>
  <si>
    <t>14:56:09</t>
  </si>
  <si>
    <t>14:57:39</t>
  </si>
  <si>
    <t>Приморский край, Надеждинский р-н, п Новый, ул Первомайская, зд 6</t>
  </si>
  <si>
    <t>15:03:13</t>
  </si>
  <si>
    <t>15:03:20</t>
  </si>
  <si>
    <t>51 - Мурманская область, 183025, г. Мурманск, ул. Полярные Зори, д.49, к.6</t>
  </si>
  <si>
    <t>15:06:19</t>
  </si>
  <si>
    <t>Приморский край, Надеждинский р-н, п Новый, ул Молодежная, д 1</t>
  </si>
  <si>
    <t>15:11:40</t>
  </si>
  <si>
    <t>Приморский край, Надеждинский р-н, дор Патрокл-Седанка-Де-Фриз-п.Новый (п Де-Фриз), км 34-35, д 1 стр 2</t>
  </si>
  <si>
    <t>19:07:00</t>
  </si>
  <si>
    <t>15:12:04</t>
  </si>
  <si>
    <t>15:13:03</t>
  </si>
  <si>
    <t>17:14:00</t>
  </si>
  <si>
    <t>15:13:06</t>
  </si>
  <si>
    <t>Приморский край, г Фокино, ул Клубная, зд 15А</t>
  </si>
  <si>
    <t>11:42:52</t>
  </si>
  <si>
    <t>Приморский край, г Уссурийск, ул Русская, д 5А</t>
  </si>
  <si>
    <t>15:35:32</t>
  </si>
  <si>
    <t>15:35:46</t>
  </si>
  <si>
    <t>аптечный пункт Мелздрав 1</t>
  </si>
  <si>
    <t>15:36:10</t>
  </si>
  <si>
    <t>Советская аптека</t>
  </si>
  <si>
    <t>15:39:45</t>
  </si>
  <si>
    <t>15:41:47</t>
  </si>
  <si>
    <t>15:44:19</t>
  </si>
  <si>
    <t>15:48:40</t>
  </si>
  <si>
    <t>15:48:50</t>
  </si>
  <si>
    <t>Приморский край, г Уссурийск, ул Ровная, зд 33</t>
  </si>
  <si>
    <t>15:42:00</t>
  </si>
  <si>
    <t>15:50:13</t>
  </si>
  <si>
    <t>Приморский край, г Уссурийск, ул Некрасова, зд 22, офис 108</t>
  </si>
  <si>
    <t>«Сибфарм»</t>
  </si>
  <si>
    <t>20:50:00</t>
  </si>
  <si>
    <t>15:58:39</t>
  </si>
  <si>
    <t>Приморский край, г Уссурийск, ул Некрасова, д 86</t>
  </si>
  <si>
    <t>15:59:39</t>
  </si>
  <si>
    <t>16:00:38</t>
  </si>
  <si>
    <t>Приморский край, г Уссурийск, ул Некрасова, д 76, помещ 12</t>
  </si>
  <si>
    <t>16:00:55</t>
  </si>
  <si>
    <t>Приморский край, г Уссурийск, ул Некрасова, д 76</t>
  </si>
  <si>
    <t>16:02:53</t>
  </si>
  <si>
    <t>Приморский край, г Уссурийск, ул Некрасова, д 61</t>
  </si>
  <si>
    <t>Аптечный пункт филиала Омская ЦРА № 165</t>
  </si>
  <si>
    <t>16:03:41</t>
  </si>
  <si>
    <t>16:04:58</t>
  </si>
  <si>
    <t>Приморский край, г Уссурийск, ул Некрасова, д 49</t>
  </si>
  <si>
    <t>17:50:00</t>
  </si>
  <si>
    <t>16:07:52</t>
  </si>
  <si>
    <t>16:10:25</t>
  </si>
  <si>
    <t>15:57:00</t>
  </si>
  <si>
    <t>16:13:29</t>
  </si>
  <si>
    <t>Аптечный пункт-АФ-(Мск)-Полежаевская-1</t>
  </si>
  <si>
    <t>16:13:59</t>
  </si>
  <si>
    <t>16:18:30</t>
  </si>
  <si>
    <t>16:11:00</t>
  </si>
  <si>
    <t>16:20:41</t>
  </si>
  <si>
    <t>16:21:49</t>
  </si>
  <si>
    <t>16:24:00</t>
  </si>
  <si>
    <t>16:25:47</t>
  </si>
  <si>
    <t>16:31:08</t>
  </si>
  <si>
    <t>16:32:10</t>
  </si>
  <si>
    <t>16:35:11</t>
  </si>
  <si>
    <t>16:36:25</t>
  </si>
  <si>
    <t>400026, г. Волгоград, б-р им. Энгельса, д. 22А</t>
  </si>
  <si>
    <t>16:40:46</t>
  </si>
  <si>
    <t>16:41:00</t>
  </si>
  <si>
    <t>16:41:07</t>
  </si>
  <si>
    <t>196240, Санкт-Петербург, Краснопутиловская ул., д.121, лит. А</t>
  </si>
  <si>
    <t>16:41:57</t>
  </si>
  <si>
    <t>16:43:47</t>
  </si>
  <si>
    <t>16:43:58</t>
  </si>
  <si>
    <t>16:47:20</t>
  </si>
  <si>
    <t>16:55:16</t>
  </si>
  <si>
    <t>Приморский край, г Уссурийск, ул Ленина, д 62</t>
  </si>
  <si>
    <t>17:05:34</t>
  </si>
  <si>
    <t>Приморский край, г Уссурийск, ул Ленина, д 122</t>
  </si>
  <si>
    <t>17:05:50</t>
  </si>
  <si>
    <t>Приморский край, г Уссурийск, ул Дзержинского, зд 93Б</t>
  </si>
  <si>
    <t>аптечный пункт№77-018</t>
  </si>
  <si>
    <t>17:11:47</t>
  </si>
  <si>
    <t>17:12:58</t>
  </si>
  <si>
    <t>17:18:14</t>
  </si>
  <si>
    <t>17:21:41</t>
  </si>
  <si>
    <t>17:22:45</t>
  </si>
  <si>
    <t>Приморский край, г Уссурийск, ул Горького, д 61</t>
  </si>
  <si>
    <t>Аптека (касса 2)</t>
  </si>
  <si>
    <t>17:24:59</t>
  </si>
  <si>
    <t>17:21:00</t>
  </si>
  <si>
    <t>17:25:20</t>
  </si>
  <si>
    <t>Приморский край, г Уссурийск, пер Стаханова, д 30</t>
  </si>
  <si>
    <t>OMS-MZ08-SRV</t>
  </si>
  <si>
    <t>17:27:08</t>
  </si>
  <si>
    <t>17:31:34</t>
  </si>
  <si>
    <t>17:32:30</t>
  </si>
  <si>
    <t>17:32:49</t>
  </si>
  <si>
    <t>Приморский край, г Уссурийск, пер Пушкина, д 152</t>
  </si>
  <si>
    <t>17:35:43</t>
  </si>
  <si>
    <t>Аптечный пункт-АФ-(Мск)-Бауманская-1</t>
  </si>
  <si>
    <t>17:35:50</t>
  </si>
  <si>
    <t>Аптечный пункт №77-223</t>
  </si>
  <si>
    <t>17:38:16</t>
  </si>
  <si>
    <t>17:38:21</t>
  </si>
  <si>
    <t>Приморский край, г Спасск-Дальний, ул Советская, д 112В</t>
  </si>
  <si>
    <t>17:44:38</t>
  </si>
  <si>
    <t>Аптека.ру</t>
  </si>
  <si>
    <t>17:56:45</t>
  </si>
  <si>
    <t>17:58:01</t>
  </si>
  <si>
    <t>17:58:17</t>
  </si>
  <si>
    <t>18:01:01</t>
  </si>
  <si>
    <t>16:22:00</t>
  </si>
  <si>
    <t>18:05:23</t>
  </si>
  <si>
    <t>SKU4</t>
  </si>
  <si>
    <t>Аптека "Фармак-аптека"</t>
  </si>
  <si>
    <t>17:53:00</t>
  </si>
  <si>
    <t>18:06:42</t>
  </si>
  <si>
    <t>Приморский край, г Спасск-Дальний, ул Ленинская, д 30</t>
  </si>
  <si>
    <t>18:13:00</t>
  </si>
  <si>
    <t>18:08:18</t>
  </si>
  <si>
    <t>Приморский край, г Спасск-Дальний, ул Борисова, зд 8Б</t>
  </si>
  <si>
    <t>18:09:10</t>
  </si>
  <si>
    <t>18:09:35</t>
  </si>
  <si>
    <t>Приморский край, г Находка, ул Спортивная, д 7Б</t>
  </si>
  <si>
    <t>09:41:00</t>
  </si>
  <si>
    <t>18:10:03</t>
  </si>
  <si>
    <t>18:15:38</t>
  </si>
  <si>
    <t>Приморский край, г Находка, ул Спортивная, д 25</t>
  </si>
  <si>
    <t>18:16:13</t>
  </si>
  <si>
    <t>Приморский край, г Находка, ул Нахимовская, зд 31А</t>
  </si>
  <si>
    <t>20:16:00</t>
  </si>
  <si>
    <t>18:17:20</t>
  </si>
  <si>
    <t>Приморский край, г Находка, пр-кт Находкинский, д 60</t>
  </si>
  <si>
    <t>18:30:00</t>
  </si>
  <si>
    <t>18:32:30</t>
  </si>
  <si>
    <t>Приморский край, г Находка, пр-кт Находкинский, д 104</t>
  </si>
  <si>
    <t>18:18:00</t>
  </si>
  <si>
    <t>18:35:30</t>
  </si>
  <si>
    <t>Аптечный пункт №77-655</t>
  </si>
  <si>
    <t>18:35:00</t>
  </si>
  <si>
    <t>18:36:10</t>
  </si>
  <si>
    <t>18:38:42</t>
  </si>
  <si>
    <t>Приморский край, г Находка, пр-кт Мира, д 26</t>
  </si>
  <si>
    <t>18:48:10</t>
  </si>
  <si>
    <t>Аптека "Мир здоровья"</t>
  </si>
  <si>
    <t>17:29:00</t>
  </si>
  <si>
    <t>18:55:44</t>
  </si>
  <si>
    <t>18:56:00</t>
  </si>
  <si>
    <t>18:56:28</t>
  </si>
  <si>
    <t>аптечный пункт №77-018</t>
  </si>
  <si>
    <t>19:01:05</t>
  </si>
  <si>
    <t>19:02:59</t>
  </si>
  <si>
    <t>Приморский край, г Находка, мкр поселок Ливадия, ул Победы, д 9</t>
  </si>
  <si>
    <t>19:03:20</t>
  </si>
  <si>
    <t>Приморский край, г Находка, мкр поселок Врангель, пр-кт Восточный, д 4Б</t>
  </si>
  <si>
    <t>Аптечный пункт №77-767</t>
  </si>
  <si>
    <t>19:11:52</t>
  </si>
  <si>
    <t>Приморский край, г Дальнегорск, пр-кт 50 лет Октября, д 137</t>
  </si>
  <si>
    <t>19:16:01</t>
  </si>
  <si>
    <t>19:17:13</t>
  </si>
  <si>
    <t>Приморский край, г Большой Камень, ул Приморского Комсомола, д 1</t>
  </si>
  <si>
    <t>19:24:00</t>
  </si>
  <si>
    <t>19:24:12</t>
  </si>
  <si>
    <t>Приморский край, г Артем, ул Фрунзе, д 32А</t>
  </si>
  <si>
    <t>19:23:00</t>
  </si>
  <si>
    <t>19:29:51</t>
  </si>
  <si>
    <t>тулАпт29100</t>
  </si>
  <si>
    <t>19:35:06</t>
  </si>
  <si>
    <t>19:36:36</t>
  </si>
  <si>
    <t>19:37:37</t>
  </si>
  <si>
    <t>19:37:40</t>
  </si>
  <si>
    <t>19:38:04</t>
  </si>
  <si>
    <t>аптека "АКТА-КРЫМ" ПОДРАЗДЕЛЕНИЕ "38"</t>
  </si>
  <si>
    <t>19:44:40</t>
  </si>
  <si>
    <t>Приморский край, г Артем, ул Фрунзе, д 2В</t>
  </si>
  <si>
    <t>Аптечный пункт №77-709</t>
  </si>
  <si>
    <t>19:54:05</t>
  </si>
  <si>
    <t>аптека №78-787</t>
  </si>
  <si>
    <t>19:55:35</t>
  </si>
  <si>
    <t>аптека "Панацея"</t>
  </si>
  <si>
    <t>13:59:00</t>
  </si>
  <si>
    <t>20:03:55</t>
  </si>
  <si>
    <t>Приморский край, г Артем, ул Пушкина, зд 2</t>
  </si>
  <si>
    <t>Аптечный пункт №50-1470</t>
  </si>
  <si>
    <t>20:08:24</t>
  </si>
  <si>
    <t>Приморский край, г Артем, ул Кирова, д 28</t>
  </si>
  <si>
    <t>20:09:30</t>
  </si>
  <si>
    <t>20:11:00</t>
  </si>
  <si>
    <t>20:11:38</t>
  </si>
  <si>
    <t>Приморский край, г Артем, ул Интернациональная, д 71</t>
  </si>
  <si>
    <t>20:13:00</t>
  </si>
  <si>
    <t>20:16:13</t>
  </si>
  <si>
    <t>Приморский край, г Артем, ул 1-я Рабочая, д 28А</t>
  </si>
  <si>
    <t>Аптечный пункт №50-822</t>
  </si>
  <si>
    <t>20:21:53</t>
  </si>
  <si>
    <t>Приморский край, г Артем, ул 1-я Рабочая, д 25</t>
  </si>
  <si>
    <t>20:17:00</t>
  </si>
  <si>
    <t>20:25:11</t>
  </si>
  <si>
    <t>20:32:04</t>
  </si>
  <si>
    <t>20:40:25</t>
  </si>
  <si>
    <t>ООО "Аптека "Постовая 33"</t>
  </si>
  <si>
    <t>20:40:39</t>
  </si>
  <si>
    <t>20:45:40</t>
  </si>
  <si>
    <t>20:52:00</t>
  </si>
  <si>
    <t>20:59:10</t>
  </si>
  <si>
    <t>21:02:19</t>
  </si>
  <si>
    <t>Приморский край, г Артем, пл Ленина, д 7</t>
  </si>
  <si>
    <t>20:55:00</t>
  </si>
  <si>
    <t>21:08:05</t>
  </si>
  <si>
    <t>21:16:36</t>
  </si>
  <si>
    <t>21:18:00</t>
  </si>
  <si>
    <t>21:19:34</t>
  </si>
  <si>
    <t>21:30:11</t>
  </si>
  <si>
    <t>21:31:00</t>
  </si>
  <si>
    <t>21:32:28</t>
  </si>
  <si>
    <t>2025-01-11</t>
  </si>
  <si>
    <t>21:33:48</t>
  </si>
  <si>
    <t>21:39:00</t>
  </si>
  <si>
    <t>21:39:58</t>
  </si>
  <si>
    <t>21:41:00</t>
  </si>
  <si>
    <t>21:42:43</t>
  </si>
  <si>
    <t>21:50:50</t>
  </si>
  <si>
    <t>Приморский край, г Арсеньев, ул Островского, д 2/1</t>
  </si>
  <si>
    <t>22:18:00</t>
  </si>
  <si>
    <t>22:18:53</t>
  </si>
  <si>
    <t>Приморский край, г Арсеньев, ул Жуковского, д 39/3</t>
  </si>
  <si>
    <t>22:36:00</t>
  </si>
  <si>
    <t>22:53:52</t>
  </si>
  <si>
    <t>22:27:00</t>
  </si>
  <si>
    <t>22:55:10</t>
  </si>
  <si>
    <t>Пермский край, Пермский р-н, с Фролы, ул Весенняя, д 4</t>
  </si>
  <si>
    <t>Аптека "Фармадом"</t>
  </si>
  <si>
    <t>23:10:00</t>
  </si>
  <si>
    <t>23:07:43</t>
  </si>
  <si>
    <t>Пермский край, г Чернушка, ул Красноармейская, д 90А</t>
  </si>
  <si>
    <t>Аптечный пункт №50-806</t>
  </si>
  <si>
    <t>23:34:00</t>
  </si>
  <si>
    <t>23:36:27</t>
  </si>
  <si>
    <t>Пермский край, г Соликамск, ул Матросова, д 63</t>
  </si>
  <si>
    <t>01:23:00</t>
  </si>
  <si>
    <t>01:24:15</t>
  </si>
  <si>
    <t>Пермский край, г Лысьва, ул Мира, д 10</t>
  </si>
  <si>
    <t>08:32:54</t>
  </si>
  <si>
    <t>Пермский край, г Кунгур, ул Свободы, д 49</t>
  </si>
  <si>
    <t>16:39:19</t>
  </si>
  <si>
    <t>Пермский край, г Кунгур, ул Ленина, д 55А</t>
  </si>
  <si>
    <t>г.Кемерово, ул.Сибиряков-Гвардейцев, д.7</t>
  </si>
  <si>
    <t>04:23:36</t>
  </si>
  <si>
    <t>Пермский край, г Добрянка, ул Победы, д 27</t>
  </si>
  <si>
    <t>10:09:43</t>
  </si>
  <si>
    <t>Пермский край, г Березники, ул Пятилетки, д 40</t>
  </si>
  <si>
    <t>Пензенская обл, с Бессоновка, ул Центральная, д 202</t>
  </si>
  <si>
    <t>11:14:25</t>
  </si>
  <si>
    <t>11:47:00</t>
  </si>
  <si>
    <t>11:50:16</t>
  </si>
  <si>
    <t>Аптека №78-892</t>
  </si>
  <si>
    <t>12:07:12</t>
  </si>
  <si>
    <t>13:24:08</t>
  </si>
  <si>
    <t>Пензенская обл, Пензенский р-н, с Засечное, ул Семейная, д 1Б</t>
  </si>
  <si>
    <t>Аптека,a-plus.ru,aptekiplus.ru</t>
  </si>
  <si>
    <t>14:44:36</t>
  </si>
  <si>
    <t>Пензенская обл, Пензенский р-н, с Засечное, ул Светлая, д 11</t>
  </si>
  <si>
    <t>г. Новокузнецк ул. 40 лет ВЛКСМ 61</t>
  </si>
  <si>
    <t>16:07:21</t>
  </si>
  <si>
    <t>21:47:28</t>
  </si>
  <si>
    <t>Пензенская обл, Пензенский р-н, с Засечное, ул Радужная, д 13</t>
  </si>
  <si>
    <t>ул. Луговая, 85а, Касса №3</t>
  </si>
  <si>
    <t>03:08:44</t>
  </si>
  <si>
    <t>Пензенская обл, Пензенский р-н, с Засечное, ул Олимпийская, д 17</t>
  </si>
  <si>
    <t>10:49:00</t>
  </si>
  <si>
    <t>04:50:06</t>
  </si>
  <si>
    <t>05:11:55</t>
  </si>
  <si>
    <t>Пензенская обл, Пензенский р-н, с Засечное, ул Олимпийская, д 15</t>
  </si>
  <si>
    <t>08:06:00</t>
  </si>
  <si>
    <t>08:06:35</t>
  </si>
  <si>
    <t>Пензенская обл, Пензенский р-н, с Засечное, ул Механизаторов, д 19Б</t>
  </si>
  <si>
    <t>08:22:37</t>
  </si>
  <si>
    <t>Пензенская обл, г Сердобск, ул Ленина, д 269Н</t>
  </si>
  <si>
    <t>08:26:48</t>
  </si>
  <si>
    <t>Аптека №33</t>
  </si>
  <si>
    <t>08:43:07</t>
  </si>
  <si>
    <t>Пензенская обл, г Сердобск</t>
  </si>
  <si>
    <t>Аптека Оптика</t>
  </si>
  <si>
    <t>10:02:30</t>
  </si>
  <si>
    <t>10:13:16</t>
  </si>
  <si>
    <t>Аптека, aptekiplus.ru</t>
  </si>
  <si>
    <t>10:47:55</t>
  </si>
  <si>
    <t>11:56:18</t>
  </si>
  <si>
    <t>12:11:08</t>
  </si>
  <si>
    <t>12:15:35</t>
  </si>
  <si>
    <t>12:20:00</t>
  </si>
  <si>
    <t>12:20:25</t>
  </si>
  <si>
    <t>12:26:40</t>
  </si>
  <si>
    <t>Пензенская обл, г Кузнецк, ул Радищева, д 86К к 3</t>
  </si>
  <si>
    <t>13:06:34</t>
  </si>
  <si>
    <t>Пензенская обл, г Кузнецк, ул Осипенко, влд 52</t>
  </si>
  <si>
    <t>Аптечный пункт №77-508</t>
  </si>
  <si>
    <t>13:26:00</t>
  </si>
  <si>
    <t>13:26:16</t>
  </si>
  <si>
    <t>13:32:09</t>
  </si>
  <si>
    <t>Пензенская обл, г Кузнецк, ул Калинина, д 204</t>
  </si>
  <si>
    <t>Аптечный пункт,aptekiplus.ru</t>
  </si>
  <si>
    <t>14:06:21</t>
  </si>
  <si>
    <t>Пензенская обл, г Кузнецк, ул Белинского, д 1</t>
  </si>
  <si>
    <t>07:13:00</t>
  </si>
  <si>
    <t>15:20:40</t>
  </si>
  <si>
    <t>Пензенская обл, г Каменка, ул Ворошилова, д 2</t>
  </si>
  <si>
    <t>15:28:39</t>
  </si>
  <si>
    <t>15:43:06</t>
  </si>
  <si>
    <t>15:45:21</t>
  </si>
  <si>
    <t>15:53:00</t>
  </si>
  <si>
    <t>15:53:06</t>
  </si>
  <si>
    <t>Пензенская обл, г Белинский, ул Рабочая, зд 27Б</t>
  </si>
  <si>
    <t>17:10:57</t>
  </si>
  <si>
    <t>Орловская обл, пгт Нарышкино, ул Ленина, зд 108, помещ 1</t>
  </si>
  <si>
    <t>Аптека"Живика"</t>
  </si>
  <si>
    <t>18:06:58</t>
  </si>
  <si>
    <t>18:40:55</t>
  </si>
  <si>
    <t>Аптека "ВИТА"</t>
  </si>
  <si>
    <t>19:13:22</t>
  </si>
  <si>
    <t>19:16:19</t>
  </si>
  <si>
    <t>19:21:38</t>
  </si>
  <si>
    <t>Орловская обл, пгт Нарышкино, ул Ленина, д 42А</t>
  </si>
  <si>
    <t>Аптечный пункт-ГР-(Мск)-Домодедовская-2</t>
  </si>
  <si>
    <t>19:48:00</t>
  </si>
  <si>
    <t>19:48:58</t>
  </si>
  <si>
    <t>20:02:53</t>
  </si>
  <si>
    <t>Орловская обл, пгт Кромы, ул К.Маркса, д 3А, помещ 1</t>
  </si>
  <si>
    <t>20:20:00</t>
  </si>
  <si>
    <t>20:27:29</t>
  </si>
  <si>
    <t>Орловская обл, пгт Кромы, ул К.Маркса, д 3</t>
  </si>
  <si>
    <t>20:35:57</t>
  </si>
  <si>
    <t>Орловская обл, пгт Глазуновка, ул Ленина, д 63, помещ 17/18</t>
  </si>
  <si>
    <t>20:48:04</t>
  </si>
  <si>
    <t>20:57:36</t>
  </si>
  <si>
    <t>21:01:36</t>
  </si>
  <si>
    <t>20:59:00</t>
  </si>
  <si>
    <t>21:02:46</t>
  </si>
  <si>
    <t>Орловская обл, п Красная Заря, ул Ленина, д 7</t>
  </si>
  <si>
    <t>Аптечный пункт № 77-429</t>
  </si>
  <si>
    <t>21:37:00</t>
  </si>
  <si>
    <t>21:37:58</t>
  </si>
  <si>
    <t>22:45:00</t>
  </si>
  <si>
    <t>22:47:07</t>
  </si>
  <si>
    <t>22:55:15</t>
  </si>
  <si>
    <t>23:22:12</t>
  </si>
  <si>
    <t>Орловская обл, Орловский р-н, п Стрелецкий, ул Школьная, д 24</t>
  </si>
  <si>
    <t>04:15:15</t>
  </si>
  <si>
    <t>Оренбургская обл, с Шарлык, ул Мусы Джалиля, д 1 к а</t>
  </si>
  <si>
    <t>04:51:52</t>
  </si>
  <si>
    <t>Оренбургская обл, с Пономаревка, ул Советская, зд 34</t>
  </si>
  <si>
    <t>Аптека 27</t>
  </si>
  <si>
    <t>09:23:00</t>
  </si>
  <si>
    <t>05:25:41</t>
  </si>
  <si>
    <t>Оренбургская обл, г Соль-Илецк, пер Хлебный, д 1А</t>
  </si>
  <si>
    <t>Аптечный пункт АКГУП "Аптеки Алтая" с. Топчиха</t>
  </si>
  <si>
    <t>09:54:00</t>
  </si>
  <si>
    <t>05:56:45</t>
  </si>
  <si>
    <t>Оренбургская обл, г Орск, ул Машиностроителей, д 16А</t>
  </si>
  <si>
    <t>06:03:00</t>
  </si>
  <si>
    <t>06:03:53</t>
  </si>
  <si>
    <t>Оренбургская обл, г Гай, ул Челябинская, д 126Б</t>
  </si>
  <si>
    <t>08:47:00</t>
  </si>
  <si>
    <t>06:08:26</t>
  </si>
  <si>
    <t>Оренбургская обл, г Бузулук, ул Комсомольская, зд 81</t>
  </si>
  <si>
    <t>Аптека "Астра"</t>
  </si>
  <si>
    <t>12:11:00</t>
  </si>
  <si>
    <t>06:16:05</t>
  </si>
  <si>
    <t>Оренбургская обл, г Бугуруслан, ул Революционная, зд 54</t>
  </si>
  <si>
    <t>09:30:00</t>
  </si>
  <si>
    <t>06:31:44</t>
  </si>
  <si>
    <t>Омская обл, с Азово, ул Советская, д 61/1</t>
  </si>
  <si>
    <t>06:45:39</t>
  </si>
  <si>
    <t>Уссурийск, ул. Русская 5А, Касса 1</t>
  </si>
  <si>
    <t>06:48:27</t>
  </si>
  <si>
    <t>07:02:24</t>
  </si>
  <si>
    <t>Омская обл, рп Таврическое, ул Ленина, д 50А</t>
  </si>
  <si>
    <t>07:11:36</t>
  </si>
  <si>
    <t>Аптека №36</t>
  </si>
  <si>
    <t>07:12:34</t>
  </si>
  <si>
    <t>Омская обл, рп Нововаршавка, ул Красноармейская, д 5А</t>
  </si>
  <si>
    <t>07:48:13</t>
  </si>
  <si>
    <t>Аптечный пункт-ФП-(Мск)-Варшавская-2</t>
  </si>
  <si>
    <t>07:48:19</t>
  </si>
  <si>
    <t>Аптечный пункт-АФ-(Мск)-Крылатское-2</t>
  </si>
  <si>
    <t>07:51:19</t>
  </si>
  <si>
    <t>07:51:26</t>
  </si>
  <si>
    <t>10:41:00</t>
  </si>
  <si>
    <t>07:53:58</t>
  </si>
  <si>
    <t>07:57:05</t>
  </si>
  <si>
    <t>11:25:00</t>
  </si>
  <si>
    <t>07:59:02</t>
  </si>
  <si>
    <t>08:03:00</t>
  </si>
  <si>
    <t>08:03:51</t>
  </si>
  <si>
    <t>08:07:13</t>
  </si>
  <si>
    <t>08:25:00</t>
  </si>
  <si>
    <t>08:12:33</t>
  </si>
  <si>
    <t>08:18:53</t>
  </si>
  <si>
    <t>Аптечный пункт, г. Борисоглебск, ул. Советская, 37, касса 4</t>
  </si>
  <si>
    <t>08:22:27</t>
  </si>
  <si>
    <t>08:22:54</t>
  </si>
  <si>
    <t>08:21:00</t>
  </si>
  <si>
    <t>08:23:53</t>
  </si>
  <si>
    <t>08:24:00</t>
  </si>
  <si>
    <t>08:24:33</t>
  </si>
  <si>
    <t>08:27:30</t>
  </si>
  <si>
    <t>08:32:09</t>
  </si>
  <si>
    <t>Аптечный пункт в павильоне</t>
  </si>
  <si>
    <t>08:32:40</t>
  </si>
  <si>
    <t>08:33:51</t>
  </si>
  <si>
    <t>08:36:02</t>
  </si>
  <si>
    <t>08:36:00</t>
  </si>
  <si>
    <t>08:36:56</t>
  </si>
  <si>
    <t>08:41:05</t>
  </si>
  <si>
    <t>08:45:36</t>
  </si>
  <si>
    <t>08:46:30</t>
  </si>
  <si>
    <t>08:53:22</t>
  </si>
  <si>
    <t>08:55:16</t>
  </si>
  <si>
    <t>08:56:19</t>
  </si>
  <si>
    <t>08:59:41</t>
  </si>
  <si>
    <t>Аптечный пункт №77-177</t>
  </si>
  <si>
    <t>08:49:00</t>
  </si>
  <si>
    <t>08:59:56</t>
  </si>
  <si>
    <t>Омская обл, рп Москаленки, ул Ленина, д 10</t>
  </si>
  <si>
    <t>09:06:00</t>
  </si>
  <si>
    <t>09:06:57</t>
  </si>
  <si>
    <t>Омская обл, рп Марьяновка, ул Пролетарская, д 53А</t>
  </si>
  <si>
    <t>09:10:25</t>
  </si>
  <si>
    <t>Омская обл, Омский р-н, с Усть-Заостровка, ул Центральная, д 8, помещ 2</t>
  </si>
  <si>
    <t>09:13:17</t>
  </si>
  <si>
    <t>Омская обл, Омский р-н, п Горячий Ключ, ул Магистральная, д 8А</t>
  </si>
  <si>
    <t>09:26:16</t>
  </si>
  <si>
    <t>09:27:04</t>
  </si>
  <si>
    <t>09:27:16</t>
  </si>
  <si>
    <t>09:29:57</t>
  </si>
  <si>
    <t>Омская обл, Омский р-н, п Ачаирский, ул Центральная, д 13</t>
  </si>
  <si>
    <t>09:32:27</t>
  </si>
  <si>
    <t>Омская обл, г Тара, пл Ленина, д 9</t>
  </si>
  <si>
    <t>09:31:00</t>
  </si>
  <si>
    <t>09:33:02</t>
  </si>
  <si>
    <t>Омская обл, г Калачинск, ул Ленина, д 50А</t>
  </si>
  <si>
    <t>09:34:53</t>
  </si>
  <si>
    <t>09:38:27</t>
  </si>
  <si>
    <t>09:43:00</t>
  </si>
  <si>
    <t>Новосибирская обл, рп Краснозерское, ул Октябрьская, д 39</t>
  </si>
  <si>
    <t>09:52:56</t>
  </si>
  <si>
    <t>Новосибирская обл, рп Коченево, ул Максима Горького, д 95</t>
  </si>
  <si>
    <t>20:18:00</t>
  </si>
  <si>
    <t>09:57:30</t>
  </si>
  <si>
    <t>Новосибирская обл, рп Кольцово, пр-кт Академика Сандахчиева, зд 9</t>
  </si>
  <si>
    <t>10:14:34</t>
  </si>
  <si>
    <t>Новосибирская обл, Новосибирский р-н, с Криводановка, ул Садовая, д 27Б</t>
  </si>
  <si>
    <t>10:22:44</t>
  </si>
  <si>
    <t>10:23:00</t>
  </si>
  <si>
    <t>10:25:14</t>
  </si>
  <si>
    <t>10:28:31</t>
  </si>
  <si>
    <t>Новосибирская обл, Новосибирский р-н, с Верх-Тула, ул Советская, д 1А</t>
  </si>
  <si>
    <t>10:40:06</t>
  </si>
  <si>
    <t>10:43:25</t>
  </si>
  <si>
    <t>10:46:11</t>
  </si>
  <si>
    <t>Новосибирская обл, Новосибирский р-н, рп Краснообск, мкр 2, д 229</t>
  </si>
  <si>
    <t>09:53:51</t>
  </si>
  <si>
    <t>Новосибирская обл, Новосибирский р-н, рп Краснообск, д 221</t>
  </si>
  <si>
    <t>10:52:53</t>
  </si>
  <si>
    <t>Новосибирская обл, Новосибирский р-н, п Элитный, ул Фламинго, зд 15, помещ 1</t>
  </si>
  <si>
    <t>10:59:20</t>
  </si>
  <si>
    <t>Новосибирская обл, Новосибирский р-н, п Элитный, ул Венская, зд 23</t>
  </si>
  <si>
    <t>11:00:14</t>
  </si>
  <si>
    <t>422545, Республика Татарстан (Татарстан), Зеленодольский м.р-н, город Зеленодольск г.п., Зеленодольск г, Королева ул, 9 д.</t>
  </si>
  <si>
    <t>11:00:00</t>
  </si>
  <si>
    <t>11:01:40</t>
  </si>
  <si>
    <t>11:02:18</t>
  </si>
  <si>
    <t>Новосибирская обл, Новосибирский р-н, п Ложок, ул Солнечная, зд 33/1</t>
  </si>
  <si>
    <t>11:02:53</t>
  </si>
  <si>
    <t>Новосибирская обл, Новосибирский р-н, дп Кудряшовский, ул Зеленая, д 1</t>
  </si>
  <si>
    <t>11:05:00</t>
  </si>
  <si>
    <t>11:08:05</t>
  </si>
  <si>
    <t>Новосибирская обл, Мошковский р-н, рп Станционно-Ояшинский, ул Октябрьская, д 8</t>
  </si>
  <si>
    <t>аптека "АКТА-КРЫМ" ПОДРАЗДЕЛЕНИЕ "12"</t>
  </si>
  <si>
    <t>11:12:21</t>
  </si>
  <si>
    <t>Новосибирская обл, г Черепаново, ул Партизанская, зд 42А</t>
  </si>
  <si>
    <t>11:22:37</t>
  </si>
  <si>
    <t>аптечный пункт №50-905</t>
  </si>
  <si>
    <t>11:24:25</t>
  </si>
  <si>
    <t>11:24:37</t>
  </si>
  <si>
    <t>Аптечный пункт-ЗД-(МО)-Королев-1</t>
  </si>
  <si>
    <t>11:26:52</t>
  </si>
  <si>
    <t>11:27:08</t>
  </si>
  <si>
    <t>Аптека №2 Теплоэнергетиков 6Д</t>
  </si>
  <si>
    <t>11:36:18</t>
  </si>
  <si>
    <t>Новосибирская обл, г Искитим, ул Украинская, д 60</t>
  </si>
  <si>
    <t>11:36:25</t>
  </si>
  <si>
    <t>Новосибирская обл, г Искитим, ул Пушкина, зд 57</t>
  </si>
  <si>
    <t>Аптека №47-877</t>
  </si>
  <si>
    <t>11:51:12</t>
  </si>
  <si>
    <t>Новосибирская обл, г Искитим, мкр Южный, д 66А</t>
  </si>
  <si>
    <t>11:58:44</t>
  </si>
  <si>
    <t>Аптечный пункт № 50-462</t>
  </si>
  <si>
    <t>12:02:15</t>
  </si>
  <si>
    <t>12:02:25</t>
  </si>
  <si>
    <t>12:02:29</t>
  </si>
  <si>
    <t>Новосибирская обл, г Искитим, мкр Южный, д 38</t>
  </si>
  <si>
    <t>Аптека 18</t>
  </si>
  <si>
    <t>12:03:02</t>
  </si>
  <si>
    <t>12:04:06</t>
  </si>
  <si>
    <t>Новосибирская обл, г Бердск, ул Ушакова, д 1</t>
  </si>
  <si>
    <t>12:11:32</t>
  </si>
  <si>
    <t>Новосибирская обл, г Бердск, ул Островского, д 174</t>
  </si>
  <si>
    <t>12:13:50</t>
  </si>
  <si>
    <t>12:15:32</t>
  </si>
  <si>
    <t>Новосибирская обл, г Бердск, ул Микрорайон, д 25А</t>
  </si>
  <si>
    <t>12:16:51</t>
  </si>
  <si>
    <t>12:20:22</t>
  </si>
  <si>
    <t>12:21:21</t>
  </si>
  <si>
    <t>12:21:39</t>
  </si>
  <si>
    <t>Новосибирская обл, г Бердск, ул Ленина, д 90</t>
  </si>
  <si>
    <t>12:26:49</t>
  </si>
  <si>
    <t>Новосибирская обл, г Бердск, ул Ленина, д 89/8</t>
  </si>
  <si>
    <t>12:29:02</t>
  </si>
  <si>
    <t>Аптека № 1</t>
  </si>
  <si>
    <t>12:29:59</t>
  </si>
  <si>
    <t>12:08:00</t>
  </si>
  <si>
    <t>12:31:29</t>
  </si>
  <si>
    <t>Новосибирская обл, г Бердск, ул Комсомольская, д 13, помещ 2/3</t>
  </si>
  <si>
    <t>12:32:46</t>
  </si>
  <si>
    <t>12:16:00</t>
  </si>
  <si>
    <t>12:33:58</t>
  </si>
  <si>
    <t>12:35:57</t>
  </si>
  <si>
    <t>12:37:51</t>
  </si>
  <si>
    <t>Новосибирская обл, г Бердск, тер ГСК 5 (Ленина ул), д 89/15</t>
  </si>
  <si>
    <t>Аптека "Аптека.RU"</t>
  </si>
  <si>
    <t>12:41:30</t>
  </si>
  <si>
    <t>12:46:17</t>
  </si>
  <si>
    <t>Новосибирская обл, Барабинский р-н, г Барабинск, ул Ермака, д 7</t>
  </si>
  <si>
    <t>12:52:15</t>
  </si>
  <si>
    <t>12:53:12</t>
  </si>
  <si>
    <t>Новгородская обл, рп Крестцы, ул Московская, д 5</t>
  </si>
  <si>
    <t>12:57:44</t>
  </si>
  <si>
    <t>Новгородская обл, г Чудово, ул Некрасова, д 11</t>
  </si>
  <si>
    <t>13:02:33</t>
  </si>
  <si>
    <t>Новгородская обл, г Малая Вишера, ул 3 КДО, д 12</t>
  </si>
  <si>
    <t>Аптека"Доброго здоровья"</t>
  </si>
  <si>
    <t>09:03:50</t>
  </si>
  <si>
    <t>Новгородская обл, г Валдай, пр-кт Комсомольский, д 56А</t>
  </si>
  <si>
    <t>13:14:29</t>
  </si>
  <si>
    <t>Новгородская обл, г Боровичи, ул Подбельского, д 15</t>
  </si>
  <si>
    <t>40 - Калужская область, 248001, Калуга г, Кирова ул, 1</t>
  </si>
  <si>
    <t>13:19:19</t>
  </si>
  <si>
    <t>13:20:35</t>
  </si>
  <si>
    <t>Новгородская обл, г Боровичи, ул Ленинградская, д 30</t>
  </si>
  <si>
    <t>Нижегородская обл, рп Бутурлино, ул Ленина, д 107</t>
  </si>
  <si>
    <t>13:25:00</t>
  </si>
  <si>
    <t>13:26:25</t>
  </si>
  <si>
    <t>Нижегородская обл, Павловский р-н, г Ворсма, ул Ленина, д 90</t>
  </si>
  <si>
    <t>13:31:35</t>
  </si>
  <si>
    <t>Нижегородская обл, Павловский р-н, г Ворсма, пер Ленина, д 90</t>
  </si>
  <si>
    <t>13:34:03</t>
  </si>
  <si>
    <t>Нижегородская обл, Кстовский р-н, д Афонино, ул Академическая, д 5</t>
  </si>
  <si>
    <t>17:28:00</t>
  </si>
  <si>
    <t>13:38:27</t>
  </si>
  <si>
    <t>Нижегородская обл, г Семенов, ул Спортивная, д 73</t>
  </si>
  <si>
    <t>13:40:12</t>
  </si>
  <si>
    <t>Аптека №21</t>
  </si>
  <si>
    <t>13:41:38</t>
  </si>
  <si>
    <t>13:41:50</t>
  </si>
  <si>
    <t>13:47:01</t>
  </si>
  <si>
    <t>АПТЕКА "ЛЕКА"</t>
  </si>
  <si>
    <t>13:52:05</t>
  </si>
  <si>
    <t>Нижегородская обл, г Саров, ул Силкина, д 31</t>
  </si>
  <si>
    <t>Аптека "Любимая"</t>
  </si>
  <si>
    <t>12:49:00</t>
  </si>
  <si>
    <t>13:53:39</t>
  </si>
  <si>
    <t>Нижегородская обл, г Саров, ул Московская, д 16, помещ 2В</t>
  </si>
  <si>
    <t>13:55:42</t>
  </si>
  <si>
    <t>Нижегородская обл, г Саров, ул Московская, д 16, помещ 2Б</t>
  </si>
  <si>
    <t>Аптека №78-1383</t>
  </si>
  <si>
    <t>13:55:46</t>
  </si>
  <si>
    <t>13:58:21</t>
  </si>
  <si>
    <t>Нижегородская обл, г Кстово, ул Парковая, д 7Б</t>
  </si>
  <si>
    <t>14:06:10</t>
  </si>
  <si>
    <t>Нижегородская обл, г Кстово, ул Зеленая, д 24</t>
  </si>
  <si>
    <t>14:11:26</t>
  </si>
  <si>
    <t>Нижегородская обл, г Кстово, ул 40 лет Октября, д 8</t>
  </si>
  <si>
    <t>14:12:29</t>
  </si>
  <si>
    <t>14:13:43</t>
  </si>
  <si>
    <t>Аптека №40</t>
  </si>
  <si>
    <t>14:16:52</t>
  </si>
  <si>
    <t>Нижегородская обл, г Кстово, пр-кт Победы, д 13</t>
  </si>
  <si>
    <t>14:22:29</t>
  </si>
  <si>
    <t>Нижегородская обл, г Кстово, пр-кт Капитана Рачкова, д 17</t>
  </si>
  <si>
    <t>14:27:40</t>
  </si>
  <si>
    <t>Аптечный пункт№77-767</t>
  </si>
  <si>
    <t>14:30:16</t>
  </si>
  <si>
    <t>14:32:02</t>
  </si>
  <si>
    <t>Нижегородская обл, г Кстово, пр-кт Капитана Рачкова, д 13</t>
  </si>
  <si>
    <t>14:32:22</t>
  </si>
  <si>
    <t>Нижегородская обл, г Кстово, мкр 2-й, д 20</t>
  </si>
  <si>
    <t>14:37:07</t>
  </si>
  <si>
    <t>14:38:14</t>
  </si>
  <si>
    <t>Нижегородская обл, г Дзержинск, ул Рудольфа Удриса, д 4</t>
  </si>
  <si>
    <t>14:38:24</t>
  </si>
  <si>
    <t>Нижегородская обл, г Дзержинск, пр-кт Чкалова, д 21</t>
  </si>
  <si>
    <t>14:39:00</t>
  </si>
  <si>
    <t>14:39:35</t>
  </si>
  <si>
    <t>Нижегородская обл, г Дзержинск, пр-кт Циолковского, д 78</t>
  </si>
  <si>
    <t>Аптека "Аскорбинка"</t>
  </si>
  <si>
    <t>14:40:09</t>
  </si>
  <si>
    <t>14:40:14</t>
  </si>
  <si>
    <t>14:44:00</t>
  </si>
  <si>
    <t>14:40:41</t>
  </si>
  <si>
    <t>14:41:06</t>
  </si>
  <si>
    <t>Нижегородская обл, г Дзержинск, пр-кт Циолковского, д 70</t>
  </si>
  <si>
    <t>14:41:15</t>
  </si>
  <si>
    <t>Нижегородская обл, г Дзержинск, пр-кт Ленина, д 34</t>
  </si>
  <si>
    <t>(384-64)-5-73-93</t>
  </si>
  <si>
    <t>18:22:00</t>
  </si>
  <si>
    <t>14:43:52</t>
  </si>
  <si>
    <t>Аптека, ул. Кабанская, 8б</t>
  </si>
  <si>
    <t>Нижегородская обл, г Дзержинск, б-р Космонавтов, д 1/77</t>
  </si>
  <si>
    <t>14:49:49</t>
  </si>
  <si>
    <t>Нижегородская обл, г Выкса, мкр Гоголя, д 25</t>
  </si>
  <si>
    <t>14:54:29</t>
  </si>
  <si>
    <t>Нижегородская обл, г Бор, ул Пушкина, д 97</t>
  </si>
  <si>
    <t>14:55:03</t>
  </si>
  <si>
    <t>Магнит  Аптека Аптека Самара 10 Южное шоссе</t>
  </si>
  <si>
    <t>14:55:11</t>
  </si>
  <si>
    <t>Нижегородская обл, г Бор, ул Ленина, д 159</t>
  </si>
  <si>
    <t>14:56:02</t>
  </si>
  <si>
    <t>Нижегородская обл, г Бор, ул Крупской, д 24</t>
  </si>
  <si>
    <t>14:57:27</t>
  </si>
  <si>
    <t>Нижегородская обл, г Богородск, ул Ленина, д 220</t>
  </si>
  <si>
    <t>Эконом-аптека</t>
  </si>
  <si>
    <t>14:59:14</t>
  </si>
  <si>
    <t>Нижегородская обл, г Богородск, ул Ленина, д 201, помещ 3</t>
  </si>
  <si>
    <t>15:00:00</t>
  </si>
  <si>
    <t>15:00:47</t>
  </si>
  <si>
    <t>15:01:02</t>
  </si>
  <si>
    <t>Аптечный пункт№77- 714</t>
  </si>
  <si>
    <t>15:02:02</t>
  </si>
  <si>
    <t>Аптека, ул. Туполева, 14</t>
  </si>
  <si>
    <t>15:04:39</t>
  </si>
  <si>
    <t>Нижегородская обл, г Богородск, мкр 2-й, д 8Б</t>
  </si>
  <si>
    <t>15:09:06</t>
  </si>
  <si>
    <t>Нижегородская обл, г Арзамас, ул Мучной ряд, д 3</t>
  </si>
  <si>
    <t>Аптека27 Аптека 359</t>
  </si>
  <si>
    <t>15:09:22</t>
  </si>
  <si>
    <t>15:09:43</t>
  </si>
  <si>
    <t>15:10:53</t>
  </si>
  <si>
    <t>Нижегородская обл, Балахнинский р-н, рп Большое Козино, ул Большая Школьная, д 50А</t>
  </si>
  <si>
    <t>Аптека "Лека"</t>
  </si>
  <si>
    <t>15:15:42</t>
  </si>
  <si>
    <t>15:17:01</t>
  </si>
  <si>
    <t>Нижегородская обл, Балахнинский р-н, рп Большое Козино, ул Большая Школьная, д 31</t>
  </si>
  <si>
    <t>15:19:02</t>
  </si>
  <si>
    <t>Мурманская обл, п Видяево, ул Заречная, д 41А</t>
  </si>
  <si>
    <t>15:21:30</t>
  </si>
  <si>
    <t>14:52:59</t>
  </si>
  <si>
    <t>15:23:54</t>
  </si>
  <si>
    <t>15:26:49</t>
  </si>
  <si>
    <t>Мурманская обл, г Снежногорск, ул Павла Стеблина, зд 11Г</t>
  </si>
  <si>
    <t>15:37:07</t>
  </si>
  <si>
    <t>Мурманская обл, г Североморск, ул Колышкина, д 3</t>
  </si>
  <si>
    <t>15:39:10</t>
  </si>
  <si>
    <t>Мурманская обл, г Оленегорск, ул Строительная, д 34</t>
  </si>
  <si>
    <t>15:40:30</t>
  </si>
  <si>
    <t>Мурманская обл, г Кандалакша, ул Аэронавтов, д 1/50</t>
  </si>
  <si>
    <t>15:44:00</t>
  </si>
  <si>
    <t>15:44:23</t>
  </si>
  <si>
    <t>15:44:28</t>
  </si>
  <si>
    <t>Мурманская обл, г Апатиты, ул Дзержинского, д 13</t>
  </si>
  <si>
    <t>Филиал 300 Аптека 5</t>
  </si>
  <si>
    <t>15:45:51</t>
  </si>
  <si>
    <t>АПТЕКА АСКЛЕПИЙ</t>
  </si>
  <si>
    <t>15:48:07</t>
  </si>
  <si>
    <t>20:41:00</t>
  </si>
  <si>
    <t>15:48:22</t>
  </si>
  <si>
    <t>15:49:00</t>
  </si>
  <si>
    <t>15:49:26</t>
  </si>
  <si>
    <t>Мурманская обл, г Апатиты, ул Дзержинского, д 1</t>
  </si>
  <si>
    <t>Аптека Киевская</t>
  </si>
  <si>
    <t>15:50:49</t>
  </si>
  <si>
    <t>Мурманская обл, г Апатиты, пр-кт Сидоренко, д 28</t>
  </si>
  <si>
    <t>620103, Екатеринбург г, Эскадронная ул, д.29</t>
  </si>
  <si>
    <t>16:01:26</t>
  </si>
  <si>
    <t>Московская обл, ул Кузьмина, д 31</t>
  </si>
  <si>
    <t>16:02:04</t>
  </si>
  <si>
    <t>Московская обл, ул Большая Покровская, д 54/1</t>
  </si>
  <si>
    <t>16:53:00</t>
  </si>
  <si>
    <t>16:09:48</t>
  </si>
  <si>
    <t>16:14:44</t>
  </si>
  <si>
    <t>16:18:31</t>
  </si>
  <si>
    <t>Московская обл, Пушкинский р-н, нп Софрино-1, д 21А</t>
  </si>
  <si>
    <t>16:19:00</t>
  </si>
  <si>
    <t>16:27:50</t>
  </si>
  <si>
    <t>Московская обл, п Звездный городок, гск Звездный, д 23</t>
  </si>
  <si>
    <t>19:31:00</t>
  </si>
  <si>
    <t>16:32:42</t>
  </si>
  <si>
    <t>Московская обл, Ленинский р-н, с/п Молоковское</t>
  </si>
  <si>
    <t>16:17:00</t>
  </si>
  <si>
    <t>16:38:26</t>
  </si>
  <si>
    <t>16:38:30</t>
  </si>
  <si>
    <t>16:39:35</t>
  </si>
  <si>
    <t>Московская обл, Красногорский р-н, автодорога Пятницкое ш, тер 7-й км, влд 2</t>
  </si>
  <si>
    <t>16:44:34</t>
  </si>
  <si>
    <t>16:44:39</t>
  </si>
  <si>
    <t>16:46:53</t>
  </si>
  <si>
    <t>Московская обл, г Электросталь, ул Ялагина, д 5, помещ 14</t>
  </si>
  <si>
    <t>14:58:00</t>
  </si>
  <si>
    <t>16:51:04</t>
  </si>
  <si>
    <t>Московская обл, г Электросталь, ул Победы, д 1</t>
  </si>
  <si>
    <t>11:45:00</t>
  </si>
  <si>
    <t>16:55:06</t>
  </si>
  <si>
    <t>Московская обл, г Электросталь, пр-кт Ленина, д 26, помещ 06</t>
  </si>
  <si>
    <t>16:55:32</t>
  </si>
  <si>
    <t>Московская обл, г Щёлково, ул Центральная, д 17, помещ 1/XXV</t>
  </si>
  <si>
    <t>16:59:45</t>
  </si>
  <si>
    <t>Московская обл, г Щёлково, ул Талсинская, д 811, кв 2А</t>
  </si>
  <si>
    <t>17:02:29</t>
  </si>
  <si>
    <t>Московская обл, г Щёлково, ул Московская, стр 130</t>
  </si>
  <si>
    <t>17:04:43</t>
  </si>
  <si>
    <t>Московская обл, г Щёлково, ул Институтская, влд 5</t>
  </si>
  <si>
    <t>17:05:07</t>
  </si>
  <si>
    <t>17:06:27</t>
  </si>
  <si>
    <t>17:08:48</t>
  </si>
  <si>
    <t>17:09:56</t>
  </si>
  <si>
    <t>Московская обл, г Щёлково, ул Беляева, д 803, кв 23А</t>
  </si>
  <si>
    <t>17:15:33</t>
  </si>
  <si>
    <t>17:20:00</t>
  </si>
  <si>
    <t>17:20:09</t>
  </si>
  <si>
    <t>46 - Курская область, г.о. город Курск,305044,, г Курск,, ул Союзная, зд. 37,,,</t>
  </si>
  <si>
    <t>17:18:00</t>
  </si>
  <si>
    <t>17:23:47</t>
  </si>
  <si>
    <t>17:33:57</t>
  </si>
  <si>
    <t>17:34:17</t>
  </si>
  <si>
    <t>17:35:03</t>
  </si>
  <si>
    <t>17:36:00</t>
  </si>
  <si>
    <t>17:38:59</t>
  </si>
  <si>
    <t>17:47:26</t>
  </si>
  <si>
    <t>Аптечный пункт-АФ-(Мск)-Новослободская-1</t>
  </si>
  <si>
    <t>17:52:36</t>
  </si>
  <si>
    <t>17:45:00</t>
  </si>
  <si>
    <t>17:53:13</t>
  </si>
  <si>
    <t>Московская обл, г Щёлково, ул 8 Марта, д 11</t>
  </si>
  <si>
    <t>17:53:20</t>
  </si>
  <si>
    <t>17:53:38</t>
  </si>
  <si>
    <t>17:55:13</t>
  </si>
  <si>
    <t>Московская обл, г Щёлково, пр-кт Пролетарский, д 10</t>
  </si>
  <si>
    <t>17:55:59</t>
  </si>
  <si>
    <t>Московская обл, г Щёлково, платф Воронок</t>
  </si>
  <si>
    <t>Аптека Фармакея</t>
  </si>
  <si>
    <t>17:58:18</t>
  </si>
  <si>
    <t>17:59:46</t>
  </si>
  <si>
    <t>Аптечный пункт ООО "ИСИДА"</t>
  </si>
  <si>
    <t>18:10:23</t>
  </si>
  <si>
    <t>18:12:32</t>
  </si>
  <si>
    <t>18:16:48</t>
  </si>
  <si>
    <t>Аптечный пункт №77-513</t>
  </si>
  <si>
    <t>18:20:04</t>
  </si>
  <si>
    <t>18:20:00</t>
  </si>
  <si>
    <t>18:23:10</t>
  </si>
  <si>
    <t>18:25:25</t>
  </si>
  <si>
    <t>Московская обл, г Щёлково, мкр Богородский, д 10 к 2</t>
  </si>
  <si>
    <t>18:24:00</t>
  </si>
  <si>
    <t>18:25:59</t>
  </si>
  <si>
    <t>18:29:10</t>
  </si>
  <si>
    <t>16:43:00</t>
  </si>
  <si>
    <t>18:29:48</t>
  </si>
  <si>
    <t>18:32:21</t>
  </si>
  <si>
    <t>Московская обл, г Щёлково, кв-л Заповедный парк, ул Грибная, д 1</t>
  </si>
  <si>
    <t>18:40:50</t>
  </si>
  <si>
    <t>18:43:12</t>
  </si>
  <si>
    <t>Мск Аптека 157.2 141014, Московская обл, Мытищи г, Веры Волошиной ул, дом № 10</t>
  </si>
  <si>
    <t>18:44:15</t>
  </si>
  <si>
    <t>16:03:00</t>
  </si>
  <si>
    <t>18:44:25</t>
  </si>
  <si>
    <t>АПТЕЧНЫЙ ПУНКТ №77-621</t>
  </si>
  <si>
    <t>18:45:17</t>
  </si>
  <si>
    <t>Аптечный пункт в КДЦ на Мичуринском</t>
  </si>
  <si>
    <t>18:48:27</t>
  </si>
  <si>
    <t>18:48:00</t>
  </si>
  <si>
    <t>18:48:42</t>
  </si>
  <si>
    <t>18:49:20</t>
  </si>
  <si>
    <t>18:50:16</t>
  </si>
  <si>
    <t>22:54:00</t>
  </si>
  <si>
    <t>18:53:13</t>
  </si>
  <si>
    <t>Аптечный пункт-АФ-(Мск)-Юго-Западная-1</t>
  </si>
  <si>
    <t>18:57:34</t>
  </si>
  <si>
    <t>19:01:55</t>
  </si>
  <si>
    <t>19:11:53</t>
  </si>
  <si>
    <t>19:13:32</t>
  </si>
  <si>
    <t>Московская обл, г Щёлково, кв-л Варежки-3, б-р Изумрудный, стр 2</t>
  </si>
  <si>
    <t>19:11:00</t>
  </si>
  <si>
    <t>19:15:33</t>
  </si>
  <si>
    <t>19:06:00</t>
  </si>
  <si>
    <t>19:19:12</t>
  </si>
  <si>
    <t>18:03:00</t>
  </si>
  <si>
    <t>19:19:56</t>
  </si>
  <si>
    <t>19:21:55</t>
  </si>
  <si>
    <t>19:23:41</t>
  </si>
  <si>
    <t>19:25:30</t>
  </si>
  <si>
    <t>Московская обл, г Щёлково, дп Загорянский, ул Орджоникидзе, д 40</t>
  </si>
  <si>
    <t>19:26:50</t>
  </si>
  <si>
    <t>19:29:57</t>
  </si>
  <si>
    <t>Московская обл, г Щёлково, д Медвежьи Озёра, ул Юбилейная, д 12</t>
  </si>
  <si>
    <t>Аптечный пункт №77-359</t>
  </si>
  <si>
    <t>19:30:25</t>
  </si>
  <si>
    <t>Московская обл, г Шатура, пр-кт Ильича, д 55</t>
  </si>
  <si>
    <t>19:31:59</t>
  </si>
  <si>
    <t>Аптечный пункт-ГР-(МО)-Балашиха-2</t>
  </si>
  <si>
    <t>19:39:19</t>
  </si>
  <si>
    <t>Московская обл, г Чехов, ул Чехова, д 63, помещ 1</t>
  </si>
  <si>
    <t>19:45:44</t>
  </si>
  <si>
    <t>Московская обл, г Чехов, ул Чехова, д 10</t>
  </si>
  <si>
    <t>19:46:50</t>
  </si>
  <si>
    <t>Московская обл, г Чехов, ул Московская, влд 96</t>
  </si>
  <si>
    <t>19:49:28</t>
  </si>
  <si>
    <t>Московская обл, г Чехов, ул Гагарина, д 35</t>
  </si>
  <si>
    <t>19:50:35</t>
  </si>
  <si>
    <t>193318, Санкт-Петербург, Российский проспект, д.14, лит.А</t>
  </si>
  <si>
    <t>19:51:12</t>
  </si>
  <si>
    <t>19:55:20</t>
  </si>
  <si>
    <t>19:55:00</t>
  </si>
  <si>
    <t>19:55:49</t>
  </si>
  <si>
    <t>Аптека Социалочка</t>
  </si>
  <si>
    <t>19:56:39</t>
  </si>
  <si>
    <t>Московская обл, г Чехов, рп Столбовая, ул Вокзальная, стр 2</t>
  </si>
  <si>
    <t>20:08:26</t>
  </si>
  <si>
    <t>Московская обл, г Черноголовка, б-р Школьный, д 10, помещ 2</t>
  </si>
  <si>
    <t>16 - Республика Татарстан (Татарстан), г.о. город Набережные Челны,423821,, г Набережные Челны,, пр-кт Сююмбике, д. 64</t>
  </si>
  <si>
    <t>20:17:34</t>
  </si>
  <si>
    <t>Московская обл, г Химки, ш Шереметьевское, влд 39 стр 1, помещ 3</t>
  </si>
  <si>
    <t>20:21:25</t>
  </si>
  <si>
    <t>Аптечный пункт №77-685</t>
  </si>
  <si>
    <t>19:17:00</t>
  </si>
  <si>
    <t>20:23:15</t>
  </si>
  <si>
    <t>Аптечный пункт №77-595</t>
  </si>
  <si>
    <t>20:26:52</t>
  </si>
  <si>
    <t>18:21:00</t>
  </si>
  <si>
    <t>20:31:10</t>
  </si>
  <si>
    <t>Аптека №152</t>
  </si>
  <si>
    <t>20:31:21</t>
  </si>
  <si>
    <t>20:33:23</t>
  </si>
  <si>
    <t>20:30:00</t>
  </si>
  <si>
    <t>20:33:48</t>
  </si>
  <si>
    <t>20:34:22</t>
  </si>
  <si>
    <t>20:36:24</t>
  </si>
  <si>
    <t>20:38:10</t>
  </si>
  <si>
    <t>20:40:52</t>
  </si>
  <si>
    <t>20:41:25</t>
  </si>
  <si>
    <t>20:47:14</t>
  </si>
  <si>
    <t>КлгАпт39045 км1</t>
  </si>
  <si>
    <t>20:49:02</t>
  </si>
  <si>
    <t>аптечный пункт №77-554</t>
  </si>
  <si>
    <t>20:51:00</t>
  </si>
  <si>
    <t>20:53:31</t>
  </si>
  <si>
    <t>20:56:00</t>
  </si>
  <si>
    <t>Московская обл, г Химки, ш Шереметьевское, влд 39 стр 1, помещ 1</t>
  </si>
  <si>
    <t>20:57:58</t>
  </si>
  <si>
    <t>Московская обл, г Химки, ш Международное, влд 2 стр 1</t>
  </si>
  <si>
    <t>21:00:00</t>
  </si>
  <si>
    <t>21:00:42</t>
  </si>
  <si>
    <t>08:15:00</t>
  </si>
  <si>
    <t>21:00:43</t>
  </si>
  <si>
    <t>19:37:00</t>
  </si>
  <si>
    <t>21:08:58</t>
  </si>
  <si>
    <t>21:09:00</t>
  </si>
  <si>
    <t>21:09:41</t>
  </si>
  <si>
    <t>16 - Республика Татарстан (Татарстан), Арский р-н, 422000, Арск г, Сызгановых ул, 20А</t>
  </si>
  <si>
    <t>21:15:02</t>
  </si>
  <si>
    <t>20:48:00</t>
  </si>
  <si>
    <t>21:15:31</t>
  </si>
  <si>
    <t>аптека "АКТА-КРЫМ" ПОДРАЗДЕЛЕНИЕ "11"</t>
  </si>
  <si>
    <t>16:46:00</t>
  </si>
  <si>
    <t>21:16:34</t>
  </si>
  <si>
    <t>Аптечный пункт Сити-фарма</t>
  </si>
  <si>
    <t>21:17:03</t>
  </si>
  <si>
    <t>Московская обл, г Химки, ул Чапаева, д 11</t>
  </si>
  <si>
    <t>00:08:00</t>
  </si>
  <si>
    <t>21:17:43</t>
  </si>
  <si>
    <t>Московская обл, г Химки, ул Родионова, д 7</t>
  </si>
  <si>
    <t>21:35:20</t>
  </si>
  <si>
    <t>Московская обл, г Химки, ул Московская, д 32</t>
  </si>
  <si>
    <t>22:20:01</t>
  </si>
  <si>
    <t>13:03:00</t>
  </si>
  <si>
    <t>22:32:46</t>
  </si>
  <si>
    <t>Московская обл, г Химки, ул Московская, д 3</t>
  </si>
  <si>
    <t>22:58:00</t>
  </si>
  <si>
    <t>23:01:08</t>
  </si>
  <si>
    <t>Московская обл, г Химки, ул Ленинградская, стр 21</t>
  </si>
  <si>
    <t>23:04:00</t>
  </si>
  <si>
    <t>23:05:10</t>
  </si>
  <si>
    <t>Московская обл, г Химки, ул Дружбы, д 6, помещ 002</t>
  </si>
  <si>
    <t>23:00:00</t>
  </si>
  <si>
    <t>23:06:15</t>
  </si>
  <si>
    <t>23:46:00</t>
  </si>
  <si>
    <t>23:47:37</t>
  </si>
  <si>
    <t>Московская обл, г Химки, ул Горшина, д 1</t>
  </si>
  <si>
    <t>00:13:28</t>
  </si>
  <si>
    <t>Московская обл, г Химки, тер Международный Аэропорт Шереметьево, влд 37, помещ 75</t>
  </si>
  <si>
    <t>666034.Иркутская обл,г.Шелехов ул Ленина 24 "АПТЕКА№98"</t>
  </si>
  <si>
    <t>06:13:39</t>
  </si>
  <si>
    <t>07:30:21</t>
  </si>
  <si>
    <t>09:47:30</t>
  </si>
  <si>
    <t>12:12:53</t>
  </si>
  <si>
    <t>19:30:00</t>
  </si>
  <si>
    <t>15:30:37</t>
  </si>
  <si>
    <t>15:32:56</t>
  </si>
  <si>
    <t>17:02:24</t>
  </si>
  <si>
    <t>18:45:43</t>
  </si>
  <si>
    <t>03:22:04</t>
  </si>
  <si>
    <t>ул. Русская, 2А, Касса №2</t>
  </si>
  <si>
    <t>10:42:00</t>
  </si>
  <si>
    <t>03:50:56</t>
  </si>
  <si>
    <t>03:51:00</t>
  </si>
  <si>
    <t>04:15:38</t>
  </si>
  <si>
    <t>09:26:00</t>
  </si>
  <si>
    <t>05:26:43</t>
  </si>
  <si>
    <t>Аптека "Белое озеро"</t>
  </si>
  <si>
    <t>05:33:20</t>
  </si>
  <si>
    <t>10:51:00</t>
  </si>
  <si>
    <t>05:52:17</t>
  </si>
  <si>
    <t>08:20:00</t>
  </si>
  <si>
    <t>06:24:02</t>
  </si>
  <si>
    <t>06:43:23</t>
  </si>
  <si>
    <t>09:37:00</t>
  </si>
  <si>
    <t>07:39:49</t>
  </si>
  <si>
    <t>14:22:00</t>
  </si>
  <si>
    <t>07:57:15</t>
  </si>
  <si>
    <t>08:15:17</t>
  </si>
  <si>
    <t>08:36:03</t>
  </si>
  <si>
    <t>09:04:39</t>
  </si>
  <si>
    <t>09:17:46</t>
  </si>
  <si>
    <t>09:29:27</t>
  </si>
  <si>
    <t>10:23:08</t>
  </si>
  <si>
    <t>10:42:39</t>
  </si>
  <si>
    <t>10:57:26</t>
  </si>
  <si>
    <t>11:03:26</t>
  </si>
  <si>
    <t>Аптечный пункт №77-440</t>
  </si>
  <si>
    <t>11:32:12</t>
  </si>
  <si>
    <t>2025-01-10</t>
  </si>
  <si>
    <t>12:00:17</t>
  </si>
  <si>
    <t>Московская обл, г Химки, тер Международный Аэропорт Шереметьево, влд 37, помещ 100</t>
  </si>
  <si>
    <t>12:22:48</t>
  </si>
  <si>
    <t>12:30:46</t>
  </si>
  <si>
    <t>12:41:26</t>
  </si>
  <si>
    <t>13:24:11</t>
  </si>
  <si>
    <t>13:41:18</t>
  </si>
  <si>
    <t>13:42:19</t>
  </si>
  <si>
    <t>15:50:00</t>
  </si>
  <si>
    <t>13:50:34</t>
  </si>
  <si>
    <t>14:47:15</t>
  </si>
  <si>
    <t>16:15:50</t>
  </si>
  <si>
    <t>16:19:10</t>
  </si>
  <si>
    <t>16:53:32</t>
  </si>
  <si>
    <t>19:36:00</t>
  </si>
  <si>
    <t>18:36:43</t>
  </si>
  <si>
    <t>18:39:44</t>
  </si>
  <si>
    <t>18:50:08</t>
  </si>
  <si>
    <t>18:51:38</t>
  </si>
  <si>
    <t>19:30:35</t>
  </si>
  <si>
    <t>19:44:12</t>
  </si>
  <si>
    <t>20:22:25</t>
  </si>
  <si>
    <t>20:29:42</t>
  </si>
  <si>
    <t>Аптека1471</t>
  </si>
  <si>
    <t>21:57:07</t>
  </si>
  <si>
    <t>02:31:34</t>
  </si>
  <si>
    <t>Московская обл, г Химки, тер Международный Аэропорт Шереметьево, влд 37, помещ 1</t>
  </si>
  <si>
    <t>18:33:00</t>
  </si>
  <si>
    <t>03:53:52</t>
  </si>
  <si>
    <t>04:20:02</t>
  </si>
  <si>
    <t>05:41:32</t>
  </si>
  <si>
    <t>05:43:26</t>
  </si>
  <si>
    <t>20:24:00</t>
  </si>
  <si>
    <t>05:55:34</t>
  </si>
  <si>
    <t>20:36:00</t>
  </si>
  <si>
    <t>06:11:44</t>
  </si>
  <si>
    <t>Московская обл, г Химки, проезд Транспортный, д 3</t>
  </si>
  <si>
    <t>10:14:00</t>
  </si>
  <si>
    <t>06:16:27</t>
  </si>
  <si>
    <t>Московская обл, г Химки, пр-кт Мельникова, д 2Б, помещ 002/3</t>
  </si>
  <si>
    <t>06:57:44</t>
  </si>
  <si>
    <t>Московская обл, г Химки, пр-кт Мельникова, д 2Б, помещ 002</t>
  </si>
  <si>
    <t>07:03:41</t>
  </si>
  <si>
    <t>Московская обл, г Химки, пр-кт Мельникова, д 10, помещ 003</t>
  </si>
  <si>
    <t>07:32:58</t>
  </si>
  <si>
    <t>Московская обл, г Химки, мкр Сходня, пер 1-й Железнодорожный, д 1, кв 811/1</t>
  </si>
  <si>
    <t>07:36:40</t>
  </si>
  <si>
    <t>Московская обл, г Химки, мкр Подрезково, ул Центральная, д 8, помещ 027</t>
  </si>
  <si>
    <t>07:43:16</t>
  </si>
  <si>
    <t>Московская обл, г Химки, мкр Подрезково, ул Московская, стр 1Б</t>
  </si>
  <si>
    <t>10:45:00</t>
  </si>
  <si>
    <t>07:49:41</t>
  </si>
  <si>
    <t>Московская обл, г Химки, мкр Новогорск, ул Соколовская, стр 3</t>
  </si>
  <si>
    <t>07:56:00</t>
  </si>
  <si>
    <t>07:56:21</t>
  </si>
  <si>
    <t>Московская обл, г Химки, мкр Левобережный, ул Совхозная, д 13</t>
  </si>
  <si>
    <t>07:57:43</t>
  </si>
  <si>
    <t>Московская обл, г Химки, мкр ИКЕА, к 4</t>
  </si>
  <si>
    <t>Аптека, ул. Терешковой, 11</t>
  </si>
  <si>
    <t>08:03:20</t>
  </si>
  <si>
    <t>08:04:43</t>
  </si>
  <si>
    <t>16:23:00</t>
  </si>
  <si>
    <t>08:07:37</t>
  </si>
  <si>
    <t>Московская обл, г Химки, мкр ИКЕА, к 2</t>
  </si>
  <si>
    <t>ул. Нейбута, 67, Касса №2</t>
  </si>
  <si>
    <t>08:20:58</t>
  </si>
  <si>
    <t>08:21:36</t>
  </si>
  <si>
    <t>08:22:28</t>
  </si>
  <si>
    <t>Аптеч.пункт ООО "Шалфей"</t>
  </si>
  <si>
    <t>08:28:18</t>
  </si>
  <si>
    <t>08:36:20</t>
  </si>
  <si>
    <t>08:36:34</t>
  </si>
  <si>
    <t>Московская обл, г Химки, мкр Велтон Парк (д Подолино), ул Некрасова, д 8</t>
  </si>
  <si>
    <t>08:38:50</t>
  </si>
  <si>
    <t>Московская обл, г Химки, кв-л Клязьма, проезд Набережный, д 22, помещ 03</t>
  </si>
  <si>
    <t>08:40:10</t>
  </si>
  <si>
    <t>08:42:05</t>
  </si>
  <si>
    <t>08:47:10</t>
  </si>
  <si>
    <t>08:47:38</t>
  </si>
  <si>
    <t>20:00:00</t>
  </si>
  <si>
    <t>08:49:48</t>
  </si>
  <si>
    <t>08:51:10</t>
  </si>
  <si>
    <t>08:55:32</t>
  </si>
  <si>
    <t>08:55:33</t>
  </si>
  <si>
    <t>09:01:32</t>
  </si>
  <si>
    <t>08:50:00</t>
  </si>
  <si>
    <t>09:07:51</t>
  </si>
  <si>
    <t>09:09:00</t>
  </si>
  <si>
    <t>09:09:43</t>
  </si>
  <si>
    <t>04:48:57</t>
  </si>
  <si>
    <t>Московская обл, г Химки, д Брёхово, мкр Школьный, к 6</t>
  </si>
  <si>
    <t>09:11:32</t>
  </si>
  <si>
    <t>Московская обл, г Фрязино, ул Советская, д 1В</t>
  </si>
  <si>
    <t>Бухгалтерия</t>
  </si>
  <si>
    <t>09:12:59</t>
  </si>
  <si>
    <t>Московская обл, г Фрязино, пр-кт Мира, д 8</t>
  </si>
  <si>
    <t>09:10:00</t>
  </si>
  <si>
    <t>09:13:03</t>
  </si>
  <si>
    <t>Московская обл, г Талдом, ул Победы, д 31</t>
  </si>
  <si>
    <t>Аптечный пункт №77-182</t>
  </si>
  <si>
    <t>14:31:36</t>
  </si>
  <si>
    <t>10:08:55</t>
  </si>
  <si>
    <t>Московская обл, г Талдом, рп Запрудня, ул Первомайская, д 4Б</t>
  </si>
  <si>
    <t>Аптечный пункт-ГР-(Мск)-Академическая-1</t>
  </si>
  <si>
    <t>09:33:44</t>
  </si>
  <si>
    <t>Аптека № 204</t>
  </si>
  <si>
    <t>09:34:00</t>
  </si>
  <si>
    <t>09:34:45</t>
  </si>
  <si>
    <t>Московская обл, г Ступино, ул Калинина, д 2</t>
  </si>
  <si>
    <t>09:38:32</t>
  </si>
  <si>
    <t>Московская обл, г Ступино, ул Андропова, д 65</t>
  </si>
  <si>
    <t>09:44:46</t>
  </si>
  <si>
    <t>Московская обл, г Ступино, с Семёновское, ул Школьная, д 4</t>
  </si>
  <si>
    <t>09:45:44</t>
  </si>
  <si>
    <t>09:46:05</t>
  </si>
  <si>
    <t>09:48:18</t>
  </si>
  <si>
    <t>Московская обл, г Ступино, рп Михнево, ул Колхозная, д 2А</t>
  </si>
  <si>
    <t>Филиал  "Аптека №220"</t>
  </si>
  <si>
    <t>09:59:20</t>
  </si>
  <si>
    <t>Московская обл, г Ступино, рп Малино, ул Школьная, д 6А, помещ 13</t>
  </si>
  <si>
    <t>09:46:00</t>
  </si>
  <si>
    <t>10:00:40</t>
  </si>
  <si>
    <t>10:03:57</t>
  </si>
  <si>
    <t>10:05:25</t>
  </si>
  <si>
    <t>10:08:16</t>
  </si>
  <si>
    <t>10:07:00</t>
  </si>
  <si>
    <t>10:09:22</t>
  </si>
  <si>
    <t>ул. Крыгина, 16, Касса №2</t>
  </si>
  <si>
    <t>13:17:00</t>
  </si>
  <si>
    <t>10:12:06</t>
  </si>
  <si>
    <t>10:19:04</t>
  </si>
  <si>
    <t>10:21:59</t>
  </si>
  <si>
    <t>Московская обл, г Ступино, пр-кт Победы, д 49</t>
  </si>
  <si>
    <t>09:17:23</t>
  </si>
  <si>
    <t>10:29:45</t>
  </si>
  <si>
    <t>Московская обл, г Солнечногорск, ул Школьная, стр 2/50Б</t>
  </si>
  <si>
    <t>10:32:55</t>
  </si>
  <si>
    <t>Московская обл, г Солнечногорск, рп Андреевка, ул Жилинская, стр 1А/1</t>
  </si>
  <si>
    <t>Аптека 841</t>
  </si>
  <si>
    <t>10:38:26</t>
  </si>
  <si>
    <t>Московская обл, г Солнечногорск, пгт Голубое, проезд Тверецкий, д 16 к 2</t>
  </si>
  <si>
    <t>10:36:00</t>
  </si>
  <si>
    <t>10:39:05</t>
  </si>
  <si>
    <t>Московская обл, г Солнечногорск, мкр Рекинцо-2, д 1А</t>
  </si>
  <si>
    <t>10:40:48</t>
  </si>
  <si>
    <t>10:42:59</t>
  </si>
  <si>
    <t>Аптечный пункт-ЗД-(Мск)-Марьино-1</t>
  </si>
  <si>
    <t>10:44:27</t>
  </si>
  <si>
    <t>Московская обл, г Солнечногорск, мкр Березки (п Жуково), д 16</t>
  </si>
  <si>
    <t>10:46:51</t>
  </si>
  <si>
    <t>10:13:00</t>
  </si>
  <si>
    <t>10:47:34</t>
  </si>
  <si>
    <t>10:50:16</t>
  </si>
  <si>
    <t>Московская обл, г Серпухов, ш Московское, д 51</t>
  </si>
  <si>
    <t>10:52:44</t>
  </si>
  <si>
    <t>Московская обл, г Серпухов, ш Борисовское, д 1</t>
  </si>
  <si>
    <t>10:57:27</t>
  </si>
  <si>
    <t>Московская обл, г Серпухов, ул Красный Текстильщик, д 21</t>
  </si>
  <si>
    <t>16 - Республика Татарстан (Татарстан), р-н. Зеленодольский, 422544, г. Зеленодольск, ул. Kарла Маркса, д. 39</t>
  </si>
  <si>
    <t>11:20:24</t>
  </si>
  <si>
    <t>191036,г. Спб, пл. Восстания д. 55</t>
  </si>
  <si>
    <t>11:23:45</t>
  </si>
  <si>
    <t>11:26:34</t>
  </si>
  <si>
    <t>11:29:10</t>
  </si>
  <si>
    <t>15:31:00</t>
  </si>
  <si>
    <t>11:30:57</t>
  </si>
  <si>
    <t>Московская обл, г Серпухов, ул Горького, д 1А, помещ 33-35</t>
  </si>
  <si>
    <t>11:31:14</t>
  </si>
  <si>
    <t>Московская обл, г Серпухов, ул Ворошилова, д 803, кв 136</t>
  </si>
  <si>
    <t>11:31:30</t>
  </si>
  <si>
    <t>11:32:59</t>
  </si>
  <si>
    <t>Московская обл, г Серпухов, ул Ворошилова, д 130А</t>
  </si>
  <si>
    <t>11:33:58</t>
  </si>
  <si>
    <t>14:36:00</t>
  </si>
  <si>
    <t>11:36:58</t>
  </si>
  <si>
    <t>11:37:27</t>
  </si>
  <si>
    <t>11:38:01</t>
  </si>
  <si>
    <t>11:39:24</t>
  </si>
  <si>
    <t>11:44:59</t>
  </si>
  <si>
    <t>197349, Санкт-Петербург, Испытателей проспект, д.31, корп.1</t>
  </si>
  <si>
    <t>11:46:16</t>
  </si>
  <si>
    <t>ТЦ "Европа", аптечный пункт</t>
  </si>
  <si>
    <t>Московская обл, г Серпухов, ул Бригадная, д 13</t>
  </si>
  <si>
    <t>Аптека 105</t>
  </si>
  <si>
    <t>11:50:30</t>
  </si>
  <si>
    <t>11:52:15</t>
  </si>
  <si>
    <t>Московская обл, г Серпухов, с Липицы, пл 178 Авиаполка, д 2</t>
  </si>
  <si>
    <t>11:53:54</t>
  </si>
  <si>
    <t>Аптека №78-584</t>
  </si>
  <si>
    <t>11:58:00</t>
  </si>
  <si>
    <t>11:58:36</t>
  </si>
  <si>
    <t>12:06:08</t>
  </si>
  <si>
    <t>12:06:44</t>
  </si>
  <si>
    <t>12:04:00</t>
  </si>
  <si>
    <t>12:17:42</t>
  </si>
  <si>
    <t>12:17:56</t>
  </si>
  <si>
    <t>12:20:13</t>
  </si>
  <si>
    <t>Московская обл, г Серпухов, п Пролетарский, ул Школьная, д 10</t>
  </si>
  <si>
    <t>12:25:36</t>
  </si>
  <si>
    <t>Московская обл, г Серпухов, п Большевик, ул Ленина, д 32, помещ 1</t>
  </si>
  <si>
    <t>12:32:24</t>
  </si>
  <si>
    <t>Московская обл, г Серпухов, п Большевик, ул Ленина, д 32, кв 1</t>
  </si>
  <si>
    <t>12:33:59</t>
  </si>
  <si>
    <t>Московская обл, г Серпухов, г Протвино, проезд Архитектора Корина, д 11</t>
  </si>
  <si>
    <t>12:36:31</t>
  </si>
  <si>
    <t>Московская обл, г Сергиев Посад, ш Новоугличское, д 42А</t>
  </si>
  <si>
    <t>ННВ Аптека 68 603011, Нижегородская обл, Нижний Новгород г, Деревообделочная ул, дом № 2</t>
  </si>
  <si>
    <t>12:36:42</t>
  </si>
  <si>
    <t>Московская обл, г Сергиев Посад, ул Озерная, д 8Б</t>
  </si>
  <si>
    <t>12:45:39</t>
  </si>
  <si>
    <t>Московская обл, г Сергиев Посад, ул Инженерная, д 8</t>
  </si>
  <si>
    <t>12:46:58</t>
  </si>
  <si>
    <t>12:49:24</t>
  </si>
  <si>
    <t>12:50:03</t>
  </si>
  <si>
    <t>12:51:04</t>
  </si>
  <si>
    <t>Московская обл, г Сергиев Посад, ул Железнодорожная, д 37А</t>
  </si>
  <si>
    <t>17:08:00</t>
  </si>
  <si>
    <t>12:51:47</t>
  </si>
  <si>
    <t>Общество с ограниченной ответственностью "Априори"</t>
  </si>
  <si>
    <t>12:52:28</t>
  </si>
  <si>
    <t>12:55:15</t>
  </si>
  <si>
    <t>12:58:52</t>
  </si>
  <si>
    <t>NSK-MZ66-SRV</t>
  </si>
  <si>
    <t>13:10:55</t>
  </si>
  <si>
    <t>13:15:06</t>
  </si>
  <si>
    <t>Московская обл, г Сергиев Посад, пл Вокзальная, д 2</t>
  </si>
  <si>
    <t>13:21:25</t>
  </si>
  <si>
    <t>Московская обл, г Сергиев Посад, г Краснозаводск, ул 1 Мая, д 37</t>
  </si>
  <si>
    <t>13:22:35</t>
  </si>
  <si>
    <t>Московская обл, г Руза, ул Ульяновская, д 10</t>
  </si>
  <si>
    <t>13:22:49</t>
  </si>
  <si>
    <t>13:23:06</t>
  </si>
  <si>
    <t>13:24:09</t>
  </si>
  <si>
    <t>13:24:57</t>
  </si>
  <si>
    <t>Московская обл, г Руза, ул Солнцева, д 22</t>
  </si>
  <si>
    <t>Магнит  Аптека Аптека Гравицапа</t>
  </si>
  <si>
    <t>Московская обл, г Руза, п Дорохово, ул Невкипелого, д 10А</t>
  </si>
  <si>
    <t>13:33:02</t>
  </si>
  <si>
    <t>13:29:00</t>
  </si>
  <si>
    <t>13:33:57</t>
  </si>
  <si>
    <t>13:35:01</t>
  </si>
  <si>
    <t>13:36:56</t>
  </si>
  <si>
    <t>Московская обл, г Реутов, ш Носовихинское, д 27</t>
  </si>
  <si>
    <t>Аптечный пункт-НФ-(НН)-Заречная-2</t>
  </si>
  <si>
    <t>13:38:00</t>
  </si>
  <si>
    <t>13:38:46</t>
  </si>
  <si>
    <t>13:38:53</t>
  </si>
  <si>
    <t>46 - Курская область, г.о. город Курск,305018,, г Курск,, пр-кт Кулакова, д. 9,,,</t>
  </si>
  <si>
    <t>13:42:32</t>
  </si>
  <si>
    <t>Московская обл, г Реутов, ул Победы, д 30</t>
  </si>
  <si>
    <t>13:45:55</t>
  </si>
  <si>
    <t>Московская обл, г Реутов, ул Ленина, д 1А, помещ 001</t>
  </si>
  <si>
    <t>13:47:04</t>
  </si>
  <si>
    <t>13:53:11</t>
  </si>
  <si>
    <t>16 - Республика Татарстан (Татарстан), Зеленодольский р-н, Зеленодольск г, Королева ул, 9</t>
  </si>
  <si>
    <t>14:00:41</t>
  </si>
  <si>
    <t>аптечный пункт №77-884</t>
  </si>
  <si>
    <t>14:06:23</t>
  </si>
  <si>
    <t>14:08:37</t>
  </si>
  <si>
    <t>14:13:48</t>
  </si>
  <si>
    <t>Московская обл, г Реутов, ул Ленина, д 1А</t>
  </si>
  <si>
    <t>Аптечный пункт №77-355</t>
  </si>
  <si>
    <t>14:18:48</t>
  </si>
  <si>
    <t>14:19:03</t>
  </si>
  <si>
    <t>14:22:17</t>
  </si>
  <si>
    <t>Аптечный пункт №77-1314</t>
  </si>
  <si>
    <t>14:22:58</t>
  </si>
  <si>
    <t>14:25:28</t>
  </si>
  <si>
    <t>14:27:01</t>
  </si>
  <si>
    <t>Аптека "Семейная" на Строителе</t>
  </si>
  <si>
    <t>54 - Новосибирская область, 630049, Новосибирск г, Красный пр-кт, 85</t>
  </si>
  <si>
    <t>14:28:07</t>
  </si>
  <si>
    <t>14:28:45</t>
  </si>
  <si>
    <t>14:29:10</t>
  </si>
  <si>
    <t>14:30:38</t>
  </si>
  <si>
    <t>14:32:48</t>
  </si>
  <si>
    <t>Аптека №99</t>
  </si>
  <si>
    <t>14:36:22</t>
  </si>
  <si>
    <t>Московская обл, г Реутов, ул Ленина, д 16, помещ 1</t>
  </si>
  <si>
    <t>Аптека №39</t>
  </si>
  <si>
    <t>14:37:39</t>
  </si>
  <si>
    <t>14:37:51</t>
  </si>
  <si>
    <t>14:42:00</t>
  </si>
  <si>
    <t>14:42:31</t>
  </si>
  <si>
    <t>Московская обл, г Реутов, пр-кт Юбилейный, д 53</t>
  </si>
  <si>
    <t>14:46:15</t>
  </si>
  <si>
    <t>Московская обл, г Реутов, пр-кт Юбилейный, д 51</t>
  </si>
  <si>
    <t>14:49:10</t>
  </si>
  <si>
    <t>Московская обл, г Реутов, пр-кт Юбилейный, д 40, помещ 19</t>
  </si>
  <si>
    <t>14:53:31</t>
  </si>
  <si>
    <t>14:50:00</t>
  </si>
  <si>
    <t>14:53:43</t>
  </si>
  <si>
    <t>Московская обл, г Реутов, пр-кт Юбилейный, д 2А</t>
  </si>
  <si>
    <t>14:32:00</t>
  </si>
  <si>
    <t>14:57:47</t>
  </si>
  <si>
    <t>Московская обл, г Раменское, ш Северное, д 4, помещ VI</t>
  </si>
  <si>
    <t>193036, Санкт-Петербург, Невский проспект, д. 111/3, лит. А</t>
  </si>
  <si>
    <t>15:01:15</t>
  </si>
  <si>
    <t>Московская обл, г Раменское, ул Чугунова, д 15/1</t>
  </si>
  <si>
    <t>15:04:38</t>
  </si>
  <si>
    <t>Московская обл, г Раменское, ул Советская, д 16</t>
  </si>
  <si>
    <t>Аптечный пункт-АФ-(Мск)-Тимирязевская-1</t>
  </si>
  <si>
    <t>15:10:00</t>
  </si>
  <si>
    <t>15:10:07</t>
  </si>
  <si>
    <t>15:10:45</t>
  </si>
  <si>
    <t>14:07:00</t>
  </si>
  <si>
    <t>15:13:41</t>
  </si>
  <si>
    <t>15:13:58</t>
  </si>
  <si>
    <t>Аптечный пункт №2057</t>
  </si>
  <si>
    <t>15:15:12</t>
  </si>
  <si>
    <t>15:18:26</t>
  </si>
  <si>
    <t>15:20:21</t>
  </si>
  <si>
    <t>15:23:09</t>
  </si>
  <si>
    <t>18:23:00</t>
  </si>
  <si>
    <t>15:24:55</t>
  </si>
  <si>
    <t>Московская обл, г Раменское, ул Октябрьская, д 1Б/2</t>
  </si>
  <si>
    <t>19:18:00</t>
  </si>
  <si>
    <t>15:28:26</t>
  </si>
  <si>
    <t>Московская обл, г Раменское, ул Ногина, д 5</t>
  </si>
  <si>
    <t>15:29:13</t>
  </si>
  <si>
    <t>Московская обл, г Раменское, ул Михалевича, д 5</t>
  </si>
  <si>
    <t>15:30:12</t>
  </si>
  <si>
    <t>18:04:00</t>
  </si>
  <si>
    <t>15:32:14</t>
  </si>
  <si>
    <t>15:33:00</t>
  </si>
  <si>
    <t>15:33:58</t>
  </si>
  <si>
    <t>15:35:01</t>
  </si>
  <si>
    <t>Аптека  340</t>
  </si>
  <si>
    <t>15:39:59</t>
  </si>
  <si>
    <t>15:41:37</t>
  </si>
  <si>
    <t>КлгАпт39112</t>
  </si>
  <si>
    <t>15:43:55</t>
  </si>
  <si>
    <t>15:44:58</t>
  </si>
  <si>
    <t>15:46:13</t>
  </si>
  <si>
    <t>15:48:41</t>
  </si>
  <si>
    <t>15:49:12</t>
  </si>
  <si>
    <t>Московская обл, г Раменское, ул Махова, д 14</t>
  </si>
  <si>
    <t>15:52:44</t>
  </si>
  <si>
    <t>Аптека №65</t>
  </si>
  <si>
    <t>15:55:35</t>
  </si>
  <si>
    <t>15:59:38</t>
  </si>
  <si>
    <t>16:00:34</t>
  </si>
  <si>
    <t>Московская обл, г Раменское, ул Крымская, д 1, помещ 4</t>
  </si>
  <si>
    <t>16:05:05</t>
  </si>
  <si>
    <t>16:05:59</t>
  </si>
  <si>
    <t>Московская обл, г Раменское, ул Космонавтов, д 1В</t>
  </si>
  <si>
    <t>Аптечный пункт № 77-264</t>
  </si>
  <si>
    <t>16:07:31</t>
  </si>
  <si>
    <t>Аптека 836</t>
  </si>
  <si>
    <t>16:07:45</t>
  </si>
  <si>
    <t>Московская обл, г Раменское, ул Десантная, д 22, помещ 1А</t>
  </si>
  <si>
    <t>Аптечный пункт №77-1305</t>
  </si>
  <si>
    <t>16:16:06</t>
  </si>
  <si>
    <t>Московская обл, г Раменское, ул Дергаевская, д 34, помещ II</t>
  </si>
  <si>
    <t>16:17:19</t>
  </si>
  <si>
    <t>16:19:12</t>
  </si>
  <si>
    <t>16:19:26</t>
  </si>
  <si>
    <t>Аптечный пункт №50-764</t>
  </si>
  <si>
    <t>16:24:14</t>
  </si>
  <si>
    <t>16:26:26</t>
  </si>
  <si>
    <t>аптечный пункт №77-591</t>
  </si>
  <si>
    <t>16:28:08</t>
  </si>
  <si>
    <t>Аптечный пункт №50-1331</t>
  </si>
  <si>
    <t>16:26:00</t>
  </si>
  <si>
    <t>16:29:42</t>
  </si>
  <si>
    <t>Московская обл, г Раменское, ул Гурьева, д 1, помещ 1/1</t>
  </si>
  <si>
    <t>16:34:03</t>
  </si>
  <si>
    <t>Московская обл, г Раменское, ул Вокзальная, д 803, кв 4Б</t>
  </si>
  <si>
    <t>Аптечный пункт-АФ-(Мск)-Царицыно-1</t>
  </si>
  <si>
    <t>16:36:20</t>
  </si>
  <si>
    <t>16:36:56</t>
  </si>
  <si>
    <t>16:39:50</t>
  </si>
  <si>
    <t>16:44:44</t>
  </si>
  <si>
    <t>16:46:56</t>
  </si>
  <si>
    <t>г. Горно-Алтайск, ул. Чорос-Гуркина, д. 39</t>
  </si>
  <si>
    <t>16:51:15</t>
  </si>
  <si>
    <t>Московская обл, г Раменское, п Электроизолятор, д 70</t>
  </si>
  <si>
    <t>16:57:42</t>
  </si>
  <si>
    <t>Московская обл, г Раменское, д Трошково, ул Шоссейная, д 47</t>
  </si>
  <si>
    <t>20:01:00</t>
  </si>
  <si>
    <t>17:05:42</t>
  </si>
  <si>
    <t>16:34:00</t>
  </si>
  <si>
    <t>17:06:04</t>
  </si>
  <si>
    <t>Московская обл, г Раменское, д Першино, д 6А</t>
  </si>
  <si>
    <t>17:07:15</t>
  </si>
  <si>
    <t>Московская обл, г Раменское, д Морозово, д 53</t>
  </si>
  <si>
    <t>17:07:20</t>
  </si>
  <si>
    <t>17:11:01</t>
  </si>
  <si>
    <t>17:15:09</t>
  </si>
  <si>
    <t>Московская обл, г Пушкино, ул Тургенева, д 5</t>
  </si>
  <si>
    <t>17:16:19</t>
  </si>
  <si>
    <t>Московская обл, г Пушкино, ул Писаревская, д 5</t>
  </si>
  <si>
    <t>17:22:34</t>
  </si>
  <si>
    <t>Московская обл, г Пушкино, рп Софрино, ул Вокзальная, стр 7А</t>
  </si>
  <si>
    <t>17:27:54</t>
  </si>
  <si>
    <t>Московская обл, г Пушкино, рп Правдинский, ш Степаньковское, д 39, помещ 4</t>
  </si>
  <si>
    <t>Аптека Витаминка на Ялунинской г. Екатеринбург, у. Ялунинская, дом 2</t>
  </si>
  <si>
    <t>17:31:56</t>
  </si>
  <si>
    <t>Аптечный пункт №77-193</t>
  </si>
  <si>
    <t>17:32:46</t>
  </si>
  <si>
    <t>17:36:24</t>
  </si>
  <si>
    <t>17:39:53</t>
  </si>
  <si>
    <t>17:40:11</t>
  </si>
  <si>
    <t>Московская обл, г Пушкино, рп Правдинский, ул Ленина, д 21А</t>
  </si>
  <si>
    <t>Аптека Пятилеток (А2) 193318, Санкт-Петербург г, Пятилеток пр-кт, дом № 9, корпус 1</t>
  </si>
  <si>
    <t>17:26:00</t>
  </si>
  <si>
    <t>17:41:33</t>
  </si>
  <si>
    <t>17:43:52</t>
  </si>
  <si>
    <t>17:45:55</t>
  </si>
  <si>
    <t>17:46:28</t>
  </si>
  <si>
    <t>Московская обл, г Пушкино, рп Правдинский, ул Котовского, д 1А</t>
  </si>
  <si>
    <t>17:49:43</t>
  </si>
  <si>
    <t>17:49:50</t>
  </si>
  <si>
    <t>Московская обл, г Пушкино, пр-кт Московский, д 7А, помещ 4</t>
  </si>
  <si>
    <t>17:50:47</t>
  </si>
  <si>
    <t>Московская обл, г Пушкино, пр-кт Московский, д 1</t>
  </si>
  <si>
    <t>17:53:50</t>
  </si>
  <si>
    <t>17:58:25</t>
  </si>
  <si>
    <t>Московская обл, г Пушкино, п Зверосовхоза, ул Центральная, стр 3А</t>
  </si>
  <si>
    <t>18:00:53</t>
  </si>
  <si>
    <t>18:01:03</t>
  </si>
  <si>
    <t>18:03:11</t>
  </si>
  <si>
    <t>КлгАпт39098 км1</t>
  </si>
  <si>
    <t>18:03:55</t>
  </si>
  <si>
    <t>18:14:28</t>
  </si>
  <si>
    <t>14:34:00</t>
  </si>
  <si>
    <t>18:15:43</t>
  </si>
  <si>
    <t>18:16:08</t>
  </si>
  <si>
    <t>Московская обл, г Пушкино, мкр Серебрянка, д 58, помещ 2А</t>
  </si>
  <si>
    <t>18:18:50</t>
  </si>
  <si>
    <t>18:20:24</t>
  </si>
  <si>
    <t>18:22:31</t>
  </si>
  <si>
    <t>18:23:24</t>
  </si>
  <si>
    <t>Московская обл, г Пушкино, мкр Заветы Ильича, ул Энтузиастов, д 24Б</t>
  </si>
  <si>
    <t>18:25:24</t>
  </si>
  <si>
    <t>18:26:25</t>
  </si>
  <si>
    <t>Московская обл, г Пушкино, дп Черкизово, ул Станционная, влд 4</t>
  </si>
  <si>
    <t>АПТЕКА №78-439</t>
  </si>
  <si>
    <t>18:30:02</t>
  </si>
  <si>
    <t>Московская обл, г Пушкино, г Красноармейск, ул Новая Жизнь, д 2</t>
  </si>
  <si>
    <t>18:34:32</t>
  </si>
  <si>
    <t>18:36:35</t>
  </si>
  <si>
    <t>18:38:04</t>
  </si>
  <si>
    <t>Московская обл, г Пушкино, г Красноармейск, пр-кт Ленина, д 17</t>
  </si>
  <si>
    <t>18:44:30</t>
  </si>
  <si>
    <t>Московская обл, г Пушкино, г Красноармейск, пр-кт Испытателей, д 9 стр 2б</t>
  </si>
  <si>
    <t>18:47:08</t>
  </si>
  <si>
    <t>Московская обл, г Пушкино, г Ивантеевка, ул Новоселки, д 2</t>
  </si>
  <si>
    <t>18:47:26</t>
  </si>
  <si>
    <t>Московская обл, г Пушкино, г Ивантеевка, ул Новая Слобода, д 1 к 1, кв 2А</t>
  </si>
  <si>
    <t>18:50:21</t>
  </si>
  <si>
    <t>Московская обл, г Пушкино, г Ивантеевка, пр-кт Советский, д 7</t>
  </si>
  <si>
    <t>18:53:06</t>
  </si>
  <si>
    <t>18:53:47</t>
  </si>
  <si>
    <t>Московская обл, г Подольск, ул Юбилейная, д 32</t>
  </si>
  <si>
    <t>18:53:51</t>
  </si>
  <si>
    <t>Московская обл, г Подольск, ул Свердлова, д 39, помещ 1</t>
  </si>
  <si>
    <t>18:57:05</t>
  </si>
  <si>
    <t>Московская обл, г Подольск, ул Свердлова, д 39</t>
  </si>
  <si>
    <t>18:59:30</t>
  </si>
  <si>
    <t>18:59:36</t>
  </si>
  <si>
    <t>Московская обл, г Подольск, ул Подольская, д 16, помещ 6</t>
  </si>
  <si>
    <t>19:03:55</t>
  </si>
  <si>
    <t>Аптека №78-605</t>
  </si>
  <si>
    <t>19:04:04</t>
  </si>
  <si>
    <t>Московская обл, г Подольск, ул Мира, д 4А, помещ 15</t>
  </si>
  <si>
    <t>19:05:41</t>
  </si>
  <si>
    <t>19:08:38</t>
  </si>
  <si>
    <t>19:14:05</t>
  </si>
  <si>
    <t>19:14:42</t>
  </si>
  <si>
    <t>19:16:38</t>
  </si>
  <si>
    <t>Московская обл, г Подольск, ул Ленинградская, д 20, помещ 1 ком 13-22</t>
  </si>
  <si>
    <t>19:20:50</t>
  </si>
  <si>
    <t>19:21:12</t>
  </si>
  <si>
    <t>Московская обл, г Подольск, ул Комсомольская, д 803, кв 46</t>
  </si>
  <si>
    <t>Аптека № 0076</t>
  </si>
  <si>
    <t>19:24:20</t>
  </si>
  <si>
    <t>19:27:03</t>
  </si>
  <si>
    <t>Московская обл, г Подольск, ул Комсомольская, д 24</t>
  </si>
  <si>
    <t>19:28:41</t>
  </si>
  <si>
    <t>Московская обл, г Подольск, ул Колхозная, д 1/6, помещ 1</t>
  </si>
  <si>
    <t>19:29:37</t>
  </si>
  <si>
    <t>Московская обл, г Подольск, пр-кт Революционный, д 31/30</t>
  </si>
  <si>
    <t>19:50:30</t>
  </si>
  <si>
    <t>19:51:54</t>
  </si>
  <si>
    <t>19:52:19</t>
  </si>
  <si>
    <t>19:59:45</t>
  </si>
  <si>
    <t>20:01:40</t>
  </si>
  <si>
    <t>13:43:00</t>
  </si>
  <si>
    <t>20:08:09</t>
  </si>
  <si>
    <t>Московская обл, г Подольск, п Быково, ул Московская, д 1/1</t>
  </si>
  <si>
    <t>20:09:46</t>
  </si>
  <si>
    <t>20:06:00</t>
  </si>
  <si>
    <t>20:12:04</t>
  </si>
  <si>
    <t>Московская обл, г Подольск, мкр Кузнечики, ул Академика Доллежаля, д 42</t>
  </si>
  <si>
    <t>20:18:20</t>
  </si>
  <si>
    <t>Московская обл, г Подольск, мкр Климовск, ул Рощинская, д 10/29</t>
  </si>
  <si>
    <t>20:22:52</t>
  </si>
  <si>
    <t>Московская обл, г Орехово-Зуево, ул Якова Флиера, д 4</t>
  </si>
  <si>
    <t>00:21:00</t>
  </si>
  <si>
    <t>20:27:00</t>
  </si>
  <si>
    <t>Московская обл, г Орехово-Зуево, ул Стаханова, д 11</t>
  </si>
  <si>
    <t>Аптека №154</t>
  </si>
  <si>
    <t>20:30:41</t>
  </si>
  <si>
    <t>Аптека "Альфавит"</t>
  </si>
  <si>
    <t>20:31:43</t>
  </si>
  <si>
    <t>20:39:48</t>
  </si>
  <si>
    <t>Московская обл, г Орехово-Зуево, ул Парковская, д 5А</t>
  </si>
  <si>
    <t>20:47:43</t>
  </si>
  <si>
    <t>Московская обл, г Орехово-Зуево, ул Парковская, д 18</t>
  </si>
  <si>
    <t>20:52:43</t>
  </si>
  <si>
    <t>Московская обл, г Орехово-Зуево, ул Ленина, д 803, кв 14</t>
  </si>
  <si>
    <t>07:05:00</t>
  </si>
  <si>
    <t>21:03:10</t>
  </si>
  <si>
    <t>Аптека  №432</t>
  </si>
  <si>
    <t>21:05:06</t>
  </si>
  <si>
    <t>21:04:00</t>
  </si>
  <si>
    <t>21:05:11</t>
  </si>
  <si>
    <t>21:08:51</t>
  </si>
  <si>
    <t>Московская обл, г Орехово-Зуево, ул Ленина, д 53</t>
  </si>
  <si>
    <t>Аптека № 89</t>
  </si>
  <si>
    <t>22:05:00</t>
  </si>
  <si>
    <t>21:16:38</t>
  </si>
  <si>
    <t>21:17:27</t>
  </si>
  <si>
    <t>Московская обл, г Орехово-Зуево, ул Володарского, д 5</t>
  </si>
  <si>
    <t>21:17:44</t>
  </si>
  <si>
    <t>21:17:47</t>
  </si>
  <si>
    <t>Московская обл, г Орехово-Зуево, ул Бирюкова, д 16</t>
  </si>
  <si>
    <t>21:19:46</t>
  </si>
  <si>
    <t>21:30:00</t>
  </si>
  <si>
    <t>21:35:33</t>
  </si>
  <si>
    <t>21:42:57</t>
  </si>
  <si>
    <t>Московская обл, г Орехово-Зуево, д Давыдово, мкр 2-й, д 2</t>
  </si>
  <si>
    <t>22:03:00</t>
  </si>
  <si>
    <t>22:03:49</t>
  </si>
  <si>
    <t>Московская обл, г Орехово-Зуево, г Ликино-Дулёво, ул Советская, д 41, помещ 4</t>
  </si>
  <si>
    <t>22:14:26</t>
  </si>
  <si>
    <t>Московская обл, г Одинцово, ш Можайское, стр 80Б</t>
  </si>
  <si>
    <t>22:28:25</t>
  </si>
  <si>
    <t>Московская обл, г Одинцово, ш Можайское, д 87</t>
  </si>
  <si>
    <t>22:35:10</t>
  </si>
  <si>
    <t>23:42:32</t>
  </si>
  <si>
    <t>01:02:00</t>
  </si>
  <si>
    <t>01:03:47</t>
  </si>
  <si>
    <t>08:34:00</t>
  </si>
  <si>
    <t>01:25:02</t>
  </si>
  <si>
    <t>Московская обл, г Одинцово, ш Можайское, д 139А</t>
  </si>
  <si>
    <t>09:49:21</t>
  </si>
  <si>
    <t>Московская обл, г Одинцово, ш Можайское, д 122, помещ 8</t>
  </si>
  <si>
    <t>14:01:20</t>
  </si>
  <si>
    <t>18:54:00</t>
  </si>
  <si>
    <t>18:54:56</t>
  </si>
  <si>
    <t>07:28:54</t>
  </si>
  <si>
    <t>09:01:13</t>
  </si>
  <si>
    <t>Московская обл, г Одинцово, ул Чикина, д 1А, помещ 3</t>
  </si>
  <si>
    <t>13:36:05</t>
  </si>
  <si>
    <t>14:32:11</t>
  </si>
  <si>
    <t>Московская обл, г Одинцово, ул Триумфальная, д 4</t>
  </si>
  <si>
    <t>17:58:53</t>
  </si>
  <si>
    <t>18:11:44</t>
  </si>
  <si>
    <t>Аптечный пункт №50-1059</t>
  </si>
  <si>
    <t>18:25:39</t>
  </si>
  <si>
    <t>Московская обл, г Одинцово, ул Сколковская, д 5А, помещ 3</t>
  </si>
  <si>
    <t>Московская обл, г Одинцово, ул Сколковская, д 1Б, помещ 1</t>
  </si>
  <si>
    <t>04:03:00</t>
  </si>
  <si>
    <t>21:04:24</t>
  </si>
  <si>
    <t>23:45:00</t>
  </si>
  <si>
    <t>23:45:23</t>
  </si>
  <si>
    <t>07:54:00</t>
  </si>
  <si>
    <t>04:57:01</t>
  </si>
  <si>
    <t>Московская обл, г Одинцово, ул Садовая, д 22</t>
  </si>
  <si>
    <t>Океанский пр-кт, д 111А, Касса №1</t>
  </si>
  <si>
    <t>06:21:19</t>
  </si>
  <si>
    <t>10:57:00</t>
  </si>
  <si>
    <t>06:53:36</t>
  </si>
  <si>
    <t>Московская обл, г Одинцово, ул Рябиновая, д 1 к 1</t>
  </si>
  <si>
    <t>07:04:54</t>
  </si>
  <si>
    <t>Московская обл, г Одинцово, ул Кутузовская, д 9, помещ 24</t>
  </si>
  <si>
    <t>07:42:11</t>
  </si>
  <si>
    <t>Московская обл, г Одинцово, ул Говорова, д 163</t>
  </si>
  <si>
    <t>10:53:00</t>
  </si>
  <si>
    <t>08:54:07</t>
  </si>
  <si>
    <t>Московская обл, г Одинцово, ул Белорусская, д 5</t>
  </si>
  <si>
    <t>09:01:44</t>
  </si>
  <si>
    <t>11:25:29</t>
  </si>
  <si>
    <t>11:54:36</t>
  </si>
  <si>
    <t>Московская обл, г Одинцово, тер аэродром Кубинка, стр 4</t>
  </si>
  <si>
    <t>Московская обл, г Одинцово, с Юдино, ул Пролетарская, д 2А</t>
  </si>
  <si>
    <t>15:19:00</t>
  </si>
  <si>
    <t>12:19:52</t>
  </si>
  <si>
    <t>Московская обл, г Одинцово, с Ромашково, ул Никольская, д 10</t>
  </si>
  <si>
    <t>РОССИЯ,54, Новосибирская область, Новосибирск г, Дуси Ковальчук ул, д. 73Б</t>
  </si>
  <si>
    <t>15:08:00</t>
  </si>
  <si>
    <t>12:23:16</t>
  </si>
  <si>
    <t>Московская обл, г Одинцово, рп Новоивановское, ул Западная, стр 181</t>
  </si>
  <si>
    <t>13:57:45</t>
  </si>
  <si>
    <t>14:07:33</t>
  </si>
  <si>
    <t>Московская обл, г Одинцово, рп Новоивановское, б-р Эйнштейна, д 3, помещ 1</t>
  </si>
  <si>
    <t>14:38:16</t>
  </si>
  <si>
    <t>Московская обл, г Одинцово, рп Новоивановское, б-р Эйнштейна, д 1, помещ 8</t>
  </si>
  <si>
    <t>14:44:03</t>
  </si>
  <si>
    <t>Московская обл, г Одинцово, рп Заречье, ул Заречная, д 2</t>
  </si>
  <si>
    <t>16:47:00</t>
  </si>
  <si>
    <t>14:47:33</t>
  </si>
  <si>
    <t>15:25:05</t>
  </si>
  <si>
    <t>АПТЕКА №68 "ЗДРАВСИТИ"</t>
  </si>
  <si>
    <t>16:06:18</t>
  </si>
  <si>
    <t>16:11:11</t>
  </si>
  <si>
    <t>16:54:47</t>
  </si>
  <si>
    <t>Московская обл, г Одинцово, п Часцы, ш Можайское, д 10 стр 3</t>
  </si>
  <si>
    <t>17:03:41</t>
  </si>
  <si>
    <t>Московская обл, г Одинцово, п Трехгорка, ул Трехгорная, д 6</t>
  </si>
  <si>
    <t>17:13:35</t>
  </si>
  <si>
    <t>Московская обл, г Одинцово, п Горки-10, д 9</t>
  </si>
  <si>
    <t>17:19:03</t>
  </si>
  <si>
    <t>Московская обл, г Одинцово, п ВНИИССОК, ул Дениса Давыдова, д 11</t>
  </si>
  <si>
    <t>17:26:14</t>
  </si>
  <si>
    <t>Московская обл, г Одинцово, мкр Клубничное поле, д 9, помещ 1</t>
  </si>
  <si>
    <t>Аптечный пункт №71-1166</t>
  </si>
  <si>
    <t>17:45:56</t>
  </si>
  <si>
    <t>17:58:46</t>
  </si>
  <si>
    <t>Московская обл, г Одинцово, дп Лесной Городок, ул Молодежная, д 8</t>
  </si>
  <si>
    <t>18:14:06</t>
  </si>
  <si>
    <t>18:17:59</t>
  </si>
  <si>
    <t>18:37:43</t>
  </si>
  <si>
    <t>18:43:59</t>
  </si>
  <si>
    <t>19:09:19</t>
  </si>
  <si>
    <t>Аптека №47-862</t>
  </si>
  <si>
    <t>19:59:37</t>
  </si>
  <si>
    <t>21:00:07</t>
  </si>
  <si>
    <t>Московская обл, г Одинцово, д Жуковка, ш Рублево-Успенское, д 74 стр 1</t>
  </si>
  <si>
    <t>23:23:06</t>
  </si>
  <si>
    <t>Московская обл, г Одинцово, д Бузаево, стр 15</t>
  </si>
  <si>
    <t>02:27:50</t>
  </si>
  <si>
    <t>Московская обл, г Одинцово, д Акулово, ул городок Кубинка-10, д 11А</t>
  </si>
  <si>
    <t>03:39:22</t>
  </si>
  <si>
    <t>03:38:00</t>
  </si>
  <si>
    <t>03:39:47</t>
  </si>
  <si>
    <t>03:47:37</t>
  </si>
  <si>
    <t>04:07:06</t>
  </si>
  <si>
    <t>04:17:20</t>
  </si>
  <si>
    <t>Фармлидер Сибири</t>
  </si>
  <si>
    <t>08:29:00</t>
  </si>
  <si>
    <t>04:32:36</t>
  </si>
  <si>
    <t>05:07:41</t>
  </si>
  <si>
    <t>Московская обл, г Одинцово, г Кубинка, ш Наро-Фоминское, д 36</t>
  </si>
  <si>
    <t>11:50:00</t>
  </si>
  <si>
    <t>05:35:19</t>
  </si>
  <si>
    <t>Московская обл, г Одинцово, г Кубинка, ул Армейская, д 8Б</t>
  </si>
  <si>
    <t>05:35:30</t>
  </si>
  <si>
    <t>05:38:19</t>
  </si>
  <si>
    <t>05:40:00</t>
  </si>
  <si>
    <t>05:41:18</t>
  </si>
  <si>
    <t>Московская обл, г Одинцово, г Звенигород, р-н Восточный, мкр 3, д 1</t>
  </si>
  <si>
    <t>05:48:28</t>
  </si>
  <si>
    <t>Московская обл, г Одинцово, г Звенигород, мкр Супонево, д 1</t>
  </si>
  <si>
    <t>06:14:16</t>
  </si>
  <si>
    <t>06:15:35</t>
  </si>
  <si>
    <t>06:18:20</t>
  </si>
  <si>
    <t>Московская обл, г Одинцово, б-р Любы Новоселовой, д 5, помещ 2</t>
  </si>
  <si>
    <t>06:21:03</t>
  </si>
  <si>
    <t>Московская обл, г Ногинск, ул Юбилейная, д 18</t>
  </si>
  <si>
    <t>ул. Карла Маркса, д. 144</t>
  </si>
  <si>
    <t>06:26:05</t>
  </si>
  <si>
    <t>Приморский край, Владивосток, ул.Станюковича 12</t>
  </si>
  <si>
    <t>06:27:06</t>
  </si>
  <si>
    <t>Московская обл, г Ногинск, ул Трудовая, д 8, помещ 57</t>
  </si>
  <si>
    <t>10:22:00</t>
  </si>
  <si>
    <t>06:27:33</t>
  </si>
  <si>
    <t>08:23:00</t>
  </si>
  <si>
    <t>06:44:18</t>
  </si>
  <si>
    <t>06:44:29</t>
  </si>
  <si>
    <t>Московская обл, г Ногинск, ул Рабочая, д 12</t>
  </si>
  <si>
    <t>06:46:32</t>
  </si>
  <si>
    <t>аптека № 61</t>
  </si>
  <si>
    <t>06:58:12</t>
  </si>
  <si>
    <t>Московская обл, г Ногинск, ул Инициативная, д 4</t>
  </si>
  <si>
    <t>07:07:35</t>
  </si>
  <si>
    <t>Московская обл, г Ногинск, ул 3-го Интернационала, д 803, кв 62</t>
  </si>
  <si>
    <t>07:19:25</t>
  </si>
  <si>
    <t>00:43:00</t>
  </si>
  <si>
    <t>07:22:09</t>
  </si>
  <si>
    <t>Московская обл, г Ногинск, рп Обухово, ул Советская, д 49, помещ 21</t>
  </si>
  <si>
    <t>07:24:00</t>
  </si>
  <si>
    <t>07:24:30</t>
  </si>
  <si>
    <t>10:26:00</t>
  </si>
  <si>
    <t>07:27:39</t>
  </si>
  <si>
    <t>Московская обл, г Ногинск, рп Обухово, ул Советская, д 49</t>
  </si>
  <si>
    <t>07:37:45</t>
  </si>
  <si>
    <t>07:40:00</t>
  </si>
  <si>
    <t>07:40:06</t>
  </si>
  <si>
    <t>Московская обл, г Ногинск, д Стулово, ул Ногинская, д 16</t>
  </si>
  <si>
    <t>192282, Санкт-Петербург, Бухарестская ул., д.23, корп.1, лит. А</t>
  </si>
  <si>
    <t>07:54:36</t>
  </si>
  <si>
    <t>07:56:46</t>
  </si>
  <si>
    <t>Московская обл, г Наро-Фоминск, ул Рижская, д 7В</t>
  </si>
  <si>
    <t>08:04:00</t>
  </si>
  <si>
    <t>08:07:23</t>
  </si>
  <si>
    <t>Московская обл, г Наро-Фоминск, ул Маршала Жукова Г.К., д 15</t>
  </si>
  <si>
    <t>08:08:10</t>
  </si>
  <si>
    <t>08:09:25</t>
  </si>
  <si>
    <t>08:13:00</t>
  </si>
  <si>
    <t>08:15:10</t>
  </si>
  <si>
    <t>08:15:31</t>
  </si>
  <si>
    <t>08:19:06</t>
  </si>
  <si>
    <t>Московская обл, г Наро-Фоминск, ул Маршала Жукова Г.К., д 14А</t>
  </si>
  <si>
    <t>NSK-MZ02-SRV</t>
  </si>
  <si>
    <t>08:19:34</t>
  </si>
  <si>
    <t>Московская обл, г Наро-Фоминск, ул Маршала Жукова Г.К., д 13Б</t>
  </si>
  <si>
    <t>08:20:48</t>
  </si>
  <si>
    <t>Московская обл, г Наро-Фоминск, ул Латышская, д 7</t>
  </si>
  <si>
    <t>ЦРА 3 Аптечный пункт</t>
  </si>
  <si>
    <t>08:22:15</t>
  </si>
  <si>
    <t>08:25:46</t>
  </si>
  <si>
    <t>Аптека №40-1133</t>
  </si>
  <si>
    <t>08:11:00</t>
  </si>
  <si>
    <t>08:29:33</t>
  </si>
  <si>
    <t>08:30:32</t>
  </si>
  <si>
    <t>Московская обл, г Наро-Фоминск, рп Селятино, ул Клубная, д 16/1</t>
  </si>
  <si>
    <t>00:26:00</t>
  </si>
  <si>
    <t>08:35:10</t>
  </si>
  <si>
    <t>Московская обл, г Наро-Фоминск, рп Селятино, ул Больничная, д 23/1</t>
  </si>
  <si>
    <t>08:40:22</t>
  </si>
  <si>
    <t>Московская обл, г Наро-Фоминск, рп Калининец, в/ч 23626</t>
  </si>
  <si>
    <t>19:12:00</t>
  </si>
  <si>
    <t>08:50:09</t>
  </si>
  <si>
    <t>Московская обл, г Мытищи, ш Осташковское, влд 2 стр 1</t>
  </si>
  <si>
    <t>09:00:36</t>
  </si>
  <si>
    <t>Московская обл, г Мытищи, ул Юбилейная, стр 36</t>
  </si>
  <si>
    <t>09:15:10</t>
  </si>
  <si>
    <t>Московская обл, г Мытищи, ул Юбилейная, д 3 к 1</t>
  </si>
  <si>
    <t>72 - Тюменская область, 625001, Тюмень г, Ямская ул, 112</t>
  </si>
  <si>
    <t>Московская обл, г Мытищи, ул Юбилейная, д 23 к 1</t>
  </si>
  <si>
    <t>09:20:20</t>
  </si>
  <si>
    <t>Московская обл, г Мытищи, ул Сукромка, д 5</t>
  </si>
  <si>
    <t>09:21:25</t>
  </si>
  <si>
    <t>Московская обл, г Мытищи, ул Селезнева, д 33</t>
  </si>
  <si>
    <t>09:21:45</t>
  </si>
  <si>
    <t>Аптека №10</t>
  </si>
  <si>
    <t>09:25:46</t>
  </si>
  <si>
    <t>Московская обл, г Мытищи, ул Рождественская, д 7</t>
  </si>
  <si>
    <t>09:33:32</t>
  </si>
  <si>
    <t>09:33:59</t>
  </si>
  <si>
    <t>Московская обл, г Мытищи, ул Мира, д 49, помещ 5</t>
  </si>
  <si>
    <t>09:41:56</t>
  </si>
  <si>
    <t>17:13:00</t>
  </si>
  <si>
    <t>09:42:35</t>
  </si>
  <si>
    <t>Московская обл, г Мытищи, ул Лётная, д 21/2, помещ 032</t>
  </si>
  <si>
    <t>АПТЕКА №1-НОВОВОРОНЕЖ</t>
  </si>
  <si>
    <t>09:44:09</t>
  </si>
  <si>
    <t>09:45:06</t>
  </si>
  <si>
    <t>Московская обл, г Мытищи, ул Веры Волошиной, д 27</t>
  </si>
  <si>
    <t>09:45:45</t>
  </si>
  <si>
    <t>Московская обл, г Мытищи, ул Веры Волошиной, д 10</t>
  </si>
  <si>
    <t>09:48:36</t>
  </si>
  <si>
    <t>Московская обл, г Мытищи, ул Академика Каргина, д 38 к 1</t>
  </si>
  <si>
    <t>12:59:00</t>
  </si>
  <si>
    <t>10:00:22</t>
  </si>
  <si>
    <t>10:01:14</t>
  </si>
  <si>
    <t>Московская обл, г Мытищи, ул 1-я Пролетарская, стр 12</t>
  </si>
  <si>
    <t>10:05:58</t>
  </si>
  <si>
    <t>10:14:07</t>
  </si>
  <si>
    <t>10:17:23</t>
  </si>
  <si>
    <t>10:17:42</t>
  </si>
  <si>
    <t>10:20:15</t>
  </si>
  <si>
    <t>10:23:44</t>
  </si>
  <si>
    <t>Московская обл, г Мытищи, с Марфино, ул Зелёная, д 1А</t>
  </si>
  <si>
    <t>10:23:47</t>
  </si>
  <si>
    <t>Московская обл, г Мытищи, пр-кт Олимпийский, д 21 к 2</t>
  </si>
  <si>
    <t>10:24:34</t>
  </si>
  <si>
    <t>10:25:06</t>
  </si>
  <si>
    <t>Московская обл, г Мытищи, пр-кт Октябрьский, д 10А</t>
  </si>
  <si>
    <t>10:27:00</t>
  </si>
  <si>
    <t>10:36:57</t>
  </si>
  <si>
    <t>Московская обл, г Мытищи, пр-кт Новомытищинский, д 82</t>
  </si>
  <si>
    <t>Аптечный пункт №77-928</t>
  </si>
  <si>
    <t>10:44:41</t>
  </si>
  <si>
    <t>Московская обл, г Мытищи, пр-кт Новомытищинский, д 23/7, помещ 22</t>
  </si>
  <si>
    <t>10:45:25</t>
  </si>
  <si>
    <t>Московская обл, г Мытищи, п Вешки, ул Заводская, д 16, помещ 6</t>
  </si>
  <si>
    <t>10:50:11</t>
  </si>
  <si>
    <t>10:50:58</t>
  </si>
  <si>
    <t>Московская обл, г Мытищи, мкр Поселок Пироговский, ул Фабричная, д 15, помещ 1/2</t>
  </si>
  <si>
    <t>10:52:59</t>
  </si>
  <si>
    <t>Московская обл, г Мытищи, мкр Поселок Пироговский, ул Фабричная, д 1</t>
  </si>
  <si>
    <t>10:53:45</t>
  </si>
  <si>
    <t>14:55:00</t>
  </si>
  <si>
    <t>10:54:39</t>
  </si>
  <si>
    <t>Московская обл, г Мытищи, д Шолохово, ш Дмитровское, влд 2Б стр 1</t>
  </si>
  <si>
    <t>11:04:50</t>
  </si>
  <si>
    <t>Аптека автодорога Симферополь-Керчь</t>
  </si>
  <si>
    <t>10:18:00</t>
  </si>
  <si>
    <t>11:06:13</t>
  </si>
  <si>
    <t>11:07:39</t>
  </si>
  <si>
    <t>10:21:00</t>
  </si>
  <si>
    <t>11:08:08</t>
  </si>
  <si>
    <t>11:08:40</t>
  </si>
  <si>
    <t>Московская обл, г Мытищи, д Новосельцево, ул Центральная, стр 91</t>
  </si>
  <si>
    <t>09:52:00</t>
  </si>
  <si>
    <t>11:12:04</t>
  </si>
  <si>
    <t>11:13:38</t>
  </si>
  <si>
    <t>Московская обл, г Мытищи, д Бородино, ул Малая Бородинская, д 1 к 2</t>
  </si>
  <si>
    <t>торговый зал</t>
  </si>
  <si>
    <t>11:17:39</t>
  </si>
  <si>
    <t>11:19:34</t>
  </si>
  <si>
    <t>11:21:49</t>
  </si>
  <si>
    <t>Аптека "Apteka.ru"</t>
  </si>
  <si>
    <t>11:22:58</t>
  </si>
  <si>
    <t>11:25:02</t>
  </si>
  <si>
    <t>Московская обл, г Мытищи, б-р Ветеранов, стр 2</t>
  </si>
  <si>
    <t>11:29:06</t>
  </si>
  <si>
    <t>11:31:55</t>
  </si>
  <si>
    <t>11:36:11</t>
  </si>
  <si>
    <t>11:38:02</t>
  </si>
  <si>
    <t>11:38:45</t>
  </si>
  <si>
    <t>11:38:53</t>
  </si>
  <si>
    <t>11:43:20</t>
  </si>
  <si>
    <t>Московская обл, г Люберцы, ул С.П.Попова, д 1 стр 2</t>
  </si>
  <si>
    <t>11:48:49</t>
  </si>
  <si>
    <t>Московская обл, г Люберцы, ул Инициативная, д 5А, помещ I</t>
  </si>
  <si>
    <t>аптека ООО "Лилия"</t>
  </si>
  <si>
    <t>11:57:10</t>
  </si>
  <si>
    <t>11:59:18</t>
  </si>
  <si>
    <t>11:59:34</t>
  </si>
  <si>
    <t>12:05:36</t>
  </si>
  <si>
    <t>12:10:41</t>
  </si>
  <si>
    <t>Московская обл, г Люберцы, ул Инициативная, д 14 стр 4</t>
  </si>
  <si>
    <t>12:14:45</t>
  </si>
  <si>
    <t>12:18:06</t>
  </si>
  <si>
    <t>Московская обл, г Люберцы, ул Инициативная, д 14 стр 2</t>
  </si>
  <si>
    <t>12:18:53</t>
  </si>
  <si>
    <t>Московская обл, г Люберцы, ул 8 Марта, д 18 к 1</t>
  </si>
  <si>
    <t>аптека №1</t>
  </si>
  <si>
    <t>Московская обл, г Люберцы, ул 3-е почтовое отделение, д 27А</t>
  </si>
  <si>
    <t>12:23:23</t>
  </si>
  <si>
    <t>12:26:35</t>
  </si>
  <si>
    <t>12:26:56</t>
  </si>
  <si>
    <t>Аптека №78-1510</t>
  </si>
  <si>
    <t>12:28:32</t>
  </si>
  <si>
    <t>Аптека №78-1397</t>
  </si>
  <si>
    <t>12:33:40</t>
  </si>
  <si>
    <t>12:34:54</t>
  </si>
  <si>
    <t>12:39:02</t>
  </si>
  <si>
    <t>Аптека №3</t>
  </si>
  <si>
    <t>12:41:33</t>
  </si>
  <si>
    <t>12:41:36</t>
  </si>
  <si>
    <t>12:45:42</t>
  </si>
  <si>
    <t>Аптечный пункт-АФ-(Мск)-Братиславская-1</t>
  </si>
  <si>
    <t>12:51:01</t>
  </si>
  <si>
    <t>Московская обл, г Люберцы, пр-кт Победы, д 9/20</t>
  </si>
  <si>
    <t>12:53:54</t>
  </si>
  <si>
    <t>Московская обл, г Люберцы, пр-кт Комсомольский, д 18/1</t>
  </si>
  <si>
    <t>Московская обл, г Люберцы, пгт Томилино, ул Гоголя, д 44А стр 1</t>
  </si>
  <si>
    <t>12:39:00</t>
  </si>
  <si>
    <t>12:56:32</t>
  </si>
  <si>
    <t>Московская обл, г Люберцы, мкр Зенино ЖК Самолёт, ул Камова, д 3 к 1, помещ 361</t>
  </si>
  <si>
    <t>13:00:04</t>
  </si>
  <si>
    <t>Московская обл, г Люберцы, мкр Зенино ЖК Самолёт, ул Дружбы, д 7 к 2, помещ 001</t>
  </si>
  <si>
    <t>13:01:23</t>
  </si>
  <si>
    <t>Московская обл, г Люберцы, мкр Западный (пгт Октябрьский), ул Школьная, д 1</t>
  </si>
  <si>
    <t>13:05:13</t>
  </si>
  <si>
    <t>Московская обл, г Лыткарино, мкр 5 квартал 2, стр 17</t>
  </si>
  <si>
    <t>13:05:45</t>
  </si>
  <si>
    <t>Московская обл, г Луховицы, ул Пушкина, д 153</t>
  </si>
  <si>
    <t>13:05:48</t>
  </si>
  <si>
    <t>Московская обл, г Лосино-Петровский, пгт Аничково, д 3, помещ 16/2</t>
  </si>
  <si>
    <t>13:12:11</t>
  </si>
  <si>
    <t>Московская обл, г Лосино-Петровский, пгт Аничково, д 2</t>
  </si>
  <si>
    <t>АПТЕЧНЫЙ ПУНКТ №3</t>
  </si>
  <si>
    <t>13:12:49</t>
  </si>
  <si>
    <t>13:14:02</t>
  </si>
  <si>
    <t>13:18:07</t>
  </si>
  <si>
    <t>13:20:18</t>
  </si>
  <si>
    <t>Московская обл, г Лосино-Петровский, п Аничково, д 3, помещ 16/2</t>
  </si>
  <si>
    <t>13:21:09</t>
  </si>
  <si>
    <t>Московская обл, г Лобня, ул Физкультурная, д 6, помещ 23</t>
  </si>
  <si>
    <t>13:21:19</t>
  </si>
  <si>
    <t>Московская обл, г Лобня, ул Текстильная, д 16</t>
  </si>
  <si>
    <t>13:23:45</t>
  </si>
  <si>
    <t>13:24:18</t>
  </si>
  <si>
    <t>Московская обл, г Лобня, ул Маяковского, д 4А</t>
  </si>
  <si>
    <t>NSK-MZ09-SRV</t>
  </si>
  <si>
    <t>13:26:10</t>
  </si>
  <si>
    <t>13:30:06</t>
  </si>
  <si>
    <t>13:38:51</t>
  </si>
  <si>
    <t>Московская обл, г Лобня, ул Маяковского, д 1Б</t>
  </si>
  <si>
    <t>13:41:10</t>
  </si>
  <si>
    <t>ЦРА 3 Аптека 83</t>
  </si>
  <si>
    <t>13:47:05</t>
  </si>
  <si>
    <t>13:50:03</t>
  </si>
  <si>
    <t>13:50:08</t>
  </si>
  <si>
    <t>13:50:21</t>
  </si>
  <si>
    <t>13:53:41</t>
  </si>
  <si>
    <t>пр-кт Красного знамени 86А, Касса №2</t>
  </si>
  <si>
    <t>13:55:33</t>
  </si>
  <si>
    <t>14:06:43</t>
  </si>
  <si>
    <t>14:09:57</t>
  </si>
  <si>
    <t>14:16:13</t>
  </si>
  <si>
    <t>14:17:13</t>
  </si>
  <si>
    <t>14:17:48</t>
  </si>
  <si>
    <t>Аптека №64</t>
  </si>
  <si>
    <t>14:18:20</t>
  </si>
  <si>
    <t>14:20:35</t>
  </si>
  <si>
    <t>аптечный пункт №77-215</t>
  </si>
  <si>
    <t>14:24:48</t>
  </si>
  <si>
    <t>14:25:01</t>
  </si>
  <si>
    <t>14:26:34</t>
  </si>
  <si>
    <t>14:42:26</t>
  </si>
  <si>
    <t>14:44:32</t>
  </si>
  <si>
    <t>14:45:59</t>
  </si>
  <si>
    <t>14:48:58</t>
  </si>
  <si>
    <t>14:52:14</t>
  </si>
  <si>
    <t>14:54:50</t>
  </si>
  <si>
    <t>14:55:01</t>
  </si>
  <si>
    <t>14:55:09</t>
  </si>
  <si>
    <t>14:56:34</t>
  </si>
  <si>
    <t>14:57:11</t>
  </si>
  <si>
    <t>14:57:33</t>
  </si>
  <si>
    <t>14:59:34</t>
  </si>
  <si>
    <t>14:59:55</t>
  </si>
  <si>
    <t>Аптечный пункт№1</t>
  </si>
  <si>
    <t>15:04:40</t>
  </si>
  <si>
    <t>15:09:10</t>
  </si>
  <si>
    <t>Московская обл, г Лобня, ул Ленина, д 15</t>
  </si>
  <si>
    <t>15:18:25</t>
  </si>
  <si>
    <t>15:21:10</t>
  </si>
  <si>
    <t>15:23:55</t>
  </si>
  <si>
    <t>15:25:55</t>
  </si>
  <si>
    <t>Московская обл, г Лобня, ул Катюшки, д 52</t>
  </si>
  <si>
    <t>15:37:53</t>
  </si>
  <si>
    <t>Московская обл, г Лобня, ул Борисова, д 24 к 1, помещ 7</t>
  </si>
  <si>
    <t>15:39:19</t>
  </si>
  <si>
    <t>Московская обл, г Лобня, ул Авиационная, д 11, помещ 2</t>
  </si>
  <si>
    <t>15:41:26</t>
  </si>
  <si>
    <t>Московская обл, г Лобня, проезд Шадунца, д 7, помещ 1Н</t>
  </si>
  <si>
    <t>15:42:26</t>
  </si>
  <si>
    <t>Московская обл, г Краснознаменск, пр-кт Мира, д 13</t>
  </si>
  <si>
    <t>Московская обл, г Красногорск, ш Ильинское, д 2А, помещ 2</t>
  </si>
  <si>
    <t>15:50:58</t>
  </si>
  <si>
    <t>Московская обл, г Красногорск, ул Советская, д 2</t>
  </si>
  <si>
    <t>15:52:01</t>
  </si>
  <si>
    <t>15:55:15</t>
  </si>
  <si>
    <t>Московская обл, г Красногорск, ул Народного Ополчения, д 9, помещ 26</t>
  </si>
  <si>
    <t>15:57:41</t>
  </si>
  <si>
    <t>15:58:23</t>
  </si>
  <si>
    <t>15:58:43</t>
  </si>
  <si>
    <t>Московская обл, г Красногорск, ул Лесная, д 17</t>
  </si>
  <si>
    <t>16:04:32</t>
  </si>
  <si>
    <t>Московская обл, г Красногорск, ул Ленина, д 26А, помещ VII</t>
  </si>
  <si>
    <t>16:08:28</t>
  </si>
  <si>
    <t>Московская обл, г Красногорск, ул Крайняя, д 11</t>
  </si>
  <si>
    <t>16:10:32</t>
  </si>
  <si>
    <t>Московская обл, г Красногорск, ул Комсомольская, д 45</t>
  </si>
  <si>
    <t>АПТЕКА №78-592</t>
  </si>
  <si>
    <t>16:14:13</t>
  </si>
  <si>
    <t>Московская обл, г Красногорск, ул Вокзальная, д 21, помещ 1/V</t>
  </si>
  <si>
    <t>16:18:25</t>
  </si>
  <si>
    <t>16:18:48</t>
  </si>
  <si>
    <t>16:27:19</t>
  </si>
  <si>
    <t>16:33:10</t>
  </si>
  <si>
    <t>16:40:32</t>
  </si>
  <si>
    <t>Аптека 8 касса 1</t>
  </si>
  <si>
    <t>16:41:30</t>
  </si>
  <si>
    <t>16:53:15</t>
  </si>
  <si>
    <t>16:56:03</t>
  </si>
  <si>
    <t>17:01:20</t>
  </si>
  <si>
    <t>Московская обл, г Красногорск, ул Вокзальная, д 21</t>
  </si>
  <si>
    <t>17:18:06</t>
  </si>
  <si>
    <t>Аптека № 2</t>
  </si>
  <si>
    <t>17:18:22</t>
  </si>
  <si>
    <t>Московская обл, г Красногорск, ул Вилора Трифонова, д 1, помещ XXXII</t>
  </si>
  <si>
    <t>17:19:58</t>
  </si>
  <si>
    <t>17:24:47</t>
  </si>
  <si>
    <t>17:24:51</t>
  </si>
  <si>
    <t>Московская обл, г Красногорск, ул Авангардная, д 3, помещ VII</t>
  </si>
  <si>
    <t>17:26:07</t>
  </si>
  <si>
    <t>17:30:03</t>
  </si>
  <si>
    <t>17:30:00</t>
  </si>
  <si>
    <t>17:31:15</t>
  </si>
  <si>
    <t>Московская обл, г Красногорск, ул 50 лет Октября, д 2 стр 2</t>
  </si>
  <si>
    <t>17:32:08</t>
  </si>
  <si>
    <t>17:32:22</t>
  </si>
  <si>
    <t>17:35:26</t>
  </si>
  <si>
    <t>Московская обл, г Красногорск, с Ильинское, ул Ленина, д 4</t>
  </si>
  <si>
    <t>17:37:20</t>
  </si>
  <si>
    <t>Московская обл, г Красногорск, пгт Путилково, ул Просторная, д 1, помещ 414</t>
  </si>
  <si>
    <t>17:41:02</t>
  </si>
  <si>
    <t>Московская обл, г Красногорск, пгт Отрадное, ул Пятницкая, д 17Б</t>
  </si>
  <si>
    <t>17:41:30</t>
  </si>
  <si>
    <t>Московская обл, г Красногорск, п Отрадное, ул Кленовая, д 5, помещ 11</t>
  </si>
  <si>
    <t>17:47:09</t>
  </si>
  <si>
    <t>Московская обл, г Красногорск, п Мечниково, д 26</t>
  </si>
  <si>
    <t>17:50:54</t>
  </si>
  <si>
    <t>Московская обл, г Красногорск, мкр Опалиха, ул Пришвина, д 9, помещ Н</t>
  </si>
  <si>
    <t>17:52:14</t>
  </si>
  <si>
    <t>09:02:00</t>
  </si>
  <si>
    <t>17:54:45</t>
  </si>
  <si>
    <t>Московская обл, г Красногорск, мкр Опалиха, ул Пришвина, д 3, помещ 0002Н</t>
  </si>
  <si>
    <t>17:54:50</t>
  </si>
  <si>
    <t>Московская обл, г Красногорск, б-р Подмосковный, д 5</t>
  </si>
  <si>
    <t>18:03:06</t>
  </si>
  <si>
    <t>Московская обл, г Красногорск, б-р Подмосковный, д 1А</t>
  </si>
  <si>
    <t>18:15:35</t>
  </si>
  <si>
    <t>18:20:41</t>
  </si>
  <si>
    <t>18:20:55</t>
  </si>
  <si>
    <t>18:23:29</t>
  </si>
  <si>
    <t>Московская обл, г Красногорск, б-р Подмосковный, д 13, кв 810/1</t>
  </si>
  <si>
    <t>18:25:26</t>
  </si>
  <si>
    <t>18:27:55</t>
  </si>
  <si>
    <t>Московская обл, г Красногорск, б-р Подмосковный, д 12</t>
  </si>
  <si>
    <t>18:36:47</t>
  </si>
  <si>
    <t>18:38:54</t>
  </si>
  <si>
    <t>18:46:57</t>
  </si>
  <si>
    <t>18:47:59</t>
  </si>
  <si>
    <t>18:50:54</t>
  </si>
  <si>
    <t>18:58:34</t>
  </si>
  <si>
    <t>Московская обл, г Красногорск, б-р Подмосковный, д 10</t>
  </si>
  <si>
    <t>2025-01-06</t>
  </si>
  <si>
    <t>18:59:00</t>
  </si>
  <si>
    <t>18:59:54</t>
  </si>
  <si>
    <t>Московская обл, г Красногорск, б-р Красногорский, д 23 к 2</t>
  </si>
  <si>
    <t>19:04:29</t>
  </si>
  <si>
    <t>19:02:00</t>
  </si>
  <si>
    <t>19:05:05</t>
  </si>
  <si>
    <t>Московская обл, г Красногорск, б-р Космонавтов, д 1, помещ 34</t>
  </si>
  <si>
    <t>19:13:25</t>
  </si>
  <si>
    <t>Московская обл, г Красногорск, б-р Ильинский, д 8</t>
  </si>
  <si>
    <t>19:14:57</t>
  </si>
  <si>
    <t>18:45:00</t>
  </si>
  <si>
    <t>19:16:21</t>
  </si>
  <si>
    <t>19:18:44</t>
  </si>
  <si>
    <t>19:22:27</t>
  </si>
  <si>
    <t>19:22:42</t>
  </si>
  <si>
    <t>Московская обл, г Котельники, ш Дзержинское</t>
  </si>
  <si>
    <t>19:22:49</t>
  </si>
  <si>
    <t>Московская обл, г Котельники, ул Кузьминская, д 17, помещ 7А</t>
  </si>
  <si>
    <t>19:24:28</t>
  </si>
  <si>
    <t>Московская обл, г Котельники, ул Кузьминская, д 15</t>
  </si>
  <si>
    <t>19:01:00</t>
  </si>
  <si>
    <t>19:27:24</t>
  </si>
  <si>
    <t>Московская обл, г Котельники, проезд 2-й Покровский, д 4</t>
  </si>
  <si>
    <t>19:30:04</t>
  </si>
  <si>
    <t>19:33:49</t>
  </si>
  <si>
    <t>19:33:51</t>
  </si>
  <si>
    <t>19:41:45</t>
  </si>
  <si>
    <t>Аптека готовых лекарственных форм №4</t>
  </si>
  <si>
    <t>19:42:07</t>
  </si>
  <si>
    <t>Московская обл, г Котельники, проезд 2-й Покровский, д 12, помещ 9</t>
  </si>
  <si>
    <t>19:42:38</t>
  </si>
  <si>
    <t>19:43:50</t>
  </si>
  <si>
    <t>19:45:09</t>
  </si>
  <si>
    <t>Московская обл, г Королёв, ул Подмосковная, д 7</t>
  </si>
  <si>
    <t>Аптека №8</t>
  </si>
  <si>
    <t>19:48:32</t>
  </si>
  <si>
    <t>188300, ЛО, г Гатчина, ул Урицкого, д. 19, помещение 17,18,19</t>
  </si>
  <si>
    <t>19:49:21</t>
  </si>
  <si>
    <t>19:49:30</t>
  </si>
  <si>
    <t>19:51:08</t>
  </si>
  <si>
    <t>19:51:37</t>
  </si>
  <si>
    <t>19:51:46</t>
  </si>
  <si>
    <t>20:53:00</t>
  </si>
  <si>
    <t>19:52:33</t>
  </si>
  <si>
    <t>Московская обл, г Королёв, ул Пионерская, д 30 к 9</t>
  </si>
  <si>
    <t>19:52:41</t>
  </si>
  <si>
    <t>19:52:58</t>
  </si>
  <si>
    <t>23:54:00</t>
  </si>
  <si>
    <t>19:54:16</t>
  </si>
  <si>
    <t>19:56:56</t>
  </si>
  <si>
    <t>Московская обл, г Королёв, ул Коммунальная, д 1</t>
  </si>
  <si>
    <t>20:00:27</t>
  </si>
  <si>
    <t>20:14:27</t>
  </si>
  <si>
    <t>20:17:11</t>
  </si>
  <si>
    <t>20:17:35</t>
  </si>
  <si>
    <t>20:22:39</t>
  </si>
  <si>
    <t>20:22:43</t>
  </si>
  <si>
    <t>20:25:10</t>
  </si>
  <si>
    <t>20:25:15</t>
  </si>
  <si>
    <t>Аптека "АДОНИС И К"</t>
  </si>
  <si>
    <t>20:26:21</t>
  </si>
  <si>
    <t>Московская обл, г Королёв, ул Калинина, д 6Б, помещ 04</t>
  </si>
  <si>
    <t>20:28:41</t>
  </si>
  <si>
    <t>Московская обл, г Королёв, ул Дзержинского, д 16/1</t>
  </si>
  <si>
    <t>20:30:06</t>
  </si>
  <si>
    <t>Московская обл, г Королёв, пр-кт Космонавтов, д 4В</t>
  </si>
  <si>
    <t>20:36:56</t>
  </si>
  <si>
    <t>20:37:59</t>
  </si>
  <si>
    <t>Московская обл, г Королёв, пр-кт Космонавтов, д 29/12 к 1, помещ 4</t>
  </si>
  <si>
    <t>20:41:59</t>
  </si>
  <si>
    <t>20:42:23</t>
  </si>
  <si>
    <t>20:44:00</t>
  </si>
  <si>
    <t>20:47:03</t>
  </si>
  <si>
    <t>Московская обл, г Королёв, мкр Юбилейный, ул Пионерская, д 2А</t>
  </si>
  <si>
    <t>20:57:32</t>
  </si>
  <si>
    <t>20:58:54</t>
  </si>
  <si>
    <t>21:11:08</t>
  </si>
  <si>
    <t>21:19:16</t>
  </si>
  <si>
    <t>Московская обл, г Королёв, мкр Первомайский, ул Советская, д 47 к 5, помещ 2</t>
  </si>
  <si>
    <t>21:21:41</t>
  </si>
  <si>
    <t>Московская обл, г Королёв, мкр Болшево, пл Станционная, д 20, помещ V</t>
  </si>
  <si>
    <t>21:25:42</t>
  </si>
  <si>
    <t>Московская обл, г Коломна, ул Октябрьской революции, д 2</t>
  </si>
  <si>
    <t>Аптечный пункт-АФ-(Мск)-Ясенево-1</t>
  </si>
  <si>
    <t>21:35:28</t>
  </si>
  <si>
    <t>Московская обл, г Коломна, ул Астахова, д 11, помещ 7</t>
  </si>
  <si>
    <t>20:38:00</t>
  </si>
  <si>
    <t>21:36:20</t>
  </si>
  <si>
    <t>Московская обл, г Коломна, пр-кт Кирова, д 43</t>
  </si>
  <si>
    <t>21:40:07</t>
  </si>
  <si>
    <t>21:46:00</t>
  </si>
  <si>
    <t>21:48:28</t>
  </si>
  <si>
    <t>Московская обл, г Коломна, пл Советская, д 4</t>
  </si>
  <si>
    <t>Аптека Саффарм Тоцкое-2 Ленина 5А</t>
  </si>
  <si>
    <t>21:49:02</t>
  </si>
  <si>
    <t>Московская обл, г Коломна, пл Восстания, д 803, кв 7</t>
  </si>
  <si>
    <t>21:50:00</t>
  </si>
  <si>
    <t>21:51:55</t>
  </si>
  <si>
    <t>21:56:00</t>
  </si>
  <si>
    <t>21:58:17</t>
  </si>
  <si>
    <t>01:12:00</t>
  </si>
  <si>
    <t>22:12:51</t>
  </si>
  <si>
    <t>22:06:00</t>
  </si>
  <si>
    <t>22:14:16</t>
  </si>
  <si>
    <t>Аптека11</t>
  </si>
  <si>
    <t>22:14:36</t>
  </si>
  <si>
    <t>22:20:02</t>
  </si>
  <si>
    <t>22:27:54</t>
  </si>
  <si>
    <t>22:40:53</t>
  </si>
  <si>
    <t>07:26:00</t>
  </si>
  <si>
    <t>00:29:07</t>
  </si>
  <si>
    <t>01:49:51</t>
  </si>
  <si>
    <t>Московская обл, г Коломна, п Радужный, д 3</t>
  </si>
  <si>
    <t>21:54:00</t>
  </si>
  <si>
    <t>21:55:02</t>
  </si>
  <si>
    <t>13:01:41</t>
  </si>
  <si>
    <t>Московская обл, г Коломна, г Озёры, ул Ленина, д 50</t>
  </si>
  <si>
    <t>18:02:19</t>
  </si>
  <si>
    <t>Московская обл, г Клин, ул Центральная, д 61Б</t>
  </si>
  <si>
    <t>08:45:00</t>
  </si>
  <si>
    <t>05:01:43</t>
  </si>
  <si>
    <t>Московская обл, г Клин, ул Ленина, д 8</t>
  </si>
  <si>
    <t>06:33:42</t>
  </si>
  <si>
    <t>08:57:44</t>
  </si>
  <si>
    <t>11:41:29</t>
  </si>
  <si>
    <t>11:43:36</t>
  </si>
  <si>
    <t>08:32:00</t>
  </si>
  <si>
    <t>13:05:33</t>
  </si>
  <si>
    <t>Московская обл, г Клин, ул Карла Маркса, д 82</t>
  </si>
  <si>
    <t>15:23:00</t>
  </si>
  <si>
    <t>13:30:51</t>
  </si>
  <si>
    <t>Московская обл, г Клин, ул Дурыманова, д 2Б</t>
  </si>
  <si>
    <t>19:35:00</t>
  </si>
  <si>
    <t>19:42:27</t>
  </si>
  <si>
    <t>Московская обл, г Истра, ул Советская, д 31</t>
  </si>
  <si>
    <t>07:55:00</t>
  </si>
  <si>
    <t>03:55:43</t>
  </si>
  <si>
    <t>08:27:00</t>
  </si>
  <si>
    <t>04:28:11</t>
  </si>
  <si>
    <t>Московская обл, г Истра, ул Ленина, д 2</t>
  </si>
  <si>
    <t>АПТЕКА №94 "ЗДРАВСИТИ"</t>
  </si>
  <si>
    <t>04:54:36</t>
  </si>
  <si>
    <t>аптека «городская аптека»</t>
  </si>
  <si>
    <t>05:17:15</t>
  </si>
  <si>
    <t>05:27:56</t>
  </si>
  <si>
    <t>08:43:00</t>
  </si>
  <si>
    <t>05:44:56</t>
  </si>
  <si>
    <t>Московская обл, г Истра, с Павловская Слобода, ул Ленина, зд 76/3</t>
  </si>
  <si>
    <t>10:28:00</t>
  </si>
  <si>
    <t>07:01:46</t>
  </si>
  <si>
    <t>ОСП  Аптека №10</t>
  </si>
  <si>
    <t>07:56:24</t>
  </si>
  <si>
    <t>625001, Тюменская область, город Тюмень г.о., Тюмень г, Ямская ул, 112 д.</t>
  </si>
  <si>
    <t>10:32:00</t>
  </si>
  <si>
    <t>08:32:44</t>
  </si>
  <si>
    <t>08:35:00</t>
  </si>
  <si>
    <t>08:35:12</t>
  </si>
  <si>
    <t>Московская обл, г Истра, с Новопетровское, ул Первомайская, зд 30</t>
  </si>
  <si>
    <t>Аптека "ФИАЛКА"</t>
  </si>
  <si>
    <t>08:39:55</t>
  </si>
  <si>
    <t>Московская обл, г Истра, п Глебовский, ул Микрорайон, зд 3Б</t>
  </si>
  <si>
    <t>09:15:15</t>
  </si>
  <si>
    <t>Московская обл, г Истра, п Глебовский, ул Микрорайон, д 14Г</t>
  </si>
  <si>
    <t>09:20:51</t>
  </si>
  <si>
    <t>Московская обл, г Истра, д Фроловское, стр 67</t>
  </si>
  <si>
    <t>аптечный пункт "Наша аптека"</t>
  </si>
  <si>
    <t>09:31:42</t>
  </si>
  <si>
    <t>09:58:27</t>
  </si>
  <si>
    <t>10:13:13</t>
  </si>
  <si>
    <t>Московская обл, г Истра, д Покровское, ул Центральная</t>
  </si>
  <si>
    <t>10:46:15</t>
  </si>
  <si>
    <t>197341, Санкт-Петербург, аллея Поликарпова, д.6, корп.2, лит. А</t>
  </si>
  <si>
    <t>11:11:50</t>
  </si>
  <si>
    <t>11:25:44</t>
  </si>
  <si>
    <t>Московская обл, г Истра, д Покровское, ул Заречная, зд 48 стр 1</t>
  </si>
  <si>
    <t>12:04:40</t>
  </si>
  <si>
    <t>Московская обл, г Истра, д Новинки, зд 112</t>
  </si>
  <si>
    <t>12:13:14</t>
  </si>
  <si>
    <t>12:14:54</t>
  </si>
  <si>
    <t>12:33:01</t>
  </si>
  <si>
    <t>12:39:57</t>
  </si>
  <si>
    <t>13:05:09</t>
  </si>
  <si>
    <t>Аптека ИП Васильева С.А.</t>
  </si>
  <si>
    <t>13:16:02</t>
  </si>
  <si>
    <t>13:46:13</t>
  </si>
  <si>
    <t>14:23:45</t>
  </si>
  <si>
    <t>Московская обл, г Истра, д Красный Посёлок, зд 3Б</t>
  </si>
  <si>
    <t>14:24:05</t>
  </si>
  <si>
    <t>14:43:47</t>
  </si>
  <si>
    <t>14:51:50</t>
  </si>
  <si>
    <t>15:19:15</t>
  </si>
  <si>
    <t>Аптечный пункт №77-377</t>
  </si>
  <si>
    <t>15:49:46</t>
  </si>
  <si>
    <t>Московская обл, г Истра, д Давыдовское, стр 50/1</t>
  </si>
  <si>
    <t>16:27:54</t>
  </si>
  <si>
    <t>16:36:49</t>
  </si>
  <si>
    <t>16:50:39</t>
  </si>
  <si>
    <t>Московская обл, г Истра, г Дедовск, ул Керамическая, д 12</t>
  </si>
  <si>
    <t>16:52:47</t>
  </si>
  <si>
    <t>Московская обл, г Жуковский, ул Чкалова, стр 8А</t>
  </si>
  <si>
    <t>16:54:06</t>
  </si>
  <si>
    <t>Московская обл, г Жуковский, ул Лацкова, д 12</t>
  </si>
  <si>
    <t>17:16:00</t>
  </si>
  <si>
    <t>17:17:04</t>
  </si>
  <si>
    <t>17:23:59</t>
  </si>
  <si>
    <t>Московская обл, г Жуковский, ул Гагарина, д 85Б</t>
  </si>
  <si>
    <t>18:19:09</t>
  </si>
  <si>
    <t>Московская обл, г Жуковский, ул Баженова, д 2А</t>
  </si>
  <si>
    <t>18:23:55</t>
  </si>
  <si>
    <t>Московская обл, г Жуковский, ул Амет-хан Султана, д 37, помещ 3</t>
  </si>
  <si>
    <t>18:55:42</t>
  </si>
  <si>
    <t>Московская обл, г Егорьевск, мкр 6-й, д 29, помещ 4</t>
  </si>
  <si>
    <t>20:02:32</t>
  </si>
  <si>
    <t>20:28:00</t>
  </si>
  <si>
    <t>Московская обл, г Егорьевск, мкр 5-й, д 8</t>
  </si>
  <si>
    <t>ИП Индивидуальный предприниматель Гранкина Юлия Сергеевна</t>
  </si>
  <si>
    <t>21:29:45</t>
  </si>
  <si>
    <t>03:04:38</t>
  </si>
  <si>
    <t>11:16:00</t>
  </si>
  <si>
    <t>03:04:50</t>
  </si>
  <si>
    <t>07:09:00</t>
  </si>
  <si>
    <t>03:14:37</t>
  </si>
  <si>
    <t>ООО  ОРХИДЕЯ</t>
  </si>
  <si>
    <t>08:02:00</t>
  </si>
  <si>
    <t>03:54:37</t>
  </si>
  <si>
    <t>Московская обл, г Егорьевск, мкр 3-й, д 3</t>
  </si>
  <si>
    <t>04:00:32</t>
  </si>
  <si>
    <t>Московская обл, г Дубна, ул Сахарова А.Д., д 4</t>
  </si>
  <si>
    <t>04:18:36</t>
  </si>
  <si>
    <t>Московская обл, г Дубна, ул 9 Мая, д 7В стр 2</t>
  </si>
  <si>
    <t>04:28:53</t>
  </si>
  <si>
    <t>Московская обл, г Дубна, пр-кт Боголюбова, д 15А</t>
  </si>
  <si>
    <t>04:45:19</t>
  </si>
  <si>
    <t>Московская обл, г Дубна, пер Хлебозаводской, д 22Б</t>
  </si>
  <si>
    <t>04:49:57</t>
  </si>
  <si>
    <t>Московская обл, г Домодедово, с Домодедово, ул Творчества, д 5, помещ 8</t>
  </si>
  <si>
    <t>05:07:22</t>
  </si>
  <si>
    <t>05:20:44</t>
  </si>
  <si>
    <t>Московская обл, г Домодедово, с Домодедово, б-р Строителей, д 7, помещ 329</t>
  </si>
  <si>
    <t>05:47:18</t>
  </si>
  <si>
    <t>05:55:11</t>
  </si>
  <si>
    <t>Московская обл, г Домодедово, мкр Южный, ул Курыжова, д 21</t>
  </si>
  <si>
    <t>05:58:55</t>
  </si>
  <si>
    <t>Московская обл, г Домодедово, мкр Северный, ул Советская, д 50, помещ 001</t>
  </si>
  <si>
    <t>ЦРА 3 АПТЕКА 77</t>
  </si>
  <si>
    <t>06:11:29</t>
  </si>
  <si>
    <t>06:33:01</t>
  </si>
  <si>
    <t>06:38:18</t>
  </si>
  <si>
    <t>06:45:15</t>
  </si>
  <si>
    <t>Аптечный пункт "Здравсити"</t>
  </si>
  <si>
    <t>06:47:24</t>
  </si>
  <si>
    <t>07:06:06</t>
  </si>
  <si>
    <t>Московская обл, г Домодедово, мкр Северный, ул Советская, д 50</t>
  </si>
  <si>
    <t>09:45:00</t>
  </si>
  <si>
    <t>07:11:37</t>
  </si>
  <si>
    <t>Московская обл, г Домодедово, мкр Северный, ул Ломоносова, д 10, помещ 018</t>
  </si>
  <si>
    <t>07:11:57</t>
  </si>
  <si>
    <t>Московская обл, г Домодедово, мкр Северный, ул Краснодарская, д 2</t>
  </si>
  <si>
    <t>07:23:16</t>
  </si>
  <si>
    <t>Московская обл, г Домодедово, мкр Северный, ул Гагарина, д 50</t>
  </si>
  <si>
    <t>Аптека "VITA"</t>
  </si>
  <si>
    <t>07:29:28</t>
  </si>
  <si>
    <t>23:56:00</t>
  </si>
  <si>
    <t>07:29:58</t>
  </si>
  <si>
    <t>07:36:23</t>
  </si>
  <si>
    <t>07:41:40</t>
  </si>
  <si>
    <t>07:54:24</t>
  </si>
  <si>
    <t>Московская обл, г Домодедово, мкр Западный, ул Талалихина, д 10</t>
  </si>
  <si>
    <t>08:02:15</t>
  </si>
  <si>
    <t>Московская обл, г Домодедово, мкр Западный, ул Рабочая, д 46, помещ 83</t>
  </si>
  <si>
    <t>07:57:00</t>
  </si>
  <si>
    <t>08:02:58</t>
  </si>
  <si>
    <t>Московская обл, г Домодедово, мкр Западный, ул Лунная, д 25 к 3, помещ 06</t>
  </si>
  <si>
    <t>08:06:56</t>
  </si>
  <si>
    <t>Московская обл, г Домодедово, мкр Барыбино, ул 1-я Вокзальная, стр 28Б</t>
  </si>
  <si>
    <t>150525, Ярославская область, Ярославский р-н, р.п. Красные Ткачи, ул. Б.Октябрьская, д.15</t>
  </si>
  <si>
    <t>08:18:00</t>
  </si>
  <si>
    <t>08:21:52</t>
  </si>
  <si>
    <t>Московская обл, г Долгопрудный, ш Старое Дмитровское, д 2</t>
  </si>
  <si>
    <t>08:32:39</t>
  </si>
  <si>
    <t>08:36:24</t>
  </si>
  <si>
    <t>08:08:00</t>
  </si>
  <si>
    <t>08:37:47</t>
  </si>
  <si>
    <t>Московская обл, г Долгопрудный, ш Лихачевское, д 11А, помещ 1</t>
  </si>
  <si>
    <t>08:43:53</t>
  </si>
  <si>
    <t>08:44:00</t>
  </si>
  <si>
    <t>08:45:45</t>
  </si>
  <si>
    <t>55 - Омская область, 644036, Омск г, Мельничная ул, 70</t>
  </si>
  <si>
    <t>08:47:22</t>
  </si>
  <si>
    <t>08:50:24</t>
  </si>
  <si>
    <t>08:51:04</t>
  </si>
  <si>
    <t>08:51:41</t>
  </si>
  <si>
    <t>08:52:16</t>
  </si>
  <si>
    <t>08:56:00</t>
  </si>
  <si>
    <t>08:56:46</t>
  </si>
  <si>
    <t>08:58:20</t>
  </si>
  <si>
    <t>Московская обл, г Долгопрудный, ул Спортивная, д 4</t>
  </si>
  <si>
    <t>08:59:32</t>
  </si>
  <si>
    <t>Московская обл, г Долгопрудный, ул Первомайская, д 13/3</t>
  </si>
  <si>
    <t>09:02:58</t>
  </si>
  <si>
    <t>08:30:00</t>
  </si>
  <si>
    <t>аптека "Здоровье"</t>
  </si>
  <si>
    <t>09:04:29</t>
  </si>
  <si>
    <t>09:05:11</t>
  </si>
  <si>
    <t>Московская обл, г Долгопрудный, ул Набережная, д 29 к 1</t>
  </si>
  <si>
    <t>08:40:00</t>
  </si>
  <si>
    <t>09:07:40</t>
  </si>
  <si>
    <t>09:08:00</t>
  </si>
  <si>
    <t>09:09:37</t>
  </si>
  <si>
    <t>Московская обл, г Долгопрудный, ул Дирижабельная, д 24</t>
  </si>
  <si>
    <t>09:10:13</t>
  </si>
  <si>
    <t>09:11:36</t>
  </si>
  <si>
    <t>аптека №313</t>
  </si>
  <si>
    <t>09:19:40</t>
  </si>
  <si>
    <t>09:21:14</t>
  </si>
  <si>
    <t>Московская обл, г Долгопрудный, пр-кт Пацаева, стр 12</t>
  </si>
  <si>
    <t>09:25:10</t>
  </si>
  <si>
    <t>09:25:44</t>
  </si>
  <si>
    <t>09:27:01</t>
  </si>
  <si>
    <t>Московская обл, г Долгопрудный, б-р Новый, д 4, помещ 1</t>
  </si>
  <si>
    <t>09:29:24</t>
  </si>
  <si>
    <t>09:29:26</t>
  </si>
  <si>
    <t>Московская обл, г Дмитров, ул Семенюка, д 9</t>
  </si>
  <si>
    <t>09:40:38</t>
  </si>
  <si>
    <t>09:42:32</t>
  </si>
  <si>
    <t>Московская обл, г Дмитров, ул Профессиональная, д 7</t>
  </si>
  <si>
    <t>09:43:33</t>
  </si>
  <si>
    <t>09:17:00</t>
  </si>
  <si>
    <t>09:44:22</t>
  </si>
  <si>
    <t>09:46:02</t>
  </si>
  <si>
    <t>09:53:23</t>
  </si>
  <si>
    <t>09:53:36</t>
  </si>
  <si>
    <t>г. Новосибирск, ул. Объединения, д. 29</t>
  </si>
  <si>
    <t>09:56:21</t>
  </si>
  <si>
    <t>Московская обл, г Дмитров, ул Профессиональная, д 5В</t>
  </si>
  <si>
    <t>10:02:57</t>
  </si>
  <si>
    <t>Московская обл, г Дмитров, ул Профессиональная, д 34</t>
  </si>
  <si>
    <t>10:03:07</t>
  </si>
  <si>
    <t>10:03:40</t>
  </si>
  <si>
    <t>Московская обл, г Дмитров, ул Профессиональная, д 22 к 1к</t>
  </si>
  <si>
    <t>10:08:02</t>
  </si>
  <si>
    <t>Московская обл, г Дмитров, ул Профессиональная, д 22 к 1</t>
  </si>
  <si>
    <t>10:09:35</t>
  </si>
  <si>
    <t>10:10:05</t>
  </si>
  <si>
    <t>Московская обл, г Дмитров, ул Московская, д 7, помещ 2</t>
  </si>
  <si>
    <t>09:36:00</t>
  </si>
  <si>
    <t>06:40:58</t>
  </si>
  <si>
    <t>Московская обл, г Дмитров, ул Космонавтов, д 52</t>
  </si>
  <si>
    <t>10:23:55</t>
  </si>
  <si>
    <t>Московская обл, г Дмитров, ул Комсомольская, д 23</t>
  </si>
  <si>
    <t>10:27:46</t>
  </si>
  <si>
    <t>Московская обл, г Дмитров, ул Загорская, д 40</t>
  </si>
  <si>
    <t>10:29:24</t>
  </si>
  <si>
    <t>Московская обл, г Дмитров, ул Загорская, д 24</t>
  </si>
  <si>
    <t>Аптека №132</t>
  </si>
  <si>
    <t>10:33:15</t>
  </si>
  <si>
    <t>Московская обл, г Дмитров, ул 2-я Комсомольская, д 16 к 6, помещ 164</t>
  </si>
  <si>
    <t>10:35:25</t>
  </si>
  <si>
    <t>Московская обл, г Дмитров, рп Икша, ул Школьная, д 4</t>
  </si>
  <si>
    <t>10:35:42</t>
  </si>
  <si>
    <t>10:36:53</t>
  </si>
  <si>
    <t>10:39:28</t>
  </si>
  <si>
    <t>10:41:41</t>
  </si>
  <si>
    <t>10:42:52</t>
  </si>
  <si>
    <t>10:43:14</t>
  </si>
  <si>
    <t>10:44:29</t>
  </si>
  <si>
    <t>10:46:40</t>
  </si>
  <si>
    <t>10:50:35</t>
  </si>
  <si>
    <t>10:51:05</t>
  </si>
  <si>
    <t>10:54:48</t>
  </si>
  <si>
    <t>Семейная Аптека</t>
  </si>
  <si>
    <t>11:05:07</t>
  </si>
  <si>
    <t>Московская обл, г Дмитров, п Подосинки, д 4/1</t>
  </si>
  <si>
    <t>11:19:47</t>
  </si>
  <si>
    <t>11:22:54</t>
  </si>
  <si>
    <t>11:23:49</t>
  </si>
  <si>
    <t>11:25:47</t>
  </si>
  <si>
    <t>11:30:24</t>
  </si>
  <si>
    <t>11:30:36</t>
  </si>
  <si>
    <t>11:39:48</t>
  </si>
  <si>
    <t>11:40:43</t>
  </si>
  <si>
    <t>Московская обл, г Дмитров, мкр им Константина Аверьянова, д 3</t>
  </si>
  <si>
    <t>11:45:50</t>
  </si>
  <si>
    <t>Московская обл, г Дмитров, мкр им Константина Аверьянова, д 17, помещ 34/35</t>
  </si>
  <si>
    <t>11:56:23</t>
  </si>
  <si>
    <t>Московская обл, г Дмитров, г Яхрома, пл Генерала Кузнецова, д 1</t>
  </si>
  <si>
    <t>11:57:18</t>
  </si>
  <si>
    <t>11:57:42</t>
  </si>
  <si>
    <t>12:00:28</t>
  </si>
  <si>
    <t>12:00:56</t>
  </si>
  <si>
    <t>Аптека №12</t>
  </si>
  <si>
    <t>12:02:06</t>
  </si>
  <si>
    <t>12:04:16</t>
  </si>
  <si>
    <t>Московская обл, г Дзержинский, пл Дмитрия Донского, д 2А</t>
  </si>
  <si>
    <t>12:07:09</t>
  </si>
  <si>
    <t>12:12:46</t>
  </si>
  <si>
    <t>12:13:29</t>
  </si>
  <si>
    <t>12:14:27</t>
  </si>
  <si>
    <t>Московская обл, г Воскресенск, ул Спартака, д 22А, помещ 1А</t>
  </si>
  <si>
    <t>12:30:23</t>
  </si>
  <si>
    <t>Московская обл, г Воскресенск, ул Советская, д 9А</t>
  </si>
  <si>
    <t>12:33:47</t>
  </si>
  <si>
    <t>Московская обл, г Воскресенск, ул Победы, д 18</t>
  </si>
  <si>
    <t>12:37:35</t>
  </si>
  <si>
    <t>12:39:24</t>
  </si>
  <si>
    <t>Московская обл, г Воскресенск, ул Менделеева, д 8, помещ 41</t>
  </si>
  <si>
    <t>12:43:03</t>
  </si>
  <si>
    <t>Московская обл, г Воскресенск, ул Карла Маркса, д 14</t>
  </si>
  <si>
    <t>12:45:18</t>
  </si>
  <si>
    <t>Московская обл, г Воскресенск, ул Калинина, зд 58</t>
  </si>
  <si>
    <t>12:46:11</t>
  </si>
  <si>
    <t>Московская обл, г Воскресенск, ул Зелинского, зд 5Г</t>
  </si>
  <si>
    <t>12:57:00</t>
  </si>
  <si>
    <t>12:58:56</t>
  </si>
  <si>
    <t>13:00:05</t>
  </si>
  <si>
    <t>13:02:43</t>
  </si>
  <si>
    <t>Московская обл, г Воскресенск, ул Горького, зд 33 стр 1</t>
  </si>
  <si>
    <t>Аптечный пункт; сайт www.planetazdorovo.ru</t>
  </si>
  <si>
    <t>13:10:51</t>
  </si>
  <si>
    <t>13:11:02</t>
  </si>
  <si>
    <t>Московская обл, г Воскресенск, с Федино, ул Фединская, зд 1</t>
  </si>
  <si>
    <t>13:17:54</t>
  </si>
  <si>
    <t>Московская обл, г Воскресенск, с Федино, ул Фединская, д 1</t>
  </si>
  <si>
    <t>13:18:06</t>
  </si>
  <si>
    <t>13:18:14</t>
  </si>
  <si>
    <t>13:21:46</t>
  </si>
  <si>
    <t>13:22:52</t>
  </si>
  <si>
    <t>13:27:52</t>
  </si>
  <si>
    <t>13:28:18</t>
  </si>
  <si>
    <t>13:28:20</t>
  </si>
  <si>
    <t>Московская обл, г Воскресенск, пер Спартака, д 22А</t>
  </si>
  <si>
    <t>13:34:01</t>
  </si>
  <si>
    <t>Московская обл, г Видное, ул Радужная, д 4 стр 1</t>
  </si>
  <si>
    <t>13:42:44</t>
  </si>
  <si>
    <t>13:42:51</t>
  </si>
  <si>
    <t>Московская обл, г Видное, ул Олимпийская, д 1 к 2к</t>
  </si>
  <si>
    <t>13:44:35</t>
  </si>
  <si>
    <t>50 - Московская область, 140501, Луховицы г, Гагарина ул, 16</t>
  </si>
  <si>
    <t>22:26:00</t>
  </si>
  <si>
    <t>13:50:53</t>
  </si>
  <si>
    <t>Московская обл, г Видное, ул Кооперативная, зд 1/1</t>
  </si>
  <si>
    <t>13:52:00</t>
  </si>
  <si>
    <t>13:52:19</t>
  </si>
  <si>
    <t>Московская обл, г Видное, ул Завидная, д 9</t>
  </si>
  <si>
    <t>Аптечный пункт №77-237</t>
  </si>
  <si>
    <t>13:54:44</t>
  </si>
  <si>
    <t>13:56:46</t>
  </si>
  <si>
    <t>13:58:55</t>
  </si>
  <si>
    <t>198320, Санкт-Петербург, г. Красное село, Ленина проспект, д.85, лит. А</t>
  </si>
  <si>
    <t>14:00:19</t>
  </si>
  <si>
    <t>15:32:00</t>
  </si>
  <si>
    <t>14:05:23</t>
  </si>
  <si>
    <t>ННВ Аптека 82 603138, Нижегородская обл, Нижний Новгород г, Политбойцов ул, дом № 12</t>
  </si>
  <si>
    <t>14:12:15</t>
  </si>
  <si>
    <t>Московская обл, г Видное, ул Березовая, д 10, помещ 1</t>
  </si>
  <si>
    <t>14:13:18</t>
  </si>
  <si>
    <t>14:14:35</t>
  </si>
  <si>
    <t>Московская обл, г Видное, тер ТЛПХ Дроздово-2 (д Дроздово), ул Яблоневая, д 1</t>
  </si>
  <si>
    <t>12:59:19</t>
  </si>
  <si>
    <t>Московская обл, г Видное, тер Каширское шоссе, ул 25-й километр</t>
  </si>
  <si>
    <t>14:23:32</t>
  </si>
  <si>
    <t>14:28:16</t>
  </si>
  <si>
    <t>Московская обл, г Видное, тер ЖК Суханово Парк (д Суханово), ул Парковая, д 1</t>
  </si>
  <si>
    <t>14:34:51</t>
  </si>
  <si>
    <t>Московская обл, г Видное, рп Горки Ленинские, ш Зеленое, влд 1 стр 1</t>
  </si>
  <si>
    <t>14:41:38</t>
  </si>
  <si>
    <t>Московская обл, г Видное, проезд 2-й Футбольный, д 4А</t>
  </si>
  <si>
    <t>14:46:45</t>
  </si>
  <si>
    <t>Московская обл, г Видное, пр-кт Ленинского Комсомола, д 48</t>
  </si>
  <si>
    <t>14:50:35</t>
  </si>
  <si>
    <t>Аптечный пункт-АФ-(Мск)-Чеховская-1</t>
  </si>
  <si>
    <t>13:57:43</t>
  </si>
  <si>
    <t>Московская обл, г Видное, пгт Лопатино, ул Сухановская, д 3</t>
  </si>
  <si>
    <t>Московская обл, г Видное, пгт Лопатино, б-р Солнечный, д 13</t>
  </si>
  <si>
    <t>460060, г. Оренбург, ул. Салмышская, д. 61, помещение 5</t>
  </si>
  <si>
    <t>14:55:12</t>
  </si>
  <si>
    <t>Аптека №38</t>
  </si>
  <si>
    <t>14:55:25</t>
  </si>
  <si>
    <t>Московская обл, г Видное, пгт Боброво, ул Крымская, д 19 к 1к</t>
  </si>
  <si>
    <t>15:14:05</t>
  </si>
  <si>
    <t>Московская обл, г Видное, п совхоза им. Ленина, км МКАД 24, влд 1</t>
  </si>
  <si>
    <t>ТЦ МОСКВА 2у/1086</t>
  </si>
  <si>
    <t>15:22:57</t>
  </si>
  <si>
    <t>15:27:32</t>
  </si>
  <si>
    <t>Московская обл, г Видное, п совхоза им. Ленина, д 4</t>
  </si>
  <si>
    <t>15:28:54</t>
  </si>
  <si>
    <t>Московская обл, г Видное, п Мещерино, ул Центральная, зд 1Б</t>
  </si>
  <si>
    <t>15:37:47</t>
  </si>
  <si>
    <t>15:38:29</t>
  </si>
  <si>
    <t>АПТЕКА №56 "ЗДРАВСИТИ"</t>
  </si>
  <si>
    <t>15:49:53</t>
  </si>
  <si>
    <t>Московская обл, г Видное, мкр Южная Битца (п Битца), б-р Южный, д 6, помещ 11</t>
  </si>
  <si>
    <t>15:58:33</t>
  </si>
  <si>
    <t>16:00:09</t>
  </si>
  <si>
    <t>16:00:43</t>
  </si>
  <si>
    <t>16:01:46</t>
  </si>
  <si>
    <t>Московская обл, г Видное, мкр Южная Битца (п Битца), б-р Южный, д 5</t>
  </si>
  <si>
    <t>16:03:57</t>
  </si>
  <si>
    <t>Московская обл, г Видное, мкр Пригород Лесное (пгт Мисайлово), ул имени Л.И. Гоман, д 4, помещ 177</t>
  </si>
  <si>
    <t>16:09:15</t>
  </si>
  <si>
    <t>Московская обл, г Видное, мкр Пригород Лесное (пгт Мисайлово), б-р Литературный, д 4, помещ 619</t>
  </si>
  <si>
    <t>16:10:51</t>
  </si>
  <si>
    <t>Московская обл, г Видное, мкр Купелинка (д Сапроново), кв-л Северный, д 4</t>
  </si>
  <si>
    <t>16:11:58</t>
  </si>
  <si>
    <t>Московская обл, г Видное, д Сапроново, ул Калиновая, д 3, помещ 2</t>
  </si>
  <si>
    <t>16:16:04</t>
  </si>
  <si>
    <t>Московская обл, г Видное, б-р Зеленые аллеи, д 17, помещ 845</t>
  </si>
  <si>
    <t>16:17:26</t>
  </si>
  <si>
    <t>Московская обл, г Бронницы, ул Соловьиная роща, д 5, помещ VII</t>
  </si>
  <si>
    <t>16:17:39</t>
  </si>
  <si>
    <t>16:18:23</t>
  </si>
  <si>
    <t>Московская обл, г Бронницы, ул Советская, д 63</t>
  </si>
  <si>
    <t>192029, Санкт-Петербург, Елизарова проспект, д.12, лит. А</t>
  </si>
  <si>
    <t>16:24:07</t>
  </si>
  <si>
    <t>Московская обл, г Бронницы, ул Советская, д 155, помещ 2</t>
  </si>
  <si>
    <t>Московская обл, г Бронницы, ул Советская, д 108</t>
  </si>
  <si>
    <t>16:28:17</t>
  </si>
  <si>
    <t>15:29:00</t>
  </si>
  <si>
    <t>16:29:16</t>
  </si>
  <si>
    <t>16:30:04</t>
  </si>
  <si>
    <t>АПТЕКА №1 Нижний Новгород</t>
  </si>
  <si>
    <t>16:31:54</t>
  </si>
  <si>
    <t>16:36:24</t>
  </si>
  <si>
    <t>16:37:33</t>
  </si>
  <si>
    <t>Аптечный пункт-АФ-(Мск)-Новокосино-1</t>
  </si>
  <si>
    <t>16:38:16</t>
  </si>
  <si>
    <t>Московская обл, г Бронницы, пер Каширский, д 66</t>
  </si>
  <si>
    <t>16:46:57</t>
  </si>
  <si>
    <t>16:47:13</t>
  </si>
  <si>
    <t>Московская обл, г Балашиха, ш Энтузиастов, д 803, кв 7/1</t>
  </si>
  <si>
    <t>16:52:57</t>
  </si>
  <si>
    <t>09:08:04</t>
  </si>
  <si>
    <t>17:02:50</t>
  </si>
  <si>
    <t>17:08:22</t>
  </si>
  <si>
    <t>17:08:36</t>
  </si>
  <si>
    <t>17:08:55</t>
  </si>
  <si>
    <t>17:09:23</t>
  </si>
  <si>
    <t>17:13:33</t>
  </si>
  <si>
    <t>17:13:50</t>
  </si>
  <si>
    <t>17:17:06</t>
  </si>
  <si>
    <t>Московская обл, г Балашиха, ш Энтузиастов, д 48</t>
  </si>
  <si>
    <t>17:18:48</t>
  </si>
  <si>
    <t>Московская обл, г Балашиха, ш Косинское, д 2, помещ 13</t>
  </si>
  <si>
    <t>17:18:53</t>
  </si>
  <si>
    <t>Московская обл, г Балашиха, ул Твардовского, д 23, помещ II ком 1-7</t>
  </si>
  <si>
    <t>17:24:33</t>
  </si>
  <si>
    <t>17:33:46</t>
  </si>
  <si>
    <t>Московская обл, г Балашиха, ул Свердлова, д 37, помещ 434</t>
  </si>
  <si>
    <t>17:35:31</t>
  </si>
  <si>
    <t>17:39:00</t>
  </si>
  <si>
    <t>17:43:19</t>
  </si>
  <si>
    <t>17:44:08</t>
  </si>
  <si>
    <t>17:47:37</t>
  </si>
  <si>
    <t>Московская обл, г Балашиха, ул Первомайская, д 14, помещ 160</t>
  </si>
  <si>
    <t>17:53:23</t>
  </si>
  <si>
    <t>Московская обл, г Балашиха, пр-кт Ленина, д 72, помещ 646</t>
  </si>
  <si>
    <t>17:57:15</t>
  </si>
  <si>
    <t>18:02:46</t>
  </si>
  <si>
    <t>18:05:09</t>
  </si>
  <si>
    <t>Московская обл, г Балашиха, пр-кт Ленина, д 32Д, помещ 390</t>
  </si>
  <si>
    <t>18:13:33</t>
  </si>
  <si>
    <t>Московская обл, г Балашиха, мкр Салтыковка, ш Носовихинское, д 232А</t>
  </si>
  <si>
    <t>Аптечный пункт №50-708</t>
  </si>
  <si>
    <t>18:17:25</t>
  </si>
  <si>
    <t>18:23:34</t>
  </si>
  <si>
    <t>18:27:35</t>
  </si>
  <si>
    <t>18:28:34</t>
  </si>
  <si>
    <t>Аптечный пункт №77-923</t>
  </si>
  <si>
    <t>18:32:32</t>
  </si>
  <si>
    <t>Московская обл, г Балашиха, мкр Саввино, ул Калинина, д 18</t>
  </si>
  <si>
    <t>18:36:58</t>
  </si>
  <si>
    <t>Московская обл, г Балашиха, мкр Саввино, б-р Спасский, д 1</t>
  </si>
  <si>
    <t>18:38:40</t>
  </si>
  <si>
    <t>Московская обл, г Балашиха, мкр Ольгино, ул Граничная, д 34, помещ 4/13</t>
  </si>
  <si>
    <t>18:41:18</t>
  </si>
  <si>
    <t>18:41:55</t>
  </si>
  <si>
    <t>Московская обл, г Балашиха, мкр Ольгино, ул Граничная, д 32</t>
  </si>
  <si>
    <t>18:43:53</t>
  </si>
  <si>
    <t>18:44:26</t>
  </si>
  <si>
    <t>АПТЕКА № 4</t>
  </si>
  <si>
    <t>18:48:14</t>
  </si>
  <si>
    <t>Московская обл, г Балашиха, мкр Ольгино, ул Граничная, влд 18</t>
  </si>
  <si>
    <t>18:50:38</t>
  </si>
  <si>
    <t>Московская обл, г Балашиха, мкр Новое Павлино, ш Косинское, д 6, помещ 4</t>
  </si>
  <si>
    <t>18:56:03</t>
  </si>
  <si>
    <t>18:56:06</t>
  </si>
  <si>
    <t>72 - Тюменская область, г.о. город Тюмень,625031,, г Тюмень,, ул Пожарных и спасателей, д. 3, к. 1,,,</t>
  </si>
  <si>
    <t>18:56:59</t>
  </si>
  <si>
    <t>18:57:56</t>
  </si>
  <si>
    <t>Московская обл, г Балашиха, мкр Заря, ул Молодежная, д 15А</t>
  </si>
  <si>
    <t>19:17:44</t>
  </si>
  <si>
    <t>Московская обл, г Балашиха, мкр Железнодорожный, ул Юбилейная, д 1А</t>
  </si>
  <si>
    <t>19:18:35</t>
  </si>
  <si>
    <t>Московская обл, г Балашиха, мкр Железнодорожный, ул Советская, д 803, кв 9</t>
  </si>
  <si>
    <t>19:23:32</t>
  </si>
  <si>
    <t>19:27:31</t>
  </si>
  <si>
    <t>Московская обл, г Балашиха, мкр Железнодорожный, ул Советская, д 1Е</t>
  </si>
  <si>
    <t>19:27:37</t>
  </si>
  <si>
    <t>19:28:16</t>
  </si>
  <si>
    <t>Московская обл, г Балашиха, мкр Железнодорожный, ул Пролетарская, д 2А, помещ 1</t>
  </si>
  <si>
    <t>19:28:54</t>
  </si>
  <si>
    <t>Московская обл, г Балашиха, мкр Железнодорожный, ул Маяковского, д 14А</t>
  </si>
  <si>
    <t>19:31:36</t>
  </si>
  <si>
    <t>Московская обл, г Балашиха, мкр Дзержинского, д 39</t>
  </si>
  <si>
    <t>19:41:57</t>
  </si>
  <si>
    <t>19:42:12</t>
  </si>
  <si>
    <t>Московская обл, г Балашиха, мкр Дзержинского, д 31</t>
  </si>
  <si>
    <t>Городская Аптека</t>
  </si>
  <si>
    <t>19:44:41</t>
  </si>
  <si>
    <t>Московская обл, г Балашиха, мкр Дзержинского, д 20, помещ 2Н</t>
  </si>
  <si>
    <t>19:46:58</t>
  </si>
  <si>
    <t>Московская обл, г Балашиха, мкр Авиаторов, ул Летная, д 5/5</t>
  </si>
  <si>
    <t>19:47:08</t>
  </si>
  <si>
    <t>Московская обл, г Балашиха, д Черное, ул Агрогородок, д 7</t>
  </si>
  <si>
    <t>19:49:59</t>
  </si>
  <si>
    <t>Московская обл, г Балашиха, б-р Горенский, д 5, помещ 1</t>
  </si>
  <si>
    <t>19:50:39</t>
  </si>
  <si>
    <t>Московская обл, г Балашиха, б-р Горенский, д 5</t>
  </si>
  <si>
    <t>19:54:32</t>
  </si>
  <si>
    <t>19:57:26</t>
  </si>
  <si>
    <t>Аптека на Красносельской (Мирфарм)</t>
  </si>
  <si>
    <t>20:08:33</t>
  </si>
  <si>
    <t>20:08:40</t>
  </si>
  <si>
    <t>20:11:28</t>
  </si>
  <si>
    <t>аптека №307</t>
  </si>
  <si>
    <t>20:12:05</t>
  </si>
  <si>
    <t>Магаданская обл, Тенькинский р-н, п Омчак, ул Новая, зд 35 к 7</t>
  </si>
  <si>
    <t>20:18:44</t>
  </si>
  <si>
    <t>20:19:09</t>
  </si>
  <si>
    <t>20:34:09</t>
  </si>
  <si>
    <t>Липецкая обл, Усманский р-н, с Октябрьское, пр-кт Революции, д 83/1</t>
  </si>
  <si>
    <t>20:45:57</t>
  </si>
  <si>
    <t>Липецкая обл, Липецкий р-н, с Боринское, ул Луначарского, д 14</t>
  </si>
  <si>
    <t>21:10:00</t>
  </si>
  <si>
    <t>21:11:04</t>
  </si>
  <si>
    <t>Липецкая обл, Елецкий р-н, п Газопровод, ул Зеленая, зд 23</t>
  </si>
  <si>
    <t>21:23:05</t>
  </si>
  <si>
    <t>21:29:39</t>
  </si>
  <si>
    <t>21:34:05</t>
  </si>
  <si>
    <t>Липецкая обл, г Усмань, ул Комсомольская, д 27</t>
  </si>
  <si>
    <t>21:37:34</t>
  </si>
  <si>
    <t>Липецкая обл, г Елец, ул Черокманова</t>
  </si>
  <si>
    <t>21:53:34</t>
  </si>
  <si>
    <t>Липецкая обл, г Елец, ул Орджоникидзе, д 11</t>
  </si>
  <si>
    <t>22:59:00</t>
  </si>
  <si>
    <t>23:24:07</t>
  </si>
  <si>
    <t>23:28:45</t>
  </si>
  <si>
    <t>Липецкая обл, г Елец, ул Коммунаров, д 66</t>
  </si>
  <si>
    <t>12:50:53</t>
  </si>
  <si>
    <t>Липецкая обл, г Елец, ул Коммунаров, д 115</t>
  </si>
  <si>
    <t>Аптечный пункт №77-053</t>
  </si>
  <si>
    <t>14:31:43</t>
  </si>
  <si>
    <t>Липецкая обл, г Елец, пл Вермишева, д 21</t>
  </si>
  <si>
    <t>07:39:52</t>
  </si>
  <si>
    <t>Липецкая обл, г Грязи, ул 30 лет Победы, д 61А</t>
  </si>
  <si>
    <t>02:53:37</t>
  </si>
  <si>
    <t>Ленинградская обл, Тосненский р-н, гп Ульяновка, пр-кт Советский, зд 8А</t>
  </si>
  <si>
    <t>11:23:47</t>
  </si>
  <si>
    <t>Ленинградская обл, Тосненский р-н, г Тельмана, б-р Ладожский, д 1</t>
  </si>
  <si>
    <t>ул. Юмашева 19, Касса №1</t>
  </si>
  <si>
    <t>Ленинградская обл, Тосненский р-н, г Никольское, ул Школьная, д 2</t>
  </si>
  <si>
    <t>аптечный пункт №77-085</t>
  </si>
  <si>
    <t>12:41:01</t>
  </si>
  <si>
    <t>15:26:23</t>
  </si>
  <si>
    <t>Ленинградская обл, Тосненский р-н, г Любань, ул Ленина, д 1</t>
  </si>
  <si>
    <t>Аптека "Юнирон"</t>
  </si>
  <si>
    <t>15:43:42</t>
  </si>
  <si>
    <t>Ленинградская обл, Приозерский р-н, п Сосново, пл Вокзальная, д 6</t>
  </si>
  <si>
    <t>17:56:56</t>
  </si>
  <si>
    <t>Ленинградская обл, Ломоносовский р-н, ш Красносельское, д 56 к 2к</t>
  </si>
  <si>
    <t>19:12:44</t>
  </si>
  <si>
    <t>21:51:10</t>
  </si>
  <si>
    <t>03:18:49</t>
  </si>
  <si>
    <t>09:35:00</t>
  </si>
  <si>
    <t>04:42:23</t>
  </si>
  <si>
    <t>04:52:31</t>
  </si>
  <si>
    <t>07:33:00</t>
  </si>
  <si>
    <t>05:33:40</t>
  </si>
  <si>
    <t>г. Новоалтайск, ул Гагарина, д. 7</t>
  </si>
  <si>
    <t>06:51:13</t>
  </si>
  <si>
    <t>07:53:40</t>
  </si>
  <si>
    <t>Ленинградская обл, Ломоносовский р-н, ш Красносельское, д 54 литера а</t>
  </si>
  <si>
    <t>09:04:25</t>
  </si>
  <si>
    <t>09:51:37</t>
  </si>
  <si>
    <t>09:52:24</t>
  </si>
  <si>
    <t>14:06:00</t>
  </si>
  <si>
    <t>10:10:35</t>
  </si>
  <si>
    <t>10:17:10</t>
  </si>
  <si>
    <t>Аптека Фарммаркет 362047, Северная Осетия Алания - Республика, Владикавказ г, Весеняя, дом № 13, корпус А</t>
  </si>
  <si>
    <t>10:43:52</t>
  </si>
  <si>
    <t>14:46:00</t>
  </si>
  <si>
    <t>10:47:42</t>
  </si>
  <si>
    <t>Аптека "Аргысмедстрах"</t>
  </si>
  <si>
    <t>10:49:25</t>
  </si>
  <si>
    <t>10:51:32</t>
  </si>
  <si>
    <t>11:03:22</t>
  </si>
  <si>
    <t>Аптека 9/54</t>
  </si>
  <si>
    <t>11:38:15</t>
  </si>
  <si>
    <t>11:51:36</t>
  </si>
  <si>
    <t>Аптека № 303</t>
  </si>
  <si>
    <t>12:09:38</t>
  </si>
  <si>
    <t>Докторская аптека</t>
  </si>
  <si>
    <t>12:12:08</t>
  </si>
  <si>
    <t>аптечный пункт №77-399</t>
  </si>
  <si>
    <t>12:31:06</t>
  </si>
  <si>
    <t>Ленинградская обл, Ломоносовский р-н, п Новогорелово, ул Современников, д 17/2, помещ 38Н</t>
  </si>
  <si>
    <t>13:03:58</t>
  </si>
  <si>
    <t>13:10:36</t>
  </si>
  <si>
    <t>13:29:34</t>
  </si>
  <si>
    <t>13:44:21</t>
  </si>
  <si>
    <t>13:54:15</t>
  </si>
  <si>
    <t>Ленинградская обл, Ломоносовский р-н, п Новогорелово, ул Современников, д 11/6</t>
  </si>
  <si>
    <t>Аптека " Живика"</t>
  </si>
  <si>
    <t>14:46:44</t>
  </si>
  <si>
    <t>15:05:14</t>
  </si>
  <si>
    <t>Ленинградская обл, Ломоносовский р-н, п Новогорелово, б-р Десантника Вадима Чугунова, д 1 к 2, помещ 11Н</t>
  </si>
  <si>
    <t>15:21:33</t>
  </si>
  <si>
    <t>Ленинградская обл, Ломоносовский р-н, д Иннолово, пер Богатырский, д 54/32 стр 2</t>
  </si>
  <si>
    <t>16:26:21</t>
  </si>
  <si>
    <t>16:27:13</t>
  </si>
  <si>
    <t>16:55:04</t>
  </si>
  <si>
    <t>21:03:00</t>
  </si>
  <si>
    <t>17:04:12</t>
  </si>
  <si>
    <t>Ленинградская обл, Ломоносовский р-н, д Иннолово, пер Богатырский, д 35 к 1 литера а</t>
  </si>
  <si>
    <t>17:31:39</t>
  </si>
  <si>
    <t>Ленинградская обл, Ломоносовский р-н, гп Новоселье, ш Красносельское, зд 28В</t>
  </si>
  <si>
    <t>Аптека №66</t>
  </si>
  <si>
    <t>17:39:12</t>
  </si>
  <si>
    <t>Ленинградская обл, Ломоносовский р-н, гп Лебяжье, ул Приморская, д 37, помещ 2</t>
  </si>
  <si>
    <t>18:31:52</t>
  </si>
  <si>
    <t>Ленинградская обл, Кировский р-н, гп Назия, пр-кт Комсомольский, д 10</t>
  </si>
  <si>
    <t>18:40:49</t>
  </si>
  <si>
    <t>Ленинградская обл, Кировский р-н, г Шлиссельбург, ул Кирова, д 2</t>
  </si>
  <si>
    <t>19:00:29</t>
  </si>
  <si>
    <t>19:06:45</t>
  </si>
  <si>
    <t>19:08:40</t>
  </si>
  <si>
    <t>19:09:24</t>
  </si>
  <si>
    <t>19:10:23</t>
  </si>
  <si>
    <t>19:10:31</t>
  </si>
  <si>
    <t>19:27:54</t>
  </si>
  <si>
    <t>Аптечный пункт №77-324</t>
  </si>
  <si>
    <t>19:49:12</t>
  </si>
  <si>
    <t>20:29:38</t>
  </si>
  <si>
    <t>Ленинградская обл, Кировский р-н, г Отрадное, ул Щурова, д 3/1</t>
  </si>
  <si>
    <t>Аптека "АЛАРИС"</t>
  </si>
  <si>
    <t>02:33:23</t>
  </si>
  <si>
    <t>Ленинградская обл, Кировский р-н, г Отрадное, ул Вокзальная, д 1</t>
  </si>
  <si>
    <t>08:58:00</t>
  </si>
  <si>
    <t>03:10:09</t>
  </si>
  <si>
    <t>Ленинградская обл, Киришский р-н, п Глажево, д 6</t>
  </si>
  <si>
    <t>03:26:31</t>
  </si>
  <si>
    <t>Ленинградская обл, Гатчинский р-н, тер. СНТ Звездное, д 14 литера а</t>
  </si>
  <si>
    <t>ЦРА 3 ЦРА 123</t>
  </si>
  <si>
    <t>03:38:03</t>
  </si>
  <si>
    <t>Ленинградская обл, Гатчинский р-н, д Войсковицы, ул З.Г.Колобанова, д 2</t>
  </si>
  <si>
    <t>03:45:03</t>
  </si>
  <si>
    <t>Ленинградская обл, Гатчинский р-н, гп Тайцы, ул Юного Ленинца, д 50</t>
  </si>
  <si>
    <t>03:59:44</t>
  </si>
  <si>
    <t>04:13:09</t>
  </si>
  <si>
    <t>04:24:46</t>
  </si>
  <si>
    <t>Ленинградская обл, Гатчинский р-н, г Коммунар, ул Ленинградское шоссе, д 25А</t>
  </si>
  <si>
    <t>04:58:11</t>
  </si>
  <si>
    <t>Ленинградская обл, г Тосно, ш Барыбина, д 11</t>
  </si>
  <si>
    <t>Аптечный пункк</t>
  </si>
  <si>
    <t>05:05:56</t>
  </si>
  <si>
    <t>05:29:59</t>
  </si>
  <si>
    <t>Аптека ФГ-115 кпп 381245030</t>
  </si>
  <si>
    <t>05:53:47</t>
  </si>
  <si>
    <t>Ленинградская обл, г Тосно, пр-кт Ленина, д 43</t>
  </si>
  <si>
    <t>06:06:01</t>
  </si>
  <si>
    <t>14:12:00</t>
  </si>
  <si>
    <t>06:15:19</t>
  </si>
  <si>
    <t>Аптека "Таблетки оптом"</t>
  </si>
  <si>
    <t>08:17:00</t>
  </si>
  <si>
    <t>06:23:17</t>
  </si>
  <si>
    <t>Ленинградская обл, г Тихвин, мкр 6, д 17А</t>
  </si>
  <si>
    <t>06:34:53</t>
  </si>
  <si>
    <t>Ленинградская обл, г Тихвин, мкр 1, д 9</t>
  </si>
  <si>
    <t>06:41:44</t>
  </si>
  <si>
    <t>06:50:22</t>
  </si>
  <si>
    <t>Ленинградская обл, г Тихвин, мкр 1, д 1А</t>
  </si>
  <si>
    <t>06:51:42</t>
  </si>
  <si>
    <t>Ленинградская обл, г Сосновый Бор, ул Парковая, д 6</t>
  </si>
  <si>
    <t>07:01:18</t>
  </si>
  <si>
    <t>06:19:00</t>
  </si>
  <si>
    <t>07:12:51</t>
  </si>
  <si>
    <t>07:16:32</t>
  </si>
  <si>
    <t>Ленинградская обл, г Сосновый Бор, ул Молодежная, д 6</t>
  </si>
  <si>
    <t>07:24:11</t>
  </si>
  <si>
    <t>Ленинградская обл, г Сосновый Бор, ул Молодежная, д 22Б, помещ 4-6</t>
  </si>
  <si>
    <t>07:26:38</t>
  </si>
  <si>
    <t>06:52:00</t>
  </si>
  <si>
    <t>07:29:43</t>
  </si>
  <si>
    <t>Ленинградская обл, г Сосновый Бор, ул Красных Фортов, д 26А</t>
  </si>
  <si>
    <t>07:41:28</t>
  </si>
  <si>
    <t>07:18:00</t>
  </si>
  <si>
    <t>07:44:13</t>
  </si>
  <si>
    <t>07:44:44</t>
  </si>
  <si>
    <t>чебапт2709</t>
  </si>
  <si>
    <t>07:50:00</t>
  </si>
  <si>
    <t>07:51:04</t>
  </si>
  <si>
    <t>08:01:03</t>
  </si>
  <si>
    <t>08:09:30</t>
  </si>
  <si>
    <t>08:12:04</t>
  </si>
  <si>
    <t>08:12:53</t>
  </si>
  <si>
    <t>08:14:38</t>
  </si>
  <si>
    <t>08:15:19</t>
  </si>
  <si>
    <t>08:22:38</t>
  </si>
  <si>
    <t>08:25:44</t>
  </si>
  <si>
    <t>08:26:08</t>
  </si>
  <si>
    <t>08:34:46</t>
  </si>
  <si>
    <t>Ленинградская обл, г Сосновый Бор, пр-кт Героев, д 76А</t>
  </si>
  <si>
    <t>08:38:02</t>
  </si>
  <si>
    <t>08:40:17</t>
  </si>
  <si>
    <t>08:45:47</t>
  </si>
  <si>
    <t>Ленинградская обл, г Сосновый Бор, пр-кт Героев, д 74</t>
  </si>
  <si>
    <t>22:37:00</t>
  </si>
  <si>
    <t>08:48:34</t>
  </si>
  <si>
    <t>08:55:46</t>
  </si>
  <si>
    <t>09:04:55</t>
  </si>
  <si>
    <t>Ленинградская обл, г Сосновый Бор, пр-кт Героев, д 49А к 6 литера ж</t>
  </si>
  <si>
    <t>Ленинградская обл, г Сосновый Бор, пр-кт Героев, д 49</t>
  </si>
  <si>
    <t>09:12:48</t>
  </si>
  <si>
    <t>Ленинградская обл, г Сосновый Бор, пр-кт Героев, д 28А</t>
  </si>
  <si>
    <t>08:42:00</t>
  </si>
  <si>
    <t>09:15:04</t>
  </si>
  <si>
    <t>Ленинградская обл, г Подпорожье, ул Комсомольская, д 9</t>
  </si>
  <si>
    <t>09:18:27</t>
  </si>
  <si>
    <t>09:19:56</t>
  </si>
  <si>
    <t>Ленинградская обл, г Луга, пр-кт Урицкого, д 67</t>
  </si>
  <si>
    <t>09:21:23</t>
  </si>
  <si>
    <t>09:25:34</t>
  </si>
  <si>
    <t>Ленинградская обл, г Луга, пр-кт Кирова, д 41</t>
  </si>
  <si>
    <t>09:27:45</t>
  </si>
  <si>
    <t>Ленинградская обл, г Луга, пр-кт Володарского, д 32</t>
  </si>
  <si>
    <t>пгт. Грамотеино, ул. Светлая, д.19а, пом. 2</t>
  </si>
  <si>
    <t>09:32:49</t>
  </si>
  <si>
    <t>Ленинградская обл, г Луга, мкр Городок</t>
  </si>
  <si>
    <t>Аптека № 3</t>
  </si>
  <si>
    <t>09:33:41</t>
  </si>
  <si>
    <t>Ленинградская обл, г Кировск, ул Магистральная, д 54А</t>
  </si>
  <si>
    <t>09:34:10</t>
  </si>
  <si>
    <t>09:34:48</t>
  </si>
  <si>
    <t>Ленинградская обл, г Кириши, пр-кт Ленина, д 18</t>
  </si>
  <si>
    <t>09:39:19</t>
  </si>
  <si>
    <t>ЦРА 3 Аптека 343</t>
  </si>
  <si>
    <t>09:39:52</t>
  </si>
  <si>
    <t>Ленинградская обл, г Кириши, пр-кт Героев, д 11</t>
  </si>
  <si>
    <t>09:40:00</t>
  </si>
  <si>
    <t>09:42:58</t>
  </si>
  <si>
    <t>09:43:05</t>
  </si>
  <si>
    <t>Ленинградская обл, г Кириши, наб Волховская, д 50</t>
  </si>
  <si>
    <t>09:48:35</t>
  </si>
  <si>
    <t>09:51:43</t>
  </si>
  <si>
    <t>Ленинградская обл, г Кингисепп, ш Крикковское, д 6А</t>
  </si>
  <si>
    <t>09:56:51</t>
  </si>
  <si>
    <t>09:57:00</t>
  </si>
  <si>
    <t>09:57:49</t>
  </si>
  <si>
    <t>Ленинградская обл, г Кингисепп, ул Воровского, д 26 литера 1а, помещ 2</t>
  </si>
  <si>
    <t>10:01:18</t>
  </si>
  <si>
    <t>Ленинградская обл, г Кингисепп, ул Большая Советская, д 42, помещ 32/33</t>
  </si>
  <si>
    <t>10:10:16</t>
  </si>
  <si>
    <t>10:11:59</t>
  </si>
  <si>
    <t>10:13:53</t>
  </si>
  <si>
    <t>10:16:25</t>
  </si>
  <si>
    <t>10:16:51</t>
  </si>
  <si>
    <t>10:16:53</t>
  </si>
  <si>
    <t>10:18:36</t>
  </si>
  <si>
    <t>Ленинградская обл, г Кингисепп, пр-кт Карла Маркса, стр 21Г</t>
  </si>
  <si>
    <t>Аптечный пункт-НФ-(НН)-Дьяконова-1</t>
  </si>
  <si>
    <t>10:21:34</t>
  </si>
  <si>
    <t>10:22:04</t>
  </si>
  <si>
    <t>Ленинградская обл, г Кингисепп, б-р Большой, д 8Б</t>
  </si>
  <si>
    <t>10:22:20</t>
  </si>
  <si>
    <t>10:23:22</t>
  </si>
  <si>
    <t>Ленинградская обл, г Гатчина, ш Пушкинское, д 15</t>
  </si>
  <si>
    <t>10:27:10</t>
  </si>
  <si>
    <t>10:29:57</t>
  </si>
  <si>
    <t>10:39:58</t>
  </si>
  <si>
    <t>10:40:42</t>
  </si>
  <si>
    <t>10:40:44</t>
  </si>
  <si>
    <t>Аптека "АКТА-КРЫМ "ПОДРАЗДЕЛЕНИЕ "2"</t>
  </si>
  <si>
    <t>10:42:46</t>
  </si>
  <si>
    <t>Аптека №43</t>
  </si>
  <si>
    <t>10:44:23</t>
  </si>
  <si>
    <t>Ленинградская обл, г Гатчина, ул Чехова, д 23, помещ 1</t>
  </si>
  <si>
    <t>2025-02-11</t>
  </si>
  <si>
    <t>10:48:03</t>
  </si>
  <si>
    <t>Ленинградская обл, г Гатчина, ул Урицкого, д 21А</t>
  </si>
  <si>
    <t>10:58:12</t>
  </si>
  <si>
    <t>11:00:36</t>
  </si>
  <si>
    <t>Аптека ГЛФ</t>
  </si>
  <si>
    <t>11:09:13</t>
  </si>
  <si>
    <t>11:09:59</t>
  </si>
  <si>
    <t>11:10:04</t>
  </si>
  <si>
    <t>11:13:28</t>
  </si>
  <si>
    <t>Ленинградская обл, г Гатчина, ул Урицкого, д 17</t>
  </si>
  <si>
    <t>11:20:39</t>
  </si>
  <si>
    <t>Аптечный пункт №76-539</t>
  </si>
  <si>
    <t>11:26:56</t>
  </si>
  <si>
    <t>11:28:01</t>
  </si>
  <si>
    <t>Ленинградская обл, г Гатчина, ул Слепнева, д 17, помещ 1/3</t>
  </si>
  <si>
    <t>11:29:31</t>
  </si>
  <si>
    <t>11:31:48</t>
  </si>
  <si>
    <t>Ленинградская обл, г Гатчина, ул Красных Военлетов, д 11, помещ 6Н</t>
  </si>
  <si>
    <t>11:35:08</t>
  </si>
  <si>
    <t>Ленинградская обл, г Гатчина, ул Красная, д 5В, помещ 1</t>
  </si>
  <si>
    <t>11:35:18</t>
  </si>
  <si>
    <t>11:35:57</t>
  </si>
  <si>
    <t>Ленинградская обл, г Гатчина, ул Коли Подрядчикова, д 7</t>
  </si>
  <si>
    <t>Филиал 3 Аптечный пункт</t>
  </si>
  <si>
    <t>11:41:25</t>
  </si>
  <si>
    <t>11:43:32</t>
  </si>
  <si>
    <t>11:44:24</t>
  </si>
  <si>
    <t>Ленинградская обл, г Гатчина, ул Генерала Кныша, д 8</t>
  </si>
  <si>
    <t>11:44:31</t>
  </si>
  <si>
    <t>11:44:48</t>
  </si>
  <si>
    <t>11:45:30</t>
  </si>
  <si>
    <t>Ленинградская обл, г Гатчина, ул Академика Константинова, д 8, помещ 3</t>
  </si>
  <si>
    <t>аптека №296</t>
  </si>
  <si>
    <t>11:46:23</t>
  </si>
  <si>
    <t>Ленинградская обл, г Гатчина, пр-кт 25 Октября, д 47</t>
  </si>
  <si>
    <t>11:48:06</t>
  </si>
  <si>
    <t>11:51:41</t>
  </si>
  <si>
    <t>11:55:02</t>
  </si>
  <si>
    <t>11:56:12</t>
  </si>
  <si>
    <t>Ленинградская обл, г Гатчина, пр-кт 25 Октября, д 22</t>
  </si>
  <si>
    <t>12:00:19</t>
  </si>
  <si>
    <t>Ленинградская обл, г Гатчина, пр-кт 25 Октября, д 18 к 21, кв V</t>
  </si>
  <si>
    <t>12:03:25</t>
  </si>
  <si>
    <t>12:05:51</t>
  </si>
  <si>
    <t>12:10:24</t>
  </si>
  <si>
    <t>12:11:03</t>
  </si>
  <si>
    <t>12:11:16</t>
  </si>
  <si>
    <t>12:12:57</t>
  </si>
  <si>
    <t>12:17:32</t>
  </si>
  <si>
    <t>12:17:49</t>
  </si>
  <si>
    <t>12:19:32</t>
  </si>
  <si>
    <t>107207, Г.Москва, муниципальный округ Гольяново вн.тер.г., Щёлковское ш, 75 д.</t>
  </si>
  <si>
    <t>12:22:49</t>
  </si>
  <si>
    <t>12:25:32</t>
  </si>
  <si>
    <t>ЦРА 3 Аптека "Фармация"</t>
  </si>
  <si>
    <t>12:32:13</t>
  </si>
  <si>
    <t>г. Горно-Алтайск, пр-кт Коммунистический, д. 95</t>
  </si>
  <si>
    <t>12:32:45</t>
  </si>
  <si>
    <t>12:38:11</t>
  </si>
  <si>
    <t>12:38:17</t>
  </si>
  <si>
    <t>12:40:28</t>
  </si>
  <si>
    <t>Ленинградская обл, г Выборг, ул Гагарина, д 27</t>
  </si>
  <si>
    <t>12:50:58</t>
  </si>
  <si>
    <t>Аптека-Центр</t>
  </si>
  <si>
    <t>12:50:59</t>
  </si>
  <si>
    <t>Ленинградская обл, г Всеволожск, ул Невская, д 13</t>
  </si>
  <si>
    <t>12:56:26</t>
  </si>
  <si>
    <t>13:02:18</t>
  </si>
  <si>
    <t>13:02:36</t>
  </si>
  <si>
    <t>13:05:43</t>
  </si>
  <si>
    <t>13:10:39</t>
  </si>
  <si>
    <t>13:13:40</t>
  </si>
  <si>
    <t>13:19:35</t>
  </si>
  <si>
    <t>Ленинградская обл, г Всеволожск, ул Межевая, д 19</t>
  </si>
  <si>
    <t>13:22:05</t>
  </si>
  <si>
    <t>Ленинградская обл, г Всеволожск, ул Крымская, д 6 литера а</t>
  </si>
  <si>
    <t>13:27:20</t>
  </si>
  <si>
    <t>аптечный пункт №77-297</t>
  </si>
  <si>
    <t>13:28:33</t>
  </si>
  <si>
    <t>Ленинградская обл, г Всеволожск, ул Заводская, д 33/35</t>
  </si>
  <si>
    <t>13:28:35</t>
  </si>
  <si>
    <t>13:31:29</t>
  </si>
  <si>
    <t>Ленинградская обл, г Всеволожск, пр-кт Христиновский, д 26</t>
  </si>
  <si>
    <t>13:35:27</t>
  </si>
  <si>
    <t>13:35:32</t>
  </si>
  <si>
    <t>13:35:34</t>
  </si>
  <si>
    <t>Аптека №11</t>
  </si>
  <si>
    <t>13:35:49</t>
  </si>
  <si>
    <t>13:36:29</t>
  </si>
  <si>
    <t>13:38:59</t>
  </si>
  <si>
    <t>13:42:35</t>
  </si>
  <si>
    <t>13:43:17</t>
  </si>
  <si>
    <t>13:43:59</t>
  </si>
  <si>
    <t>13:44:24</t>
  </si>
  <si>
    <t>ЦРА №3 Аптека 4</t>
  </si>
  <si>
    <t>13:45:15</t>
  </si>
  <si>
    <t>Ленинградская обл, г Всеволожск, пр-кт Всеволожский, д 55</t>
  </si>
  <si>
    <t>36 - Воронежская область, 394043, Воронеж г, Березовая роща ул, 1Е</t>
  </si>
  <si>
    <t>13:46:27</t>
  </si>
  <si>
    <t>Ленинградская обл, г Волхов, ул Авиационная, д 21</t>
  </si>
  <si>
    <t>13:47:20</t>
  </si>
  <si>
    <t>Ленинградская обл, г Волосово, пр-кт Вингиссара, д 85</t>
  </si>
  <si>
    <t>13:47:27</t>
  </si>
  <si>
    <t>Ленинградская обл, Выборгский р-н, тер Кирилловская, проезд Новаторов, д 112 литера а</t>
  </si>
  <si>
    <t>13:47:55</t>
  </si>
  <si>
    <t>Ленинградская обл, Выборгский р-н, п Первомайское, ул Советская, д 6</t>
  </si>
  <si>
    <t>13:48:23</t>
  </si>
  <si>
    <t>Ленинградская обл, Выборгский р-н, п Первомайское, ул Советская, д 15</t>
  </si>
  <si>
    <t>Аптека  Будь здоров!</t>
  </si>
  <si>
    <t>13:49:30</t>
  </si>
  <si>
    <t>Ленинградская обл, Выборгский р-н, п Ленинское, ул Советская, д 2А литера а</t>
  </si>
  <si>
    <t>13:50:49</t>
  </si>
  <si>
    <t>Ленинградская обл, Выборгский р-н, гп Рощино, ул Советская, д 8А</t>
  </si>
  <si>
    <t>13:51:17</t>
  </si>
  <si>
    <t>Ленинградская обл, Выборгский р-н, гп Рощино, ул Советская, д 2</t>
  </si>
  <si>
    <t>13:51:49</t>
  </si>
  <si>
    <t>Ленинградская обл, Выборгский р-н, гп Рощино, проезд Светлановский, д 109 к 1 литера а</t>
  </si>
  <si>
    <t>13:56:49</t>
  </si>
  <si>
    <t>14:00:05</t>
  </si>
  <si>
    <t>Ленинградская обл, Всеволожский р-н, п. ж/д ст. Корнево, ул Полевая, д 43А</t>
  </si>
  <si>
    <t>14:00:09</t>
  </si>
  <si>
    <t>Аптека №59</t>
  </si>
  <si>
    <t>14:06:48</t>
  </si>
  <si>
    <t>Аптечная сеть</t>
  </si>
  <si>
    <t>262810470121</t>
  </si>
  <si>
    <t>36,6</t>
  </si>
  <si>
    <t>5402532406</t>
  </si>
  <si>
    <t>2310096546</t>
  </si>
  <si>
    <t>2373002156</t>
  </si>
  <si>
    <t>0600005787</t>
  </si>
  <si>
    <t>5904196645</t>
  </si>
  <si>
    <t>7020028423</t>
  </si>
  <si>
    <t>2539096225</t>
  </si>
  <si>
    <t>550600087993</t>
  </si>
  <si>
    <t>2722039794</t>
  </si>
  <si>
    <t>4522002470</t>
  </si>
  <si>
    <t>7736325963</t>
  </si>
  <si>
    <t>7204146152</t>
  </si>
  <si>
    <t>7743376824</t>
  </si>
  <si>
    <t>1513054525</t>
  </si>
  <si>
    <t>0105080772</t>
  </si>
  <si>
    <t>032300986524</t>
  </si>
  <si>
    <t>7709068298</t>
  </si>
  <si>
    <t>7705947629</t>
  </si>
  <si>
    <t>5024197242</t>
  </si>
  <si>
    <t>5024204348</t>
  </si>
  <si>
    <t>5751005717</t>
  </si>
  <si>
    <t>3665012499</t>
  </si>
  <si>
    <t>6679151868</t>
  </si>
  <si>
    <t>2632071360</t>
  </si>
  <si>
    <t>2543023195</t>
  </si>
  <si>
    <t>7706795062</t>
  </si>
  <si>
    <t>Планета здоровья</t>
  </si>
  <si>
    <t>3801042576</t>
  </si>
  <si>
    <t>5906086550</t>
  </si>
  <si>
    <t>3812987851</t>
  </si>
  <si>
    <t>6453161631</t>
  </si>
  <si>
    <t>5907998608</t>
  </si>
  <si>
    <t>7724211288</t>
  </si>
  <si>
    <t>6658371284</t>
  </si>
  <si>
    <t>7728339546</t>
  </si>
  <si>
    <t>5902058784</t>
  </si>
  <si>
    <t>5445102380</t>
  </si>
  <si>
    <t>6321112412</t>
  </si>
  <si>
    <t>463400414804</t>
  </si>
  <si>
    <t>7721851829</t>
  </si>
  <si>
    <t>7814443325</t>
  </si>
  <si>
    <t>231700275769</t>
  </si>
  <si>
    <t>462901346416</t>
  </si>
  <si>
    <t>0726024869</t>
  </si>
  <si>
    <t>5003083910</t>
  </si>
  <si>
    <t>2543081856</t>
  </si>
  <si>
    <t>2465327355</t>
  </si>
  <si>
    <t>7827008961</t>
  </si>
  <si>
    <t>7732121736</t>
  </si>
  <si>
    <t>260319124100</t>
  </si>
  <si>
    <t>7839300921</t>
  </si>
  <si>
    <t>9103014604</t>
  </si>
  <si>
    <t>7714844316</t>
  </si>
  <si>
    <t>2308128039</t>
  </si>
  <si>
    <t>5903072982</t>
  </si>
  <si>
    <t>7718280244</t>
  </si>
  <si>
    <t>7814271250</t>
  </si>
  <si>
    <t>4710012294</t>
  </si>
  <si>
    <t>2320218433</t>
  </si>
  <si>
    <t>0326537584</t>
  </si>
  <si>
    <t>2373007595</t>
  </si>
  <si>
    <t>4703101257</t>
  </si>
  <si>
    <t>9726023519</t>
  </si>
  <si>
    <t>7802611649</t>
  </si>
  <si>
    <t>6824002695</t>
  </si>
  <si>
    <t>6630006059</t>
  </si>
  <si>
    <t>2460120491</t>
  </si>
  <si>
    <t>5038131629</t>
  </si>
  <si>
    <t>1659064696</t>
  </si>
  <si>
    <t>2901258714</t>
  </si>
  <si>
    <t>2308209785</t>
  </si>
  <si>
    <t>2310052764</t>
  </si>
  <si>
    <t>3704004871</t>
  </si>
  <si>
    <t>4205048353</t>
  </si>
  <si>
    <t>4706046935</t>
  </si>
  <si>
    <t>7715580916</t>
  </si>
  <si>
    <t>7731334851</t>
  </si>
  <si>
    <t>2310200444</t>
  </si>
  <si>
    <t>5038153943</t>
  </si>
  <si>
    <t>231705666100</t>
  </si>
  <si>
    <t>7734732748</t>
  </si>
  <si>
    <t>262511537755</t>
  </si>
  <si>
    <t>4705071640</t>
  </si>
  <si>
    <t>3102048889</t>
  </si>
  <si>
    <t>7816483740</t>
  </si>
  <si>
    <t>5904280093</t>
  </si>
  <si>
    <t>0573009148</t>
  </si>
  <si>
    <t>3666107560</t>
  </si>
  <si>
    <t>5032223231</t>
  </si>
  <si>
    <t>5903090325</t>
  </si>
  <si>
    <t>6316089020</t>
  </si>
  <si>
    <t>7807048010</t>
  </si>
  <si>
    <t>7445006539</t>
  </si>
  <si>
    <t>3665071695</t>
  </si>
  <si>
    <t>332908266729</t>
  </si>
  <si>
    <t>7719720579</t>
  </si>
  <si>
    <t>6730046175</t>
  </si>
  <si>
    <t>5038055791</t>
  </si>
  <si>
    <t>6166128454</t>
  </si>
  <si>
    <t>1001099467</t>
  </si>
  <si>
    <t>6027082040</t>
  </si>
  <si>
    <t>7814139847</t>
  </si>
  <si>
    <t>4715014337</t>
  </si>
  <si>
    <t>Столички</t>
  </si>
  <si>
    <t>6673189456</t>
  </si>
  <si>
    <t>091230428255</t>
  </si>
  <si>
    <t>7838103977</t>
  </si>
  <si>
    <t>2310219170</t>
  </si>
  <si>
    <t>3665072233</t>
  </si>
  <si>
    <t>7203473252</t>
  </si>
  <si>
    <t>4632170357</t>
  </si>
  <si>
    <t>9203008114</t>
  </si>
  <si>
    <t>231703122520</t>
  </si>
  <si>
    <t>7716997445</t>
  </si>
  <si>
    <t>1827018503</t>
  </si>
  <si>
    <t>7818009091</t>
  </si>
  <si>
    <t>5905254762</t>
  </si>
  <si>
    <t>234901050224</t>
  </si>
  <si>
    <t>7726551610</t>
  </si>
  <si>
    <t>3123296586</t>
  </si>
  <si>
    <t>5038069000</t>
  </si>
  <si>
    <t>4600003787</t>
  </si>
  <si>
    <t>910301025521</t>
  </si>
  <si>
    <t>5190194022</t>
  </si>
  <si>
    <t>1513077233</t>
  </si>
  <si>
    <t>6316283317</t>
  </si>
  <si>
    <t>2308241919</t>
  </si>
  <si>
    <t>6164202134</t>
  </si>
  <si>
    <t>1841012052</t>
  </si>
  <si>
    <t>2628035915</t>
  </si>
  <si>
    <t>1502045134</t>
  </si>
  <si>
    <t>9719016905</t>
  </si>
  <si>
    <t>234606057656</t>
  </si>
  <si>
    <t>5902199859</t>
  </si>
  <si>
    <t>3123221541</t>
  </si>
  <si>
    <t>6166125005</t>
  </si>
  <si>
    <t>056100450655</t>
  </si>
  <si>
    <t>420519467016</t>
  </si>
  <si>
    <t>0561046931</t>
  </si>
  <si>
    <t>5047162366</t>
  </si>
  <si>
    <t>7720335388</t>
  </si>
  <si>
    <t>9724191998</t>
  </si>
  <si>
    <t>3114007189</t>
  </si>
  <si>
    <t>150900884117</t>
  </si>
  <si>
    <t>610401000804</t>
  </si>
  <si>
    <t>5751039272</t>
  </si>
  <si>
    <t>6161089650</t>
  </si>
  <si>
    <t>2322018119</t>
  </si>
  <si>
    <t>5903090212</t>
  </si>
  <si>
    <t>2309136755</t>
  </si>
  <si>
    <t>2301048666</t>
  </si>
  <si>
    <t>5906152820</t>
  </si>
  <si>
    <t>6166045261</t>
  </si>
  <si>
    <t>7802194843</t>
  </si>
  <si>
    <t>5008036897</t>
  </si>
  <si>
    <t>070104610037</t>
  </si>
  <si>
    <t>231402307180</t>
  </si>
  <si>
    <t>056208971967</t>
  </si>
  <si>
    <t>5249123031</t>
  </si>
  <si>
    <t>2722060732</t>
  </si>
  <si>
    <t>2727023526</t>
  </si>
  <si>
    <t>9705147513</t>
  </si>
  <si>
    <t>5507102175</t>
  </si>
  <si>
    <t>9204023806</t>
  </si>
  <si>
    <t>360300674906</t>
  </si>
  <si>
    <t>5904279620</t>
  </si>
  <si>
    <t>1650149440</t>
  </si>
  <si>
    <t>1841015198</t>
  </si>
  <si>
    <t>7810468745</t>
  </si>
  <si>
    <t>2311105578</t>
  </si>
  <si>
    <t>6165240020</t>
  </si>
  <si>
    <t>7840411560</t>
  </si>
  <si>
    <t>6670039614</t>
  </si>
  <si>
    <t>2225105670</t>
  </si>
  <si>
    <t>3446042846</t>
  </si>
  <si>
    <t>910914194053</t>
  </si>
  <si>
    <t>4222016270</t>
  </si>
  <si>
    <t>5018012052</t>
  </si>
  <si>
    <t>1660127012</t>
  </si>
  <si>
    <t>7704865540</t>
  </si>
  <si>
    <t>6376066003</t>
  </si>
  <si>
    <t>6316166363</t>
  </si>
  <si>
    <t>4632157814</t>
  </si>
  <si>
    <t>550310361355</t>
  </si>
  <si>
    <t>4632178758</t>
  </si>
  <si>
    <t>3907029575</t>
  </si>
  <si>
    <t>2724146424</t>
  </si>
  <si>
    <t>6163224960</t>
  </si>
  <si>
    <t>2724214018</t>
  </si>
  <si>
    <t>2801016937</t>
  </si>
  <si>
    <t>2703082561</t>
  </si>
  <si>
    <t>2502077219</t>
  </si>
  <si>
    <t>2543102471</t>
  </si>
  <si>
    <t>2723182187</t>
  </si>
  <si>
    <t>2801226275</t>
  </si>
  <si>
    <t>2629011770</t>
  </si>
  <si>
    <t>2319055400</t>
  </si>
  <si>
    <t>4205262893</t>
  </si>
  <si>
    <t>5406712110</t>
  </si>
  <si>
    <t>1435268848</t>
  </si>
  <si>
    <t>2537119205</t>
  </si>
  <si>
    <t>5017128086</t>
  </si>
  <si>
    <t>2724213007</t>
  </si>
  <si>
    <t>1654038766</t>
  </si>
  <si>
    <t>550704589807</t>
  </si>
  <si>
    <t>7445022308</t>
  </si>
  <si>
    <t>2460058282</t>
  </si>
  <si>
    <t>4205392518</t>
  </si>
  <si>
    <t>Нео-фарм</t>
  </si>
  <si>
    <t>2455025355</t>
  </si>
  <si>
    <t>632515290331</t>
  </si>
  <si>
    <t>4217058652</t>
  </si>
  <si>
    <t>2222896536</t>
  </si>
  <si>
    <t>5502039191</t>
  </si>
  <si>
    <t>6671434857</t>
  </si>
  <si>
    <t>2227005590</t>
  </si>
  <si>
    <t>7733179584</t>
  </si>
  <si>
    <t>2221025247</t>
  </si>
  <si>
    <t>2456004196</t>
  </si>
  <si>
    <t>6324029650</t>
  </si>
  <si>
    <t>4217178886</t>
  </si>
  <si>
    <t>2466189073</t>
  </si>
  <si>
    <t>2308110232</t>
  </si>
  <si>
    <t>5903092146</t>
  </si>
  <si>
    <t>6670370833</t>
  </si>
  <si>
    <t>7328057900</t>
  </si>
  <si>
    <t>2543009225</t>
  </si>
  <si>
    <t>9729384961</t>
  </si>
  <si>
    <t>2225224388</t>
  </si>
  <si>
    <t>2508131430</t>
  </si>
  <si>
    <t>5007081463</t>
  </si>
  <si>
    <t>9704011823</t>
  </si>
  <si>
    <t>6505011975</t>
  </si>
  <si>
    <t>632200529922</t>
  </si>
  <si>
    <t>550104300741</t>
  </si>
  <si>
    <t>2724156550</t>
  </si>
  <si>
    <t>5824901122</t>
  </si>
  <si>
    <t>2536220940</t>
  </si>
  <si>
    <t>235100187194</t>
  </si>
  <si>
    <t>5050136454</t>
  </si>
  <si>
    <t>5321132777</t>
  </si>
  <si>
    <t>910902132895</t>
  </si>
  <si>
    <t>583404790668</t>
  </si>
  <si>
    <t>6102064251</t>
  </si>
  <si>
    <t>504402998020</t>
  </si>
  <si>
    <t>6673189463</t>
  </si>
  <si>
    <t>2311242366</t>
  </si>
  <si>
    <t>5405072034</t>
  </si>
  <si>
    <t>5903114664</t>
  </si>
  <si>
    <t>2721134283</t>
  </si>
  <si>
    <t>2801183906</t>
  </si>
  <si>
    <t>0707019359</t>
  </si>
  <si>
    <t>381600345706</t>
  </si>
  <si>
    <t>7806271560</t>
  </si>
  <si>
    <t>2310212231</t>
  </si>
  <si>
    <t>4025419873</t>
  </si>
  <si>
    <t>9104005000</t>
  </si>
  <si>
    <t>3665820714</t>
  </si>
  <si>
    <t>2310174811</t>
  </si>
  <si>
    <t>7702427300</t>
  </si>
  <si>
    <t>Ригла</t>
  </si>
  <si>
    <t>312101087630</t>
  </si>
  <si>
    <t>6684008694</t>
  </si>
  <si>
    <t>5610067407</t>
  </si>
  <si>
    <t>910914952765</t>
  </si>
  <si>
    <t>2723197553</t>
  </si>
  <si>
    <t>2367012318</t>
  </si>
  <si>
    <t>504406410859</t>
  </si>
  <si>
    <t>1652023411</t>
  </si>
  <si>
    <t>550711904930</t>
  </si>
  <si>
    <t>311900553029</t>
  </si>
  <si>
    <t>9108122392</t>
  </si>
  <si>
    <t>2511103056</t>
  </si>
  <si>
    <t>702405465818</t>
  </si>
  <si>
    <t>5505206161</t>
  </si>
  <si>
    <t>7751203399</t>
  </si>
  <si>
    <t>1831060811</t>
  </si>
  <si>
    <t>3906353770</t>
  </si>
  <si>
    <t>1510017998</t>
  </si>
  <si>
    <t>2700023857</t>
  </si>
  <si>
    <t>9103086863</t>
  </si>
  <si>
    <t>3301015172</t>
  </si>
  <si>
    <t>312301825966</t>
  </si>
  <si>
    <t>5501207372</t>
  </si>
  <si>
    <t>253804596643</t>
  </si>
  <si>
    <t>5700009022</t>
  </si>
  <si>
    <t>6949114450</t>
  </si>
  <si>
    <t>322702994012</t>
  </si>
  <si>
    <t>7839442436</t>
  </si>
  <si>
    <t>3661180936</t>
  </si>
  <si>
    <t>4632054054</t>
  </si>
  <si>
    <t>8904057220</t>
  </si>
  <si>
    <t>9102213935</t>
  </si>
  <si>
    <t>6164078092</t>
  </si>
  <si>
    <t>6200008907</t>
  </si>
  <si>
    <t>2460216059</t>
  </si>
  <si>
    <t>4632068829</t>
  </si>
  <si>
    <t>5405074850</t>
  </si>
  <si>
    <t>550607761989</t>
  </si>
  <si>
    <t>7723516248</t>
  </si>
  <si>
    <t>583500580818</t>
  </si>
  <si>
    <t>4612002756</t>
  </si>
  <si>
    <t>5262292840</t>
  </si>
  <si>
    <t>7801162790</t>
  </si>
  <si>
    <t>5903090332</t>
  </si>
  <si>
    <t>5752042253</t>
  </si>
  <si>
    <t>5800000070</t>
  </si>
  <si>
    <t>910521658600</t>
  </si>
  <si>
    <t>2801060559</t>
  </si>
  <si>
    <t>4025044367</t>
  </si>
  <si>
    <t>2632087553</t>
  </si>
  <si>
    <t>2320091240</t>
  </si>
  <si>
    <t>3252501890</t>
  </si>
  <si>
    <t>7804349161</t>
  </si>
  <si>
    <t>5105005196</t>
  </si>
  <si>
    <t>6318128740</t>
  </si>
  <si>
    <t>9201014546</t>
  </si>
  <si>
    <t>4205243001</t>
  </si>
  <si>
    <t>5256060907</t>
  </si>
  <si>
    <t>462901745241</t>
  </si>
  <si>
    <t>1655391276</t>
  </si>
  <si>
    <t>6325024260</t>
  </si>
  <si>
    <t>7839481347</t>
  </si>
  <si>
    <t>6913000925</t>
  </si>
  <si>
    <t>7726423062</t>
  </si>
  <si>
    <t>2537009629</t>
  </si>
  <si>
    <t>3123122460</t>
  </si>
  <si>
    <t>7810379421</t>
  </si>
  <si>
    <t>0212006861</t>
  </si>
  <si>
    <t>2309137766</t>
  </si>
  <si>
    <t>7702514360</t>
  </si>
  <si>
    <t>4345232120</t>
  </si>
  <si>
    <t>5257118934</t>
  </si>
  <si>
    <t>5700011864</t>
  </si>
  <si>
    <t>3662290762</t>
  </si>
  <si>
    <t>330702151880</t>
  </si>
  <si>
    <t>7206026206</t>
  </si>
  <si>
    <t>1701039819</t>
  </si>
  <si>
    <t>132701647000</t>
  </si>
  <si>
    <t>602700120511</t>
  </si>
  <si>
    <t>4709006112</t>
  </si>
  <si>
    <t>6833012604</t>
  </si>
  <si>
    <t>5321137817</t>
  </si>
  <si>
    <t>5521008777</t>
  </si>
  <si>
    <t>2311241820</t>
  </si>
  <si>
    <t>6166126591</t>
  </si>
  <si>
    <t>1650103421</t>
  </si>
  <si>
    <t>5902003880</t>
  </si>
  <si>
    <t>7806510994</t>
  </si>
  <si>
    <t>2310031475</t>
  </si>
  <si>
    <t>1001054160</t>
  </si>
  <si>
    <t>6141060243</t>
  </si>
  <si>
    <t>5321156432</t>
  </si>
  <si>
    <t>463100329795</t>
  </si>
  <si>
    <t>7727402570</t>
  </si>
  <si>
    <t>263400474332</t>
  </si>
  <si>
    <t>7202191897</t>
  </si>
  <si>
    <t>4710024740</t>
  </si>
  <si>
    <t>7714456627</t>
  </si>
  <si>
    <t>583602249404</t>
  </si>
  <si>
    <t>2635240471</t>
  </si>
  <si>
    <t>6025017945</t>
  </si>
  <si>
    <t>5834062035</t>
  </si>
  <si>
    <t>4720031507</t>
  </si>
  <si>
    <t>3123081206</t>
  </si>
  <si>
    <t>7714411792</t>
  </si>
  <si>
    <t>2464162083</t>
  </si>
  <si>
    <t>7825491923</t>
  </si>
  <si>
    <t>9718187810</t>
  </si>
  <si>
    <t>7724666849</t>
  </si>
  <si>
    <t>910906054486</t>
  </si>
  <si>
    <t>7816221906</t>
  </si>
  <si>
    <t>7801709313</t>
  </si>
  <si>
    <t>4632202577</t>
  </si>
  <si>
    <t>2373006425</t>
  </si>
  <si>
    <t>6312076214</t>
  </si>
  <si>
    <t>1500002738</t>
  </si>
  <si>
    <t>7202072917</t>
  </si>
  <si>
    <t>7708250064</t>
  </si>
  <si>
    <t>2635251025</t>
  </si>
  <si>
    <t>0721007179</t>
  </si>
  <si>
    <t>5405071520</t>
  </si>
  <si>
    <t>4702014562</t>
  </si>
  <si>
    <t>2311244941</t>
  </si>
  <si>
    <t>7840368240</t>
  </si>
  <si>
    <t>6311997438</t>
  </si>
  <si>
    <t>7743897369</t>
  </si>
  <si>
    <t>253712415590</t>
  </si>
  <si>
    <t>5001136356</t>
  </si>
  <si>
    <t>4702057044</t>
  </si>
  <si>
    <t>2463043196</t>
  </si>
  <si>
    <t>6165197342</t>
  </si>
  <si>
    <t>9701041428</t>
  </si>
  <si>
    <t>5902834187</t>
  </si>
  <si>
    <t>6903044867</t>
  </si>
  <si>
    <t>5406712079</t>
  </si>
  <si>
    <t>6150070304</t>
  </si>
  <si>
    <t>5003041251</t>
  </si>
  <si>
    <t>9722020820</t>
  </si>
  <si>
    <t>5903137414</t>
  </si>
  <si>
    <t>6808003370</t>
  </si>
  <si>
    <t>3250522485</t>
  </si>
  <si>
    <t>2225172517</t>
  </si>
  <si>
    <t>4703067077</t>
  </si>
  <si>
    <t>5916027419</t>
  </si>
  <si>
    <t>7726707307</t>
  </si>
  <si>
    <t>222212876151</t>
  </si>
  <si>
    <t>402701797950</t>
  </si>
  <si>
    <t>3906313657</t>
  </si>
  <si>
    <t>4253046074</t>
  </si>
  <si>
    <t>7751007972</t>
  </si>
  <si>
    <t>7802634533</t>
  </si>
  <si>
    <t>6162043915</t>
  </si>
  <si>
    <t>5408026558</t>
  </si>
  <si>
    <t>2308120424</t>
  </si>
  <si>
    <t>7728554303</t>
  </si>
  <si>
    <t>9729056880</t>
  </si>
  <si>
    <t>7715816671</t>
  </si>
  <si>
    <t>3123226109</t>
  </si>
  <si>
    <t>6166102417</t>
  </si>
  <si>
    <t>5077020094</t>
  </si>
  <si>
    <t>4501118949</t>
  </si>
  <si>
    <t>5009135330</t>
  </si>
  <si>
    <t>2902074981</t>
  </si>
  <si>
    <t>7728395276</t>
  </si>
  <si>
    <t>390768010380</t>
  </si>
  <si>
    <t>9109010910</t>
  </si>
  <si>
    <t>5753032473</t>
  </si>
  <si>
    <t>7720869862</t>
  </si>
  <si>
    <t>3662166934</t>
  </si>
  <si>
    <t>150402161852</t>
  </si>
  <si>
    <t>7203539016</t>
  </si>
  <si>
    <t>6163222723</t>
  </si>
  <si>
    <t>2311334955</t>
  </si>
  <si>
    <t>5700011550</t>
  </si>
  <si>
    <t>7723530517</t>
  </si>
  <si>
    <t>6319162952</t>
  </si>
  <si>
    <t>3917503579</t>
  </si>
  <si>
    <t>550700455672</t>
  </si>
  <si>
    <t>6831013384</t>
  </si>
  <si>
    <t>5044071512</t>
  </si>
  <si>
    <t>2320070071</t>
  </si>
  <si>
    <t>7719859281</t>
  </si>
  <si>
    <t>9204011303</t>
  </si>
  <si>
    <t>151004134555</t>
  </si>
  <si>
    <t>7805180253</t>
  </si>
  <si>
    <t>7604045624</t>
  </si>
  <si>
    <t>7734231220</t>
  </si>
  <si>
    <t>1657116324</t>
  </si>
  <si>
    <t>5261094588</t>
  </si>
  <si>
    <t>5257096230</t>
  </si>
  <si>
    <t>3666218213</t>
  </si>
  <si>
    <t>0721001032</t>
  </si>
  <si>
    <t>1511019564</t>
  </si>
  <si>
    <t>6452120720</t>
  </si>
  <si>
    <t>7810955072</t>
  </si>
  <si>
    <t>0700003374</t>
  </si>
  <si>
    <t>7724762285</t>
  </si>
  <si>
    <t>6318194327</t>
  </si>
  <si>
    <t>3821001306</t>
  </si>
  <si>
    <t>7814809234</t>
  </si>
  <si>
    <t>9102031685</t>
  </si>
  <si>
    <t>6829055852</t>
  </si>
  <si>
    <t>4821011747</t>
  </si>
  <si>
    <t>6134012880</t>
  </si>
  <si>
    <t>6659049231</t>
  </si>
  <si>
    <t>2373007348</t>
  </si>
  <si>
    <t>5260408672</t>
  </si>
  <si>
    <t>2227026014</t>
  </si>
  <si>
    <t>7720588903</t>
  </si>
  <si>
    <t>1513045383</t>
  </si>
  <si>
    <t>151504541439</t>
  </si>
  <si>
    <t>7733556176</t>
  </si>
  <si>
    <t>7719136780</t>
  </si>
  <si>
    <t>6163055215</t>
  </si>
  <si>
    <t>6950118467</t>
  </si>
  <si>
    <t>1501019660</t>
  </si>
  <si>
    <t>7840370306</t>
  </si>
  <si>
    <t>2537044341</t>
  </si>
  <si>
    <t>6321290768</t>
  </si>
  <si>
    <t>5409012082</t>
  </si>
  <si>
    <t>360408014623</t>
  </si>
  <si>
    <t>2310076405</t>
  </si>
  <si>
    <t>5902132100</t>
  </si>
  <si>
    <t>2466238612</t>
  </si>
  <si>
    <t>3821011030</t>
  </si>
  <si>
    <t>4205407651</t>
  </si>
  <si>
    <t>4206030711</t>
  </si>
  <si>
    <t>2234009147</t>
  </si>
  <si>
    <t>4821012349</t>
  </si>
  <si>
    <t>2311169959</t>
  </si>
  <si>
    <t>4202019442</t>
  </si>
  <si>
    <t>6312056730</t>
  </si>
  <si>
    <t>580500809531</t>
  </si>
  <si>
    <t>3328456544</t>
  </si>
  <si>
    <t>5252019979</t>
  </si>
  <si>
    <t>5036107437</t>
  </si>
  <si>
    <t>6321290013</t>
  </si>
  <si>
    <t>7751527121</t>
  </si>
  <si>
    <t>1644016474</t>
  </si>
  <si>
    <t>732712429987</t>
  </si>
  <si>
    <t>5038049773</t>
  </si>
  <si>
    <t>5029041584</t>
  </si>
  <si>
    <t>6315619564</t>
  </si>
  <si>
    <t>0249008343</t>
  </si>
  <si>
    <t>5610054704</t>
  </si>
  <si>
    <t>7722491054</t>
  </si>
  <si>
    <t>5002062932</t>
  </si>
  <si>
    <t>7017431262</t>
  </si>
  <si>
    <t>6376066010</t>
  </si>
  <si>
    <t>7720386880</t>
  </si>
  <si>
    <t>6376062753</t>
  </si>
  <si>
    <t>0326599196</t>
  </si>
  <si>
    <t>6166127355</t>
  </si>
  <si>
    <t>6312089260</t>
  </si>
  <si>
    <t>6451005443</t>
  </si>
  <si>
    <t>2312178145</t>
  </si>
  <si>
    <t>390501470299</t>
  </si>
  <si>
    <t>3905036680</t>
  </si>
  <si>
    <t>5407223112</t>
  </si>
  <si>
    <t>6316166557</t>
  </si>
  <si>
    <t>3128007710</t>
  </si>
  <si>
    <t>6316092792</t>
  </si>
  <si>
    <t>4312119457</t>
  </si>
  <si>
    <t>9102158152</t>
  </si>
  <si>
    <t>230907071819</t>
  </si>
  <si>
    <t>2900000247</t>
  </si>
  <si>
    <t>164601519053</t>
  </si>
  <si>
    <t>9724064132</t>
  </si>
  <si>
    <t>5505212084</t>
  </si>
  <si>
    <t>3123207226</t>
  </si>
  <si>
    <t>5517010163</t>
  </si>
  <si>
    <t>6311997188</t>
  </si>
  <si>
    <t>3448023905</t>
  </si>
  <si>
    <t>010501244124</t>
  </si>
  <si>
    <t>7722765724</t>
  </si>
  <si>
    <t>6318193683</t>
  </si>
  <si>
    <t>6454125393</t>
  </si>
  <si>
    <t>6658090572</t>
  </si>
  <si>
    <t>3128092177</t>
  </si>
  <si>
    <t>5047302670</t>
  </si>
  <si>
    <t>6315637436</t>
  </si>
  <si>
    <t>7811335113</t>
  </si>
  <si>
    <t>232000540195</t>
  </si>
  <si>
    <t>5902199785</t>
  </si>
  <si>
    <t>7813354866</t>
  </si>
  <si>
    <t>2536335901</t>
  </si>
  <si>
    <t>1513008247</t>
  </si>
  <si>
    <t>7536033360</t>
  </si>
  <si>
    <t>6731044438</t>
  </si>
  <si>
    <t>1433010272</t>
  </si>
  <si>
    <t>2502035346</t>
  </si>
  <si>
    <t>1435227150</t>
  </si>
  <si>
    <t>6671131450</t>
  </si>
  <si>
    <t>143511131416</t>
  </si>
  <si>
    <t>2724167093</t>
  </si>
  <si>
    <t>5020046161</t>
  </si>
  <si>
    <t>1833058575</t>
  </si>
  <si>
    <t>551500408469</t>
  </si>
  <si>
    <t>3255051913</t>
  </si>
  <si>
    <t>5506232453</t>
  </si>
  <si>
    <t>1433021154</t>
  </si>
  <si>
    <t>2224212012</t>
  </si>
  <si>
    <t>6911031220</t>
  </si>
  <si>
    <t>5501068383</t>
  </si>
  <si>
    <t>5044094397</t>
  </si>
  <si>
    <t>7722710108</t>
  </si>
  <si>
    <t>2311237567</t>
  </si>
  <si>
    <t>3257018220</t>
  </si>
  <si>
    <t>4205210983</t>
  </si>
  <si>
    <t>2130121786</t>
  </si>
  <si>
    <t>7743165037</t>
  </si>
  <si>
    <t>5042082981</t>
  </si>
  <si>
    <t>6501267905</t>
  </si>
  <si>
    <t>5751059649</t>
  </si>
  <si>
    <t>3662228080</t>
  </si>
  <si>
    <t>4345501679</t>
  </si>
  <si>
    <t>056000111480</t>
  </si>
  <si>
    <t>3604000062</t>
  </si>
  <si>
    <t>590800909501</t>
  </si>
  <si>
    <t>2464263772</t>
  </si>
  <si>
    <t>2308209746</t>
  </si>
  <si>
    <t>4025439260</t>
  </si>
  <si>
    <t>4246002196</t>
  </si>
  <si>
    <t>2465284398</t>
  </si>
  <si>
    <t>5906107055</t>
  </si>
  <si>
    <t>0273908666</t>
  </si>
  <si>
    <t>231709059900</t>
  </si>
  <si>
    <t>261801823114</t>
  </si>
  <si>
    <t>1650403633</t>
  </si>
  <si>
    <t>6679106128</t>
  </si>
  <si>
    <t>4003012322</t>
  </si>
  <si>
    <t>6829154691</t>
  </si>
  <si>
    <t>5834113402</t>
  </si>
  <si>
    <t>7729524534</t>
  </si>
  <si>
    <t>1841013786</t>
  </si>
  <si>
    <t>5904195200</t>
  </si>
  <si>
    <t>7729480598</t>
  </si>
  <si>
    <t>7802697244</t>
  </si>
  <si>
    <t>6670286980</t>
  </si>
  <si>
    <t>231700119537</t>
  </si>
  <si>
    <t>2538047433</t>
  </si>
  <si>
    <t>7807231471</t>
  </si>
  <si>
    <t>6166112655</t>
  </si>
  <si>
    <t>695202856534</t>
  </si>
  <si>
    <t>5800010141</t>
  </si>
  <si>
    <t>7455020934</t>
  </si>
  <si>
    <t>6000009727</t>
  </si>
  <si>
    <t>4501127083</t>
  </si>
  <si>
    <t>6685164706</t>
  </si>
  <si>
    <t>6673189417</t>
  </si>
  <si>
    <t>1659108128</t>
  </si>
  <si>
    <t>9703138898</t>
  </si>
  <si>
    <t>027415104806</t>
  </si>
  <si>
    <t>7720304767</t>
  </si>
  <si>
    <t>2373007468</t>
  </si>
  <si>
    <t>7721452648</t>
  </si>
  <si>
    <t>3702228192</t>
  </si>
  <si>
    <t>6452145130</t>
  </si>
  <si>
    <t>3661052490</t>
  </si>
  <si>
    <t>9203002578</t>
  </si>
  <si>
    <t>2310230255</t>
  </si>
  <si>
    <t>3525142956</t>
  </si>
  <si>
    <t>6905007564</t>
  </si>
  <si>
    <t>5027195204</t>
  </si>
  <si>
    <t>5259121749</t>
  </si>
  <si>
    <t>5250048325</t>
  </si>
  <si>
    <t>5404151808</t>
  </si>
  <si>
    <t>2461029929</t>
  </si>
  <si>
    <t>6722022100</t>
  </si>
  <si>
    <t>2315191306</t>
  </si>
  <si>
    <t>7814793055</t>
  </si>
  <si>
    <t>9102037849</t>
  </si>
  <si>
    <t>6324008265</t>
  </si>
  <si>
    <t>6162056128</t>
  </si>
  <si>
    <t>262603464842</t>
  </si>
  <si>
    <t>4707024042</t>
  </si>
  <si>
    <t>890401717796</t>
  </si>
  <si>
    <t>246506597538</t>
  </si>
  <si>
    <t>5024180739</t>
  </si>
  <si>
    <t>7841441905</t>
  </si>
  <si>
    <t>6162056110</t>
  </si>
  <si>
    <t>4702013921</t>
  </si>
  <si>
    <t>5023010773</t>
  </si>
  <si>
    <t>9102293835</t>
  </si>
  <si>
    <t>9203545831</t>
  </si>
  <si>
    <t>6168041590</t>
  </si>
  <si>
    <t>4205405125</t>
  </si>
  <si>
    <t>3811464778</t>
  </si>
  <si>
    <t>5438110616</t>
  </si>
  <si>
    <t>5501088686</t>
  </si>
  <si>
    <t>5505200385</t>
  </si>
  <si>
    <t>5032305519</t>
  </si>
  <si>
    <t>2607019687</t>
  </si>
  <si>
    <t>6454141420</t>
  </si>
  <si>
    <t>7734254940</t>
  </si>
  <si>
    <t>5258126286</t>
  </si>
  <si>
    <t>544509941504</t>
  </si>
  <si>
    <t>920100174061</t>
  </si>
  <si>
    <t>9728078016</t>
  </si>
  <si>
    <t>5506080120</t>
  </si>
  <si>
    <t>0277900450</t>
  </si>
  <si>
    <t>8603041347</t>
  </si>
  <si>
    <t>2311278771</t>
  </si>
  <si>
    <t>7841065802</t>
  </si>
  <si>
    <t>1657111870</t>
  </si>
  <si>
    <t>5257110237</t>
  </si>
  <si>
    <t>7722859468</t>
  </si>
  <si>
    <t>3906245340</t>
  </si>
  <si>
    <t>7751011009</t>
  </si>
  <si>
    <t>3122504674</t>
  </si>
  <si>
    <t>7719520795</t>
  </si>
  <si>
    <t>2724157659</t>
  </si>
  <si>
    <t>3414014959</t>
  </si>
  <si>
    <t>5018076923</t>
  </si>
  <si>
    <t>2465207700</t>
  </si>
  <si>
    <t>7735141836</t>
  </si>
  <si>
    <t>5007108813</t>
  </si>
  <si>
    <t>2369008130</t>
  </si>
  <si>
    <t>9102158674</t>
  </si>
  <si>
    <t>2367002662</t>
  </si>
  <si>
    <t>3025039245</t>
  </si>
  <si>
    <t>2365034490</t>
  </si>
  <si>
    <t>262674676716</t>
  </si>
  <si>
    <t>7714696851</t>
  </si>
  <si>
    <t>2458015556</t>
  </si>
  <si>
    <t>7733277359</t>
  </si>
  <si>
    <t>470300187806</t>
  </si>
  <si>
    <t>233001488246</t>
  </si>
  <si>
    <t>9102240343</t>
  </si>
  <si>
    <t>773401016776</t>
  </si>
  <si>
    <t>4824022754</t>
  </si>
  <si>
    <t>5228008944</t>
  </si>
  <si>
    <t>7704729709</t>
  </si>
  <si>
    <t>1900005902</t>
  </si>
  <si>
    <t>1903023120</t>
  </si>
  <si>
    <t>5905265563</t>
  </si>
  <si>
    <t>6319152665</t>
  </si>
  <si>
    <t>5410052611</t>
  </si>
  <si>
    <t>5024198006</t>
  </si>
  <si>
    <t>5906088959</t>
  </si>
  <si>
    <t>522200441362</t>
  </si>
  <si>
    <t>2311141449</t>
  </si>
  <si>
    <t>366600085420</t>
  </si>
  <si>
    <t>312301459188</t>
  </si>
  <si>
    <t>7718908440</t>
  </si>
  <si>
    <t>4632230101</t>
  </si>
  <si>
    <t>712600194808</t>
  </si>
  <si>
    <t>5005007369</t>
  </si>
  <si>
    <t>5047243022</t>
  </si>
  <si>
    <t>7804448772</t>
  </si>
  <si>
    <t>3525348273</t>
  </si>
  <si>
    <t>7816512800</t>
  </si>
  <si>
    <t>7203440352</t>
  </si>
  <si>
    <t>7203540678</t>
  </si>
  <si>
    <t>7722582752</t>
  </si>
  <si>
    <t>3525115166</t>
  </si>
  <si>
    <t>6452067315</t>
  </si>
  <si>
    <t>3252007200</t>
  </si>
  <si>
    <t>1840003432</t>
  </si>
  <si>
    <t>4246023446</t>
  </si>
  <si>
    <t>0800002078</t>
  </si>
  <si>
    <t>5073005507</t>
  </si>
  <si>
    <t>2305021136</t>
  </si>
  <si>
    <t>910309344625</t>
  </si>
  <si>
    <t>7728380488</t>
  </si>
  <si>
    <t>5045061073</t>
  </si>
  <si>
    <t>5027200567</t>
  </si>
  <si>
    <t>1501017335</t>
  </si>
  <si>
    <t>1660217971</t>
  </si>
  <si>
    <t>7122000226</t>
  </si>
  <si>
    <t>2373005069</t>
  </si>
  <si>
    <t>5030088555</t>
  </si>
  <si>
    <t>7712034877</t>
  </si>
  <si>
    <t>3811055662</t>
  </si>
  <si>
    <t>2126003123</t>
  </si>
  <si>
    <t>463224663217</t>
  </si>
  <si>
    <t>6450038686</t>
  </si>
  <si>
    <t>636700220030</t>
  </si>
  <si>
    <t>4909131093</t>
  </si>
  <si>
    <t>400101204548</t>
  </si>
  <si>
    <t>5261074790</t>
  </si>
  <si>
    <t>2721065128</t>
  </si>
  <si>
    <t>9103070398</t>
  </si>
  <si>
    <t>2722084010</t>
  </si>
  <si>
    <t>2722095407</t>
  </si>
  <si>
    <t>6315619557</t>
  </si>
  <si>
    <t>3233504253</t>
  </si>
  <si>
    <t>7202157342</t>
  </si>
  <si>
    <t>6165239271</t>
  </si>
  <si>
    <t>330404856771</t>
  </si>
  <si>
    <t>6827022548</t>
  </si>
  <si>
    <t>5504201273</t>
  </si>
  <si>
    <t>5401957526</t>
  </si>
  <si>
    <t>5505212045</t>
  </si>
  <si>
    <t>6321289201</t>
  </si>
  <si>
    <t>2308124789</t>
  </si>
  <si>
    <t>5260136299</t>
  </si>
  <si>
    <t>3327315854</t>
  </si>
  <si>
    <t>3327826190</t>
  </si>
  <si>
    <t>4821016618</t>
  </si>
  <si>
    <t>5906086542</t>
  </si>
  <si>
    <t>2124026502</t>
  </si>
  <si>
    <t>732803066554</t>
  </si>
  <si>
    <t>5019021902</t>
  </si>
  <si>
    <t>261600979009</t>
  </si>
  <si>
    <t>614309507981</t>
  </si>
  <si>
    <t>0323411103</t>
  </si>
  <si>
    <t>5406844981</t>
  </si>
  <si>
    <t>7801703921</t>
  </si>
  <si>
    <t>5403142230</t>
  </si>
  <si>
    <t>5607046990</t>
  </si>
  <si>
    <t>2311315293</t>
  </si>
  <si>
    <t>231006313119</t>
  </si>
  <si>
    <t>5828003088</t>
  </si>
  <si>
    <t>4611009325</t>
  </si>
  <si>
    <t>1659176826</t>
  </si>
  <si>
    <t>9204016527</t>
  </si>
  <si>
    <t>3904046036</t>
  </si>
  <si>
    <t>6319710246</t>
  </si>
  <si>
    <t>5002092447</t>
  </si>
  <si>
    <t>7728442896</t>
  </si>
  <si>
    <t>2538017661</t>
  </si>
  <si>
    <t>2724167086</t>
  </si>
  <si>
    <t>2502053747</t>
  </si>
  <si>
    <t>4230013690</t>
  </si>
  <si>
    <t>2463057304</t>
  </si>
  <si>
    <t>2520010094</t>
  </si>
  <si>
    <t>6452123591</t>
  </si>
  <si>
    <t>271400670964</t>
  </si>
  <si>
    <t>3810327546</t>
  </si>
  <si>
    <t>333412028128</t>
  </si>
  <si>
    <t>773406836405</t>
  </si>
  <si>
    <t>6321303671</t>
  </si>
  <si>
    <t>7724854659</t>
  </si>
  <si>
    <t>4703177312</t>
  </si>
  <si>
    <t>2309111912</t>
  </si>
  <si>
    <t>2340020671</t>
  </si>
  <si>
    <t>2221034932</t>
  </si>
  <si>
    <t>4707025487</t>
  </si>
  <si>
    <t>3128097785</t>
  </si>
  <si>
    <t>1435170472</t>
  </si>
  <si>
    <t>5501217490</t>
  </si>
  <si>
    <t>235501621940</t>
  </si>
  <si>
    <t>631902731599</t>
  </si>
  <si>
    <t>2308196455</t>
  </si>
  <si>
    <t>1650137276</t>
  </si>
  <si>
    <t>2310200204</t>
  </si>
  <si>
    <t>6453163942</t>
  </si>
  <si>
    <t>1103036610</t>
  </si>
  <si>
    <t>320206302824</t>
  </si>
  <si>
    <t>263213243536</t>
  </si>
  <si>
    <t>5260406072</t>
  </si>
  <si>
    <t>2225198434</t>
  </si>
  <si>
    <t>5031094791</t>
  </si>
  <si>
    <t>3606002925</t>
  </si>
  <si>
    <t>3528155329</t>
  </si>
  <si>
    <t>7743105359</t>
  </si>
  <si>
    <t>7723865337</t>
  </si>
  <si>
    <t>320301637676</t>
  </si>
  <si>
    <t>6453164914</t>
  </si>
  <si>
    <t>132807141277</t>
  </si>
  <si>
    <t>5507289445</t>
  </si>
  <si>
    <t>460802483217</t>
  </si>
  <si>
    <t>7722536227</t>
  </si>
  <si>
    <t>2311237253</t>
  </si>
  <si>
    <t>151100105437</t>
  </si>
  <si>
    <t>5904280086</t>
  </si>
  <si>
    <t>7610085897</t>
  </si>
  <si>
    <t>1101111598</t>
  </si>
  <si>
    <t>6679109841</t>
  </si>
  <si>
    <t>4202029419</t>
  </si>
  <si>
    <t>910800091897</t>
  </si>
  <si>
    <t>5050111516</t>
  </si>
  <si>
    <t>4802008724</t>
  </si>
  <si>
    <t>071400034459</t>
  </si>
  <si>
    <t>7736351554</t>
  </si>
  <si>
    <t>5001095195</t>
  </si>
  <si>
    <t>7606127752</t>
  </si>
  <si>
    <t>6122020005</t>
  </si>
  <si>
    <t>6163232898</t>
  </si>
  <si>
    <t>7710951170</t>
  </si>
  <si>
    <t>7702398353</t>
  </si>
  <si>
    <t>5047138589</t>
  </si>
  <si>
    <t>150102268386</t>
  </si>
  <si>
    <t>5751053260</t>
  </si>
  <si>
    <t>312301857100</t>
  </si>
  <si>
    <t>261803158110</t>
  </si>
  <si>
    <t>782577502693</t>
  </si>
  <si>
    <t>4401090930</t>
  </si>
  <si>
    <t>7726301113</t>
  </si>
  <si>
    <t>220300048989</t>
  </si>
  <si>
    <t>4324008335</t>
  </si>
  <si>
    <t>4826022196</t>
  </si>
  <si>
    <t>2636049485</t>
  </si>
  <si>
    <t>5406712093</t>
  </si>
  <si>
    <t>7723729944</t>
  </si>
  <si>
    <t>5031085885</t>
  </si>
  <si>
    <t>7743919164</t>
  </si>
  <si>
    <t>1841070255</t>
  </si>
  <si>
    <t>3808198075</t>
  </si>
  <si>
    <t>5034012973</t>
  </si>
  <si>
    <t>220500259063</t>
  </si>
  <si>
    <t>5409113098</t>
  </si>
  <si>
    <t>2464238470</t>
  </si>
  <si>
    <t>5012072383</t>
  </si>
  <si>
    <t>4307017594</t>
  </si>
  <si>
    <t>2511117281</t>
  </si>
  <si>
    <t>6141021477</t>
  </si>
  <si>
    <t>2130121793</t>
  </si>
  <si>
    <t>4221012971</t>
  </si>
  <si>
    <t>6161098076</t>
  </si>
  <si>
    <t>0573012140</t>
  </si>
  <si>
    <t>6319037334</t>
  </si>
  <si>
    <t>130300522169</t>
  </si>
  <si>
    <t>420532403580</t>
  </si>
  <si>
    <t>6312069707</t>
  </si>
  <si>
    <t>2801240230</t>
  </si>
  <si>
    <t>2308119605</t>
  </si>
  <si>
    <t>7710641442</t>
  </si>
  <si>
    <t>7715427682</t>
  </si>
  <si>
    <t>6451128364</t>
  </si>
  <si>
    <t>2337035036</t>
  </si>
  <si>
    <t>610109657848</t>
  </si>
  <si>
    <t>5024070454</t>
  </si>
  <si>
    <t>5075017434</t>
  </si>
  <si>
    <t>6027088290</t>
  </si>
  <si>
    <t>6453148479</t>
  </si>
  <si>
    <t>2311242609</t>
  </si>
  <si>
    <t>5902850365</t>
  </si>
  <si>
    <t>5024172985</t>
  </si>
  <si>
    <t>0273907969</t>
  </si>
  <si>
    <t>7106083225</t>
  </si>
  <si>
    <t>5906086888</t>
  </si>
  <si>
    <t>2460058998</t>
  </si>
  <si>
    <t>5257158327</t>
  </si>
  <si>
    <t>5504121444</t>
  </si>
  <si>
    <t>7724778359</t>
  </si>
  <si>
    <t>612200482870</t>
  </si>
  <si>
    <t>262603465010</t>
  </si>
  <si>
    <t>5908041850</t>
  </si>
  <si>
    <t>7723884650</t>
  </si>
  <si>
    <t>151302547702</t>
  </si>
  <si>
    <t>231101937090</t>
  </si>
  <si>
    <t>7713469334</t>
  </si>
  <si>
    <t>0275912643</t>
  </si>
  <si>
    <t>236502184438</t>
  </si>
  <si>
    <t>9718073080</t>
  </si>
  <si>
    <t>2311242373</t>
  </si>
  <si>
    <t>6659219691</t>
  </si>
  <si>
    <t>7814164723</t>
  </si>
  <si>
    <t>9102163000</t>
  </si>
  <si>
    <t>9201013415</t>
  </si>
  <si>
    <t>5260245562</t>
  </si>
  <si>
    <t>2327002578</t>
  </si>
  <si>
    <t>7743680493</t>
  </si>
  <si>
    <t>572200115561</t>
  </si>
  <si>
    <t>261803502451</t>
  </si>
  <si>
    <t>360201542634</t>
  </si>
  <si>
    <t>9102278121</t>
  </si>
  <si>
    <t>5752082513</t>
  </si>
  <si>
    <t>1656073445</t>
  </si>
  <si>
    <t>3123001987</t>
  </si>
  <si>
    <t>5020031366</t>
  </si>
  <si>
    <t>9705163561</t>
  </si>
  <si>
    <t>4619005114</t>
  </si>
  <si>
    <t>9102269448</t>
  </si>
  <si>
    <t>9110003850</t>
  </si>
  <si>
    <t>2311221856</t>
  </si>
  <si>
    <t>3443012297</t>
  </si>
  <si>
    <t>7816735549</t>
  </si>
  <si>
    <t>7811774093</t>
  </si>
  <si>
    <t>1655169916</t>
  </si>
  <si>
    <t>6168072366</t>
  </si>
  <si>
    <t>9731012199</t>
  </si>
  <si>
    <t>7708702666</t>
  </si>
  <si>
    <t>5905265683</t>
  </si>
  <si>
    <t>5036113367</t>
  </si>
  <si>
    <t>3666260617</t>
  </si>
  <si>
    <t>262813431882</t>
  </si>
  <si>
    <t>7805286404</t>
  </si>
  <si>
    <t>5903110437</t>
  </si>
  <si>
    <t>1513065326</t>
  </si>
  <si>
    <t>5904196606</t>
  </si>
  <si>
    <t>3460081558</t>
  </si>
  <si>
    <t>7701722293</t>
  </si>
  <si>
    <t>5906086535</t>
  </si>
  <si>
    <t>5249081230</t>
  </si>
  <si>
    <t>2320251222</t>
  </si>
  <si>
    <t>9111012270</t>
  </si>
  <si>
    <t>6318174560</t>
  </si>
  <si>
    <t>640201090260</t>
  </si>
  <si>
    <t>222508776331</t>
  </si>
  <si>
    <t>5452116190</t>
  </si>
  <si>
    <t>4726002975</t>
  </si>
  <si>
    <t>2312262615</t>
  </si>
  <si>
    <t>7705343433</t>
  </si>
  <si>
    <t>2921127879</t>
  </si>
  <si>
    <t>7839469131</t>
  </si>
  <si>
    <t>7840054942</t>
  </si>
  <si>
    <t>5906139794</t>
  </si>
  <si>
    <t>0257014051</t>
  </si>
  <si>
    <t>7820310299</t>
  </si>
  <si>
    <t>6501038623</t>
  </si>
  <si>
    <t>6501290485</t>
  </si>
  <si>
    <t>7017466762</t>
  </si>
  <si>
    <t>2537037591</t>
  </si>
  <si>
    <t>0278036377</t>
  </si>
  <si>
    <t>744708719394</t>
  </si>
  <si>
    <t>544505317704</t>
  </si>
  <si>
    <t>2466283527</t>
  </si>
  <si>
    <t>5424951665</t>
  </si>
  <si>
    <t>090902252035</t>
  </si>
  <si>
    <t>7729735292</t>
  </si>
  <si>
    <t>4632045966</t>
  </si>
  <si>
    <t>2722060740</t>
  </si>
  <si>
    <t>450110070733</t>
  </si>
  <si>
    <t>2724155394</t>
  </si>
  <si>
    <t>3230007119</t>
  </si>
  <si>
    <t>5402036790</t>
  </si>
  <si>
    <t>4230033872</t>
  </si>
  <si>
    <t>2373005076</t>
  </si>
  <si>
    <t>7733709256</t>
  </si>
  <si>
    <t>9102260029</t>
  </si>
  <si>
    <t>1515921501</t>
  </si>
  <si>
    <t>463240392204</t>
  </si>
  <si>
    <t>3906115197</t>
  </si>
  <si>
    <t>3123036482</t>
  </si>
  <si>
    <t>5022559200</t>
  </si>
  <si>
    <t>4217146404</t>
  </si>
  <si>
    <t>5072000680</t>
  </si>
  <si>
    <t>5906126795</t>
  </si>
  <si>
    <t>6658518667</t>
  </si>
  <si>
    <t>1435146818</t>
  </si>
  <si>
    <t>2308218885</t>
  </si>
  <si>
    <t>5504206024</t>
  </si>
  <si>
    <t>610903459609</t>
  </si>
  <si>
    <t>6226004914</t>
  </si>
  <si>
    <t>9102037817</t>
  </si>
  <si>
    <t>1650016360</t>
  </si>
  <si>
    <t>1661022911</t>
  </si>
  <si>
    <t>2319058136</t>
  </si>
  <si>
    <t>341302409483</t>
  </si>
  <si>
    <t>7203252630</t>
  </si>
  <si>
    <t>9104031930</t>
  </si>
  <si>
    <t>5007080251</t>
  </si>
  <si>
    <t>382800535671</t>
  </si>
  <si>
    <t>9107036084</t>
  </si>
  <si>
    <t>5030054034</t>
  </si>
  <si>
    <t>6166112687</t>
  </si>
  <si>
    <t>0721018808</t>
  </si>
  <si>
    <t>6166074953</t>
  </si>
  <si>
    <t>5043052820</t>
  </si>
  <si>
    <t>462902365556</t>
  </si>
  <si>
    <t>2466233830</t>
  </si>
  <si>
    <t>7705607887</t>
  </si>
  <si>
    <t>8602269518</t>
  </si>
  <si>
    <t>2311177597</t>
  </si>
  <si>
    <t>6685031424</t>
  </si>
  <si>
    <t>5404027293</t>
  </si>
  <si>
    <t>4230000436</t>
  </si>
  <si>
    <t>0700001842</t>
  </si>
  <si>
    <t>9203545824</t>
  </si>
  <si>
    <t>5753061587</t>
  </si>
  <si>
    <t>7723521600</t>
  </si>
  <si>
    <t>6315637891</t>
  </si>
  <si>
    <t>5025030246</t>
  </si>
  <si>
    <t>5074091153</t>
  </si>
  <si>
    <t>9105010570</t>
  </si>
  <si>
    <t>7709723274</t>
  </si>
  <si>
    <t>5445015346</t>
  </si>
  <si>
    <t>1834051861</t>
  </si>
  <si>
    <t>5916030161</t>
  </si>
  <si>
    <t>6514009524</t>
  </si>
  <si>
    <t>4725000407</t>
  </si>
  <si>
    <t>6452124997</t>
  </si>
  <si>
    <t>6800011891</t>
  </si>
  <si>
    <t>544505035403</t>
  </si>
  <si>
    <t>6122007396</t>
  </si>
  <si>
    <t>2223031172</t>
  </si>
  <si>
    <t>550113994373</t>
  </si>
  <si>
    <t>910900095729</t>
  </si>
  <si>
    <t>7500024436</t>
  </si>
  <si>
    <t>6802003590</t>
  </si>
  <si>
    <t>2460202627</t>
  </si>
  <si>
    <t>6722000089</t>
  </si>
  <si>
    <t>6122019715</t>
  </si>
  <si>
    <t>6452127074</t>
  </si>
  <si>
    <t>7838435820</t>
  </si>
  <si>
    <t>9724043037</t>
  </si>
  <si>
    <t>151602806725</t>
  </si>
  <si>
    <t>550116244749</t>
  </si>
  <si>
    <t>6168071436</t>
  </si>
  <si>
    <t>2204092892</t>
  </si>
  <si>
    <t>390602906775</t>
  </si>
  <si>
    <t>9102236756</t>
  </si>
  <si>
    <t>1841054694</t>
  </si>
  <si>
    <t>6658501504</t>
  </si>
  <si>
    <t>7721189203</t>
  </si>
  <si>
    <t>550200008740</t>
  </si>
  <si>
    <t>2308217200</t>
  </si>
  <si>
    <t>3662094373</t>
  </si>
  <si>
    <t>5751019438</t>
  </si>
  <si>
    <t>4824064024</t>
  </si>
  <si>
    <t>312825165467</t>
  </si>
  <si>
    <t>0816030095</t>
  </si>
  <si>
    <t>3310002469</t>
  </si>
  <si>
    <t>9204508110</t>
  </si>
  <si>
    <t>7710496700</t>
  </si>
  <si>
    <t>9718014983</t>
  </si>
  <si>
    <t>7802699523</t>
  </si>
  <si>
    <t>3662283966</t>
  </si>
  <si>
    <t>635002333810</t>
  </si>
  <si>
    <t>4003033989</t>
  </si>
  <si>
    <t>1500020825</t>
  </si>
  <si>
    <t>7713666808</t>
  </si>
  <si>
    <t>5752201190</t>
  </si>
  <si>
    <t>1655482068</t>
  </si>
  <si>
    <t>6315637806</t>
  </si>
  <si>
    <t>3665116392</t>
  </si>
  <si>
    <t>5504242840</t>
  </si>
  <si>
    <t>7203036340</t>
  </si>
  <si>
    <t>7720023269</t>
  </si>
  <si>
    <t>4230032244</t>
  </si>
  <si>
    <t>2724203369</t>
  </si>
  <si>
    <t>6439092457</t>
  </si>
  <si>
    <t>0326544302</t>
  </si>
  <si>
    <t>572500119165</t>
  </si>
  <si>
    <t>6318162011</t>
  </si>
  <si>
    <t>6311110328</t>
  </si>
  <si>
    <t>5751005040</t>
  </si>
  <si>
    <t>7734345467</t>
  </si>
  <si>
    <t>2465174606</t>
  </si>
  <si>
    <t>5903090300</t>
  </si>
  <si>
    <t>7203271048</t>
  </si>
  <si>
    <t>1628007970</t>
  </si>
  <si>
    <t>3801147145</t>
  </si>
  <si>
    <t>4217146387</t>
  </si>
  <si>
    <t>4217146394</t>
  </si>
  <si>
    <t>7018021477</t>
  </si>
  <si>
    <t>312302054836</t>
  </si>
  <si>
    <t>2222837890</t>
  </si>
  <si>
    <t>1903016067</t>
  </si>
  <si>
    <t>6155064128</t>
  </si>
  <si>
    <t>7329034060</t>
  </si>
  <si>
    <t>3305719564</t>
  </si>
  <si>
    <t>2123012338</t>
  </si>
  <si>
    <t>732191701870</t>
  </si>
  <si>
    <t>6234180254</t>
  </si>
  <si>
    <t>5024140567</t>
  </si>
  <si>
    <t>6166112662</t>
  </si>
  <si>
    <t>1701061123</t>
  </si>
  <si>
    <t>5001113493</t>
  </si>
  <si>
    <t>6315637122</t>
  </si>
  <si>
    <t>7128500722</t>
  </si>
  <si>
    <t>5803012468</t>
  </si>
  <si>
    <t>6234128670</t>
  </si>
  <si>
    <t>9110027996</t>
  </si>
  <si>
    <t>7814431591</t>
  </si>
  <si>
    <t>2635020395</t>
  </si>
  <si>
    <t>2724207973</t>
  </si>
  <si>
    <t>7731082971</t>
  </si>
  <si>
    <t>672702290009</t>
  </si>
  <si>
    <t>7328047637</t>
  </si>
  <si>
    <t>4205389561</t>
  </si>
  <si>
    <t>2373007450</t>
  </si>
  <si>
    <t>9718164298</t>
  </si>
  <si>
    <t>6350021985</t>
  </si>
  <si>
    <t>6166127940</t>
  </si>
  <si>
    <t>5024100719</t>
  </si>
  <si>
    <t>5610242970</t>
  </si>
  <si>
    <t>1831197654</t>
  </si>
  <si>
    <t>4705032746</t>
  </si>
  <si>
    <t>2724236773</t>
  </si>
  <si>
    <t>6166112969</t>
  </si>
  <si>
    <t>6166074939</t>
  </si>
  <si>
    <t>231304995192</t>
  </si>
  <si>
    <t>150500834633</t>
  </si>
  <si>
    <t>6722021240</t>
  </si>
  <si>
    <t>5258128981</t>
  </si>
  <si>
    <t>6164289657</t>
  </si>
  <si>
    <t>2367037714</t>
  </si>
  <si>
    <t>7733778644</t>
  </si>
  <si>
    <t>2466220291</t>
  </si>
  <si>
    <t>4823022007</t>
  </si>
  <si>
    <t>6319151654</t>
  </si>
  <si>
    <t>5473008767</t>
  </si>
  <si>
    <t>6726022848</t>
  </si>
  <si>
    <t>6321110574</t>
  </si>
  <si>
    <t>7802844019</t>
  </si>
  <si>
    <t>773118455442</t>
  </si>
  <si>
    <t>4513001769</t>
  </si>
  <si>
    <t>7736337422</t>
  </si>
  <si>
    <t>9723093966</t>
  </si>
  <si>
    <t>7720715037</t>
  </si>
  <si>
    <t>5405452565</t>
  </si>
  <si>
    <t>1515922470</t>
  </si>
  <si>
    <t>5908077832</t>
  </si>
  <si>
    <t>0323374846</t>
  </si>
  <si>
    <t>616613147119</t>
  </si>
  <si>
    <t>6454131608</t>
  </si>
  <si>
    <t>6909008760</t>
  </si>
  <si>
    <t>2311334923</t>
  </si>
  <si>
    <t>5017123480</t>
  </si>
  <si>
    <t>7606077043</t>
  </si>
  <si>
    <t>344801920882</t>
  </si>
  <si>
    <t>6316161654</t>
  </si>
  <si>
    <t>6213014136</t>
  </si>
  <si>
    <t>701701549583</t>
  </si>
  <si>
    <t>4632047297</t>
  </si>
  <si>
    <t>7203539383</t>
  </si>
  <si>
    <t>6315619589</t>
  </si>
  <si>
    <t>7806232391</t>
  </si>
  <si>
    <t>3662214289</t>
  </si>
  <si>
    <t>7716944620</t>
  </si>
  <si>
    <t>6713011856</t>
  </si>
  <si>
    <t>7721813037</t>
  </si>
  <si>
    <t>7720477833</t>
  </si>
  <si>
    <t>3616025329</t>
  </si>
  <si>
    <t>0554002370</t>
  </si>
  <si>
    <t>420900305030</t>
  </si>
  <si>
    <t>5074023259</t>
  </si>
  <si>
    <t>3328411688</t>
  </si>
  <si>
    <t>7715677080</t>
  </si>
  <si>
    <t>3252007433</t>
  </si>
  <si>
    <t>2310174829</t>
  </si>
  <si>
    <t>0571008484</t>
  </si>
  <si>
    <t>323208850109</t>
  </si>
  <si>
    <t>781709822193</t>
  </si>
  <si>
    <t>7743104394</t>
  </si>
  <si>
    <t>5904196476</t>
  </si>
  <si>
    <t>5050115574</t>
  </si>
  <si>
    <t>2309141018</t>
  </si>
  <si>
    <t>5105090650</t>
  </si>
  <si>
    <t>0550006133</t>
  </si>
  <si>
    <t>460900016059</t>
  </si>
  <si>
    <t>5103301129</t>
  </si>
  <si>
    <t>7224088491</t>
  </si>
  <si>
    <t>246008965267</t>
  </si>
  <si>
    <t>7313011525</t>
  </si>
  <si>
    <t>2510004398</t>
  </si>
  <si>
    <t>6312053182</t>
  </si>
  <si>
    <t>2312262911</t>
  </si>
  <si>
    <t>6673189431</t>
  </si>
  <si>
    <t>262100728873</t>
  </si>
  <si>
    <t>422200149397</t>
  </si>
  <si>
    <t>1650081538</t>
  </si>
  <si>
    <t>3664114730</t>
  </si>
  <si>
    <t>2724110354</t>
  </si>
  <si>
    <t>4205407669</t>
  </si>
  <si>
    <t>615500943090</t>
  </si>
  <si>
    <t>344600461131</t>
  </si>
  <si>
    <t>631903094864</t>
  </si>
  <si>
    <t>6311130275</t>
  </si>
  <si>
    <t>5501201317</t>
  </si>
  <si>
    <t>7729050901</t>
  </si>
  <si>
    <t>5604032149</t>
  </si>
  <si>
    <t>9729278681</t>
  </si>
  <si>
    <t>150102061261</t>
  </si>
  <si>
    <t>6166069696</t>
  </si>
  <si>
    <t>231700679497</t>
  </si>
  <si>
    <t>332901026090</t>
  </si>
  <si>
    <t>7806432601</t>
  </si>
  <si>
    <t>2221019606</t>
  </si>
  <si>
    <t>6670059843</t>
  </si>
  <si>
    <t>1433031836</t>
  </si>
  <si>
    <t>2703061956</t>
  </si>
  <si>
    <t>9715414535</t>
  </si>
  <si>
    <t>2311241316</t>
  </si>
  <si>
    <t>2720030027</t>
  </si>
  <si>
    <t>2464128646</t>
  </si>
  <si>
    <t>553000048187</t>
  </si>
  <si>
    <t>525617721745</t>
  </si>
  <si>
    <t>6950178265</t>
  </si>
  <si>
    <t>4404004311</t>
  </si>
  <si>
    <t>2510011194</t>
  </si>
  <si>
    <t>3801063304</t>
  </si>
  <si>
    <t>2336011970</t>
  </si>
  <si>
    <t>7707355441</t>
  </si>
  <si>
    <t>3201000327</t>
  </si>
  <si>
    <t>550502319283</t>
  </si>
  <si>
    <t>7608039340</t>
  </si>
  <si>
    <t>8602141405</t>
  </si>
  <si>
    <t>5403362764</t>
  </si>
  <si>
    <t>5012079068</t>
  </si>
  <si>
    <t>5410087692</t>
  </si>
  <si>
    <t>5610219642</t>
  </si>
  <si>
    <t>6154164176</t>
  </si>
  <si>
    <t>7719591210</t>
  </si>
  <si>
    <t>3435147678</t>
  </si>
  <si>
    <t>3817027703</t>
  </si>
  <si>
    <t>3665104372</t>
  </si>
  <si>
    <t>1646010157</t>
  </si>
  <si>
    <t>2539074817</t>
  </si>
  <si>
    <t>4218105425</t>
  </si>
  <si>
    <t>1433028960</t>
  </si>
  <si>
    <t>7820003322</t>
  </si>
  <si>
    <t>2310200613</t>
  </si>
  <si>
    <t>9201016367</t>
  </si>
  <si>
    <t>4027034318</t>
  </si>
  <si>
    <t>7702397455</t>
  </si>
  <si>
    <t>231517245187</t>
  </si>
  <si>
    <t>5700000260</t>
  </si>
  <si>
    <t>390613814477</t>
  </si>
  <si>
    <t>7802726022</t>
  </si>
  <si>
    <t>2367027473</t>
  </si>
  <si>
    <t>5431105977</t>
  </si>
  <si>
    <t>5837066084</t>
  </si>
  <si>
    <t>5751055549</t>
  </si>
  <si>
    <t>2465354616</t>
  </si>
  <si>
    <t>421101282999</t>
  </si>
  <si>
    <t>7453295531</t>
  </si>
  <si>
    <t>5032262061</t>
  </si>
  <si>
    <t>920150453014</t>
  </si>
  <si>
    <t>2301088387</t>
  </si>
  <si>
    <t>7723912435</t>
  </si>
  <si>
    <t>3628008712</t>
  </si>
  <si>
    <t>7810068296</t>
  </si>
  <si>
    <t>2636087829</t>
  </si>
  <si>
    <t>5250039698</t>
  </si>
  <si>
    <t>3230005312</t>
  </si>
  <si>
    <t>3128009179</t>
  </si>
  <si>
    <t>056000069735</t>
  </si>
  <si>
    <t>6164224554</t>
  </si>
  <si>
    <t>151101585257</t>
  </si>
  <si>
    <t>544512075044</t>
  </si>
  <si>
    <t>402800810760</t>
  </si>
  <si>
    <t>5902862610</t>
  </si>
  <si>
    <t>9111021355</t>
  </si>
  <si>
    <t>2302061194</t>
  </si>
  <si>
    <t>7816557790</t>
  </si>
  <si>
    <t>5906146600</t>
  </si>
  <si>
    <t>9203545775</t>
  </si>
  <si>
    <t>9705190974</t>
  </si>
  <si>
    <t>0545026575</t>
  </si>
  <si>
    <t>3620010526</t>
  </si>
  <si>
    <t>5260398400</t>
  </si>
  <si>
    <t>7017467050</t>
  </si>
  <si>
    <t>5047301362</t>
  </si>
  <si>
    <t>7106040020</t>
  </si>
  <si>
    <t>7724397441</t>
  </si>
  <si>
    <t>4632014220</t>
  </si>
  <si>
    <t>2373006418</t>
  </si>
  <si>
    <t>7727696961</t>
  </si>
  <si>
    <t>7819042775</t>
  </si>
  <si>
    <t>7720292600</t>
  </si>
  <si>
    <t>5043065851</t>
  </si>
  <si>
    <t>402707443989</t>
  </si>
  <si>
    <t>9723198278</t>
  </si>
  <si>
    <t>7806468196</t>
  </si>
  <si>
    <t>7713695615</t>
  </si>
  <si>
    <t>071100174335</t>
  </si>
  <si>
    <t>7205022390</t>
  </si>
  <si>
    <t>5907998615</t>
  </si>
  <si>
    <t>6150024869</t>
  </si>
  <si>
    <t>370212291072</t>
  </si>
  <si>
    <t>9102280480</t>
  </si>
  <si>
    <t>644910942683</t>
  </si>
  <si>
    <t>2223639387</t>
  </si>
  <si>
    <t>9106000335</t>
  </si>
  <si>
    <t>6319151774</t>
  </si>
  <si>
    <t>450107067138</t>
  </si>
  <si>
    <t>3601006482</t>
  </si>
  <si>
    <t>9203008139</t>
  </si>
  <si>
    <t>0323346824</t>
  </si>
  <si>
    <t>5446020645</t>
  </si>
  <si>
    <t>9106000310</t>
  </si>
  <si>
    <t>5403051261</t>
  </si>
  <si>
    <t>3808138301</t>
  </si>
  <si>
    <t>2330035735</t>
  </si>
  <si>
    <t>2428004155</t>
  </si>
  <si>
    <t>5651021419</t>
  </si>
  <si>
    <t>6820015196</t>
  </si>
  <si>
    <t>7722319430</t>
  </si>
  <si>
    <t>614301557290</t>
  </si>
  <si>
    <t>7802697886</t>
  </si>
  <si>
    <t>6316110096</t>
  </si>
  <si>
    <t>4629049054</t>
  </si>
  <si>
    <t>2301097462</t>
  </si>
  <si>
    <t>6671048146</t>
  </si>
  <si>
    <t>590315536910</t>
  </si>
  <si>
    <t>6165076884</t>
  </si>
  <si>
    <t>5321059679</t>
  </si>
  <si>
    <t>0725031327</t>
  </si>
  <si>
    <t>7724328977</t>
  </si>
  <si>
    <t>7806358228</t>
  </si>
  <si>
    <t>9725063558</t>
  </si>
  <si>
    <t>262702165723</t>
  </si>
  <si>
    <t>6658554055</t>
  </si>
  <si>
    <t>4632192826</t>
  </si>
  <si>
    <t>231104421440</t>
  </si>
  <si>
    <t>5010007773</t>
  </si>
  <si>
    <t>230900454812</t>
  </si>
  <si>
    <t>071500577145</t>
  </si>
  <si>
    <t>6800013017</t>
  </si>
  <si>
    <t>5258157580</t>
  </si>
  <si>
    <t>224802279828</t>
  </si>
  <si>
    <t>233002711761</t>
  </si>
  <si>
    <t>0917040572</t>
  </si>
  <si>
    <t>6453150767</t>
  </si>
  <si>
    <t>615147307748</t>
  </si>
  <si>
    <t>7801073388</t>
  </si>
  <si>
    <t>5027168240</t>
  </si>
  <si>
    <t>2320226650</t>
  </si>
  <si>
    <t>6454036873</t>
  </si>
  <si>
    <t>6111984791</t>
  </si>
  <si>
    <t>3652012879</t>
  </si>
  <si>
    <t>6166112694</t>
  </si>
  <si>
    <t>6311109989</t>
  </si>
  <si>
    <t>7751160265</t>
  </si>
  <si>
    <t>5252034180</t>
  </si>
  <si>
    <t>312301594204</t>
  </si>
  <si>
    <t>583408956515</t>
  </si>
  <si>
    <t>5034015237</t>
  </si>
  <si>
    <t>2315225643</t>
  </si>
  <si>
    <t>5017124275</t>
  </si>
  <si>
    <t>6674334297</t>
  </si>
  <si>
    <t>344800984940</t>
  </si>
  <si>
    <t>2372027790</t>
  </si>
  <si>
    <t>3123458269</t>
  </si>
  <si>
    <t>6376023987</t>
  </si>
  <si>
    <t>7715633822</t>
  </si>
  <si>
    <t>462003016756</t>
  </si>
  <si>
    <t>2367014690</t>
  </si>
  <si>
    <t>9102288722</t>
  </si>
  <si>
    <t>581202781314</t>
  </si>
  <si>
    <t>3664068185</t>
  </si>
  <si>
    <t>5262295174</t>
  </si>
  <si>
    <t>5036163329</t>
  </si>
  <si>
    <t>3123337761</t>
  </si>
  <si>
    <t>5835063641</t>
  </si>
  <si>
    <t>7714635601</t>
  </si>
  <si>
    <t>2721128441</t>
  </si>
  <si>
    <t>6316237783</t>
  </si>
  <si>
    <t>5836308742</t>
  </si>
  <si>
    <t>5406181780</t>
  </si>
  <si>
    <t>9724002714</t>
  </si>
  <si>
    <t>3119003036</t>
  </si>
  <si>
    <t>7718698722</t>
  </si>
  <si>
    <t>0323116228</t>
  </si>
  <si>
    <t>7733236560</t>
  </si>
  <si>
    <t>682502490409</t>
  </si>
  <si>
    <t>6915005661</t>
  </si>
  <si>
    <t>611803163462</t>
  </si>
  <si>
    <t>032500079749</t>
  </si>
  <si>
    <t>614000606465</t>
  </si>
  <si>
    <t>524301167328</t>
  </si>
  <si>
    <t>7701369310</t>
  </si>
  <si>
    <t>166107499440</t>
  </si>
  <si>
    <t>5638073055</t>
  </si>
  <si>
    <t>5009127201</t>
  </si>
  <si>
    <t>4217146370</t>
  </si>
  <si>
    <t>2502051690</t>
  </si>
  <si>
    <t>1901111188</t>
  </si>
  <si>
    <t>6321468786</t>
  </si>
  <si>
    <t>6143038532</t>
  </si>
  <si>
    <t>2464261510</t>
  </si>
  <si>
    <t>5403055185</t>
  </si>
  <si>
    <t>6652030048</t>
  </si>
  <si>
    <t>6325041515</t>
  </si>
  <si>
    <t>2463029917</t>
  </si>
  <si>
    <t>7715946600</t>
  </si>
  <si>
    <t>6450927244</t>
  </si>
  <si>
    <t>323212645448</t>
  </si>
  <si>
    <t>3651010149</t>
  </si>
  <si>
    <t>5042142944</t>
  </si>
  <si>
    <t>8602161472</t>
  </si>
  <si>
    <t>246102584100</t>
  </si>
  <si>
    <t>5404341397</t>
  </si>
  <si>
    <t>3102046610</t>
  </si>
  <si>
    <t>9102252973</t>
  </si>
  <si>
    <t>910912630811</t>
  </si>
  <si>
    <t>7715517826</t>
  </si>
  <si>
    <t>5406252833</t>
  </si>
  <si>
    <t>6312069305</t>
  </si>
  <si>
    <t>553401365786</t>
  </si>
  <si>
    <t>381602196908</t>
  </si>
  <si>
    <t>7721737555</t>
  </si>
  <si>
    <t>744500262013</t>
  </si>
  <si>
    <t>6316259160</t>
  </si>
  <si>
    <t>4202053330</t>
  </si>
  <si>
    <t>2311089630</t>
  </si>
  <si>
    <t>5603045000</t>
  </si>
  <si>
    <t>9715000284</t>
  </si>
  <si>
    <t>3816032651</t>
  </si>
  <si>
    <t>0278124390</t>
  </si>
  <si>
    <t>311901786964</t>
  </si>
  <si>
    <t>4025073784</t>
  </si>
  <si>
    <t>7701047916</t>
  </si>
  <si>
    <t>5009121560</t>
  </si>
  <si>
    <t>7708639358</t>
  </si>
  <si>
    <t>366502131332</t>
  </si>
  <si>
    <t>381800153744</t>
  </si>
  <si>
    <t>3661037485</t>
  </si>
  <si>
    <t>2464230625</t>
  </si>
  <si>
    <t>6350008920</t>
  </si>
  <si>
    <t>7017105710</t>
  </si>
  <si>
    <t>6924002152</t>
  </si>
  <si>
    <t>2329014392</t>
  </si>
  <si>
    <t>1513001650</t>
  </si>
  <si>
    <t>3232025258</t>
  </si>
  <si>
    <t>0105031038</t>
  </si>
  <si>
    <t>615403933636</t>
  </si>
  <si>
    <t>9203545630</t>
  </si>
  <si>
    <t>9102042038</t>
  </si>
  <si>
    <t>910226030400</t>
  </si>
  <si>
    <t>7719727285</t>
  </si>
  <si>
    <t>5246015398</t>
  </si>
  <si>
    <t>1650209682</t>
  </si>
  <si>
    <t>4823036112</t>
  </si>
  <si>
    <t>7720496674</t>
  </si>
  <si>
    <t>5005061052</t>
  </si>
  <si>
    <t>4029049486</t>
  </si>
  <si>
    <t>6150052009</t>
  </si>
  <si>
    <t>9102157582</t>
  </si>
  <si>
    <t>4703148953</t>
  </si>
  <si>
    <t>5260409563</t>
  </si>
  <si>
    <t>7224088413</t>
  </si>
  <si>
    <t>5050057940</t>
  </si>
  <si>
    <t>6829109339</t>
  </si>
  <si>
    <t>6829085688</t>
  </si>
  <si>
    <t>771875998775</t>
  </si>
  <si>
    <t>2505007756</t>
  </si>
  <si>
    <t>4240007582</t>
  </si>
  <si>
    <t>6319152129</t>
  </si>
  <si>
    <t>2724040442</t>
  </si>
  <si>
    <t>6324030969</t>
  </si>
  <si>
    <t>3115002578</t>
  </si>
  <si>
    <t>5239011226</t>
  </si>
  <si>
    <t>9102063493</t>
  </si>
  <si>
    <t>2536215700</t>
  </si>
  <si>
    <t>7017024820</t>
  </si>
  <si>
    <t>7536085640</t>
  </si>
  <si>
    <t>1433020930</t>
  </si>
  <si>
    <t>2346008550</t>
  </si>
  <si>
    <t>7604398637</t>
  </si>
  <si>
    <t>246515706102</t>
  </si>
  <si>
    <t>6321244088</t>
  </si>
  <si>
    <t>5507078814</t>
  </si>
  <si>
    <t>550404856272</t>
  </si>
  <si>
    <t>7017210094</t>
  </si>
  <si>
    <t>5410018258</t>
  </si>
  <si>
    <t>5258151839</t>
  </si>
  <si>
    <t>222200320754</t>
  </si>
  <si>
    <t>5038132598</t>
  </si>
  <si>
    <t>366211787803</t>
  </si>
  <si>
    <t>450142586601</t>
  </si>
  <si>
    <t>2901302603</t>
  </si>
  <si>
    <t>6318133821</t>
  </si>
  <si>
    <t>1208006010</t>
  </si>
  <si>
    <t>3702239162</t>
  </si>
  <si>
    <t>4710013234</t>
  </si>
  <si>
    <t>090106906709</t>
  </si>
  <si>
    <t>2464250910</t>
  </si>
  <si>
    <t>2460228569</t>
  </si>
  <si>
    <t>2722045484</t>
  </si>
  <si>
    <t>2334024822</t>
  </si>
  <si>
    <t>5700009985</t>
  </si>
  <si>
    <t>7707818530</t>
  </si>
  <si>
    <t>7724776390</t>
  </si>
  <si>
    <t>9110034182</t>
  </si>
  <si>
    <t>5753052720</t>
  </si>
  <si>
    <t>2460116784</t>
  </si>
  <si>
    <t>7722681810</t>
  </si>
  <si>
    <t>6166112670</t>
  </si>
  <si>
    <t>5651021539</t>
  </si>
  <si>
    <t>9101005153</t>
  </si>
  <si>
    <t>5903126483</t>
  </si>
  <si>
    <t>5029042651</t>
  </si>
  <si>
    <t>150101675195</t>
  </si>
  <si>
    <t>3528291272</t>
  </si>
  <si>
    <t>2367002020</t>
  </si>
  <si>
    <t>5263140889</t>
  </si>
  <si>
    <t>7106069397</t>
  </si>
  <si>
    <t>421400248361</t>
  </si>
  <si>
    <t>7718280156</t>
  </si>
  <si>
    <t>235606747620</t>
  </si>
  <si>
    <t>3662299109</t>
  </si>
  <si>
    <t>5045028950</t>
  </si>
  <si>
    <t>3250068127</t>
  </si>
  <si>
    <t>3525404376</t>
  </si>
  <si>
    <t>5018201170</t>
  </si>
  <si>
    <t>6321330629</t>
  </si>
  <si>
    <t>2308239620</t>
  </si>
  <si>
    <t>5610222010</t>
  </si>
  <si>
    <t>6166125809</t>
  </si>
  <si>
    <t>7017466498</t>
  </si>
  <si>
    <t>9715389374</t>
  </si>
  <si>
    <t>6801003075</t>
  </si>
  <si>
    <t>5005030833</t>
  </si>
  <si>
    <t>9102254106</t>
  </si>
  <si>
    <t>7718135141</t>
  </si>
  <si>
    <t>161202549501</t>
  </si>
  <si>
    <t>7722754049</t>
  </si>
  <si>
    <t>1513082836</t>
  </si>
  <si>
    <t>4101159490</t>
  </si>
  <si>
    <t>5030058984</t>
  </si>
  <si>
    <t>2457069284</t>
  </si>
  <si>
    <t>6659088826</t>
  </si>
  <si>
    <t>1504034650</t>
  </si>
  <si>
    <t>3108008963</t>
  </si>
  <si>
    <t>7723622609</t>
  </si>
  <si>
    <t>7445002069</t>
  </si>
  <si>
    <t>910405536993</t>
  </si>
  <si>
    <t>7722316430</t>
  </si>
  <si>
    <t>0800018631</t>
  </si>
  <si>
    <t>0571018796</t>
  </si>
  <si>
    <t>222212650267</t>
  </si>
  <si>
    <t>7404042827</t>
  </si>
  <si>
    <t>5406695240</t>
  </si>
  <si>
    <t>7826691900</t>
  </si>
  <si>
    <t>7705650667</t>
  </si>
  <si>
    <t>6452069680</t>
  </si>
  <si>
    <t>1900016245</t>
  </si>
  <si>
    <t>7722385183</t>
  </si>
  <si>
    <t>7838334068</t>
  </si>
  <si>
    <t>2460116135</t>
  </si>
  <si>
    <t>5405183376</t>
  </si>
  <si>
    <t>7708382293</t>
  </si>
  <si>
    <t>4611016844</t>
  </si>
  <si>
    <t>2517010471</t>
  </si>
  <si>
    <t>5408270524</t>
  </si>
  <si>
    <t>3329098676</t>
  </si>
  <si>
    <t>6162069832</t>
  </si>
  <si>
    <t>0726025196</t>
  </si>
  <si>
    <t>1400018043</t>
  </si>
  <si>
    <t>5446012267</t>
  </si>
  <si>
    <t>025700858815</t>
  </si>
  <si>
    <t>5503206092</t>
  </si>
  <si>
    <t>1660365842</t>
  </si>
  <si>
    <t>614207843409</t>
  </si>
  <si>
    <t>6452103612</t>
  </si>
  <si>
    <t>2801274367</t>
  </si>
  <si>
    <t>9105005002</t>
  </si>
  <si>
    <t>263000485040</t>
  </si>
  <si>
    <t>5406718352</t>
  </si>
  <si>
    <t>223401822668</t>
  </si>
  <si>
    <t>5262106035</t>
  </si>
  <si>
    <t>5503215869</t>
  </si>
  <si>
    <t>151108142092</t>
  </si>
  <si>
    <t>330505746790</t>
  </si>
  <si>
    <t>9727004100</t>
  </si>
  <si>
    <t>9715371384</t>
  </si>
  <si>
    <t>7325109660</t>
  </si>
  <si>
    <t>5007032530</t>
  </si>
  <si>
    <t>0554000132</t>
  </si>
  <si>
    <t>3702239067</t>
  </si>
  <si>
    <t>246205112204</t>
  </si>
  <si>
    <t>614309888800</t>
  </si>
  <si>
    <t>5245021180</t>
  </si>
  <si>
    <t>7816566611</t>
  </si>
  <si>
    <t>461600028601</t>
  </si>
  <si>
    <t>690140014960</t>
  </si>
  <si>
    <t>7728313636</t>
  </si>
  <si>
    <t>2319060382</t>
  </si>
  <si>
    <t>5006016119</t>
  </si>
  <si>
    <t>4313009344</t>
  </si>
  <si>
    <t>3334010797</t>
  </si>
  <si>
    <t>2308107977</t>
  </si>
  <si>
    <t>5108000703</t>
  </si>
  <si>
    <t>5043016928</t>
  </si>
  <si>
    <t>7802628346</t>
  </si>
  <si>
    <t>5410056694</t>
  </si>
  <si>
    <t>6376065987</t>
  </si>
  <si>
    <t>2203009108</t>
  </si>
  <si>
    <t>6230121836</t>
  </si>
  <si>
    <t>4205097745</t>
  </si>
  <si>
    <t>6318174708</t>
  </si>
  <si>
    <t>5260403787</t>
  </si>
  <si>
    <t>6316166532</t>
  </si>
  <si>
    <t>1655210917</t>
  </si>
  <si>
    <t>7816211584</t>
  </si>
  <si>
    <t>4632237795</t>
  </si>
  <si>
    <t>5001111337</t>
  </si>
  <si>
    <t>2465002420</t>
  </si>
  <si>
    <t>3439009358</t>
  </si>
  <si>
    <t>5402044889</t>
  </si>
  <si>
    <t>262307754157</t>
  </si>
  <si>
    <t>5505210680</t>
  </si>
  <si>
    <t>7816276510</t>
  </si>
  <si>
    <t>2458012749</t>
  </si>
  <si>
    <t>0268051859</t>
  </si>
  <si>
    <t>2373007517</t>
  </si>
  <si>
    <t>7710703674</t>
  </si>
  <si>
    <t>2320226459</t>
  </si>
  <si>
    <t>7728680629</t>
  </si>
  <si>
    <t>575402182140</t>
  </si>
  <si>
    <t>6230001810</t>
  </si>
  <si>
    <t>5243044947</t>
  </si>
  <si>
    <t>7826702038</t>
  </si>
  <si>
    <t>232900436687</t>
  </si>
  <si>
    <t>7720627077</t>
  </si>
  <si>
    <t>0276145973</t>
  </si>
  <si>
    <t>910507190303</t>
  </si>
  <si>
    <t>6321236369</t>
  </si>
  <si>
    <t>6905006137</t>
  </si>
  <si>
    <t>5906127284</t>
  </si>
  <si>
    <t>7325163280</t>
  </si>
  <si>
    <t>3666201756</t>
  </si>
  <si>
    <t>7100057807</t>
  </si>
  <si>
    <t>542606496781</t>
  </si>
  <si>
    <t>3305709446</t>
  </si>
  <si>
    <t>2353001108</t>
  </si>
  <si>
    <t>7713484004</t>
  </si>
  <si>
    <t>773108879040</t>
  </si>
  <si>
    <t>312301485491</t>
  </si>
  <si>
    <t>4011026840</t>
  </si>
  <si>
    <t>2319051290</t>
  </si>
  <si>
    <t>4704072665</t>
  </si>
  <si>
    <t>3245005330</t>
  </si>
  <si>
    <t>5009127160</t>
  </si>
  <si>
    <t>1841024788</t>
  </si>
  <si>
    <t>8602273673</t>
  </si>
  <si>
    <t>027405158168</t>
  </si>
  <si>
    <t>7731241639</t>
  </si>
  <si>
    <t>2311238137</t>
  </si>
  <si>
    <t>5503212956</t>
  </si>
  <si>
    <t>2311077377</t>
  </si>
  <si>
    <t>2129008507</t>
  </si>
  <si>
    <t>5017128079</t>
  </si>
  <si>
    <t>616107947951</t>
  </si>
  <si>
    <t>9102048713</t>
  </si>
  <si>
    <t>4802005829</t>
  </si>
  <si>
    <t>2311141368</t>
  </si>
  <si>
    <t>7724205830</t>
  </si>
  <si>
    <t>0268061529</t>
  </si>
  <si>
    <t>6027079859</t>
  </si>
  <si>
    <t>7327045620</t>
  </si>
  <si>
    <t>2222876240</t>
  </si>
  <si>
    <t>320301950920</t>
  </si>
  <si>
    <t>143519617695</t>
  </si>
  <si>
    <t>2461207667</t>
  </si>
  <si>
    <t>8901043269</t>
  </si>
  <si>
    <t>4826048081</t>
  </si>
  <si>
    <t>026910694756</t>
  </si>
  <si>
    <t>5609027223</t>
  </si>
  <si>
    <t>2536284125</t>
  </si>
  <si>
    <t>4632201710</t>
  </si>
  <si>
    <t>4502022647</t>
  </si>
  <si>
    <t>3528036730</t>
  </si>
  <si>
    <t>7727832413</t>
  </si>
  <si>
    <t>7721284915</t>
  </si>
  <si>
    <t>420512783950</t>
  </si>
  <si>
    <t>6139005492</t>
  </si>
  <si>
    <t>6165231219</t>
  </si>
  <si>
    <t>3252009279</t>
  </si>
  <si>
    <t>6376066028</t>
  </si>
  <si>
    <t>3811184636</t>
  </si>
  <si>
    <t>5012101267</t>
  </si>
  <si>
    <t>5835119799</t>
  </si>
  <si>
    <t>5257133298</t>
  </si>
  <si>
    <t>3906250580</t>
  </si>
  <si>
    <t>614309889219</t>
  </si>
  <si>
    <t>2352031942</t>
  </si>
  <si>
    <t>6312200824</t>
  </si>
  <si>
    <t>7734446659</t>
  </si>
  <si>
    <t>132801749083</t>
  </si>
  <si>
    <t>7840440930</t>
  </si>
  <si>
    <t>3442047667</t>
  </si>
  <si>
    <t>7733714778</t>
  </si>
  <si>
    <t>6164114294</t>
  </si>
  <si>
    <t>2463037989</t>
  </si>
  <si>
    <t>0711031006</t>
  </si>
  <si>
    <t>2311237101</t>
  </si>
  <si>
    <t>2320167556</t>
  </si>
  <si>
    <t>7734638921</t>
  </si>
  <si>
    <t>5902212933</t>
  </si>
  <si>
    <t>331700130195</t>
  </si>
  <si>
    <t>6165098542</t>
  </si>
  <si>
    <t>7751147360</t>
  </si>
  <si>
    <t>4000012701</t>
  </si>
  <si>
    <t>151205191539</t>
  </si>
  <si>
    <t>2724219827</t>
  </si>
  <si>
    <t>2724069836</t>
  </si>
  <si>
    <t>5837017859</t>
  </si>
  <si>
    <t>616702653879</t>
  </si>
  <si>
    <t>2607021421</t>
  </si>
  <si>
    <t>090100239801</t>
  </si>
  <si>
    <t>4345294260</t>
  </si>
  <si>
    <t>262407046609</t>
  </si>
  <si>
    <t>6312053506</t>
  </si>
  <si>
    <t>4705049122</t>
  </si>
  <si>
    <t>5024139280</t>
  </si>
  <si>
    <t>2443047940</t>
  </si>
  <si>
    <t>6319710310</t>
  </si>
  <si>
    <t>342500093709</t>
  </si>
  <si>
    <t>231707679263</t>
  </si>
  <si>
    <t>5101308320</t>
  </si>
  <si>
    <t>2308270910</t>
  </si>
  <si>
    <t>6163232915</t>
  </si>
  <si>
    <t>7725360123</t>
  </si>
  <si>
    <t>5029171512</t>
  </si>
  <si>
    <t>235203994538</t>
  </si>
  <si>
    <t>9102217986</t>
  </si>
  <si>
    <t>235600941765</t>
  </si>
  <si>
    <t>616605328129</t>
  </si>
  <si>
    <t>7714960697</t>
  </si>
  <si>
    <t>7729424353</t>
  </si>
  <si>
    <t>5013001184</t>
  </si>
  <si>
    <t>5018132293</t>
  </si>
  <si>
    <t>5040067201</t>
  </si>
  <si>
    <t>6679077491</t>
  </si>
  <si>
    <t>504015101387</t>
  </si>
  <si>
    <t>910902200217</t>
  </si>
  <si>
    <t>9102230916</t>
  </si>
  <si>
    <t>6315619540</t>
  </si>
  <si>
    <t>7449120338</t>
  </si>
  <si>
    <t>0700002028</t>
  </si>
  <si>
    <t>1616016112</t>
  </si>
  <si>
    <t>6449098994</t>
  </si>
  <si>
    <t>4253023800</t>
  </si>
  <si>
    <t>3123476557</t>
  </si>
  <si>
    <t>9103016496</t>
  </si>
  <si>
    <t>7802082667</t>
  </si>
  <si>
    <t>9102156998</t>
  </si>
  <si>
    <t>2371002288</t>
  </si>
  <si>
    <t>1651080270</t>
  </si>
  <si>
    <t>6831017244</t>
  </si>
  <si>
    <t>7714454147</t>
  </si>
  <si>
    <t>7901537298</t>
  </si>
  <si>
    <t>5408017828</t>
  </si>
  <si>
    <t>6316166483</t>
  </si>
  <si>
    <t>7717292374</t>
  </si>
  <si>
    <t>3663089947</t>
  </si>
  <si>
    <t>7722846821</t>
  </si>
  <si>
    <t>6311109918</t>
  </si>
  <si>
    <t>2628058870</t>
  </si>
  <si>
    <t>056200060338</t>
  </si>
  <si>
    <t>732804984356</t>
  </si>
  <si>
    <t>4345175270</t>
  </si>
  <si>
    <t>390700344570</t>
  </si>
  <si>
    <t>5038042721</t>
  </si>
  <si>
    <t>3702227985</t>
  </si>
  <si>
    <t>7842038495</t>
  </si>
  <si>
    <t>7328070474</t>
  </si>
  <si>
    <t>5834022191</t>
  </si>
  <si>
    <t>2315232295</t>
  </si>
  <si>
    <t>7728039246</t>
  </si>
  <si>
    <t>151200281235</t>
  </si>
  <si>
    <t>2537119090</t>
  </si>
  <si>
    <t>6952021710</t>
  </si>
  <si>
    <t>5036066660</t>
  </si>
  <si>
    <t>3614011151</t>
  </si>
  <si>
    <t>6162056135</t>
  </si>
  <si>
    <t>4632161779</t>
  </si>
  <si>
    <t>7804271211</t>
  </si>
  <si>
    <t>190112832198</t>
  </si>
  <si>
    <t>8904090429</t>
  </si>
  <si>
    <t>6154017407</t>
  </si>
  <si>
    <t>1605003560</t>
  </si>
  <si>
    <t>5030004900</t>
  </si>
  <si>
    <t>6683004538</t>
  </si>
  <si>
    <t>6315012836</t>
  </si>
  <si>
    <t>5027266800</t>
  </si>
  <si>
    <t>027406127395</t>
  </si>
  <si>
    <t>1501007802</t>
  </si>
  <si>
    <t>9108128806</t>
  </si>
  <si>
    <t>7204157965</t>
  </si>
  <si>
    <t>6314035380</t>
  </si>
  <si>
    <t>5904333404</t>
  </si>
  <si>
    <t>3620005043</t>
  </si>
  <si>
    <t>400300940976</t>
  </si>
  <si>
    <t>6452098063</t>
  </si>
  <si>
    <t>2301096356</t>
  </si>
  <si>
    <t>5003141062</t>
  </si>
  <si>
    <t>1901101969</t>
  </si>
  <si>
    <t>5473008260</t>
  </si>
  <si>
    <t>222101280500</t>
  </si>
  <si>
    <t>2348025470</t>
  </si>
  <si>
    <t>6700000335</t>
  </si>
  <si>
    <t>9705198902</t>
  </si>
  <si>
    <t>9110009605</t>
  </si>
  <si>
    <t>7105500934</t>
  </si>
  <si>
    <t>6451404494</t>
  </si>
  <si>
    <t>6168048388</t>
  </si>
  <si>
    <t>165101977466</t>
  </si>
  <si>
    <t>5433180955</t>
  </si>
  <si>
    <t>6314035372</t>
  </si>
  <si>
    <t>7422034378</t>
  </si>
  <si>
    <t>9721098380</t>
  </si>
  <si>
    <t>344300296960</t>
  </si>
  <si>
    <t>503804064229</t>
  </si>
  <si>
    <t>2340012590</t>
  </si>
  <si>
    <t>6161094794</t>
  </si>
  <si>
    <t>2540267556</t>
  </si>
  <si>
    <t>1648046543</t>
  </si>
  <si>
    <t>2311229260</t>
  </si>
  <si>
    <t>1655468507</t>
  </si>
  <si>
    <t>3252501593</t>
  </si>
  <si>
    <t>1513056402</t>
  </si>
  <si>
    <t>9102280498</t>
  </si>
  <si>
    <t>910913046510</t>
  </si>
  <si>
    <t>7728881759</t>
  </si>
  <si>
    <t>673102218820</t>
  </si>
  <si>
    <t>3662279110</t>
  </si>
  <si>
    <t>5032263820</t>
  </si>
  <si>
    <t>7017466297</t>
  </si>
  <si>
    <t>614102101600</t>
  </si>
  <si>
    <t>2722128780</t>
  </si>
  <si>
    <t>2207003410</t>
  </si>
  <si>
    <t>3810047154</t>
  </si>
  <si>
    <t>1831169946</t>
  </si>
  <si>
    <t>241101125898</t>
  </si>
  <si>
    <t>1207008086</t>
  </si>
  <si>
    <t>5023009538</t>
  </si>
  <si>
    <t>3443925716</t>
  </si>
  <si>
    <t>3329048918</t>
  </si>
  <si>
    <t>1832010147</t>
  </si>
  <si>
    <t>7751308680</t>
  </si>
  <si>
    <t>9102256174</t>
  </si>
  <si>
    <t>673102138100</t>
  </si>
  <si>
    <t>2321014168</t>
  </si>
  <si>
    <t>6165225110</t>
  </si>
  <si>
    <t>3812043437</t>
  </si>
  <si>
    <t>7203516322</t>
  </si>
  <si>
    <t>381500207156</t>
  </si>
  <si>
    <t>670400050455</t>
  </si>
  <si>
    <t>220800083903</t>
  </si>
  <si>
    <t>5040041041</t>
  </si>
  <si>
    <t>9103000288</t>
  </si>
  <si>
    <t>5445012521</t>
  </si>
  <si>
    <t>6671197941</t>
  </si>
  <si>
    <t>7804152052</t>
  </si>
  <si>
    <t>5829006155</t>
  </si>
  <si>
    <t>1647009066</t>
  </si>
  <si>
    <t>0725002407</t>
  </si>
  <si>
    <t>4821006240</t>
  </si>
  <si>
    <t>7106085416</t>
  </si>
  <si>
    <t>5047043520</t>
  </si>
  <si>
    <t>0268045380</t>
  </si>
  <si>
    <t>0326044170</t>
  </si>
  <si>
    <t>090601461388</t>
  </si>
  <si>
    <t>6167133383</t>
  </si>
  <si>
    <t>026510208112</t>
  </si>
  <si>
    <t>7727326304</t>
  </si>
  <si>
    <t>6679057505</t>
  </si>
  <si>
    <t>121507351170</t>
  </si>
  <si>
    <t>344310836572</t>
  </si>
  <si>
    <t>2130142377</t>
  </si>
  <si>
    <t>6315637210</t>
  </si>
  <si>
    <t>5636022249</t>
  </si>
  <si>
    <t>5834049228</t>
  </si>
  <si>
    <t>222208633050</t>
  </si>
  <si>
    <t>3662191240</t>
  </si>
  <si>
    <t>5246030100</t>
  </si>
  <si>
    <t>463207786466</t>
  </si>
  <si>
    <t>7734474871</t>
  </si>
  <si>
    <t>5836657253</t>
  </si>
  <si>
    <t>7719499007</t>
  </si>
  <si>
    <t>3662134788</t>
  </si>
  <si>
    <t>6319710221</t>
  </si>
  <si>
    <t>212500928106</t>
  </si>
  <si>
    <t>6725013390</t>
  </si>
  <si>
    <t>6439056554</t>
  </si>
  <si>
    <t>1511017038</t>
  </si>
  <si>
    <t>7839139422</t>
  </si>
  <si>
    <t>9204548497</t>
  </si>
  <si>
    <t>7811733160</t>
  </si>
  <si>
    <t>2320179382</t>
  </si>
  <si>
    <t>6316166540</t>
  </si>
  <si>
    <t>7118504929</t>
  </si>
  <si>
    <t>0542017357</t>
  </si>
  <si>
    <t>7604380171</t>
  </si>
  <si>
    <t>614904363223</t>
  </si>
  <si>
    <t>4824057595</t>
  </si>
  <si>
    <t>3445122658</t>
  </si>
  <si>
    <t>3525257820</t>
  </si>
  <si>
    <t>5038039503</t>
  </si>
  <si>
    <t>7807257857</t>
  </si>
  <si>
    <t>261900087923</t>
  </si>
  <si>
    <t>1500011620</t>
  </si>
  <si>
    <t>772271428894</t>
  </si>
  <si>
    <t>5040083877</t>
  </si>
  <si>
    <t>7810161305</t>
  </si>
  <si>
    <t>1659112893</t>
  </si>
  <si>
    <t>3900003017</t>
  </si>
  <si>
    <t>2543178008</t>
  </si>
  <si>
    <t>2464229852</t>
  </si>
  <si>
    <t>3804045102</t>
  </si>
  <si>
    <t>8601031054</t>
  </si>
  <si>
    <t>5252008430</t>
  </si>
  <si>
    <t>631903389917</t>
  </si>
  <si>
    <t>3435800569</t>
  </si>
  <si>
    <t>5031103478</t>
  </si>
  <si>
    <t>6143015831</t>
  </si>
  <si>
    <t>1513062928</t>
  </si>
  <si>
    <t>343506305736</t>
  </si>
  <si>
    <t>560303362971</t>
  </si>
  <si>
    <t>1216012875</t>
  </si>
  <si>
    <t>2333003241</t>
  </si>
  <si>
    <t>6438006840</t>
  </si>
  <si>
    <t>614100629000</t>
  </si>
  <si>
    <t>7820326718</t>
  </si>
  <si>
    <t>2411030855</t>
  </si>
  <si>
    <t>613200348989</t>
  </si>
  <si>
    <t>6113016771</t>
  </si>
  <si>
    <t>6800013056</t>
  </si>
  <si>
    <t>6662117315</t>
  </si>
  <si>
    <t>6122019994</t>
  </si>
  <si>
    <t>7452168280</t>
  </si>
  <si>
    <t>164800008230</t>
  </si>
  <si>
    <t>1515920755</t>
  </si>
  <si>
    <t>272115066989</t>
  </si>
  <si>
    <t>6163232425</t>
  </si>
  <si>
    <t>5612069865</t>
  </si>
  <si>
    <t>6670287977</t>
  </si>
  <si>
    <t>6829115237</t>
  </si>
  <si>
    <t>7017467318</t>
  </si>
  <si>
    <t>7328509698</t>
  </si>
  <si>
    <t>6154568370</t>
  </si>
  <si>
    <t>150101213842</t>
  </si>
  <si>
    <t>621402379005</t>
  </si>
  <si>
    <t>7017467188</t>
  </si>
  <si>
    <t>4443021350</t>
  </si>
  <si>
    <t>3123211430</t>
  </si>
  <si>
    <t>6154162570</t>
  </si>
  <si>
    <t>1001146452</t>
  </si>
  <si>
    <t>6311110007</t>
  </si>
  <si>
    <t>4345399376</t>
  </si>
  <si>
    <t>3102208194</t>
  </si>
  <si>
    <t>550404033818</t>
  </si>
  <si>
    <t>5012105350</t>
  </si>
  <si>
    <t>362500576988</t>
  </si>
  <si>
    <t>262405284157</t>
  </si>
  <si>
    <t>9105016452</t>
  </si>
  <si>
    <t>7022015476</t>
  </si>
  <si>
    <t>2310008067</t>
  </si>
  <si>
    <t>5050101331</t>
  </si>
  <si>
    <t>5029272775</t>
  </si>
  <si>
    <t>6163232908</t>
  </si>
  <si>
    <t>343505681632</t>
  </si>
  <si>
    <t>3820011083</t>
  </si>
  <si>
    <t>7723733531</t>
  </si>
  <si>
    <t>6620004260</t>
  </si>
  <si>
    <t>6432013022</t>
  </si>
  <si>
    <t>771906124547</t>
  </si>
  <si>
    <t>0101000078</t>
  </si>
  <si>
    <t>7801121793</t>
  </si>
  <si>
    <t>4501098435</t>
  </si>
  <si>
    <t>1515911623</t>
  </si>
  <si>
    <t>3128007157</t>
  </si>
  <si>
    <t>3249000614</t>
  </si>
  <si>
    <t>150101107770</t>
  </si>
  <si>
    <t>4618002720</t>
  </si>
  <si>
    <t>5031159777</t>
  </si>
  <si>
    <t>612201101291</t>
  </si>
  <si>
    <t>3123224510</t>
  </si>
  <si>
    <t>271307010025</t>
  </si>
  <si>
    <t>7801153795</t>
  </si>
  <si>
    <t>6684003865</t>
  </si>
  <si>
    <t>732811373823</t>
  </si>
  <si>
    <t>9102024737</t>
  </si>
  <si>
    <t>3661085577</t>
  </si>
  <si>
    <t>7735564260</t>
  </si>
  <si>
    <t>3234044087</t>
  </si>
  <si>
    <t>7726480430</t>
  </si>
  <si>
    <t>5402085109</t>
  </si>
  <si>
    <t>2543033066</t>
  </si>
  <si>
    <t>2539039717</t>
  </si>
  <si>
    <t>7017349931</t>
  </si>
  <si>
    <t>344101329201</t>
  </si>
  <si>
    <t>5013052615</t>
  </si>
  <si>
    <t>7718633482</t>
  </si>
  <si>
    <t>7715926988</t>
  </si>
  <si>
    <t>552801943574</t>
  </si>
  <si>
    <t>2536347230</t>
  </si>
  <si>
    <t>5404391567</t>
  </si>
  <si>
    <t>032600790152</t>
  </si>
  <si>
    <t>261809212276</t>
  </si>
  <si>
    <t>4703103078</t>
  </si>
  <si>
    <t>7536179835</t>
  </si>
  <si>
    <t>5442000158</t>
  </si>
  <si>
    <t>6167064669</t>
  </si>
  <si>
    <t>6451020392</t>
  </si>
  <si>
    <t>5800008054</t>
  </si>
  <si>
    <t>5407979389</t>
  </si>
  <si>
    <t>1648003719</t>
  </si>
  <si>
    <t>7842107491</t>
  </si>
  <si>
    <t>0268027790</t>
  </si>
  <si>
    <t>5035031256</t>
  </si>
  <si>
    <t>7806013826</t>
  </si>
  <si>
    <t>6950088251</t>
  </si>
  <si>
    <t>5044090829</t>
  </si>
  <si>
    <t>6164142573</t>
  </si>
  <si>
    <t>3701045140</t>
  </si>
  <si>
    <t>7807128570</t>
  </si>
  <si>
    <t>910600148899</t>
  </si>
  <si>
    <t>245715107111</t>
  </si>
  <si>
    <t>0105047133</t>
  </si>
  <si>
    <t>7814293260</t>
  </si>
  <si>
    <t>575201557744</t>
  </si>
  <si>
    <t>9723022122</t>
  </si>
  <si>
    <t>263206642120</t>
  </si>
  <si>
    <t>9105002876</t>
  </si>
  <si>
    <t>2308177075</t>
  </si>
  <si>
    <t>3526009890</t>
  </si>
  <si>
    <t>7321001190</t>
  </si>
  <si>
    <t>0268035550</t>
  </si>
  <si>
    <t>7813644075</t>
  </si>
  <si>
    <t>3528307934</t>
  </si>
  <si>
    <t>5836901230</t>
  </si>
  <si>
    <t>151206875676</t>
  </si>
  <si>
    <t>2367028156</t>
  </si>
  <si>
    <t>7715850263</t>
  </si>
  <si>
    <t>231708320438</t>
  </si>
  <si>
    <t>2130229959</t>
  </si>
  <si>
    <t>682401934792</t>
  </si>
  <si>
    <t>6318193588</t>
  </si>
  <si>
    <t>911005138870</t>
  </si>
  <si>
    <t>9102050141</t>
  </si>
  <si>
    <t>6345012079</t>
  </si>
  <si>
    <t>024701912510</t>
  </si>
  <si>
    <t>6311109971</t>
  </si>
  <si>
    <t>1513062886</t>
  </si>
  <si>
    <t>2320114089</t>
  </si>
  <si>
    <t>7715592245</t>
  </si>
  <si>
    <t>7839113840</t>
  </si>
  <si>
    <t>366300469746</t>
  </si>
  <si>
    <t>0561058126</t>
  </si>
  <si>
    <t>552802111089</t>
  </si>
  <si>
    <t>8902009768</t>
  </si>
  <si>
    <t>7017003370</t>
  </si>
  <si>
    <t>9109026500</t>
  </si>
  <si>
    <t>4230022905</t>
  </si>
  <si>
    <t>5528030475</t>
  </si>
  <si>
    <t>911019199858</t>
  </si>
  <si>
    <t>5504211169</t>
  </si>
  <si>
    <t>6330051540</t>
  </si>
  <si>
    <t>7610096539</t>
  </si>
  <si>
    <t>1660100941</t>
  </si>
  <si>
    <t>7814774398</t>
  </si>
  <si>
    <t>5031145333</t>
  </si>
  <si>
    <t>4824041690</t>
  </si>
  <si>
    <t>1001298871</t>
  </si>
  <si>
    <t>2801083411</t>
  </si>
  <si>
    <t>362803213253</t>
  </si>
  <si>
    <t>623101377512</t>
  </si>
  <si>
    <t>4007012193</t>
  </si>
  <si>
    <t>5720024396</t>
  </si>
  <si>
    <t>5038068014</t>
  </si>
  <si>
    <t>7723481620</t>
  </si>
  <si>
    <t>2463048116</t>
  </si>
  <si>
    <t>231700414758</t>
  </si>
  <si>
    <t>6722015920</t>
  </si>
  <si>
    <t>910400053960</t>
  </si>
  <si>
    <t>9102037824</t>
  </si>
  <si>
    <t>5504156197</t>
  </si>
  <si>
    <t>3303011110</t>
  </si>
  <si>
    <t>2461206600</t>
  </si>
  <si>
    <t>4705029430</t>
  </si>
  <si>
    <t>7720383141</t>
  </si>
  <si>
    <t>712610320106</t>
  </si>
  <si>
    <t>2801142924</t>
  </si>
  <si>
    <t>6168072447</t>
  </si>
  <si>
    <t>7722716413</t>
  </si>
  <si>
    <t>0326039620</t>
  </si>
  <si>
    <t>2310134840</t>
  </si>
  <si>
    <t>262810804293</t>
  </si>
  <si>
    <t>910901205565</t>
  </si>
  <si>
    <t>5038119318</t>
  </si>
  <si>
    <t>3443144960</t>
  </si>
  <si>
    <t>6376006188</t>
  </si>
  <si>
    <t>2372016445</t>
  </si>
  <si>
    <t>1655140829</t>
  </si>
  <si>
    <t>910300049008</t>
  </si>
  <si>
    <t>6658158365</t>
  </si>
  <si>
    <t>6229099209</t>
  </si>
  <si>
    <t>7807189847</t>
  </si>
  <si>
    <t>6318174793</t>
  </si>
  <si>
    <t>071400003316</t>
  </si>
  <si>
    <t>462501448445</t>
  </si>
  <si>
    <t>7610126864</t>
  </si>
  <si>
    <t>5834027545</t>
  </si>
  <si>
    <t>1656063341</t>
  </si>
  <si>
    <t>0105038234</t>
  </si>
  <si>
    <t>0323037270</t>
  </si>
  <si>
    <t>2723216277</t>
  </si>
  <si>
    <t>5402060577</t>
  </si>
  <si>
    <t>420590786236</t>
  </si>
  <si>
    <t>710601038325</t>
  </si>
  <si>
    <t>4703049007</t>
  </si>
  <si>
    <t>3901502467</t>
  </si>
  <si>
    <t>2465252156</t>
  </si>
  <si>
    <t>9102262435</t>
  </si>
  <si>
    <t>1513078237</t>
  </si>
  <si>
    <t>3525261142</t>
  </si>
  <si>
    <t>6914014871</t>
  </si>
  <si>
    <t>7203535981</t>
  </si>
  <si>
    <t>6832029267</t>
  </si>
  <si>
    <t>5407215464</t>
  </si>
  <si>
    <t>471004934785</t>
  </si>
  <si>
    <t>010704176960</t>
  </si>
  <si>
    <t>8602269525</t>
  </si>
  <si>
    <t>3128147669</t>
  </si>
  <si>
    <t>5038189033</t>
  </si>
  <si>
    <t>6321252628</t>
  </si>
  <si>
    <t>7814792580</t>
  </si>
  <si>
    <t>4611005867</t>
  </si>
  <si>
    <t>6311997195</t>
  </si>
  <si>
    <t>7727318776</t>
  </si>
  <si>
    <t>5529007912</t>
  </si>
  <si>
    <t>7715201004</t>
  </si>
  <si>
    <t>4632200361</t>
  </si>
  <si>
    <t>451000297204</t>
  </si>
  <si>
    <t>550602454864</t>
  </si>
  <si>
    <t>2512306468</t>
  </si>
  <si>
    <t>4632160013</t>
  </si>
  <si>
    <t>227700061352</t>
  </si>
  <si>
    <t>1655410923</t>
  </si>
  <si>
    <t>1900002482</t>
  </si>
  <si>
    <t>5044118270</t>
  </si>
  <si>
    <t>3662288442</t>
  </si>
  <si>
    <t>4632209117</t>
  </si>
  <si>
    <t>6829155631</t>
  </si>
  <si>
    <t>9102045494</t>
  </si>
  <si>
    <t>5013003640</t>
  </si>
  <si>
    <t>1500001420</t>
  </si>
  <si>
    <t>5626001183</t>
  </si>
  <si>
    <t>1513059361</t>
  </si>
  <si>
    <t>4727003731</t>
  </si>
  <si>
    <t>9201013165</t>
  </si>
  <si>
    <t>6163233210</t>
  </si>
  <si>
    <t>7724877984</t>
  </si>
  <si>
    <t>260601014097</t>
  </si>
  <si>
    <t>6319244740</t>
  </si>
  <si>
    <t>9724139324</t>
  </si>
  <si>
    <t>3816028292</t>
  </si>
  <si>
    <t>2356046153</t>
  </si>
  <si>
    <t>4826032444</t>
  </si>
  <si>
    <t>2311286116</t>
  </si>
  <si>
    <t>4517009960</t>
  </si>
  <si>
    <t>150101058330</t>
  </si>
  <si>
    <t>7751143767</t>
  </si>
  <si>
    <t>3812165202</t>
  </si>
  <si>
    <t>682700330950</t>
  </si>
  <si>
    <t>1513045143</t>
  </si>
  <si>
    <t>1300002949</t>
  </si>
  <si>
    <t>4201011151</t>
  </si>
  <si>
    <t>5262296509</t>
  </si>
  <si>
    <t>0814143054</t>
  </si>
  <si>
    <t>0919003819</t>
  </si>
  <si>
    <t>1433005498</t>
  </si>
  <si>
    <t>5405500459</t>
  </si>
  <si>
    <t>672300128831</t>
  </si>
  <si>
    <t>4633036989</t>
  </si>
  <si>
    <t>5024216449</t>
  </si>
  <si>
    <t>3526037320</t>
  </si>
  <si>
    <t>2632813981</t>
  </si>
  <si>
    <t>2223039870</t>
  </si>
  <si>
    <t>1500016699</t>
  </si>
  <si>
    <t>1515918107</t>
  </si>
  <si>
    <t>2311312253</t>
  </si>
  <si>
    <t>2901294180</t>
  </si>
  <si>
    <t>7104517861</t>
  </si>
  <si>
    <t>6828005312</t>
  </si>
  <si>
    <t>5001140948</t>
  </si>
  <si>
    <t>5033010772</t>
  </si>
  <si>
    <t>4437000231</t>
  </si>
  <si>
    <t>781132730157</t>
  </si>
  <si>
    <t>7714439646</t>
  </si>
  <si>
    <t>6102062110</t>
  </si>
  <si>
    <t>3025027070</t>
  </si>
  <si>
    <t>0917005916</t>
  </si>
  <si>
    <t>2372002259</t>
  </si>
  <si>
    <t>2540282579</t>
  </si>
  <si>
    <t>3812119975</t>
  </si>
  <si>
    <t>4825015051</t>
  </si>
  <si>
    <t>2221066130</t>
  </si>
  <si>
    <t>4821019552</t>
  </si>
  <si>
    <t>691369766760</t>
  </si>
  <si>
    <t>6163069176</t>
  </si>
  <si>
    <t>245715101656</t>
  </si>
  <si>
    <t>673200276203</t>
  </si>
  <si>
    <t>463210460672</t>
  </si>
  <si>
    <t>7105503300</t>
  </si>
  <si>
    <t>4401180277</t>
  </si>
  <si>
    <t>210302316732</t>
  </si>
  <si>
    <t>2462202990</t>
  </si>
  <si>
    <t>911103306748</t>
  </si>
  <si>
    <t>4222010624</t>
  </si>
  <si>
    <t>2460119249</t>
  </si>
  <si>
    <t>7534000240</t>
  </si>
  <si>
    <t>0721017459</t>
  </si>
  <si>
    <t>010502035204</t>
  </si>
  <si>
    <t>6800007870</t>
  </si>
  <si>
    <t>3325005712</t>
  </si>
  <si>
    <t>2312188513</t>
  </si>
  <si>
    <t>5504248024</t>
  </si>
  <si>
    <t>3316017729</t>
  </si>
  <si>
    <t>5406692305</t>
  </si>
  <si>
    <t>9725006824</t>
  </si>
  <si>
    <t>231708736500</t>
  </si>
  <si>
    <t>4501033565</t>
  </si>
  <si>
    <t>360400440500</t>
  </si>
  <si>
    <t>5043069133</t>
  </si>
  <si>
    <t>5262287127</t>
  </si>
  <si>
    <t>7843022018</t>
  </si>
  <si>
    <t>5001049738</t>
  </si>
  <si>
    <t>5262286941</t>
  </si>
  <si>
    <t>2310067376</t>
  </si>
  <si>
    <t>1660106598</t>
  </si>
  <si>
    <t>9102275755</t>
  </si>
  <si>
    <t>3916010108</t>
  </si>
  <si>
    <t>1326248016</t>
  </si>
  <si>
    <t>027813058891</t>
  </si>
  <si>
    <t>4202025485</t>
  </si>
  <si>
    <t>1435147642</t>
  </si>
  <si>
    <t>2366004970</t>
  </si>
  <si>
    <t>7702377307</t>
  </si>
  <si>
    <t>7448183550</t>
  </si>
  <si>
    <t>910701962046</t>
  </si>
  <si>
    <t>7733368020</t>
  </si>
  <si>
    <t>6141033970</t>
  </si>
  <si>
    <t>1660310635</t>
  </si>
  <si>
    <t>9727005079</t>
  </si>
  <si>
    <t>5401980483</t>
  </si>
  <si>
    <t>552800154633</t>
  </si>
  <si>
    <t>4246009610</t>
  </si>
  <si>
    <t>2336023750</t>
  </si>
  <si>
    <t>9309016732</t>
  </si>
  <si>
    <t>6453179068</t>
  </si>
  <si>
    <t>6231000400</t>
  </si>
  <si>
    <t>1001331631</t>
  </si>
  <si>
    <t>4027000076</t>
  </si>
  <si>
    <t>6163231615</t>
  </si>
  <si>
    <t>7724619285</t>
  </si>
  <si>
    <t>5753201026</t>
  </si>
  <si>
    <t>9110022966</t>
  </si>
  <si>
    <t>7726266317</t>
  </si>
  <si>
    <t>0269010238</t>
  </si>
  <si>
    <t>2635242133</t>
  </si>
  <si>
    <t>6449039808</t>
  </si>
  <si>
    <t>7703416742</t>
  </si>
  <si>
    <t>1644016202</t>
  </si>
  <si>
    <t>071609345167</t>
  </si>
  <si>
    <t>6130010258</t>
  </si>
  <si>
    <t>2317081010</t>
  </si>
  <si>
    <t>5032251535</t>
  </si>
  <si>
    <t>5702006612</t>
  </si>
  <si>
    <t>2317061126</t>
  </si>
  <si>
    <t>2301105709</t>
  </si>
  <si>
    <t>9108010508</t>
  </si>
  <si>
    <t>2130210651</t>
  </si>
  <si>
    <t>6321315934</t>
  </si>
  <si>
    <t>110202290510</t>
  </si>
  <si>
    <t>9102199977</t>
  </si>
  <si>
    <t>1500021579</t>
  </si>
  <si>
    <t>7718977814</t>
  </si>
  <si>
    <t>2628043994</t>
  </si>
  <si>
    <t>1001283307</t>
  </si>
  <si>
    <t>3327317033</t>
  </si>
  <si>
    <t>344100318415</t>
  </si>
  <si>
    <t>9110032361</t>
  </si>
  <si>
    <t>7805814887</t>
  </si>
  <si>
    <t>2635212033</t>
  </si>
  <si>
    <t>7733227397</t>
  </si>
  <si>
    <t>3123456416</t>
  </si>
  <si>
    <t>7205032461</t>
  </si>
  <si>
    <t>0917013667</t>
  </si>
  <si>
    <t>5041214610</t>
  </si>
  <si>
    <t>1511025984</t>
  </si>
  <si>
    <t>4217162879</t>
  </si>
  <si>
    <t>701800204950</t>
  </si>
  <si>
    <t>4725480834</t>
  </si>
  <si>
    <t>1700003834</t>
  </si>
  <si>
    <t>2607800643</t>
  </si>
  <si>
    <t>3811073943</t>
  </si>
  <si>
    <t>2369004190</t>
  </si>
  <si>
    <t>1215228046</t>
  </si>
  <si>
    <t>5256084513</t>
  </si>
  <si>
    <t>614208925799</t>
  </si>
  <si>
    <t>7117502407</t>
  </si>
  <si>
    <t>3801048401</t>
  </si>
  <si>
    <t>5029180605</t>
  </si>
  <si>
    <t>481688745772</t>
  </si>
  <si>
    <t>7017228736</t>
  </si>
  <si>
    <t>5032226232</t>
  </si>
  <si>
    <t>0508013497</t>
  </si>
  <si>
    <t>2626017396</t>
  </si>
  <si>
    <t>4217201013</t>
  </si>
  <si>
    <t>5032054784</t>
  </si>
  <si>
    <t>1514001692</t>
  </si>
  <si>
    <t>2312104697</t>
  </si>
  <si>
    <t>2315216744</t>
  </si>
  <si>
    <t>2209044476</t>
  </si>
  <si>
    <t>2302064519</t>
  </si>
  <si>
    <t>027402898460</t>
  </si>
  <si>
    <t>360503184946</t>
  </si>
  <si>
    <t>1510018159</t>
  </si>
  <si>
    <t>7733322548</t>
  </si>
  <si>
    <t>4027022305</t>
  </si>
  <si>
    <t>5005076570</t>
  </si>
  <si>
    <t>7820070343</t>
  </si>
  <si>
    <t>5607045185</t>
  </si>
  <si>
    <t>3663140329</t>
  </si>
  <si>
    <t>5262094615</t>
  </si>
  <si>
    <t>7734481188</t>
  </si>
  <si>
    <t>7734722725</t>
  </si>
  <si>
    <t>3525165470</t>
  </si>
  <si>
    <t>690500594451</t>
  </si>
  <si>
    <t>2464152776</t>
  </si>
  <si>
    <t>261708440050</t>
  </si>
  <si>
    <t>9109023796</t>
  </si>
  <si>
    <t>2706018878</t>
  </si>
  <si>
    <t>7900006470</t>
  </si>
  <si>
    <t>2525004249</t>
  </si>
  <si>
    <t>561023539145</t>
  </si>
  <si>
    <t>7713059497</t>
  </si>
  <si>
    <t>7205032366</t>
  </si>
  <si>
    <t>2722913807</t>
  </si>
  <si>
    <t>3435056565</t>
  </si>
  <si>
    <t>463208215955</t>
  </si>
  <si>
    <t>2801210645</t>
  </si>
  <si>
    <t>7743381334</t>
  </si>
  <si>
    <t>911000080986</t>
  </si>
  <si>
    <t>4345293972</t>
  </si>
  <si>
    <t>5036148867</t>
  </si>
  <si>
    <t>161202012812</t>
  </si>
  <si>
    <t>7802947381</t>
  </si>
  <si>
    <t>5053037324</t>
  </si>
  <si>
    <t>2259006116</t>
  </si>
  <si>
    <t>3812085074</t>
  </si>
  <si>
    <t>5029079796</t>
  </si>
  <si>
    <t>0276144070</t>
  </si>
  <si>
    <t>0245964355</t>
  </si>
  <si>
    <t>6318132105</t>
  </si>
  <si>
    <t>1400034969</t>
  </si>
  <si>
    <t>1215052272</t>
  </si>
  <si>
    <t>1500021650</t>
  </si>
  <si>
    <t>5246056436</t>
  </si>
  <si>
    <t>7751338195</t>
  </si>
  <si>
    <t>5003131949</t>
  </si>
  <si>
    <t>3661078019</t>
  </si>
  <si>
    <t>2320207537</t>
  </si>
  <si>
    <t>402900836681</t>
  </si>
  <si>
    <t>7103019623</t>
  </si>
  <si>
    <t>2367031945</t>
  </si>
  <si>
    <t>5406995476</t>
  </si>
  <si>
    <t>7202131048</t>
  </si>
  <si>
    <t>5404187988</t>
  </si>
  <si>
    <t>2367038700</t>
  </si>
  <si>
    <t>6161094843</t>
  </si>
  <si>
    <t>391000211055</t>
  </si>
  <si>
    <t>2308069143</t>
  </si>
  <si>
    <t>6623099990</t>
  </si>
  <si>
    <t>631808614337</t>
  </si>
  <si>
    <t>7713059634</t>
  </si>
  <si>
    <t>6318174578</t>
  </si>
  <si>
    <t>463407158525</t>
  </si>
  <si>
    <t>151402922393</t>
  </si>
  <si>
    <t>1903029718</t>
  </si>
  <si>
    <t>3311018870</t>
  </si>
  <si>
    <t>6452145115</t>
  </si>
  <si>
    <t>6148655602</t>
  </si>
  <si>
    <t>260133558863</t>
  </si>
  <si>
    <t>230105317070</t>
  </si>
  <si>
    <t>7743156040</t>
  </si>
  <si>
    <t>1901139352</t>
  </si>
  <si>
    <t>5009039026</t>
  </si>
  <si>
    <t>3602007312</t>
  </si>
  <si>
    <t>7705898604</t>
  </si>
  <si>
    <t>2301095289</t>
  </si>
  <si>
    <t>7610010468</t>
  </si>
  <si>
    <t>2724178673</t>
  </si>
  <si>
    <t>344700590701</t>
  </si>
  <si>
    <t>7604065420</t>
  </si>
  <si>
    <t>230404543695</t>
  </si>
  <si>
    <t>583709805372</t>
  </si>
  <si>
    <t>3525471460</t>
  </si>
  <si>
    <t>5038087747</t>
  </si>
  <si>
    <t>5837049120</t>
  </si>
  <si>
    <t>3652902342</t>
  </si>
  <si>
    <t>7743139904</t>
  </si>
  <si>
    <t>6670501349</t>
  </si>
  <si>
    <t>320304665921</t>
  </si>
  <si>
    <t>6234096387</t>
  </si>
  <si>
    <t>3525337176</t>
  </si>
  <si>
    <t>6315619571</t>
  </si>
  <si>
    <t>6318193965</t>
  </si>
  <si>
    <t>6453164921</t>
  </si>
  <si>
    <t>2315222032</t>
  </si>
  <si>
    <t>4230025649</t>
  </si>
  <si>
    <t>7701899660</t>
  </si>
  <si>
    <t>3812116928</t>
  </si>
  <si>
    <t>500300393420</t>
  </si>
  <si>
    <t>261803704289</t>
  </si>
  <si>
    <t>5406786024</t>
  </si>
  <si>
    <t>7714543407</t>
  </si>
  <si>
    <t>7728307745</t>
  </si>
  <si>
    <t>3702258180</t>
  </si>
  <si>
    <t>6826006920</t>
  </si>
  <si>
    <t>9108115268</t>
  </si>
  <si>
    <t>6313538101</t>
  </si>
  <si>
    <t>400701258270</t>
  </si>
  <si>
    <t>5047068878</t>
  </si>
  <si>
    <t>3245015426</t>
  </si>
  <si>
    <t>366500900335</t>
  </si>
  <si>
    <t>344691139747</t>
  </si>
  <si>
    <t>6321140466</t>
  </si>
  <si>
    <t>7743301096</t>
  </si>
  <si>
    <t>3652900225</t>
  </si>
  <si>
    <t>5190158810</t>
  </si>
  <si>
    <t>330507295091</t>
  </si>
  <si>
    <t>4708007716</t>
  </si>
  <si>
    <t>3525211102</t>
  </si>
  <si>
    <t>702436668624</t>
  </si>
  <si>
    <t>0411018621</t>
  </si>
  <si>
    <t>6515000010</t>
  </si>
  <si>
    <t>2130108369</t>
  </si>
  <si>
    <t>2309150742</t>
  </si>
  <si>
    <t>2615010840</t>
  </si>
  <si>
    <t>6678011988</t>
  </si>
  <si>
    <t>3460061865</t>
  </si>
  <si>
    <t>2723206529</t>
  </si>
  <si>
    <t>230400425108</t>
  </si>
  <si>
    <t>023701643030</t>
  </si>
  <si>
    <t>6318194359</t>
  </si>
  <si>
    <t>2442008465</t>
  </si>
  <si>
    <t>2208035870</t>
  </si>
  <si>
    <t>7460067536</t>
  </si>
  <si>
    <t>1660189918</t>
  </si>
  <si>
    <t>5003058287</t>
  </si>
  <si>
    <t>0726016339</t>
  </si>
  <si>
    <t>1213005171</t>
  </si>
  <si>
    <t>7430010194</t>
  </si>
  <si>
    <t>644007222604</t>
  </si>
  <si>
    <t>910300048830</t>
  </si>
  <si>
    <t>1685004894</t>
  </si>
  <si>
    <t>3100007862</t>
  </si>
  <si>
    <t>3652009308</t>
  </si>
  <si>
    <t>3457004232</t>
  </si>
  <si>
    <t>010506838516</t>
  </si>
  <si>
    <t>2902061277</t>
  </si>
  <si>
    <t>1650322575</t>
  </si>
  <si>
    <t>7726429547</t>
  </si>
  <si>
    <t>7720357769</t>
  </si>
  <si>
    <t>2301065510</t>
  </si>
  <si>
    <t>2128049028</t>
  </si>
  <si>
    <t>5402040690</t>
  </si>
  <si>
    <t>3321033243</t>
  </si>
  <si>
    <t>2543104888</t>
  </si>
  <si>
    <t>3812127408</t>
  </si>
  <si>
    <t>8602316126</t>
  </si>
  <si>
    <t>613204286130</t>
  </si>
  <si>
    <t>2301083090</t>
  </si>
  <si>
    <t>5012091308</t>
  </si>
  <si>
    <t>1005080530</t>
  </si>
  <si>
    <t>3525303699</t>
  </si>
  <si>
    <t>0266023905</t>
  </si>
  <si>
    <t>261808284045</t>
  </si>
  <si>
    <t>5032029604</t>
  </si>
  <si>
    <t>1327036455</t>
  </si>
  <si>
    <t>2348031516</t>
  </si>
  <si>
    <t>7713743724</t>
  </si>
  <si>
    <t>1658047200</t>
  </si>
  <si>
    <t>3702228001</t>
  </si>
  <si>
    <t>7734403408</t>
  </si>
  <si>
    <t>7207006594</t>
  </si>
  <si>
    <t>7703790933</t>
  </si>
  <si>
    <t>7017444695</t>
  </si>
  <si>
    <t>7810996431</t>
  </si>
  <si>
    <t>027406347640</t>
  </si>
  <si>
    <t>6318050237</t>
  </si>
  <si>
    <t>7722710161</t>
  </si>
  <si>
    <t>9106001177</t>
  </si>
  <si>
    <t>0816004320</t>
  </si>
  <si>
    <t>2540196337</t>
  </si>
  <si>
    <t>463400014179</t>
  </si>
  <si>
    <t>3811437990</t>
  </si>
  <si>
    <t>7325016398</t>
  </si>
  <si>
    <t>5252017731</t>
  </si>
  <si>
    <t>5032047441</t>
  </si>
  <si>
    <t>5406610662</t>
  </si>
  <si>
    <t>6154165236</t>
  </si>
  <si>
    <t>3906179338</t>
  </si>
  <si>
    <t>5404326230</t>
  </si>
  <si>
    <t>5501125264</t>
  </si>
  <si>
    <t>165801315482</t>
  </si>
  <si>
    <t>6729039455</t>
  </si>
  <si>
    <t>5402501800</t>
  </si>
  <si>
    <t>9724112570</t>
  </si>
  <si>
    <t>5406718553</t>
  </si>
  <si>
    <t>7721813407</t>
  </si>
  <si>
    <t>1001168150</t>
  </si>
  <si>
    <t>2635250180</t>
  </si>
  <si>
    <t>0700005710</t>
  </si>
  <si>
    <t>612203501136</t>
  </si>
  <si>
    <t>3301032570</t>
  </si>
  <si>
    <t>3625018134</t>
  </si>
  <si>
    <t>6916017589</t>
  </si>
  <si>
    <t>2636808380</t>
  </si>
  <si>
    <t>2204091610</t>
  </si>
  <si>
    <t>1513041251</t>
  </si>
  <si>
    <t>360203565027</t>
  </si>
  <si>
    <t>7810973730</t>
  </si>
  <si>
    <t>503203145515</t>
  </si>
  <si>
    <t>301600363969</t>
  </si>
  <si>
    <t>7607022343</t>
  </si>
  <si>
    <t>690101635917</t>
  </si>
  <si>
    <t>7801573260</t>
  </si>
  <si>
    <t>5408014922</t>
  </si>
  <si>
    <t>1200000930</t>
  </si>
  <si>
    <t>2808005821</t>
  </si>
  <si>
    <t>3811435907</t>
  </si>
  <si>
    <t>5022042412</t>
  </si>
  <si>
    <t>3702223691</t>
  </si>
  <si>
    <t>2452033260</t>
  </si>
  <si>
    <t>6025009976</t>
  </si>
  <si>
    <t>6123024997</t>
  </si>
  <si>
    <t>5607141756</t>
  </si>
  <si>
    <t>261405125170</t>
  </si>
  <si>
    <t>2465254643</t>
  </si>
  <si>
    <t>233901833304</t>
  </si>
  <si>
    <t>5032224940</t>
  </si>
  <si>
    <t>504403005115</t>
  </si>
  <si>
    <t>7904003086</t>
  </si>
  <si>
    <t>2724179109</t>
  </si>
  <si>
    <t>150301640721</t>
  </si>
  <si>
    <t>4252013598</t>
  </si>
  <si>
    <t>5018011997</t>
  </si>
  <si>
    <t>3810028049</t>
  </si>
  <si>
    <t>6671037306</t>
  </si>
  <si>
    <t>5836635002</t>
  </si>
  <si>
    <t>7701799793</t>
  </si>
  <si>
    <t>6163220483</t>
  </si>
  <si>
    <t>2411029867</t>
  </si>
  <si>
    <t>7000022328</t>
  </si>
  <si>
    <t>3200008179</t>
  </si>
  <si>
    <t>5030010090</t>
  </si>
  <si>
    <t>7105020600</t>
  </si>
  <si>
    <t>7715284321</t>
  </si>
  <si>
    <t>2902049350</t>
  </si>
  <si>
    <t>2703066986</t>
  </si>
  <si>
    <t>4401186783</t>
  </si>
  <si>
    <t>6313559214</t>
  </si>
  <si>
    <t>3662083798</t>
  </si>
  <si>
    <t>0323390365</t>
  </si>
  <si>
    <t>2448002780</t>
  </si>
  <si>
    <t>6141058340</t>
  </si>
  <si>
    <t>2361009340</t>
  </si>
  <si>
    <t>2720034328</t>
  </si>
  <si>
    <t>1660174358</t>
  </si>
  <si>
    <t>1402022616</t>
  </si>
  <si>
    <t>5009121577</t>
  </si>
  <si>
    <t>4442016903</t>
  </si>
  <si>
    <t>143501408267</t>
  </si>
  <si>
    <t>6658384886</t>
  </si>
  <si>
    <t>2352007900</t>
  </si>
  <si>
    <t>5410151676</t>
  </si>
  <si>
    <t>434533923715</t>
  </si>
  <si>
    <t>7113016406</t>
  </si>
  <si>
    <t>362709511020</t>
  </si>
  <si>
    <t>552801933921</t>
  </si>
  <si>
    <t>3305715658</t>
  </si>
  <si>
    <t>1650399673</t>
  </si>
  <si>
    <t>4205379436</t>
  </si>
  <si>
    <t>7723196090</t>
  </si>
  <si>
    <t>8620018845</t>
  </si>
  <si>
    <t>4345531497</t>
  </si>
  <si>
    <t>6950067036</t>
  </si>
  <si>
    <t>7204098935</t>
  </si>
  <si>
    <t>1515918643</t>
  </si>
  <si>
    <t>911018310180</t>
  </si>
  <si>
    <t>3102037735</t>
  </si>
  <si>
    <t>6831015529</t>
  </si>
  <si>
    <t>1209004506</t>
  </si>
  <si>
    <t>3510007288</t>
  </si>
  <si>
    <t>5535007861</t>
  </si>
  <si>
    <t>6671384290</t>
  </si>
  <si>
    <t>5245013831</t>
  </si>
  <si>
    <t>6907010227</t>
  </si>
  <si>
    <t>7734349951</t>
  </si>
  <si>
    <t>6319710260</t>
  </si>
  <si>
    <t>7716679379</t>
  </si>
  <si>
    <t>1400018893</t>
  </si>
  <si>
    <t>5504075460</t>
  </si>
  <si>
    <t>4826103085</t>
  </si>
  <si>
    <t>2466288540</t>
  </si>
  <si>
    <t>6604012240</t>
  </si>
  <si>
    <t>5030036483</t>
  </si>
  <si>
    <t>7743368118</t>
  </si>
  <si>
    <t>2801258615</t>
  </si>
  <si>
    <t>6670505992</t>
  </si>
  <si>
    <t>3123178053</t>
  </si>
  <si>
    <t>Тип комиссии</t>
  </si>
  <si>
    <t>размер комиссии</t>
  </si>
  <si>
    <t>Если тип комиссии "%", то сама комиссия расчитывается по формуле "стоимость товара" * "размер комиссии"</t>
  </si>
  <si>
    <t>процент</t>
  </si>
  <si>
    <t>Если тип комиссии "кол-во", то сама комиссия расчитывается по формуле "кол-во проданных уп" * "размер комиссии"</t>
  </si>
  <si>
    <t>кол-во</t>
  </si>
  <si>
    <t>ИНН (числ.)</t>
  </si>
  <si>
    <t>Название сети</t>
  </si>
  <si>
    <t>SKU unique</t>
  </si>
  <si>
    <t>Сумма</t>
  </si>
  <si>
    <t>Уник. Сеть</t>
  </si>
  <si>
    <t>Оплата</t>
  </si>
  <si>
    <t>Оплата (2)</t>
  </si>
  <si>
    <t>Время скан-я</t>
  </si>
  <si>
    <t>Заказ / польз.</t>
  </si>
  <si>
    <t>Польз. unique</t>
  </si>
  <si>
    <t>мин / макс дата</t>
  </si>
  <si>
    <t>мес. Между</t>
  </si>
  <si>
    <t>&lt;= 1</t>
  </si>
  <si>
    <t>&gt; 1</t>
  </si>
  <si>
    <t>&gt; 3</t>
  </si>
  <si>
    <t>чеков за 2.5 мес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</si>
</sst>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C00000"/>
      <name val="Calibri"/>
      <scheme val="minor"/>
    </font>
    <font>
      <sz val="9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name val="Times New Roman"/>
    </font>
    <font>
      <sz val="11"/>
      <name val="Arial"/>
    </font>
    <font>
      <sz val="11"/>
      <name val="Arial"/>
      <family val="2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vertical="top"/>
    </xf>
    <xf numFmtId="0" fontId="7" fillId="0" borderId="1" xfId="0" applyFont="1" applyBorder="1" applyAlignment="1">
      <alignment vertical="top"/>
    </xf>
    <xf numFmtId="49" fontId="8" fillId="0" borderId="1" xfId="0" applyNumberFormat="1" applyFont="1" applyBorder="1" applyAlignment="1">
      <alignment vertical="top"/>
    </xf>
    <xf numFmtId="1" fontId="8" fillId="0" borderId="1" xfId="0" applyNumberFormat="1" applyFont="1" applyBorder="1" applyAlignment="1">
      <alignment vertical="top"/>
    </xf>
    <xf numFmtId="4" fontId="8" fillId="0" borderId="1" xfId="0" applyNumberFormat="1" applyFont="1" applyBorder="1" applyAlignment="1">
      <alignment vertical="top"/>
    </xf>
    <xf numFmtId="1" fontId="0" fillId="0" borderId="0" xfId="0" applyNumberFormat="1"/>
    <xf numFmtId="0" fontId="3" fillId="0" borderId="0" xfId="0" applyFont="1"/>
    <xf numFmtId="49" fontId="9" fillId="0" borderId="1" xfId="0" applyNumberFormat="1" applyFont="1" applyBorder="1" applyAlignment="1">
      <alignment vertical="top"/>
    </xf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1" xfId="0" applyFont="1" applyBorder="1" applyAlignment="1">
      <alignment vertical="top" wrapText="1"/>
    </xf>
    <xf numFmtId="49" fontId="8" fillId="0" borderId="1" xfId="0" applyNumberFormat="1" applyFont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8" fillId="2" borderId="1" xfId="0" applyNumberFormat="1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1" fontId="8" fillId="0" borderId="2" xfId="0" applyNumberFormat="1" applyFont="1" applyBorder="1" applyAlignment="1">
      <alignment vertical="top"/>
    </xf>
    <xf numFmtId="0" fontId="7" fillId="2" borderId="1" xfId="0" applyNumberFormat="1" applyFont="1" applyFill="1" applyBorder="1" applyAlignment="1">
      <alignment vertical="top"/>
    </xf>
    <xf numFmtId="0" fontId="3" fillId="2" borderId="0" xfId="0" applyFont="1" applyFill="1"/>
    <xf numFmtId="0" fontId="0" fillId="2" borderId="0" xfId="0" applyFill="1"/>
    <xf numFmtId="0" fontId="7" fillId="2" borderId="1" xfId="0" applyFont="1" applyFill="1" applyBorder="1" applyAlignment="1">
      <alignment vertical="top"/>
    </xf>
    <xf numFmtId="4" fontId="8" fillId="2" borderId="1" xfId="0" applyNumberFormat="1" applyFont="1" applyFill="1" applyBorder="1" applyAlignment="1">
      <alignment vertical="top"/>
    </xf>
    <xf numFmtId="14" fontId="0" fillId="0" borderId="0" xfId="0" applyNumberFormat="1" applyAlignment="1">
      <alignment vertical="top"/>
    </xf>
    <xf numFmtId="14" fontId="8" fillId="2" borderId="1" xfId="0" applyNumberFormat="1" applyFont="1" applyFill="1" applyBorder="1" applyAlignment="1">
      <alignment vertical="top"/>
    </xf>
    <xf numFmtId="0" fontId="10" fillId="2" borderId="1" xfId="0" applyFont="1" applyFill="1" applyBorder="1" applyAlignment="1">
      <alignment vertical="top"/>
    </xf>
    <xf numFmtId="0" fontId="11" fillId="2" borderId="1" xfId="0" applyFont="1" applyFill="1" applyBorder="1" applyAlignment="1">
      <alignment vertical="top"/>
    </xf>
    <xf numFmtId="0" fontId="0" fillId="0" borderId="0" xfId="0" applyFill="1" applyAlignment="1">
      <alignment vertical="top"/>
    </xf>
    <xf numFmtId="0" fontId="0" fillId="0" borderId="0" xfId="0" applyFill="1" applyAlignment="1">
      <alignment vertical="top" wrapText="1"/>
    </xf>
    <xf numFmtId="0" fontId="0" fillId="0" borderId="0" xfId="0" applyNumberFormat="1" applyFill="1" applyAlignment="1">
      <alignment horizontal="left" vertical="top"/>
    </xf>
    <xf numFmtId="0" fontId="0" fillId="0" borderId="0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0" fontId="13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4" fontId="12" fillId="2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2"/>
  <sheetViews>
    <sheetView workbookViewId="0">
      <selection activeCell="B32" sqref="B32"/>
    </sheetView>
  </sheetViews>
  <sheetFormatPr defaultRowHeight="15" x14ac:dyDescent="0.25"/>
  <cols>
    <col min="2" max="2" width="27.28515625" customWidth="1"/>
    <col min="3" max="3" width="29.28515625" customWidth="1"/>
  </cols>
  <sheetData>
    <row r="2" spans="1:3" x14ac:dyDescent="0.25">
      <c r="A2" s="1" t="s">
        <v>0</v>
      </c>
      <c r="B2" t="s">
        <v>1</v>
      </c>
    </row>
    <row r="4" spans="1:3" x14ac:dyDescent="0.25">
      <c r="A4" t="s">
        <v>2</v>
      </c>
      <c r="B4" t="s">
        <v>3</v>
      </c>
    </row>
    <row r="5" spans="1:3" x14ac:dyDescent="0.25">
      <c r="B5" s="2" t="s">
        <v>4</v>
      </c>
      <c r="C5" s="2" t="s">
        <v>5</v>
      </c>
    </row>
    <row r="6" spans="1:3" x14ac:dyDescent="0.25">
      <c r="B6" s="2" t="s">
        <v>6</v>
      </c>
      <c r="C6" s="2" t="s">
        <v>7</v>
      </c>
    </row>
    <row r="7" spans="1:3" x14ac:dyDescent="0.25">
      <c r="B7" s="2" t="s">
        <v>8</v>
      </c>
      <c r="C7" s="2" t="s">
        <v>9</v>
      </c>
    </row>
    <row r="8" spans="1:3" x14ac:dyDescent="0.25">
      <c r="B8" s="2" t="s">
        <v>10</v>
      </c>
      <c r="C8" s="2" t="s">
        <v>11</v>
      </c>
    </row>
    <row r="9" spans="1:3" x14ac:dyDescent="0.25">
      <c r="B9" s="2" t="s">
        <v>12</v>
      </c>
      <c r="C9" s="2" t="s">
        <v>13</v>
      </c>
    </row>
    <row r="10" spans="1:3" x14ac:dyDescent="0.25">
      <c r="B10" s="2" t="s">
        <v>14</v>
      </c>
      <c r="C10" s="2" t="s">
        <v>15</v>
      </c>
    </row>
    <row r="11" spans="1:3" x14ac:dyDescent="0.25">
      <c r="B11" s="2" t="s">
        <v>16</v>
      </c>
      <c r="C11" s="18" t="s">
        <v>17</v>
      </c>
    </row>
    <row r="12" spans="1:3" x14ac:dyDescent="0.25">
      <c r="B12" s="2" t="s">
        <v>18</v>
      </c>
      <c r="C12" s="18"/>
    </row>
    <row r="13" spans="1:3" x14ac:dyDescent="0.25">
      <c r="B13" s="2" t="s">
        <v>19</v>
      </c>
      <c r="C13" s="18" t="s">
        <v>20</v>
      </c>
    </row>
    <row r="14" spans="1:3" x14ac:dyDescent="0.25">
      <c r="B14" s="2" t="s">
        <v>21</v>
      </c>
      <c r="C14" s="18"/>
    </row>
    <row r="15" spans="1:3" x14ac:dyDescent="0.25">
      <c r="B15" s="2" t="s">
        <v>22</v>
      </c>
      <c r="C15" s="2"/>
    </row>
    <row r="16" spans="1:3" x14ac:dyDescent="0.25">
      <c r="B16" s="2" t="s">
        <v>23</v>
      </c>
      <c r="C16" s="2"/>
    </row>
    <row r="18" spans="1:2" x14ac:dyDescent="0.25">
      <c r="A18" t="s">
        <v>24</v>
      </c>
    </row>
    <row r="19" spans="1:2" x14ac:dyDescent="0.25">
      <c r="B19" t="s">
        <v>25</v>
      </c>
    </row>
    <row r="20" spans="1:2" x14ac:dyDescent="0.25">
      <c r="B20" s="2" t="s">
        <v>26</v>
      </c>
    </row>
    <row r="21" spans="1:2" x14ac:dyDescent="0.25">
      <c r="A21" t="s">
        <v>27</v>
      </c>
    </row>
    <row r="22" spans="1:2" x14ac:dyDescent="0.25">
      <c r="B22" t="s">
        <v>28</v>
      </c>
    </row>
    <row r="26" spans="1:2" x14ac:dyDescent="0.25">
      <c r="A26" s="1" t="s">
        <v>29</v>
      </c>
      <c r="B26" t="s">
        <v>30</v>
      </c>
    </row>
    <row r="27" spans="1:2" x14ac:dyDescent="0.25">
      <c r="A27" s="1"/>
    </row>
    <row r="28" spans="1:2" x14ac:dyDescent="0.25">
      <c r="A28" s="3">
        <v>1</v>
      </c>
      <c r="B28" s="11" t="s">
        <v>31</v>
      </c>
    </row>
    <row r="29" spans="1:2" x14ac:dyDescent="0.25">
      <c r="A29" s="3">
        <v>2</v>
      </c>
      <c r="B29" t="s">
        <v>32</v>
      </c>
    </row>
    <row r="30" spans="1:2" ht="15.75" customHeight="1" x14ac:dyDescent="0.25">
      <c r="A30" s="4">
        <v>2.1</v>
      </c>
      <c r="B30" t="s">
        <v>33</v>
      </c>
    </row>
    <row r="31" spans="1:2" x14ac:dyDescent="0.25">
      <c r="A31" s="4">
        <v>2.2000000000000002</v>
      </c>
      <c r="B31" t="s">
        <v>34</v>
      </c>
    </row>
    <row r="32" spans="1:2" x14ac:dyDescent="0.25">
      <c r="A32" s="3">
        <v>3</v>
      </c>
      <c r="B32" t="s">
        <v>35</v>
      </c>
    </row>
  </sheetData>
  <mergeCells count="2">
    <mergeCell ref="C11:C12"/>
    <mergeCell ref="C13:C14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99"/>
  <sheetViews>
    <sheetView tabSelected="1" topLeftCell="I1" zoomScale="85" zoomScaleNormal="85" workbookViewId="0">
      <selection activeCell="Z11" sqref="Z11"/>
    </sheetView>
  </sheetViews>
  <sheetFormatPr defaultRowHeight="18" customHeight="1" x14ac:dyDescent="0.25"/>
  <cols>
    <col min="1" max="1" width="11.28515625" style="5" customWidth="1"/>
    <col min="2" max="2" width="7.7109375" style="5" customWidth="1"/>
    <col min="3" max="3" width="11.140625" style="5" customWidth="1"/>
    <col min="4" max="4" width="10.28515625" style="34" customWidth="1"/>
    <col min="5" max="5" width="11.85546875" style="34" customWidth="1"/>
    <col min="6" max="6" width="17.85546875" style="34" customWidth="1"/>
    <col min="7" max="7" width="18.42578125" style="34" customWidth="1"/>
    <col min="8" max="8" width="29.140625" style="35" customWidth="1"/>
    <col min="9" max="9" width="29.140625" style="36" customWidth="1"/>
    <col min="10" max="10" width="14.85546875" style="5" customWidth="1"/>
    <col min="11" max="11" width="16" style="5" customWidth="1"/>
    <col min="12" max="12" width="19.85546875" style="5" customWidth="1"/>
    <col min="13" max="13" width="19.85546875" style="34" customWidth="1"/>
    <col min="14" max="14" width="14" style="5" customWidth="1"/>
    <col min="15" max="15" width="13.5703125" style="5" customWidth="1"/>
    <col min="16" max="16" width="12.5703125" style="5" customWidth="1"/>
    <col min="17" max="17" width="12.28515625" style="37" customWidth="1"/>
    <col min="18" max="18" width="14.42578125" style="37" customWidth="1"/>
    <col min="19" max="19" width="13.85546875" style="38" customWidth="1"/>
    <col min="20" max="20" width="9.140625" style="13"/>
    <col min="21" max="21" width="10.28515625" style="13" customWidth="1"/>
    <col min="22" max="22" width="9.140625" style="13"/>
    <col min="23" max="23" width="11.140625" style="13" customWidth="1"/>
    <col min="24" max="24" width="11.5703125" style="5" customWidth="1"/>
    <col min="25" max="25" width="9.140625" style="5"/>
    <col min="26" max="26" width="15.28515625" style="5" customWidth="1"/>
    <col min="27" max="27" width="12.140625" customWidth="1"/>
    <col min="28" max="28" width="10.28515625" style="30" bestFit="1" customWidth="1"/>
    <col min="29" max="29" width="18" style="5" customWidth="1"/>
    <col min="30" max="30" width="12" style="5" customWidth="1"/>
    <col min="31" max="16384" width="9.140625" style="5"/>
  </cols>
  <sheetData>
    <row r="1" spans="1:30" ht="18" customHeight="1" x14ac:dyDescent="0.25">
      <c r="A1" s="6" t="s">
        <v>4</v>
      </c>
      <c r="B1" s="6" t="s">
        <v>6</v>
      </c>
      <c r="C1" s="19" t="s">
        <v>36</v>
      </c>
      <c r="D1" s="28" t="s">
        <v>7949</v>
      </c>
      <c r="E1" s="28" t="s">
        <v>7950</v>
      </c>
      <c r="F1" s="6" t="s">
        <v>10</v>
      </c>
      <c r="G1" s="6" t="s">
        <v>12</v>
      </c>
      <c r="H1" s="19" t="s">
        <v>14</v>
      </c>
      <c r="I1" s="21" t="s">
        <v>7945</v>
      </c>
      <c r="J1" s="6" t="s">
        <v>16</v>
      </c>
      <c r="K1" s="6" t="s">
        <v>18</v>
      </c>
      <c r="L1" s="6" t="s">
        <v>19</v>
      </c>
      <c r="M1" s="28" t="s">
        <v>19</v>
      </c>
      <c r="N1" s="6" t="s">
        <v>7951</v>
      </c>
      <c r="O1" s="6" t="s">
        <v>22</v>
      </c>
      <c r="P1" s="23" t="s">
        <v>23</v>
      </c>
      <c r="Q1" s="25" t="s">
        <v>7946</v>
      </c>
      <c r="R1" s="39" t="s">
        <v>7953</v>
      </c>
      <c r="S1" s="32" t="s">
        <v>7952</v>
      </c>
      <c r="U1" s="44"/>
      <c r="V1" s="44" t="s">
        <v>6</v>
      </c>
      <c r="W1" s="44" t="s">
        <v>7947</v>
      </c>
      <c r="X1" s="44" t="s">
        <v>7948</v>
      </c>
      <c r="Y1" s="45"/>
      <c r="Z1" s="44" t="s">
        <v>7954</v>
      </c>
      <c r="AA1" s="44" t="s">
        <v>7955</v>
      </c>
      <c r="AB1" s="46"/>
      <c r="AC1" s="44" t="s">
        <v>7959</v>
      </c>
      <c r="AD1" s="44" t="s">
        <v>7943</v>
      </c>
    </row>
    <row r="2" spans="1:30" ht="18" customHeight="1" x14ac:dyDescent="0.25">
      <c r="A2" s="7" t="s">
        <v>37</v>
      </c>
      <c r="B2" s="8">
        <v>1</v>
      </c>
      <c r="C2" s="9">
        <v>645</v>
      </c>
      <c r="D2" s="29">
        <f>C2+IF(INDEX('Справочник по %'!B:B,(MATCH(A2,'Справочник по %'!A:A,0)))="кол-во",B2*INDEX('Справочник по %'!C:C,(MATCH(A2,'Справочник по %'!A:A,0))),ОТЧЕТ!C2*INDEX('Справочник по %'!C:C,(MATCH(A2,'Справочник по %'!A:A,0))))/100</f>
        <v>645.20000000000005</v>
      </c>
      <c r="E2" s="29">
        <f>IF(ОТЧЕТ!A2="SKU3",C2+ОТЧЕТ!C2*0.2,C2+ОТЧЕТ!C2*0.15)</f>
        <v>741.75</v>
      </c>
      <c r="F2" s="7" t="s">
        <v>38</v>
      </c>
      <c r="G2" s="7">
        <v>5904196645</v>
      </c>
      <c r="H2" s="20" t="s">
        <v>39</v>
      </c>
      <c r="I2" s="22" t="str">
        <f>INDEX('Справочник Сети'!B:B,(MATCH(G2,'Справочник Сети'!C:C,0)))</f>
        <v>36,6</v>
      </c>
      <c r="J2" s="7" t="s">
        <v>40</v>
      </c>
      <c r="K2" s="7" t="s">
        <v>41</v>
      </c>
      <c r="L2" s="7" t="s">
        <v>40</v>
      </c>
      <c r="M2" s="31">
        <v>45712</v>
      </c>
      <c r="N2" s="7" t="s">
        <v>42</v>
      </c>
      <c r="O2" s="8">
        <v>3612</v>
      </c>
      <c r="P2" s="24">
        <v>6</v>
      </c>
      <c r="Q2" s="22">
        <f>IF(COUNTIFS(A$2:A2,A2,I$2:I2,I2)=1,1,0)</f>
        <v>1</v>
      </c>
      <c r="R2" s="22">
        <f>COUNTIF(O:O,O2)</f>
        <v>2</v>
      </c>
      <c r="S2" s="33">
        <f>IF(COUNTIF(O$2:O2,O2)=1,R2,0)/2.5</f>
        <v>0.8</v>
      </c>
      <c r="U2" s="16" t="s">
        <v>43</v>
      </c>
      <c r="V2" s="15">
        <f>SUMIF(A:A,U2,B:B)</f>
        <v>2201</v>
      </c>
      <c r="W2" s="15">
        <f>SUMPRODUCT(--(A:A=U2),B:B,C:C)</f>
        <v>959741.4300000004</v>
      </c>
      <c r="X2" s="15">
        <f>SUMIF(A:A,U2,Q:Q)</f>
        <v>7</v>
      </c>
      <c r="Y2" s="13"/>
      <c r="Z2" s="42">
        <f>MIN(M:M)</f>
        <v>45658</v>
      </c>
      <c r="AA2" s="43">
        <f>(Z3-Z2)/30</f>
        <v>2.4666666666666668</v>
      </c>
      <c r="AB2" s="41"/>
      <c r="AC2" s="40" t="s">
        <v>7956</v>
      </c>
      <c r="AD2" s="15">
        <f>COUNTIF(S:S,"&lt;=1")</f>
        <v>2505</v>
      </c>
    </row>
    <row r="3" spans="1:30" ht="18" customHeight="1" x14ac:dyDescent="0.25">
      <c r="A3" s="7" t="s">
        <v>43</v>
      </c>
      <c r="B3" s="8">
        <v>1</v>
      </c>
      <c r="C3" s="9">
        <v>538</v>
      </c>
      <c r="D3" s="29">
        <f>C3+IF(INDEX('Справочник по %'!B:B,(MATCH(A3,'Справочник по %'!A:A,0)))="кол-во",B3*INDEX('Справочник по %'!C:C,(MATCH(A3,'Справочник по %'!A:A,0))),ОТЧЕТ!C3*INDEX('Справочник по %'!C:C,(MATCH(A3,'Справочник по %'!A:A,0))))/100</f>
        <v>591.79999999999995</v>
      </c>
      <c r="E3" s="29">
        <f>IF(ОТЧЕТ!A3="SKU3",C3+ОТЧЕТ!C3*0.2,C3+ОТЧЕТ!C3*0.15)</f>
        <v>618.70000000000005</v>
      </c>
      <c r="F3" s="7" t="s">
        <v>44</v>
      </c>
      <c r="G3" s="7">
        <v>2539096225</v>
      </c>
      <c r="H3" s="20" t="s">
        <v>45</v>
      </c>
      <c r="I3" s="22" t="str">
        <f>INDEX('Справочник Сети'!B:B,(MATCH(G3,'Справочник Сети'!C:C,0)))</f>
        <v>36,6</v>
      </c>
      <c r="J3" s="7" t="s">
        <v>46</v>
      </c>
      <c r="K3" s="7" t="s">
        <v>47</v>
      </c>
      <c r="L3" s="7" t="s">
        <v>46</v>
      </c>
      <c r="M3" s="31">
        <v>45726</v>
      </c>
      <c r="N3" s="7" t="s">
        <v>48</v>
      </c>
      <c r="O3" s="8">
        <v>1096</v>
      </c>
      <c r="P3" s="24">
        <v>8</v>
      </c>
      <c r="Q3" s="22">
        <f>IF(COUNTIFS(A$2:A3,A3,I$2:I3,I3)=1,1,0)</f>
        <v>1</v>
      </c>
      <c r="R3" s="22">
        <f t="shared" ref="R3:R66" si="0">COUNTIF(O:O,O3)</f>
        <v>1</v>
      </c>
      <c r="S3" s="33">
        <f>IF(COUNTIF(O$2:O3,O3)=1,R3,0)/2.5</f>
        <v>0.4</v>
      </c>
      <c r="U3" s="17" t="s">
        <v>37</v>
      </c>
      <c r="V3" s="15">
        <f>SUMIF(A:A,U3,B:B)</f>
        <v>565</v>
      </c>
      <c r="W3" s="15">
        <f>SUMPRODUCT(--(A:A=U3),B:B,C:C)</f>
        <v>347144.1399999999</v>
      </c>
      <c r="X3" s="15">
        <f>SUMIF(A:A,U3,Q:Q)</f>
        <v>7</v>
      </c>
      <c r="Y3" s="13"/>
      <c r="Z3" s="42">
        <f>MAX(M:M)</f>
        <v>45732</v>
      </c>
      <c r="AA3" s="15"/>
      <c r="AB3" s="41"/>
      <c r="AC3" s="40" t="s">
        <v>7957</v>
      </c>
      <c r="AD3" s="15">
        <f>COUNTIFS(S:S,"&gt;1",S:S,"&lt;=3")</f>
        <v>273</v>
      </c>
    </row>
    <row r="4" spans="1:30" ht="18" customHeight="1" x14ac:dyDescent="0.25">
      <c r="A4" s="7" t="s">
        <v>43</v>
      </c>
      <c r="B4" s="8">
        <v>1</v>
      </c>
      <c r="C4" s="9">
        <v>563</v>
      </c>
      <c r="D4" s="29">
        <f>C4+IF(INDEX('Справочник по %'!B:B,(MATCH(A4,'Справочник по %'!A:A,0)))="кол-во",B4*INDEX('Справочник по %'!C:C,(MATCH(A4,'Справочник по %'!A:A,0))),ОТЧЕТ!C4*INDEX('Справочник по %'!C:C,(MATCH(A4,'Справочник по %'!A:A,0))))/100</f>
        <v>619.29999999999995</v>
      </c>
      <c r="E4" s="29">
        <f>IF(ОТЧЕТ!A4="SKU3",C4+ОТЧЕТ!C4*0.2,C4+ОТЧЕТ!C4*0.15)</f>
        <v>647.45000000000005</v>
      </c>
      <c r="F4" s="7" t="s">
        <v>49</v>
      </c>
      <c r="G4" s="7">
        <v>2722039794</v>
      </c>
      <c r="H4" s="20" t="s">
        <v>50</v>
      </c>
      <c r="I4" s="22" t="str">
        <f>INDEX('Справочник Сети'!B:B,(MATCH(G4,'Справочник Сети'!C:C,0)))</f>
        <v>36,6</v>
      </c>
      <c r="J4" s="7" t="s">
        <v>51</v>
      </c>
      <c r="K4" s="7" t="s">
        <v>52</v>
      </c>
      <c r="L4" s="7" t="s">
        <v>46</v>
      </c>
      <c r="M4" s="31">
        <v>45726</v>
      </c>
      <c r="N4" s="7" t="s">
        <v>53</v>
      </c>
      <c r="O4" s="8">
        <v>1322</v>
      </c>
      <c r="P4" s="24">
        <v>10</v>
      </c>
      <c r="Q4" s="22">
        <f>IF(COUNTIFS(A$2:A4,A4,I$2:I4,I4)=1,1,0)</f>
        <v>0</v>
      </c>
      <c r="R4" s="22">
        <f t="shared" si="0"/>
        <v>1</v>
      </c>
      <c r="S4" s="33">
        <f>IF(COUNTIF(O$2:O4,O4)=1,R4,0)/2.5</f>
        <v>0.4</v>
      </c>
      <c r="U4" s="17" t="s">
        <v>146</v>
      </c>
      <c r="V4" s="15">
        <f>SUMIF(A:A,U4,B:B)</f>
        <v>29</v>
      </c>
      <c r="W4" s="15">
        <f>SUMPRODUCT(--(A:A=U4),B:B,C:C)</f>
        <v>21815.600000000002</v>
      </c>
      <c r="X4" s="15">
        <f>SUMIF(A:A,U4,Q:Q)</f>
        <v>4</v>
      </c>
      <c r="Y4" s="13"/>
      <c r="Z4" s="13"/>
      <c r="AA4" s="13"/>
      <c r="AB4" s="41"/>
      <c r="AC4" s="40" t="s">
        <v>7958</v>
      </c>
      <c r="AD4" s="15">
        <f>COUNTIF(S:S,"&gt;3")</f>
        <v>20</v>
      </c>
    </row>
    <row r="5" spans="1:30" ht="18" customHeight="1" x14ac:dyDescent="0.25">
      <c r="A5" s="7" t="s">
        <v>37</v>
      </c>
      <c r="B5" s="8">
        <v>1</v>
      </c>
      <c r="C5" s="9">
        <v>645</v>
      </c>
      <c r="D5" s="29">
        <f>C5+IF(INDEX('Справочник по %'!B:B,(MATCH(A5,'Справочник по %'!A:A,0)))="кол-во",B5*INDEX('Справочник по %'!C:C,(MATCH(A5,'Справочник по %'!A:A,0))),ОТЧЕТ!C5*INDEX('Справочник по %'!C:C,(MATCH(A5,'Справочник по %'!A:A,0))))/100</f>
        <v>645.20000000000005</v>
      </c>
      <c r="E5" s="29">
        <f>IF(ОТЧЕТ!A5="SKU3",C5+ОТЧЕТ!C5*0.2,C5+ОТЧЕТ!C5*0.15)</f>
        <v>741.75</v>
      </c>
      <c r="F5" s="7" t="s">
        <v>54</v>
      </c>
      <c r="G5" s="7">
        <v>5903072982</v>
      </c>
      <c r="H5" s="20" t="s">
        <v>39</v>
      </c>
      <c r="I5" s="22" t="str">
        <f>INDEX('Справочник Сети'!B:B,(MATCH(G5,'Справочник Сети'!C:C,0)))</f>
        <v>Планета здоровья</v>
      </c>
      <c r="J5" s="7" t="s">
        <v>40</v>
      </c>
      <c r="K5" s="7" t="s">
        <v>55</v>
      </c>
      <c r="L5" s="7" t="s">
        <v>40</v>
      </c>
      <c r="M5" s="31">
        <v>45712</v>
      </c>
      <c r="N5" s="7" t="s">
        <v>56</v>
      </c>
      <c r="O5" s="8">
        <v>1253</v>
      </c>
      <c r="P5" s="24">
        <v>88</v>
      </c>
      <c r="Q5" s="22">
        <f>IF(COUNTIFS(A$2:A5,A5,I$2:I5,I5)=1,1,0)</f>
        <v>1</v>
      </c>
      <c r="R5" s="22">
        <f t="shared" si="0"/>
        <v>8</v>
      </c>
      <c r="S5" s="33">
        <f>IF(COUNTIF(O$2:O5,O5)=1,R5,0)/2.5</f>
        <v>3.2</v>
      </c>
      <c r="U5" s="17" t="s">
        <v>2436</v>
      </c>
      <c r="V5" s="15">
        <f>SUMIF(A:A,U5,B:B)</f>
        <v>4</v>
      </c>
      <c r="W5" s="15">
        <f>SUMPRODUCT(--(A:A=U5),B:B,C:C)</f>
        <v>1524</v>
      </c>
      <c r="X5" s="15">
        <f>SUMIF(A:A,U5,Q:Q)</f>
        <v>2</v>
      </c>
      <c r="Y5" s="13"/>
      <c r="Z5" s="13"/>
      <c r="AA5" s="13"/>
      <c r="AB5" s="41"/>
      <c r="AC5" s="13"/>
      <c r="AD5" s="13"/>
    </row>
    <row r="6" spans="1:30" ht="18" customHeight="1" x14ac:dyDescent="0.25">
      <c r="A6" s="7" t="s">
        <v>43</v>
      </c>
      <c r="B6" s="8">
        <v>1</v>
      </c>
      <c r="C6" s="9">
        <v>308</v>
      </c>
      <c r="D6" s="29">
        <f>C6+IF(INDEX('Справочник по %'!B:B,(MATCH(A6,'Справочник по %'!A:A,0)))="кол-во",B6*INDEX('Справочник по %'!C:C,(MATCH(A6,'Справочник по %'!A:A,0))),ОТЧЕТ!C6*INDEX('Справочник по %'!C:C,(MATCH(A6,'Справочник по %'!A:A,0))))/100</f>
        <v>338.8</v>
      </c>
      <c r="E6" s="29">
        <f>IF(ОТЧЕТ!A6="SKU3",C6+ОТЧЕТ!C6*0.2,C6+ОТЧЕТ!C6*0.15)</f>
        <v>354.2</v>
      </c>
      <c r="F6" s="7" t="s">
        <v>54</v>
      </c>
      <c r="G6" s="7">
        <v>2308209785</v>
      </c>
      <c r="H6" s="20" t="s">
        <v>50</v>
      </c>
      <c r="I6" s="22" t="str">
        <f>INDEX('Справочник Сети'!B:B,(MATCH(G6,'Справочник Сети'!C:C,0)))</f>
        <v>Планета здоровья</v>
      </c>
      <c r="J6" s="7" t="s">
        <v>57</v>
      </c>
      <c r="K6" s="7" t="s">
        <v>58</v>
      </c>
      <c r="L6" s="7" t="s">
        <v>57</v>
      </c>
      <c r="M6" s="31">
        <v>45729</v>
      </c>
      <c r="N6" s="7" t="s">
        <v>59</v>
      </c>
      <c r="O6" s="8">
        <v>925</v>
      </c>
      <c r="P6" s="24">
        <v>91</v>
      </c>
      <c r="Q6" s="22">
        <f>IF(COUNTIFS(A$2:A6,A6,I$2:I6,I6)=1,1,0)</f>
        <v>1</v>
      </c>
      <c r="R6" s="22">
        <f t="shared" si="0"/>
        <v>1</v>
      </c>
      <c r="S6" s="33">
        <f>IF(COUNTIF(O$2:O6,O6)=1,R6,0)/2.5</f>
        <v>0.4</v>
      </c>
    </row>
    <row r="7" spans="1:30" ht="18" customHeight="1" x14ac:dyDescent="0.25">
      <c r="A7" s="7" t="s">
        <v>43</v>
      </c>
      <c r="B7" s="8">
        <v>1</v>
      </c>
      <c r="C7" s="9">
        <v>442</v>
      </c>
      <c r="D7" s="29">
        <f>C7+IF(INDEX('Справочник по %'!B:B,(MATCH(A7,'Справочник по %'!A:A,0)))="кол-во",B7*INDEX('Справочник по %'!C:C,(MATCH(A7,'Справочник по %'!A:A,0))),ОТЧЕТ!C7*INDEX('Справочник по %'!C:C,(MATCH(A7,'Справочник по %'!A:A,0))))/100</f>
        <v>486.2</v>
      </c>
      <c r="E7" s="29">
        <f>IF(ОТЧЕТ!A7="SKU3",C7+ОТЧЕТ!C7*0.2,C7+ОТЧЕТ!C7*0.15)</f>
        <v>508.3</v>
      </c>
      <c r="F7" s="7" t="s">
        <v>60</v>
      </c>
      <c r="G7" s="7">
        <v>2310052764</v>
      </c>
      <c r="H7" s="20" t="s">
        <v>61</v>
      </c>
      <c r="I7" s="22" t="str">
        <f>INDEX('Справочник Сети'!B:B,(MATCH(G7,'Справочник Сети'!C:C,0)))</f>
        <v>Планета здоровья</v>
      </c>
      <c r="J7" s="7" t="s">
        <v>57</v>
      </c>
      <c r="K7" s="7" t="s">
        <v>62</v>
      </c>
      <c r="L7" s="7" t="s">
        <v>57</v>
      </c>
      <c r="M7" s="31">
        <v>45729</v>
      </c>
      <c r="N7" s="7" t="s">
        <v>63</v>
      </c>
      <c r="O7" s="8">
        <v>2557</v>
      </c>
      <c r="P7" s="24">
        <v>92</v>
      </c>
      <c r="Q7" s="22">
        <f>IF(COUNTIFS(A$2:A7,A7,I$2:I7,I7)=1,1,0)</f>
        <v>0</v>
      </c>
      <c r="R7" s="22">
        <f t="shared" si="0"/>
        <v>1</v>
      </c>
      <c r="S7" s="33">
        <f>IF(COUNTIF(O$2:O7,O7)=1,R7,0)/2.5</f>
        <v>0.4</v>
      </c>
    </row>
    <row r="8" spans="1:30" ht="18" customHeight="1" x14ac:dyDescent="0.25">
      <c r="A8" s="7" t="s">
        <v>43</v>
      </c>
      <c r="B8" s="8">
        <v>1</v>
      </c>
      <c r="C8" s="9">
        <v>426.4</v>
      </c>
      <c r="D8" s="29">
        <f>C8+IF(INDEX('Справочник по %'!B:B,(MATCH(A8,'Справочник по %'!A:A,0)))="кол-во",B8*INDEX('Справочник по %'!C:C,(MATCH(A8,'Справочник по %'!A:A,0))),ОТЧЕТ!C8*INDEX('Справочник по %'!C:C,(MATCH(A8,'Справочник по %'!A:A,0))))/100</f>
        <v>469.03999999999996</v>
      </c>
      <c r="E8" s="29">
        <f>IF(ОТЧЕТ!A8="SKU3",C8+ОТЧЕТ!C8*0.2,C8+ОТЧЕТ!C8*0.15)</f>
        <v>490.35999999999996</v>
      </c>
      <c r="F8" s="7" t="s">
        <v>60</v>
      </c>
      <c r="G8" s="7">
        <v>3704004871</v>
      </c>
      <c r="H8" s="20" t="s">
        <v>64</v>
      </c>
      <c r="I8" s="22" t="str">
        <f>INDEX('Справочник Сети'!B:B,(MATCH(G8,'Справочник Сети'!C:C,0)))</f>
        <v>Планета здоровья</v>
      </c>
      <c r="J8" s="7" t="s">
        <v>65</v>
      </c>
      <c r="K8" s="7" t="s">
        <v>66</v>
      </c>
      <c r="L8" s="7" t="s">
        <v>65</v>
      </c>
      <c r="M8" s="31">
        <v>45717</v>
      </c>
      <c r="N8" s="7" t="s">
        <v>67</v>
      </c>
      <c r="O8" s="8">
        <v>3489</v>
      </c>
      <c r="P8" s="24">
        <v>93</v>
      </c>
      <c r="Q8" s="22">
        <f>IF(COUNTIFS(A$2:A8,A8,I$2:I8,I8)=1,1,0)</f>
        <v>0</v>
      </c>
      <c r="R8" s="22">
        <f t="shared" si="0"/>
        <v>6</v>
      </c>
      <c r="S8" s="33">
        <f>IF(COUNTIF(O$2:O8,O8)=1,R8,0)/2.5</f>
        <v>2.4</v>
      </c>
    </row>
    <row r="9" spans="1:30" ht="18" customHeight="1" x14ac:dyDescent="0.25">
      <c r="A9" s="7" t="s">
        <v>37</v>
      </c>
      <c r="B9" s="8">
        <v>1</v>
      </c>
      <c r="C9" s="9">
        <v>582</v>
      </c>
      <c r="D9" s="29">
        <f>C9+IF(INDEX('Справочник по %'!B:B,(MATCH(A9,'Справочник по %'!A:A,0)))="кол-во",B9*INDEX('Справочник по %'!C:C,(MATCH(A9,'Справочник по %'!A:A,0))),ОТЧЕТ!C9*INDEX('Справочник по %'!C:C,(MATCH(A9,'Справочник по %'!A:A,0))))/100</f>
        <v>582.20000000000005</v>
      </c>
      <c r="E9" s="29">
        <f>IF(ОТЧЕТ!A9="SKU3",C9+ОТЧЕТ!C9*0.2,C9+ОТЧЕТ!C9*0.15)</f>
        <v>669.3</v>
      </c>
      <c r="F9" s="7" t="s">
        <v>68</v>
      </c>
      <c r="G9" s="7">
        <v>2310200444</v>
      </c>
      <c r="H9" s="20" t="s">
        <v>69</v>
      </c>
      <c r="I9" s="22" t="str">
        <f>INDEX('Справочник Сети'!B:B,(MATCH(G9,'Справочник Сети'!C:C,0)))</f>
        <v>Планета здоровья</v>
      </c>
      <c r="J9" s="7" t="s">
        <v>70</v>
      </c>
      <c r="K9" s="7" t="s">
        <v>71</v>
      </c>
      <c r="L9" s="7" t="s">
        <v>57</v>
      </c>
      <c r="M9" s="31">
        <v>45729</v>
      </c>
      <c r="N9" s="7" t="s">
        <v>72</v>
      </c>
      <c r="O9" s="8">
        <v>548</v>
      </c>
      <c r="P9" s="24">
        <v>99</v>
      </c>
      <c r="Q9" s="22">
        <f>IF(COUNTIFS(A$2:A9,A9,I$2:I9,I9)=1,1,0)</f>
        <v>0</v>
      </c>
      <c r="R9" s="22">
        <f t="shared" si="0"/>
        <v>4</v>
      </c>
      <c r="S9" s="33">
        <f>IF(COUNTIF(O$2:O9,O9)=1,R9,0)/2.5</f>
        <v>1.6</v>
      </c>
    </row>
    <row r="10" spans="1:30" ht="18" customHeight="1" x14ac:dyDescent="0.25">
      <c r="A10" s="7" t="s">
        <v>43</v>
      </c>
      <c r="B10" s="8">
        <v>1</v>
      </c>
      <c r="C10" s="9">
        <v>478</v>
      </c>
      <c r="D10" s="29">
        <f>C10+IF(INDEX('Справочник по %'!B:B,(MATCH(A10,'Справочник по %'!A:A,0)))="кол-во",B10*INDEX('Справочник по %'!C:C,(MATCH(A10,'Справочник по %'!A:A,0))),ОТЧЕТ!C10*INDEX('Справочник по %'!C:C,(MATCH(A10,'Справочник по %'!A:A,0))))/100</f>
        <v>525.79999999999995</v>
      </c>
      <c r="E10" s="29">
        <f>IF(ОТЧЕТ!A10="SKU3",C10+ОТЧЕТ!C10*0.2,C10+ОТЧЕТ!C10*0.15)</f>
        <v>549.70000000000005</v>
      </c>
      <c r="F10" s="7" t="s">
        <v>68</v>
      </c>
      <c r="G10" s="7">
        <v>9726023519</v>
      </c>
      <c r="H10" s="20" t="s">
        <v>73</v>
      </c>
      <c r="I10" s="22" t="str">
        <f>INDEX('Справочник Сети'!B:B,(MATCH(G10,'Справочник Сети'!C:C,0)))</f>
        <v>Планета здоровья</v>
      </c>
      <c r="J10" s="7" t="s">
        <v>74</v>
      </c>
      <c r="K10" s="7" t="s">
        <v>75</v>
      </c>
      <c r="L10" s="7" t="s">
        <v>74</v>
      </c>
      <c r="M10" s="31">
        <v>45661</v>
      </c>
      <c r="N10" s="7" t="s">
        <v>76</v>
      </c>
      <c r="O10" s="8">
        <v>2375</v>
      </c>
      <c r="P10" s="24">
        <v>100</v>
      </c>
      <c r="Q10" s="22">
        <f>IF(COUNTIFS(A$2:A10,A10,I$2:I10,I10)=1,1,0)</f>
        <v>0</v>
      </c>
      <c r="R10" s="22">
        <f t="shared" si="0"/>
        <v>1</v>
      </c>
      <c r="S10" s="33">
        <f>IF(COUNTIF(O$2:O10,O10)=1,R10,0)/2.5</f>
        <v>0.4</v>
      </c>
      <c r="T10" s="14"/>
      <c r="U10" s="14"/>
      <c r="V10" s="14"/>
      <c r="W10" s="14"/>
    </row>
    <row r="11" spans="1:30" ht="18" customHeight="1" x14ac:dyDescent="0.25">
      <c r="A11" s="7" t="s">
        <v>43</v>
      </c>
      <c r="B11" s="8">
        <v>1</v>
      </c>
      <c r="C11" s="9">
        <v>440</v>
      </c>
      <c r="D11" s="29">
        <f>C11+IF(INDEX('Справочник по %'!B:B,(MATCH(A11,'Справочник по %'!A:A,0)))="кол-во",B11*INDEX('Справочник по %'!C:C,(MATCH(A11,'Справочник по %'!A:A,0))),ОТЧЕТ!C11*INDEX('Справочник по %'!C:C,(MATCH(A11,'Справочник по %'!A:A,0))))/100</f>
        <v>484</v>
      </c>
      <c r="E11" s="29">
        <f>IF(ОТЧЕТ!A11="SKU3",C11+ОТЧЕТ!C11*0.2,C11+ОТЧЕТ!C11*0.15)</f>
        <v>506</v>
      </c>
      <c r="F11" s="7" t="s">
        <v>68</v>
      </c>
      <c r="G11" s="7">
        <v>231705666100</v>
      </c>
      <c r="H11" s="20" t="s">
        <v>50</v>
      </c>
      <c r="I11" s="22" t="str">
        <f>INDEX('Справочник Сети'!B:B,(MATCH(G11,'Справочник Сети'!C:C,0)))</f>
        <v>Планета здоровья</v>
      </c>
      <c r="J11" s="7" t="s">
        <v>74</v>
      </c>
      <c r="K11" s="7" t="s">
        <v>77</v>
      </c>
      <c r="L11" s="7" t="s">
        <v>74</v>
      </c>
      <c r="M11" s="31">
        <v>45661</v>
      </c>
      <c r="N11" s="7" t="s">
        <v>78</v>
      </c>
      <c r="O11" s="8">
        <v>841</v>
      </c>
      <c r="P11" s="24">
        <v>102</v>
      </c>
      <c r="Q11" s="22">
        <f>IF(COUNTIFS(A$2:A11,A11,I$2:I11,I11)=1,1,0)</f>
        <v>0</v>
      </c>
      <c r="R11" s="22">
        <f t="shared" si="0"/>
        <v>4</v>
      </c>
      <c r="S11" s="33">
        <f>IF(COUNTIF(O$2:O11,O11)=1,R11,0)/2.5</f>
        <v>1.6</v>
      </c>
    </row>
    <row r="12" spans="1:30" ht="18" customHeight="1" x14ac:dyDescent="0.25">
      <c r="A12" s="7" t="s">
        <v>43</v>
      </c>
      <c r="B12" s="8">
        <v>1</v>
      </c>
      <c r="C12" s="9">
        <v>399</v>
      </c>
      <c r="D12" s="29">
        <f>C12+IF(INDEX('Справочник по %'!B:B,(MATCH(A12,'Справочник по %'!A:A,0)))="кол-во",B12*INDEX('Справочник по %'!C:C,(MATCH(A12,'Справочник по %'!A:A,0))),ОТЧЕТ!C12*INDEX('Справочник по %'!C:C,(MATCH(A12,'Справочник по %'!A:A,0))))/100</f>
        <v>438.9</v>
      </c>
      <c r="E12" s="29">
        <f>IF(ОТЧЕТ!A12="SKU3",C12+ОТЧЕТ!C12*0.2,C12+ОТЧЕТ!C12*0.15)</f>
        <v>458.85</v>
      </c>
      <c r="F12" s="7" t="s">
        <v>68</v>
      </c>
      <c r="G12" s="7">
        <v>5906086550</v>
      </c>
      <c r="H12" s="20" t="s">
        <v>39</v>
      </c>
      <c r="I12" s="22" t="str">
        <f>INDEX('Справочник Сети'!B:B,(MATCH(G12,'Справочник Сети'!C:C,0)))</f>
        <v>Планета здоровья</v>
      </c>
      <c r="J12" s="7" t="s">
        <v>79</v>
      </c>
      <c r="K12" s="7" t="s">
        <v>80</v>
      </c>
      <c r="L12" s="7" t="s">
        <v>40</v>
      </c>
      <c r="M12" s="31">
        <v>45712</v>
      </c>
      <c r="N12" s="7" t="s">
        <v>81</v>
      </c>
      <c r="O12" s="8">
        <v>3609</v>
      </c>
      <c r="P12" s="24">
        <v>105</v>
      </c>
      <c r="Q12" s="22">
        <f>IF(COUNTIFS(A$2:A12,A12,I$2:I12,I12)=1,1,0)</f>
        <v>0</v>
      </c>
      <c r="R12" s="22">
        <f t="shared" si="0"/>
        <v>2</v>
      </c>
      <c r="S12" s="33">
        <f>IF(COUNTIF(O$2:O12,O12)=1,R12,0)/2.5</f>
        <v>0.8</v>
      </c>
    </row>
    <row r="13" spans="1:30" ht="18" customHeight="1" x14ac:dyDescent="0.25">
      <c r="A13" s="7" t="s">
        <v>37</v>
      </c>
      <c r="B13" s="8">
        <v>1</v>
      </c>
      <c r="C13" s="9">
        <v>683</v>
      </c>
      <c r="D13" s="29">
        <f>C13+IF(INDEX('Справочник по %'!B:B,(MATCH(A13,'Справочник по %'!A:A,0)))="кол-во",B13*INDEX('Справочник по %'!C:C,(MATCH(A13,'Справочник по %'!A:A,0))),ОТЧЕТ!C13*INDEX('Справочник по %'!C:C,(MATCH(A13,'Справочник по %'!A:A,0))))/100</f>
        <v>683.2</v>
      </c>
      <c r="E13" s="29">
        <f>IF(ОТЧЕТ!A13="SKU3",C13+ОТЧЕТ!C13*0.2,C13+ОТЧЕТ!C13*0.15)</f>
        <v>785.45</v>
      </c>
      <c r="F13" s="7" t="s">
        <v>82</v>
      </c>
      <c r="G13" s="7">
        <v>4705071640</v>
      </c>
      <c r="H13" s="20" t="s">
        <v>50</v>
      </c>
      <c r="I13" s="22" t="str">
        <f>INDEX('Справочник Сети'!B:B,(MATCH(G13,'Справочник Сети'!C:C,0)))</f>
        <v>Планета здоровья</v>
      </c>
      <c r="J13" s="7" t="s">
        <v>83</v>
      </c>
      <c r="K13" s="7" t="s">
        <v>84</v>
      </c>
      <c r="L13" s="7" t="s">
        <v>83</v>
      </c>
      <c r="M13" s="31">
        <v>45715</v>
      </c>
      <c r="N13" s="7" t="s">
        <v>85</v>
      </c>
      <c r="O13" s="8">
        <v>1467</v>
      </c>
      <c r="P13" s="24">
        <v>107</v>
      </c>
      <c r="Q13" s="22">
        <f>IF(COUNTIFS(A$2:A13,A13,I$2:I13,I13)=1,1,0)</f>
        <v>0</v>
      </c>
      <c r="R13" s="22">
        <f t="shared" si="0"/>
        <v>1</v>
      </c>
      <c r="S13" s="33">
        <f>IF(COUNTIF(O$2:O13,O13)=1,R13,0)/2.5</f>
        <v>0.4</v>
      </c>
    </row>
    <row r="14" spans="1:30" ht="18" customHeight="1" x14ac:dyDescent="0.25">
      <c r="A14" s="7" t="s">
        <v>37</v>
      </c>
      <c r="B14" s="8">
        <v>1</v>
      </c>
      <c r="C14" s="9">
        <v>538</v>
      </c>
      <c r="D14" s="29">
        <f>C14+IF(INDEX('Справочник по %'!B:B,(MATCH(A14,'Справочник по %'!A:A,0)))="кол-во",B14*INDEX('Справочник по %'!C:C,(MATCH(A14,'Справочник по %'!A:A,0))),ОТЧЕТ!C14*INDEX('Справочник по %'!C:C,(MATCH(A14,'Справочник по %'!A:A,0))))/100</f>
        <v>538.20000000000005</v>
      </c>
      <c r="E14" s="29">
        <f>IF(ОТЧЕТ!A14="SKU3",C14+ОТЧЕТ!C14*0.2,C14+ОТЧЕТ!C14*0.15)</f>
        <v>618.70000000000005</v>
      </c>
      <c r="F14" s="7" t="s">
        <v>82</v>
      </c>
      <c r="G14" s="7">
        <v>7706795062</v>
      </c>
      <c r="H14" s="20" t="s">
        <v>86</v>
      </c>
      <c r="I14" s="22" t="str">
        <f>INDEX('Справочник Сети'!B:B,(MATCH(G14,'Справочник Сети'!C:C,0)))</f>
        <v>Планета здоровья</v>
      </c>
      <c r="J14" s="7" t="s">
        <v>87</v>
      </c>
      <c r="K14" s="7" t="s">
        <v>88</v>
      </c>
      <c r="L14" s="7" t="s">
        <v>87</v>
      </c>
      <c r="M14" s="31">
        <v>45691</v>
      </c>
      <c r="N14" s="7" t="s">
        <v>89</v>
      </c>
      <c r="O14" s="8">
        <v>3349</v>
      </c>
      <c r="P14" s="24">
        <v>108</v>
      </c>
      <c r="Q14" s="22">
        <f>IF(COUNTIFS(A$2:A14,A14,I$2:I14,I14)=1,1,0)</f>
        <v>0</v>
      </c>
      <c r="R14" s="22">
        <f t="shared" si="0"/>
        <v>5</v>
      </c>
      <c r="S14" s="33">
        <f>IF(COUNTIF(O$2:O14,O14)=1,R14,0)/2.5</f>
        <v>2</v>
      </c>
    </row>
    <row r="15" spans="1:30" ht="18" customHeight="1" x14ac:dyDescent="0.25">
      <c r="A15" s="7" t="s">
        <v>43</v>
      </c>
      <c r="B15" s="8">
        <v>1</v>
      </c>
      <c r="C15" s="9">
        <v>540</v>
      </c>
      <c r="D15" s="29">
        <f>C15+IF(INDEX('Справочник по %'!B:B,(MATCH(A15,'Справочник по %'!A:A,0)))="кол-во",B15*INDEX('Справочник по %'!C:C,(MATCH(A15,'Справочник по %'!A:A,0))),ОТЧЕТ!C15*INDEX('Справочник по %'!C:C,(MATCH(A15,'Справочник по %'!A:A,0))))/100</f>
        <v>594</v>
      </c>
      <c r="E15" s="29">
        <f>IF(ОТЧЕТ!A15="SKU3",C15+ОТЧЕТ!C15*0.2,C15+ОТЧЕТ!C15*0.15)</f>
        <v>621</v>
      </c>
      <c r="F15" s="7" t="s">
        <v>90</v>
      </c>
      <c r="G15" s="7">
        <v>5032223231</v>
      </c>
      <c r="H15" s="20" t="s">
        <v>91</v>
      </c>
      <c r="I15" s="22" t="str">
        <f>INDEX('Справочник Сети'!B:B,(MATCH(G15,'Справочник Сети'!C:C,0)))</f>
        <v>Планета здоровья</v>
      </c>
      <c r="J15" s="7" t="s">
        <v>92</v>
      </c>
      <c r="K15" s="7" t="s">
        <v>93</v>
      </c>
      <c r="L15" s="7" t="s">
        <v>92</v>
      </c>
      <c r="M15" s="31">
        <v>45714</v>
      </c>
      <c r="N15" s="7" t="s">
        <v>94</v>
      </c>
      <c r="O15" s="8">
        <v>594</v>
      </c>
      <c r="P15" s="24">
        <v>114</v>
      </c>
      <c r="Q15" s="22">
        <f>IF(COUNTIFS(A$2:A15,A15,I$2:I15,I15)=1,1,0)</f>
        <v>0</v>
      </c>
      <c r="R15" s="22">
        <f t="shared" si="0"/>
        <v>2</v>
      </c>
      <c r="S15" s="33">
        <f>IF(COUNTIF(O$2:O15,O15)=1,R15,0)/2.5</f>
        <v>0.8</v>
      </c>
    </row>
    <row r="16" spans="1:30" ht="18" customHeight="1" x14ac:dyDescent="0.25">
      <c r="A16" s="7" t="s">
        <v>43</v>
      </c>
      <c r="B16" s="8">
        <v>1</v>
      </c>
      <c r="C16" s="9">
        <v>463</v>
      </c>
      <c r="D16" s="29">
        <f>C16+IF(INDEX('Справочник по %'!B:B,(MATCH(A16,'Справочник по %'!A:A,0)))="кол-во",B16*INDEX('Справочник по %'!C:C,(MATCH(A16,'Справочник по %'!A:A,0))),ОТЧЕТ!C16*INDEX('Справочник по %'!C:C,(MATCH(A16,'Справочник по %'!A:A,0))))/100</f>
        <v>509.3</v>
      </c>
      <c r="E16" s="29">
        <f>IF(ОТЧЕТ!A16="SKU3",C16+ОТЧЕТ!C16*0.2,C16+ОТЧЕТ!C16*0.15)</f>
        <v>532.45000000000005</v>
      </c>
      <c r="F16" s="7" t="s">
        <v>90</v>
      </c>
      <c r="G16" s="7">
        <v>2373007595</v>
      </c>
      <c r="H16" s="20" t="s">
        <v>95</v>
      </c>
      <c r="I16" s="22" t="str">
        <f>INDEX('Справочник Сети'!B:B,(MATCH(G16,'Справочник Сети'!C:C,0)))</f>
        <v>Планета здоровья</v>
      </c>
      <c r="J16" s="7" t="s">
        <v>96</v>
      </c>
      <c r="K16" s="7" t="s">
        <v>97</v>
      </c>
      <c r="L16" s="7" t="s">
        <v>96</v>
      </c>
      <c r="M16" s="31">
        <v>45727</v>
      </c>
      <c r="N16" s="7" t="s">
        <v>98</v>
      </c>
      <c r="O16" s="8">
        <v>3796</v>
      </c>
      <c r="P16" s="24">
        <v>123</v>
      </c>
      <c r="Q16" s="22">
        <f>IF(COUNTIFS(A$2:A16,A16,I$2:I16,I16)=1,1,0)</f>
        <v>0</v>
      </c>
      <c r="R16" s="22">
        <f t="shared" si="0"/>
        <v>1</v>
      </c>
      <c r="S16" s="33">
        <f>IF(COUNTIF(O$2:O16,O16)=1,R16,0)/2.5</f>
        <v>0.4</v>
      </c>
    </row>
    <row r="17" spans="1:19" ht="18" customHeight="1" x14ac:dyDescent="0.25">
      <c r="A17" s="7" t="s">
        <v>43</v>
      </c>
      <c r="B17" s="8">
        <v>1</v>
      </c>
      <c r="C17" s="9">
        <v>394</v>
      </c>
      <c r="D17" s="29">
        <f>C17+IF(INDEX('Справочник по %'!B:B,(MATCH(A17,'Справочник по %'!A:A,0)))="кол-во",B17*INDEX('Справочник по %'!C:C,(MATCH(A17,'Справочник по %'!A:A,0))),ОТЧЕТ!C17*INDEX('Справочник по %'!C:C,(MATCH(A17,'Справочник по %'!A:A,0))))/100</f>
        <v>433.4</v>
      </c>
      <c r="E17" s="29">
        <f>IF(ОТЧЕТ!A17="SKU3",C17+ОТЧЕТ!C17*0.2,C17+ОТЧЕТ!C17*0.15)</f>
        <v>453.1</v>
      </c>
      <c r="F17" s="7" t="s">
        <v>90</v>
      </c>
      <c r="G17" s="7">
        <v>7706795062</v>
      </c>
      <c r="H17" s="20" t="s">
        <v>99</v>
      </c>
      <c r="I17" s="22" t="str">
        <f>INDEX('Справочник Сети'!B:B,(MATCH(G17,'Справочник Сети'!C:C,0)))</f>
        <v>Планета здоровья</v>
      </c>
      <c r="J17" s="7" t="s">
        <v>87</v>
      </c>
      <c r="K17" s="7" t="s">
        <v>100</v>
      </c>
      <c r="L17" s="7" t="s">
        <v>87</v>
      </c>
      <c r="M17" s="31">
        <v>45691</v>
      </c>
      <c r="N17" s="7" t="s">
        <v>101</v>
      </c>
      <c r="O17" s="8">
        <v>3604</v>
      </c>
      <c r="P17" s="24">
        <v>124</v>
      </c>
      <c r="Q17" s="22">
        <f>IF(COUNTIFS(A$2:A17,A17,I$2:I17,I17)=1,1,0)</f>
        <v>0</v>
      </c>
      <c r="R17" s="22">
        <f t="shared" si="0"/>
        <v>3</v>
      </c>
      <c r="S17" s="33">
        <f>IF(COUNTIF(O$2:O17,O17)=1,R17,0)/2.5</f>
        <v>1.2</v>
      </c>
    </row>
    <row r="18" spans="1:19" ht="18" customHeight="1" x14ac:dyDescent="0.25">
      <c r="A18" s="7" t="s">
        <v>37</v>
      </c>
      <c r="B18" s="8">
        <v>1</v>
      </c>
      <c r="C18" s="9">
        <v>577</v>
      </c>
      <c r="D18" s="29">
        <f>C18+IF(INDEX('Справочник по %'!B:B,(MATCH(A18,'Справочник по %'!A:A,0)))="кол-во",B18*INDEX('Справочник по %'!C:C,(MATCH(A18,'Справочник по %'!A:A,0))),ОТЧЕТ!C18*INDEX('Справочник по %'!C:C,(MATCH(A18,'Справочник по %'!A:A,0))))/100</f>
        <v>577.20000000000005</v>
      </c>
      <c r="E18" s="29">
        <f>IF(ОТЧЕТ!A18="SKU3",C18+ОТЧЕТ!C18*0.2,C18+ОТЧЕТ!C18*0.15)</f>
        <v>663.55</v>
      </c>
      <c r="F18" s="7" t="s">
        <v>102</v>
      </c>
      <c r="G18" s="7">
        <v>7204146152</v>
      </c>
      <c r="H18" s="20" t="s">
        <v>103</v>
      </c>
      <c r="I18" s="22" t="str">
        <f>INDEX('Справочник Сети'!B:B,(MATCH(G18,'Справочник Сети'!C:C,0)))</f>
        <v>36,6</v>
      </c>
      <c r="J18" s="7" t="s">
        <v>104</v>
      </c>
      <c r="K18" s="7" t="s">
        <v>105</v>
      </c>
      <c r="L18" s="7" t="s">
        <v>106</v>
      </c>
      <c r="M18" s="31">
        <v>45694</v>
      </c>
      <c r="N18" s="7" t="s">
        <v>107</v>
      </c>
      <c r="O18" s="8">
        <v>1369</v>
      </c>
      <c r="P18" s="24">
        <v>125</v>
      </c>
      <c r="Q18" s="22">
        <f>IF(COUNTIFS(A$2:A18,A18,I$2:I18,I18)=1,1,0)</f>
        <v>0</v>
      </c>
      <c r="R18" s="22">
        <f t="shared" si="0"/>
        <v>6</v>
      </c>
      <c r="S18" s="33">
        <f>IF(COUNTIF(O$2:O18,O18)=1,R18,0)/2.5</f>
        <v>2.4</v>
      </c>
    </row>
    <row r="19" spans="1:19" ht="18" customHeight="1" x14ac:dyDescent="0.25">
      <c r="A19" s="7" t="s">
        <v>43</v>
      </c>
      <c r="B19" s="8">
        <v>1</v>
      </c>
      <c r="C19" s="9">
        <v>454</v>
      </c>
      <c r="D19" s="29">
        <f>C19+IF(INDEX('Справочник по %'!B:B,(MATCH(A19,'Справочник по %'!A:A,0)))="кол-во",B19*INDEX('Справочник по %'!C:C,(MATCH(A19,'Справочник по %'!A:A,0))),ОТЧЕТ!C19*INDEX('Справочник по %'!C:C,(MATCH(A19,'Справочник по %'!A:A,0))))/100</f>
        <v>499.4</v>
      </c>
      <c r="E19" s="29">
        <f>IF(ОТЧЕТ!A19="SKU3",C19+ОТЧЕТ!C19*0.2,C19+ОТЧЕТ!C19*0.15)</f>
        <v>522.1</v>
      </c>
      <c r="F19" s="7" t="s">
        <v>108</v>
      </c>
      <c r="G19" s="7">
        <v>332908266729</v>
      </c>
      <c r="H19" s="20" t="s">
        <v>109</v>
      </c>
      <c r="I19" s="22" t="str">
        <f>INDEX('Справочник Сети'!B:B,(MATCH(G19,'Справочник Сети'!C:C,0)))</f>
        <v>Планета здоровья</v>
      </c>
      <c r="J19" s="7" t="s">
        <v>110</v>
      </c>
      <c r="K19" s="7" t="s">
        <v>111</v>
      </c>
      <c r="L19" s="7" t="s">
        <v>110</v>
      </c>
      <c r="M19" s="31">
        <v>45660</v>
      </c>
      <c r="N19" s="7" t="s">
        <v>112</v>
      </c>
      <c r="O19" s="8">
        <v>1855</v>
      </c>
      <c r="P19" s="24">
        <v>126</v>
      </c>
      <c r="Q19" s="22">
        <f>IF(COUNTIFS(A$2:A19,A19,I$2:I19,I19)=1,1,0)</f>
        <v>0</v>
      </c>
      <c r="R19" s="22">
        <f t="shared" si="0"/>
        <v>1</v>
      </c>
      <c r="S19" s="33">
        <f>IF(COUNTIF(O$2:O19,O19)=1,R19,0)/2.5</f>
        <v>0.4</v>
      </c>
    </row>
    <row r="20" spans="1:19" ht="18" customHeight="1" x14ac:dyDescent="0.25">
      <c r="A20" s="7" t="s">
        <v>37</v>
      </c>
      <c r="B20" s="8">
        <v>1</v>
      </c>
      <c r="C20" s="9">
        <v>601</v>
      </c>
      <c r="D20" s="29">
        <f>C20+IF(INDEX('Справочник по %'!B:B,(MATCH(A20,'Справочник по %'!A:A,0)))="кол-во",B20*INDEX('Справочник по %'!C:C,(MATCH(A20,'Справочник по %'!A:A,0))),ОТЧЕТ!C20*INDEX('Справочник по %'!C:C,(MATCH(A20,'Справочник по %'!A:A,0))))/100</f>
        <v>601.20000000000005</v>
      </c>
      <c r="E20" s="29">
        <f>IF(ОТЧЕТ!A20="SKU3",C20+ОТЧЕТ!C20*0.2,C20+ОТЧЕТ!C20*0.15)</f>
        <v>691.15</v>
      </c>
      <c r="F20" s="7" t="s">
        <v>113</v>
      </c>
      <c r="G20" s="7">
        <v>7706795062</v>
      </c>
      <c r="H20" s="20" t="s">
        <v>114</v>
      </c>
      <c r="I20" s="22" t="str">
        <f>INDEX('Справочник Сети'!B:B,(MATCH(G20,'Справочник Сети'!C:C,0)))</f>
        <v>Планета здоровья</v>
      </c>
      <c r="J20" s="7" t="s">
        <v>87</v>
      </c>
      <c r="K20" s="7" t="s">
        <v>115</v>
      </c>
      <c r="L20" s="7" t="s">
        <v>116</v>
      </c>
      <c r="M20" s="31">
        <v>45692</v>
      </c>
      <c r="N20" s="7" t="s">
        <v>117</v>
      </c>
      <c r="O20" s="8">
        <v>1120</v>
      </c>
      <c r="P20" s="24">
        <v>133</v>
      </c>
      <c r="Q20" s="22">
        <f>IF(COUNTIFS(A$2:A20,A20,I$2:I20,I20)=1,1,0)</f>
        <v>0</v>
      </c>
      <c r="R20" s="22">
        <f t="shared" si="0"/>
        <v>5</v>
      </c>
      <c r="S20" s="33">
        <f>IF(COUNTIF(O$2:O20,O20)=1,R20,0)/2.5</f>
        <v>2</v>
      </c>
    </row>
    <row r="21" spans="1:19" ht="18" customHeight="1" x14ac:dyDescent="0.25">
      <c r="A21" s="7" t="s">
        <v>43</v>
      </c>
      <c r="B21" s="8">
        <v>1</v>
      </c>
      <c r="C21" s="9">
        <v>405</v>
      </c>
      <c r="D21" s="29">
        <f>C21+IF(INDEX('Справочник по %'!B:B,(MATCH(A21,'Справочник по %'!A:A,0)))="кол-во",B21*INDEX('Справочник по %'!C:C,(MATCH(A21,'Справочник по %'!A:A,0))),ОТЧЕТ!C21*INDEX('Справочник по %'!C:C,(MATCH(A21,'Справочник по %'!A:A,0))))/100</f>
        <v>445.5</v>
      </c>
      <c r="E21" s="29">
        <f>IF(ОТЧЕТ!A21="SKU3",C21+ОТЧЕТ!C21*0.2,C21+ОТЧЕТ!C21*0.15)</f>
        <v>465.75</v>
      </c>
      <c r="F21" s="7" t="s">
        <v>113</v>
      </c>
      <c r="G21" s="7">
        <v>5903072982</v>
      </c>
      <c r="H21" s="20" t="s">
        <v>39</v>
      </c>
      <c r="I21" s="22" t="str">
        <f>INDEX('Справочник Сети'!B:B,(MATCH(G21,'Справочник Сети'!C:C,0)))</f>
        <v>Планета здоровья</v>
      </c>
      <c r="J21" s="7" t="s">
        <v>40</v>
      </c>
      <c r="K21" s="7" t="s">
        <v>118</v>
      </c>
      <c r="L21" s="7" t="s">
        <v>40</v>
      </c>
      <c r="M21" s="31">
        <v>45712</v>
      </c>
      <c r="N21" s="7" t="s">
        <v>119</v>
      </c>
      <c r="O21" s="8">
        <v>1253</v>
      </c>
      <c r="P21" s="24">
        <v>134</v>
      </c>
      <c r="Q21" s="22">
        <f>IF(COUNTIFS(A$2:A21,A21,I$2:I21,I21)=1,1,0)</f>
        <v>0</v>
      </c>
      <c r="R21" s="22">
        <f t="shared" si="0"/>
        <v>8</v>
      </c>
      <c r="S21" s="33">
        <f>IF(COUNTIF(O$2:O21,O21)=1,R21,0)/2.5</f>
        <v>0</v>
      </c>
    </row>
    <row r="22" spans="1:19" ht="18" customHeight="1" x14ac:dyDescent="0.25">
      <c r="A22" s="7" t="s">
        <v>43</v>
      </c>
      <c r="B22" s="8">
        <v>1</v>
      </c>
      <c r="C22" s="9">
        <v>515</v>
      </c>
      <c r="D22" s="29">
        <f>C22+IF(INDEX('Справочник по %'!B:B,(MATCH(A22,'Справочник по %'!A:A,0)))="кол-во",B22*INDEX('Справочник по %'!C:C,(MATCH(A22,'Справочник по %'!A:A,0))),ОТЧЕТ!C22*INDEX('Справочник по %'!C:C,(MATCH(A22,'Справочник по %'!A:A,0))))/100</f>
        <v>566.5</v>
      </c>
      <c r="E22" s="29">
        <f>IF(ОТЧЕТ!A22="SKU3",C22+ОТЧЕТ!C22*0.2,C22+ОТЧЕТ!C22*0.15)</f>
        <v>592.25</v>
      </c>
      <c r="F22" s="7" t="s">
        <v>120</v>
      </c>
      <c r="G22" s="7">
        <v>7814139847</v>
      </c>
      <c r="H22" s="20" t="s">
        <v>50</v>
      </c>
      <c r="I22" s="22" t="str">
        <f>INDEX('Справочник Сети'!B:B,(MATCH(G22,'Справочник Сети'!C:C,0)))</f>
        <v>Планета здоровья</v>
      </c>
      <c r="J22" s="7" t="s">
        <v>121</v>
      </c>
      <c r="K22" s="7" t="s">
        <v>122</v>
      </c>
      <c r="L22" s="7" t="s">
        <v>121</v>
      </c>
      <c r="M22" s="31">
        <v>45671</v>
      </c>
      <c r="N22" s="7" t="s">
        <v>123</v>
      </c>
      <c r="O22" s="8">
        <v>469</v>
      </c>
      <c r="P22" s="24">
        <v>143</v>
      </c>
      <c r="Q22" s="22">
        <f>IF(COUNTIFS(A$2:A22,A22,I$2:I22,I22)=1,1,0)</f>
        <v>0</v>
      </c>
      <c r="R22" s="22">
        <f t="shared" si="0"/>
        <v>5</v>
      </c>
      <c r="S22" s="33">
        <f>IF(COUNTIF(O$2:O22,O22)=1,R22,0)/2.5</f>
        <v>2</v>
      </c>
    </row>
    <row r="23" spans="1:19" ht="18" customHeight="1" x14ac:dyDescent="0.25">
      <c r="A23" s="7" t="s">
        <v>43</v>
      </c>
      <c r="B23" s="8">
        <v>1</v>
      </c>
      <c r="C23" s="9">
        <v>469</v>
      </c>
      <c r="D23" s="29">
        <f>C23+IF(INDEX('Справочник по %'!B:B,(MATCH(A23,'Справочник по %'!A:A,0)))="кол-во",B23*INDEX('Справочник по %'!C:C,(MATCH(A23,'Справочник по %'!A:A,0))),ОТЧЕТ!C23*INDEX('Справочник по %'!C:C,(MATCH(A23,'Справочник по %'!A:A,0))))/100</f>
        <v>515.9</v>
      </c>
      <c r="E23" s="29">
        <f>IF(ОТЧЕТ!A23="SKU3",C23+ОТЧЕТ!C23*0.2,C23+ОТЧЕТ!C23*0.15)</f>
        <v>539.35</v>
      </c>
      <c r="F23" s="7" t="s">
        <v>120</v>
      </c>
      <c r="G23" s="7">
        <v>2373007595</v>
      </c>
      <c r="H23" s="20" t="s">
        <v>124</v>
      </c>
      <c r="I23" s="22" t="str">
        <f>INDEX('Справочник Сети'!B:B,(MATCH(G23,'Справочник Сети'!C:C,0)))</f>
        <v>Планета здоровья</v>
      </c>
      <c r="J23" s="7" t="s">
        <v>96</v>
      </c>
      <c r="K23" s="7" t="s">
        <v>125</v>
      </c>
      <c r="L23" s="7" t="s">
        <v>96</v>
      </c>
      <c r="M23" s="31">
        <v>45727</v>
      </c>
      <c r="N23" s="7" t="s">
        <v>126</v>
      </c>
      <c r="O23" s="8">
        <v>1280</v>
      </c>
      <c r="P23" s="24">
        <v>144</v>
      </c>
      <c r="Q23" s="22">
        <f>IF(COUNTIFS(A$2:A23,A23,I$2:I23,I23)=1,1,0)</f>
        <v>0</v>
      </c>
      <c r="R23" s="22">
        <f t="shared" si="0"/>
        <v>1</v>
      </c>
      <c r="S23" s="33">
        <f>IF(COUNTIF(O$2:O23,O23)=1,R23,0)/2.5</f>
        <v>0.4</v>
      </c>
    </row>
    <row r="24" spans="1:19" ht="18" customHeight="1" x14ac:dyDescent="0.25">
      <c r="A24" s="7" t="s">
        <v>43</v>
      </c>
      <c r="B24" s="8">
        <v>1</v>
      </c>
      <c r="C24" s="9">
        <v>515</v>
      </c>
      <c r="D24" s="29">
        <f>C24+IF(INDEX('Справочник по %'!B:B,(MATCH(A24,'Справочник по %'!A:A,0)))="кол-во",B24*INDEX('Справочник по %'!C:C,(MATCH(A24,'Справочник по %'!A:A,0))),ОТЧЕТ!C24*INDEX('Справочник по %'!C:C,(MATCH(A24,'Справочник по %'!A:A,0))))/100</f>
        <v>566.5</v>
      </c>
      <c r="E24" s="29">
        <f>IF(ОТЧЕТ!A24="SKU3",C24+ОТЧЕТ!C24*0.2,C24+ОТЧЕТ!C24*0.15)</f>
        <v>592.25</v>
      </c>
      <c r="F24" s="7" t="s">
        <v>120</v>
      </c>
      <c r="G24" s="7">
        <v>7814139847</v>
      </c>
      <c r="H24" s="20" t="s">
        <v>50</v>
      </c>
      <c r="I24" s="22" t="str">
        <f>INDEX('Справочник Сети'!B:B,(MATCH(G24,'Справочник Сети'!C:C,0)))</f>
        <v>Планета здоровья</v>
      </c>
      <c r="J24" s="7" t="s">
        <v>121</v>
      </c>
      <c r="K24" s="7" t="s">
        <v>127</v>
      </c>
      <c r="L24" s="7" t="s">
        <v>121</v>
      </c>
      <c r="M24" s="31">
        <v>45671</v>
      </c>
      <c r="N24" s="7" t="s">
        <v>128</v>
      </c>
      <c r="O24" s="8">
        <v>469</v>
      </c>
      <c r="P24" s="24">
        <v>145</v>
      </c>
      <c r="Q24" s="22">
        <f>IF(COUNTIFS(A$2:A24,A24,I$2:I24,I24)=1,1,0)</f>
        <v>0</v>
      </c>
      <c r="R24" s="22">
        <f t="shared" si="0"/>
        <v>5</v>
      </c>
      <c r="S24" s="33">
        <f>IF(COUNTIF(O$2:O24,O24)=1,R24,0)/2.5</f>
        <v>0</v>
      </c>
    </row>
    <row r="25" spans="1:19" ht="18" customHeight="1" x14ac:dyDescent="0.25">
      <c r="A25" s="7" t="s">
        <v>37</v>
      </c>
      <c r="B25" s="8">
        <v>1</v>
      </c>
      <c r="C25" s="9">
        <v>640</v>
      </c>
      <c r="D25" s="29">
        <f>C25+IF(INDEX('Справочник по %'!B:B,(MATCH(A25,'Справочник по %'!A:A,0)))="кол-во",B25*INDEX('Справочник по %'!C:C,(MATCH(A25,'Справочник по %'!A:A,0))),ОТЧЕТ!C25*INDEX('Справочник по %'!C:C,(MATCH(A25,'Справочник по %'!A:A,0))))/100</f>
        <v>640.20000000000005</v>
      </c>
      <c r="E25" s="29">
        <f>IF(ОТЧЕТ!A25="SKU3",C25+ОТЧЕТ!C25*0.2,C25+ОТЧЕТ!C25*0.15)</f>
        <v>736</v>
      </c>
      <c r="F25" s="7" t="s">
        <v>120</v>
      </c>
      <c r="G25" s="7">
        <v>231705666100</v>
      </c>
      <c r="H25" s="20" t="s">
        <v>50</v>
      </c>
      <c r="I25" s="22" t="str">
        <f>INDEX('Справочник Сети'!B:B,(MATCH(G25,'Справочник Сети'!C:C,0)))</f>
        <v>Планета здоровья</v>
      </c>
      <c r="J25" s="7" t="s">
        <v>74</v>
      </c>
      <c r="K25" s="7" t="s">
        <v>129</v>
      </c>
      <c r="L25" s="7" t="s">
        <v>74</v>
      </c>
      <c r="M25" s="31">
        <v>45661</v>
      </c>
      <c r="N25" s="7" t="s">
        <v>130</v>
      </c>
      <c r="O25" s="8">
        <v>842</v>
      </c>
      <c r="P25" s="24">
        <v>146</v>
      </c>
      <c r="Q25" s="22">
        <f>IF(COUNTIFS(A$2:A25,A25,I$2:I25,I25)=1,1,0)</f>
        <v>0</v>
      </c>
      <c r="R25" s="22">
        <f t="shared" si="0"/>
        <v>1</v>
      </c>
      <c r="S25" s="33">
        <f>IF(COUNTIF(O$2:O25,O25)=1,R25,0)/2.5</f>
        <v>0.4</v>
      </c>
    </row>
    <row r="26" spans="1:19" ht="18" customHeight="1" x14ac:dyDescent="0.25">
      <c r="A26" s="7" t="s">
        <v>43</v>
      </c>
      <c r="B26" s="8">
        <v>1</v>
      </c>
      <c r="C26" s="9">
        <v>490</v>
      </c>
      <c r="D26" s="29">
        <f>C26+IF(INDEX('Справочник по %'!B:B,(MATCH(A26,'Справочник по %'!A:A,0)))="кол-во",B26*INDEX('Справочник по %'!C:C,(MATCH(A26,'Справочник по %'!A:A,0))),ОТЧЕТ!C26*INDEX('Справочник по %'!C:C,(MATCH(A26,'Справочник по %'!A:A,0))))/100</f>
        <v>539</v>
      </c>
      <c r="E26" s="29">
        <f>IF(ОТЧЕТ!A26="SKU3",C26+ОТЧЕТ!C26*0.2,C26+ОТЧЕТ!C26*0.15)</f>
        <v>563.5</v>
      </c>
      <c r="F26" s="7" t="s">
        <v>131</v>
      </c>
      <c r="G26" s="7">
        <v>6673189456</v>
      </c>
      <c r="H26" s="20" t="s">
        <v>132</v>
      </c>
      <c r="I26" s="22" t="str">
        <f>INDEX('Справочник Сети'!B:B,(MATCH(G26,'Справочник Сети'!C:C,0)))</f>
        <v>Столички</v>
      </c>
      <c r="J26" s="7" t="s">
        <v>133</v>
      </c>
      <c r="K26" s="7" t="s">
        <v>134</v>
      </c>
      <c r="L26" s="7" t="s">
        <v>133</v>
      </c>
      <c r="M26" s="31">
        <v>45695</v>
      </c>
      <c r="N26" s="7" t="s">
        <v>135</v>
      </c>
      <c r="O26" s="8">
        <v>3266</v>
      </c>
      <c r="P26" s="24">
        <v>149</v>
      </c>
      <c r="Q26" s="22">
        <f>IF(COUNTIFS(A$2:A26,A26,I$2:I26,I26)=1,1,0)</f>
        <v>1</v>
      </c>
      <c r="R26" s="22">
        <f t="shared" si="0"/>
        <v>3</v>
      </c>
      <c r="S26" s="33">
        <f>IF(COUNTIF(O$2:O26,O26)=1,R26,0)/2.5</f>
        <v>1.2</v>
      </c>
    </row>
    <row r="27" spans="1:19" ht="18" customHeight="1" x14ac:dyDescent="0.25">
      <c r="A27" s="7" t="s">
        <v>37</v>
      </c>
      <c r="B27" s="8">
        <v>1</v>
      </c>
      <c r="C27" s="9">
        <v>582.9</v>
      </c>
      <c r="D27" s="29">
        <f>C27+IF(INDEX('Справочник по %'!B:B,(MATCH(A27,'Справочник по %'!A:A,0)))="кол-во",B27*INDEX('Справочник по %'!C:C,(MATCH(A27,'Справочник по %'!A:A,0))),ОТЧЕТ!C27*INDEX('Справочник по %'!C:C,(MATCH(A27,'Справочник по %'!A:A,0))))/100</f>
        <v>583.1</v>
      </c>
      <c r="E27" s="29">
        <f>IF(ОТЧЕТ!A27="SKU3",C27+ОТЧЕТ!C27*0.2,C27+ОТЧЕТ!C27*0.15)</f>
        <v>670.33499999999992</v>
      </c>
      <c r="F27" s="7" t="s">
        <v>131</v>
      </c>
      <c r="G27" s="7">
        <v>7204146152</v>
      </c>
      <c r="H27" s="20" t="s">
        <v>136</v>
      </c>
      <c r="I27" s="22" t="str">
        <f>INDEX('Справочник Сети'!B:B,(MATCH(G27,'Справочник Сети'!C:C,0)))</f>
        <v>36,6</v>
      </c>
      <c r="J27" s="7" t="s">
        <v>104</v>
      </c>
      <c r="K27" s="7" t="s">
        <v>137</v>
      </c>
      <c r="L27" s="7" t="s">
        <v>104</v>
      </c>
      <c r="M27" s="31">
        <v>45693</v>
      </c>
      <c r="N27" s="7" t="s">
        <v>138</v>
      </c>
      <c r="O27" s="8">
        <v>3071</v>
      </c>
      <c r="P27" s="24">
        <v>150</v>
      </c>
      <c r="Q27" s="22">
        <f>IF(COUNTIFS(A$2:A27,A27,I$2:I27,I27)=1,1,0)</f>
        <v>0</v>
      </c>
      <c r="R27" s="22">
        <f t="shared" si="0"/>
        <v>2</v>
      </c>
      <c r="S27" s="33">
        <f>IF(COUNTIF(O$2:O27,O27)=1,R27,0)/2.5</f>
        <v>0.8</v>
      </c>
    </row>
    <row r="28" spans="1:19" ht="18" customHeight="1" x14ac:dyDescent="0.25">
      <c r="A28" s="7" t="s">
        <v>43</v>
      </c>
      <c r="B28" s="8">
        <v>1</v>
      </c>
      <c r="C28" s="9">
        <v>488</v>
      </c>
      <c r="D28" s="29">
        <f>C28+IF(INDEX('Справочник по %'!B:B,(MATCH(A28,'Справочник по %'!A:A,0)))="кол-во",B28*INDEX('Справочник по %'!C:C,(MATCH(A28,'Справочник по %'!A:A,0))),ОТЧЕТ!C28*INDEX('Справочник по %'!C:C,(MATCH(A28,'Справочник по %'!A:A,0))))/100</f>
        <v>536.79999999999995</v>
      </c>
      <c r="E28" s="29">
        <f>IF(ОТЧЕТ!A28="SKU3",C28+ОТЧЕТ!C28*0.2,C28+ОТЧЕТ!C28*0.15)</f>
        <v>561.20000000000005</v>
      </c>
      <c r="F28" s="7" t="s">
        <v>131</v>
      </c>
      <c r="G28" s="7">
        <v>7705947629</v>
      </c>
      <c r="H28" s="20" t="s">
        <v>64</v>
      </c>
      <c r="I28" s="22" t="str">
        <f>INDEX('Справочник Сети'!B:B,(MATCH(G28,'Справочник Сети'!C:C,0)))</f>
        <v>36,6</v>
      </c>
      <c r="J28" s="7" t="s">
        <v>104</v>
      </c>
      <c r="K28" s="7" t="s">
        <v>139</v>
      </c>
      <c r="L28" s="7" t="s">
        <v>104</v>
      </c>
      <c r="M28" s="31">
        <v>45693</v>
      </c>
      <c r="N28" s="7" t="s">
        <v>140</v>
      </c>
      <c r="O28" s="8">
        <v>609</v>
      </c>
      <c r="P28" s="24">
        <v>154</v>
      </c>
      <c r="Q28" s="22">
        <f>IF(COUNTIFS(A$2:A28,A28,I$2:I28,I28)=1,1,0)</f>
        <v>0</v>
      </c>
      <c r="R28" s="22">
        <f t="shared" si="0"/>
        <v>4</v>
      </c>
      <c r="S28" s="33">
        <f>IF(COUNTIF(O$2:O28,O28)=1,R28,0)/2.5</f>
        <v>1.6</v>
      </c>
    </row>
    <row r="29" spans="1:19" ht="18" customHeight="1" x14ac:dyDescent="0.25">
      <c r="A29" s="7" t="s">
        <v>43</v>
      </c>
      <c r="B29" s="8">
        <v>1</v>
      </c>
      <c r="C29" s="9">
        <v>397</v>
      </c>
      <c r="D29" s="29">
        <f>C29+IF(INDEX('Справочник по %'!B:B,(MATCH(A29,'Справочник по %'!A:A,0)))="кол-во",B29*INDEX('Справочник по %'!C:C,(MATCH(A29,'Справочник по %'!A:A,0))),ОТЧЕТ!C29*INDEX('Справочник по %'!C:C,(MATCH(A29,'Справочник по %'!A:A,0))))/100</f>
        <v>436.7</v>
      </c>
      <c r="E29" s="29">
        <f>IF(ОТЧЕТ!A29="SKU3",C29+ОТЧЕТ!C29*0.2,C29+ОТЧЕТ!C29*0.15)</f>
        <v>456.55</v>
      </c>
      <c r="F29" s="7" t="s">
        <v>131</v>
      </c>
      <c r="G29" s="7">
        <v>7728339546</v>
      </c>
      <c r="H29" s="20" t="s">
        <v>141</v>
      </c>
      <c r="I29" s="22" t="str">
        <f>INDEX('Справочник Сети'!B:B,(MATCH(G29,'Справочник Сети'!C:C,0)))</f>
        <v>Планета здоровья</v>
      </c>
      <c r="J29" s="7" t="s">
        <v>142</v>
      </c>
      <c r="K29" s="7" t="s">
        <v>93</v>
      </c>
      <c r="L29" s="7" t="s">
        <v>142</v>
      </c>
      <c r="M29" s="31">
        <v>45674</v>
      </c>
      <c r="N29" s="7" t="s">
        <v>143</v>
      </c>
      <c r="O29" s="8">
        <v>1353</v>
      </c>
      <c r="P29" s="24">
        <v>157</v>
      </c>
      <c r="Q29" s="22">
        <f>IF(COUNTIFS(A$2:A29,A29,I$2:I29,I29)=1,1,0)</f>
        <v>0</v>
      </c>
      <c r="R29" s="22">
        <f t="shared" si="0"/>
        <v>5</v>
      </c>
      <c r="S29" s="33">
        <f>IF(COUNTIF(O$2:O29,O29)=1,R29,0)/2.5</f>
        <v>2</v>
      </c>
    </row>
    <row r="30" spans="1:19" ht="18" customHeight="1" x14ac:dyDescent="0.25">
      <c r="A30" s="7" t="s">
        <v>43</v>
      </c>
      <c r="B30" s="8">
        <v>1</v>
      </c>
      <c r="C30" s="9">
        <v>583</v>
      </c>
      <c r="D30" s="29">
        <f>C30+IF(INDEX('Справочник по %'!B:B,(MATCH(A30,'Справочник по %'!A:A,0)))="кол-во",B30*INDEX('Справочник по %'!C:C,(MATCH(A30,'Справочник по %'!A:A,0))),ОТЧЕТ!C30*INDEX('Справочник по %'!C:C,(MATCH(A30,'Справочник по %'!A:A,0))))/100</f>
        <v>641.29999999999995</v>
      </c>
      <c r="E30" s="29">
        <f>IF(ОТЧЕТ!A30="SKU3",C30+ОТЧЕТ!C30*0.2,C30+ОТЧЕТ!C30*0.15)</f>
        <v>670.45</v>
      </c>
      <c r="F30" s="7" t="s">
        <v>131</v>
      </c>
      <c r="G30" s="7">
        <v>7705947629</v>
      </c>
      <c r="H30" s="20" t="s">
        <v>50</v>
      </c>
      <c r="I30" s="22" t="str">
        <f>INDEX('Справочник Сети'!B:B,(MATCH(G30,'Справочник Сети'!C:C,0)))</f>
        <v>36,6</v>
      </c>
      <c r="J30" s="7" t="s">
        <v>104</v>
      </c>
      <c r="K30" s="7" t="s">
        <v>144</v>
      </c>
      <c r="L30" s="7" t="s">
        <v>104</v>
      </c>
      <c r="M30" s="31">
        <v>45693</v>
      </c>
      <c r="N30" s="7" t="s">
        <v>145</v>
      </c>
      <c r="O30" s="8">
        <v>372</v>
      </c>
      <c r="P30" s="24">
        <v>158</v>
      </c>
      <c r="Q30" s="22">
        <f>IF(COUNTIFS(A$2:A30,A30,I$2:I30,I30)=1,1,0)</f>
        <v>0</v>
      </c>
      <c r="R30" s="22">
        <f t="shared" si="0"/>
        <v>13</v>
      </c>
      <c r="S30" s="33">
        <f>IF(COUNTIF(O$2:O30,O30)=1,R30,0)/2.5</f>
        <v>5.2</v>
      </c>
    </row>
    <row r="31" spans="1:19" ht="18" customHeight="1" x14ac:dyDescent="0.25">
      <c r="A31" s="7" t="s">
        <v>146</v>
      </c>
      <c r="B31" s="8">
        <v>1</v>
      </c>
      <c r="C31" s="9">
        <v>683</v>
      </c>
      <c r="D31" s="29">
        <f>C31+IF(INDEX('Справочник по %'!B:B,(MATCH(A31,'Справочник по %'!A:A,0)))="кол-во",B31*INDEX('Справочник по %'!C:C,(MATCH(A31,'Справочник по %'!A:A,0))),ОТЧЕТ!C31*INDEX('Справочник по %'!C:C,(MATCH(A31,'Справочник по %'!A:A,0))))/100</f>
        <v>785.45</v>
      </c>
      <c r="E31" s="29">
        <f>IF(ОТЧЕТ!A31="SKU3",C31+ОТЧЕТ!C31*0.2,C31+ОТЧЕТ!C31*0.15)</f>
        <v>819.6</v>
      </c>
      <c r="F31" s="7" t="s">
        <v>147</v>
      </c>
      <c r="G31" s="7">
        <v>7732121736</v>
      </c>
      <c r="H31" s="20" t="s">
        <v>148</v>
      </c>
      <c r="I31" s="22" t="str">
        <f>INDEX('Справочник Сети'!B:B,(MATCH(G31,'Справочник Сети'!C:C,0)))</f>
        <v>Планета здоровья</v>
      </c>
      <c r="J31" s="7" t="s">
        <v>149</v>
      </c>
      <c r="K31" s="7" t="s">
        <v>150</v>
      </c>
      <c r="L31" s="7" t="s">
        <v>149</v>
      </c>
      <c r="M31" s="31">
        <v>45673</v>
      </c>
      <c r="N31" s="7" t="s">
        <v>151</v>
      </c>
      <c r="O31" s="8">
        <v>1008</v>
      </c>
      <c r="P31" s="24">
        <v>159</v>
      </c>
      <c r="Q31" s="22">
        <f>IF(COUNTIFS(A$2:A31,A31,I$2:I31,I31)=1,1,0)</f>
        <v>1</v>
      </c>
      <c r="R31" s="22">
        <f t="shared" si="0"/>
        <v>4</v>
      </c>
      <c r="S31" s="33">
        <f>IF(COUNTIF(O$2:O31,O31)=1,R31,0)/2.5</f>
        <v>1.6</v>
      </c>
    </row>
    <row r="32" spans="1:19" ht="18" customHeight="1" x14ac:dyDescent="0.25">
      <c r="A32" s="7" t="s">
        <v>37</v>
      </c>
      <c r="B32" s="8">
        <v>1</v>
      </c>
      <c r="C32" s="9">
        <v>630.5</v>
      </c>
      <c r="D32" s="29">
        <f>C32+IF(INDEX('Справочник по %'!B:B,(MATCH(A32,'Справочник по %'!A:A,0)))="кол-во",B32*INDEX('Справочник по %'!C:C,(MATCH(A32,'Справочник по %'!A:A,0))),ОТЧЕТ!C32*INDEX('Справочник по %'!C:C,(MATCH(A32,'Справочник по %'!A:A,0))))/100</f>
        <v>630.70000000000005</v>
      </c>
      <c r="E32" s="29">
        <f>IF(ОТЧЕТ!A32="SKU3",C32+ОТЧЕТ!C32*0.2,C32+ОТЧЕТ!C32*0.15)</f>
        <v>725.07500000000005</v>
      </c>
      <c r="F32" s="7" t="s">
        <v>152</v>
      </c>
      <c r="G32" s="7">
        <v>4632170357</v>
      </c>
      <c r="H32" s="20" t="s">
        <v>153</v>
      </c>
      <c r="I32" s="22" t="str">
        <f>INDEX('Справочник Сети'!B:B,(MATCH(G32,'Справочник Сети'!C:C,0)))</f>
        <v>Столички</v>
      </c>
      <c r="J32" s="7" t="s">
        <v>83</v>
      </c>
      <c r="K32" s="7" t="s">
        <v>154</v>
      </c>
      <c r="L32" s="7" t="s">
        <v>155</v>
      </c>
      <c r="M32" s="31">
        <v>45716</v>
      </c>
      <c r="N32" s="7" t="s">
        <v>156</v>
      </c>
      <c r="O32" s="8">
        <v>190</v>
      </c>
      <c r="P32" s="24">
        <v>164</v>
      </c>
      <c r="Q32" s="22">
        <f>IF(COUNTIFS(A$2:A32,A32,I$2:I32,I32)=1,1,0)</f>
        <v>1</v>
      </c>
      <c r="R32" s="22">
        <f t="shared" si="0"/>
        <v>4</v>
      </c>
      <c r="S32" s="33">
        <f>IF(COUNTIF(O$2:O32,O32)=1,R32,0)/2.5</f>
        <v>1.6</v>
      </c>
    </row>
    <row r="33" spans="1:19" ht="18" customHeight="1" x14ac:dyDescent="0.25">
      <c r="A33" s="7" t="s">
        <v>43</v>
      </c>
      <c r="B33" s="8">
        <v>1</v>
      </c>
      <c r="C33" s="9">
        <v>439.9</v>
      </c>
      <c r="D33" s="29">
        <f>C33+IF(INDEX('Справочник по %'!B:B,(MATCH(A33,'Справочник по %'!A:A,0)))="кол-во",B33*INDEX('Справочник по %'!C:C,(MATCH(A33,'Справочник по %'!A:A,0))),ОТЧЕТ!C33*INDEX('Справочник по %'!C:C,(MATCH(A33,'Справочник по %'!A:A,0))))/100</f>
        <v>483.89</v>
      </c>
      <c r="E33" s="29">
        <f>IF(ОТЧЕТ!A33="SKU3",C33+ОТЧЕТ!C33*0.2,C33+ОТЧЕТ!C33*0.15)</f>
        <v>505.88499999999999</v>
      </c>
      <c r="F33" s="7" t="s">
        <v>157</v>
      </c>
      <c r="G33" s="7">
        <v>7204146152</v>
      </c>
      <c r="H33" s="20" t="s">
        <v>136</v>
      </c>
      <c r="I33" s="22" t="str">
        <f>INDEX('Справочник Сети'!B:B,(MATCH(G33,'Справочник Сети'!C:C,0)))</f>
        <v>36,6</v>
      </c>
      <c r="J33" s="7" t="s">
        <v>104</v>
      </c>
      <c r="K33" s="7" t="s">
        <v>158</v>
      </c>
      <c r="L33" s="7" t="s">
        <v>104</v>
      </c>
      <c r="M33" s="31">
        <v>45693</v>
      </c>
      <c r="N33" s="7" t="s">
        <v>159</v>
      </c>
      <c r="O33" s="8">
        <v>3071</v>
      </c>
      <c r="P33" s="24">
        <v>165</v>
      </c>
      <c r="Q33" s="22">
        <f>IF(COUNTIFS(A$2:A33,A33,I$2:I33,I33)=1,1,0)</f>
        <v>0</v>
      </c>
      <c r="R33" s="22">
        <f t="shared" si="0"/>
        <v>2</v>
      </c>
      <c r="S33" s="33">
        <f>IF(COUNTIF(O$2:O33,O33)=1,R33,0)/2.5</f>
        <v>0</v>
      </c>
    </row>
    <row r="34" spans="1:19" ht="18" customHeight="1" x14ac:dyDescent="0.25">
      <c r="A34" s="7" t="s">
        <v>43</v>
      </c>
      <c r="B34" s="8">
        <v>1</v>
      </c>
      <c r="C34" s="9">
        <v>485</v>
      </c>
      <c r="D34" s="29">
        <f>C34+IF(INDEX('Справочник по %'!B:B,(MATCH(A34,'Справочник по %'!A:A,0)))="кол-во",B34*INDEX('Справочник по %'!C:C,(MATCH(A34,'Справочник по %'!A:A,0))),ОТЧЕТ!C34*INDEX('Справочник по %'!C:C,(MATCH(A34,'Справочник по %'!A:A,0))))/100</f>
        <v>533.5</v>
      </c>
      <c r="E34" s="29">
        <f>IF(ОТЧЕТ!A34="SKU3",C34+ОТЧЕТ!C34*0.2,C34+ОТЧЕТ!C34*0.15)</f>
        <v>557.75</v>
      </c>
      <c r="F34" s="7" t="s">
        <v>160</v>
      </c>
      <c r="G34" s="7">
        <v>231703122520</v>
      </c>
      <c r="H34" s="20" t="s">
        <v>161</v>
      </c>
      <c r="I34" s="22" t="str">
        <f>INDEX('Справочник Сети'!B:B,(MATCH(G34,'Справочник Сети'!C:C,0)))</f>
        <v>Столички</v>
      </c>
      <c r="J34" s="7" t="s">
        <v>74</v>
      </c>
      <c r="K34" s="7" t="s">
        <v>162</v>
      </c>
      <c r="L34" s="7" t="s">
        <v>74</v>
      </c>
      <c r="M34" s="31">
        <v>45661</v>
      </c>
      <c r="N34" s="7" t="s">
        <v>163</v>
      </c>
      <c r="O34" s="8">
        <v>785</v>
      </c>
      <c r="P34" s="24">
        <v>168</v>
      </c>
      <c r="Q34" s="22">
        <f>IF(COUNTIFS(A$2:A34,A34,I$2:I34,I34)=1,1,0)</f>
        <v>0</v>
      </c>
      <c r="R34" s="22">
        <f t="shared" si="0"/>
        <v>3</v>
      </c>
      <c r="S34" s="33">
        <f>IF(COUNTIF(O$2:O34,O34)=1,R34,0)/2.5</f>
        <v>1.2</v>
      </c>
    </row>
    <row r="35" spans="1:19" ht="18" customHeight="1" x14ac:dyDescent="0.25">
      <c r="A35" s="7" t="s">
        <v>43</v>
      </c>
      <c r="B35" s="8">
        <v>1</v>
      </c>
      <c r="C35" s="9">
        <v>485</v>
      </c>
      <c r="D35" s="29">
        <f>C35+IF(INDEX('Справочник по %'!B:B,(MATCH(A35,'Справочник по %'!A:A,0)))="кол-во",B35*INDEX('Справочник по %'!C:C,(MATCH(A35,'Справочник по %'!A:A,0))),ОТЧЕТ!C35*INDEX('Справочник по %'!C:C,(MATCH(A35,'Справочник по %'!A:A,0))))/100</f>
        <v>533.5</v>
      </c>
      <c r="E35" s="29">
        <f>IF(ОТЧЕТ!A35="SKU3",C35+ОТЧЕТ!C35*0.2,C35+ОТЧЕТ!C35*0.15)</f>
        <v>557.75</v>
      </c>
      <c r="F35" s="7" t="s">
        <v>164</v>
      </c>
      <c r="G35" s="7">
        <v>231703122520</v>
      </c>
      <c r="H35" s="20" t="s">
        <v>161</v>
      </c>
      <c r="I35" s="22" t="str">
        <f>INDEX('Справочник Сети'!B:B,(MATCH(G35,'Справочник Сети'!C:C,0)))</f>
        <v>Столички</v>
      </c>
      <c r="J35" s="7" t="s">
        <v>74</v>
      </c>
      <c r="K35" s="7" t="s">
        <v>165</v>
      </c>
      <c r="L35" s="7" t="s">
        <v>74</v>
      </c>
      <c r="M35" s="31">
        <v>45661</v>
      </c>
      <c r="N35" s="7" t="s">
        <v>166</v>
      </c>
      <c r="O35" s="8">
        <v>785</v>
      </c>
      <c r="P35" s="24">
        <v>169</v>
      </c>
      <c r="Q35" s="22">
        <f>IF(COUNTIFS(A$2:A35,A35,I$2:I35,I35)=1,1,0)</f>
        <v>0</v>
      </c>
      <c r="R35" s="22">
        <f t="shared" si="0"/>
        <v>3</v>
      </c>
      <c r="S35" s="33">
        <f>IF(COUNTIF(O$2:O35,O35)=1,R35,0)/2.5</f>
        <v>0</v>
      </c>
    </row>
    <row r="36" spans="1:19" ht="18" customHeight="1" x14ac:dyDescent="0.25">
      <c r="A36" s="7" t="s">
        <v>43</v>
      </c>
      <c r="B36" s="8">
        <v>1</v>
      </c>
      <c r="C36" s="9">
        <v>399</v>
      </c>
      <c r="D36" s="29">
        <f>C36+IF(INDEX('Справочник по %'!B:B,(MATCH(A36,'Справочник по %'!A:A,0)))="кол-во",B36*INDEX('Справочник по %'!C:C,(MATCH(A36,'Справочник по %'!A:A,0))),ОТЧЕТ!C36*INDEX('Справочник по %'!C:C,(MATCH(A36,'Справочник по %'!A:A,0))))/100</f>
        <v>438.9</v>
      </c>
      <c r="E36" s="29">
        <f>IF(ОТЧЕТ!A36="SKU3",C36+ОТЧЕТ!C36*0.2,C36+ОТЧЕТ!C36*0.15)</f>
        <v>458.85</v>
      </c>
      <c r="F36" s="7" t="s">
        <v>164</v>
      </c>
      <c r="G36" s="7">
        <v>7716997445</v>
      </c>
      <c r="H36" s="20" t="s">
        <v>167</v>
      </c>
      <c r="I36" s="22" t="str">
        <f>INDEX('Справочник Сети'!B:B,(MATCH(G36,'Справочник Сети'!C:C,0)))</f>
        <v>Столички</v>
      </c>
      <c r="J36" s="7" t="s">
        <v>168</v>
      </c>
      <c r="K36" s="7" t="s">
        <v>169</v>
      </c>
      <c r="L36" s="7" t="s">
        <v>168</v>
      </c>
      <c r="M36" s="31">
        <v>45676</v>
      </c>
      <c r="N36" s="7" t="s">
        <v>170</v>
      </c>
      <c r="O36" s="8">
        <v>133</v>
      </c>
      <c r="P36" s="24">
        <v>171</v>
      </c>
      <c r="Q36" s="22">
        <f>IF(COUNTIFS(A$2:A36,A36,I$2:I36,I36)=1,1,0)</f>
        <v>0</v>
      </c>
      <c r="R36" s="22">
        <f t="shared" si="0"/>
        <v>14</v>
      </c>
      <c r="S36" s="33">
        <f>IF(COUNTIF(O$2:O36,O36)=1,R36,0)/2.5</f>
        <v>5.6</v>
      </c>
    </row>
    <row r="37" spans="1:19" ht="18" customHeight="1" x14ac:dyDescent="0.25">
      <c r="A37" s="7" t="s">
        <v>43</v>
      </c>
      <c r="B37" s="8">
        <v>1</v>
      </c>
      <c r="C37" s="9">
        <v>672</v>
      </c>
      <c r="D37" s="29">
        <f>C37+IF(INDEX('Справочник по %'!B:B,(MATCH(A37,'Справочник по %'!A:A,0)))="кол-во",B37*INDEX('Справочник по %'!C:C,(MATCH(A37,'Справочник по %'!A:A,0))),ОТЧЕТ!C37*INDEX('Справочник по %'!C:C,(MATCH(A37,'Справочник по %'!A:A,0))))/100</f>
        <v>739.2</v>
      </c>
      <c r="E37" s="29">
        <f>IF(ОТЧЕТ!A37="SKU3",C37+ОТЧЕТ!C37*0.2,C37+ОТЧЕТ!C37*0.15)</f>
        <v>772.8</v>
      </c>
      <c r="F37" s="7" t="s">
        <v>171</v>
      </c>
      <c r="G37" s="7">
        <v>7705947629</v>
      </c>
      <c r="H37" s="20" t="s">
        <v>50</v>
      </c>
      <c r="I37" s="22" t="str">
        <f>INDEX('Справочник Сети'!B:B,(MATCH(G37,'Справочник Сети'!C:C,0)))</f>
        <v>36,6</v>
      </c>
      <c r="J37" s="7" t="s">
        <v>104</v>
      </c>
      <c r="K37" s="7" t="s">
        <v>172</v>
      </c>
      <c r="L37" s="7" t="s">
        <v>104</v>
      </c>
      <c r="M37" s="31">
        <v>45693</v>
      </c>
      <c r="N37" s="7" t="s">
        <v>173</v>
      </c>
      <c r="O37" s="8">
        <v>372</v>
      </c>
      <c r="P37" s="24">
        <v>174</v>
      </c>
      <c r="Q37" s="22">
        <f>IF(COUNTIFS(A$2:A37,A37,I$2:I37,I37)=1,1,0)</f>
        <v>0</v>
      </c>
      <c r="R37" s="22">
        <f t="shared" si="0"/>
        <v>13</v>
      </c>
      <c r="S37" s="33">
        <f>IF(COUNTIF(O$2:O37,O37)=1,R37,0)/2.5</f>
        <v>0</v>
      </c>
    </row>
    <row r="38" spans="1:19" ht="18" customHeight="1" x14ac:dyDescent="0.25">
      <c r="A38" s="7" t="s">
        <v>37</v>
      </c>
      <c r="B38" s="8">
        <v>1</v>
      </c>
      <c r="C38" s="9">
        <v>615</v>
      </c>
      <c r="D38" s="29">
        <f>C38+IF(INDEX('Справочник по %'!B:B,(MATCH(A38,'Справочник по %'!A:A,0)))="кол-во",B38*INDEX('Справочник по %'!C:C,(MATCH(A38,'Справочник по %'!A:A,0))),ОТЧЕТ!C38*INDEX('Справочник по %'!C:C,(MATCH(A38,'Справочник по %'!A:A,0))))/100</f>
        <v>615.20000000000005</v>
      </c>
      <c r="E38" s="29">
        <f>IF(ОТЧЕТ!A38="SKU3",C38+ОТЧЕТ!C38*0.2,C38+ОТЧЕТ!C38*0.15)</f>
        <v>707.25</v>
      </c>
      <c r="F38" s="7" t="s">
        <v>171</v>
      </c>
      <c r="G38" s="7">
        <v>5905254762</v>
      </c>
      <c r="H38" s="20" t="s">
        <v>39</v>
      </c>
      <c r="I38" s="22" t="str">
        <f>INDEX('Справочник Сети'!B:B,(MATCH(G38,'Справочник Сети'!C:C,0)))</f>
        <v>Столички</v>
      </c>
      <c r="J38" s="7" t="s">
        <v>174</v>
      </c>
      <c r="K38" s="7" t="s">
        <v>175</v>
      </c>
      <c r="L38" s="7" t="s">
        <v>40</v>
      </c>
      <c r="M38" s="31">
        <v>45712</v>
      </c>
      <c r="N38" s="7" t="s">
        <v>176</v>
      </c>
      <c r="O38" s="8">
        <v>2215</v>
      </c>
      <c r="P38" s="24">
        <v>175</v>
      </c>
      <c r="Q38" s="22">
        <f>IF(COUNTIFS(A$2:A38,A38,I$2:I38,I38)=1,1,0)</f>
        <v>0</v>
      </c>
      <c r="R38" s="22">
        <f t="shared" si="0"/>
        <v>5</v>
      </c>
      <c r="S38" s="33">
        <f>IF(COUNTIF(O$2:O38,O38)=1,R38,0)/2.5</f>
        <v>2</v>
      </c>
    </row>
    <row r="39" spans="1:19" ht="18" customHeight="1" x14ac:dyDescent="0.25">
      <c r="A39" s="7" t="s">
        <v>43</v>
      </c>
      <c r="B39" s="8">
        <v>1</v>
      </c>
      <c r="C39" s="9">
        <v>480</v>
      </c>
      <c r="D39" s="29">
        <f>C39+IF(INDEX('Справочник по %'!B:B,(MATCH(A39,'Справочник по %'!A:A,0)))="кол-во",B39*INDEX('Справочник по %'!C:C,(MATCH(A39,'Справочник по %'!A:A,0))),ОТЧЕТ!C39*INDEX('Справочник по %'!C:C,(MATCH(A39,'Справочник по %'!A:A,0))))/100</f>
        <v>528</v>
      </c>
      <c r="E39" s="29">
        <f>IF(ОТЧЕТ!A39="SKU3",C39+ОТЧЕТ!C39*0.2,C39+ОТЧЕТ!C39*0.15)</f>
        <v>552</v>
      </c>
      <c r="F39" s="7" t="s">
        <v>171</v>
      </c>
      <c r="G39" s="7">
        <v>234901050224</v>
      </c>
      <c r="H39" s="20" t="s">
        <v>177</v>
      </c>
      <c r="I39" s="22" t="str">
        <f>INDEX('Справочник Сети'!B:B,(MATCH(G39,'Справочник Сети'!C:C,0)))</f>
        <v>Столички</v>
      </c>
      <c r="J39" s="7" t="s">
        <v>74</v>
      </c>
      <c r="K39" s="7" t="s">
        <v>178</v>
      </c>
      <c r="L39" s="7" t="s">
        <v>74</v>
      </c>
      <c r="M39" s="31">
        <v>45661</v>
      </c>
      <c r="N39" s="7" t="s">
        <v>179</v>
      </c>
      <c r="O39" s="8">
        <v>3769</v>
      </c>
      <c r="P39" s="24">
        <v>176</v>
      </c>
      <c r="Q39" s="22">
        <f>IF(COUNTIFS(A$2:A39,A39,I$2:I39,I39)=1,1,0)</f>
        <v>0</v>
      </c>
      <c r="R39" s="22">
        <f t="shared" si="0"/>
        <v>3</v>
      </c>
      <c r="S39" s="33">
        <f>IF(COUNTIF(O$2:O39,O39)=1,R39,0)/2.5</f>
        <v>1.2</v>
      </c>
    </row>
    <row r="40" spans="1:19" ht="18" customHeight="1" x14ac:dyDescent="0.25">
      <c r="A40" s="7" t="s">
        <v>43</v>
      </c>
      <c r="B40" s="8">
        <v>1</v>
      </c>
      <c r="C40" s="9">
        <v>534</v>
      </c>
      <c r="D40" s="29">
        <f>C40+IF(INDEX('Справочник по %'!B:B,(MATCH(A40,'Справочник по %'!A:A,0)))="кол-во",B40*INDEX('Справочник по %'!C:C,(MATCH(A40,'Справочник по %'!A:A,0))),ОТЧЕТ!C40*INDEX('Справочник по %'!C:C,(MATCH(A40,'Справочник по %'!A:A,0))))/100</f>
        <v>587.4</v>
      </c>
      <c r="E40" s="29">
        <f>IF(ОТЧЕТ!A40="SKU3",C40+ОТЧЕТ!C40*0.2,C40+ОТЧЕТ!C40*0.15)</f>
        <v>614.1</v>
      </c>
      <c r="F40" s="7" t="s">
        <v>180</v>
      </c>
      <c r="G40" s="7">
        <v>7705947629</v>
      </c>
      <c r="H40" s="20" t="s">
        <v>50</v>
      </c>
      <c r="I40" s="22" t="str">
        <f>INDEX('Справочник Сети'!B:B,(MATCH(G40,'Справочник Сети'!C:C,0)))</f>
        <v>36,6</v>
      </c>
      <c r="J40" s="7" t="s">
        <v>104</v>
      </c>
      <c r="K40" s="7" t="s">
        <v>181</v>
      </c>
      <c r="L40" s="7" t="s">
        <v>104</v>
      </c>
      <c r="M40" s="31">
        <v>45693</v>
      </c>
      <c r="N40" s="7" t="s">
        <v>182</v>
      </c>
      <c r="O40" s="8">
        <v>1631</v>
      </c>
      <c r="P40" s="24">
        <v>177</v>
      </c>
      <c r="Q40" s="22">
        <f>IF(COUNTIFS(A$2:A40,A40,I$2:I40,I40)=1,1,0)</f>
        <v>0</v>
      </c>
      <c r="R40" s="22">
        <f t="shared" si="0"/>
        <v>5</v>
      </c>
      <c r="S40" s="33">
        <f>IF(COUNTIF(O$2:O40,O40)=1,R40,0)/2.5</f>
        <v>2</v>
      </c>
    </row>
    <row r="41" spans="1:19" ht="18" customHeight="1" x14ac:dyDescent="0.25">
      <c r="A41" s="7" t="s">
        <v>37</v>
      </c>
      <c r="B41" s="8">
        <v>1</v>
      </c>
      <c r="C41" s="9">
        <v>718.9</v>
      </c>
      <c r="D41" s="29">
        <f>C41+IF(INDEX('Справочник по %'!B:B,(MATCH(A41,'Справочник по %'!A:A,0)))="кол-во",B41*INDEX('Справочник по %'!C:C,(MATCH(A41,'Справочник по %'!A:A,0))),ОТЧЕТ!C41*INDEX('Справочник по %'!C:C,(MATCH(A41,'Справочник по %'!A:A,0))))/100</f>
        <v>719.1</v>
      </c>
      <c r="E41" s="29">
        <f>IF(ОТЧЕТ!A41="SKU3",C41+ОТЧЕТ!C41*0.2,C41+ОТЧЕТ!C41*0.15)</f>
        <v>826.73500000000001</v>
      </c>
      <c r="F41" s="7" t="s">
        <v>180</v>
      </c>
      <c r="G41" s="7">
        <v>7726551610</v>
      </c>
      <c r="H41" s="20" t="s">
        <v>183</v>
      </c>
      <c r="I41" s="22" t="str">
        <f>INDEX('Справочник Сети'!B:B,(MATCH(G41,'Справочник Сети'!C:C,0)))</f>
        <v>Столички</v>
      </c>
      <c r="J41" s="7" t="s">
        <v>142</v>
      </c>
      <c r="K41" s="7" t="s">
        <v>184</v>
      </c>
      <c r="L41" s="7" t="s">
        <v>185</v>
      </c>
      <c r="M41" s="31">
        <v>45675</v>
      </c>
      <c r="N41" s="7" t="s">
        <v>186</v>
      </c>
      <c r="O41" s="8">
        <v>2182</v>
      </c>
      <c r="P41" s="24">
        <v>178</v>
      </c>
      <c r="Q41" s="22">
        <f>IF(COUNTIFS(A$2:A41,A41,I$2:I41,I41)=1,1,0)</f>
        <v>0</v>
      </c>
      <c r="R41" s="22">
        <f t="shared" si="0"/>
        <v>1</v>
      </c>
      <c r="S41" s="33">
        <f>IF(COUNTIF(O$2:O41,O41)=1,R41,0)/2.5</f>
        <v>0.4</v>
      </c>
    </row>
    <row r="42" spans="1:19" ht="18" customHeight="1" x14ac:dyDescent="0.25">
      <c r="A42" s="7" t="s">
        <v>43</v>
      </c>
      <c r="B42" s="8">
        <v>1</v>
      </c>
      <c r="C42" s="9">
        <v>372</v>
      </c>
      <c r="D42" s="29">
        <f>C42+IF(INDEX('Справочник по %'!B:B,(MATCH(A42,'Справочник по %'!A:A,0)))="кол-во",B42*INDEX('Справочник по %'!C:C,(MATCH(A42,'Справочник по %'!A:A,0))),ОТЧЕТ!C42*INDEX('Справочник по %'!C:C,(MATCH(A42,'Справочник по %'!A:A,0))))/100</f>
        <v>409.2</v>
      </c>
      <c r="E42" s="29">
        <f>IF(ОТЧЕТ!A42="SKU3",C42+ОТЧЕТ!C42*0.2,C42+ОТЧЕТ!C42*0.15)</f>
        <v>427.8</v>
      </c>
      <c r="F42" s="7" t="s">
        <v>187</v>
      </c>
      <c r="G42" s="7">
        <v>7706795062</v>
      </c>
      <c r="H42" s="20" t="s">
        <v>188</v>
      </c>
      <c r="I42" s="22" t="str">
        <f>INDEX('Справочник Сети'!B:B,(MATCH(G42,'Справочник Сети'!C:C,0)))</f>
        <v>Планета здоровья</v>
      </c>
      <c r="J42" s="7" t="s">
        <v>87</v>
      </c>
      <c r="K42" s="7" t="s">
        <v>189</v>
      </c>
      <c r="L42" s="7" t="s">
        <v>116</v>
      </c>
      <c r="M42" s="31">
        <v>45692</v>
      </c>
      <c r="N42" s="7" t="s">
        <v>190</v>
      </c>
      <c r="O42" s="8">
        <v>364</v>
      </c>
      <c r="P42" s="24">
        <v>179</v>
      </c>
      <c r="Q42" s="22">
        <f>IF(COUNTIFS(A$2:A42,A42,I$2:I42,I42)=1,1,0)</f>
        <v>0</v>
      </c>
      <c r="R42" s="22">
        <f t="shared" si="0"/>
        <v>3</v>
      </c>
      <c r="S42" s="33">
        <f>IF(COUNTIF(O$2:O42,O42)=1,R42,0)/2.5</f>
        <v>1.2</v>
      </c>
    </row>
    <row r="43" spans="1:19" ht="18" customHeight="1" x14ac:dyDescent="0.25">
      <c r="A43" s="7" t="s">
        <v>43</v>
      </c>
      <c r="B43" s="8">
        <v>1</v>
      </c>
      <c r="C43" s="9">
        <v>385</v>
      </c>
      <c r="D43" s="29">
        <f>C43+IF(INDEX('Справочник по %'!B:B,(MATCH(A43,'Справочник по %'!A:A,0)))="кол-во",B43*INDEX('Справочник по %'!C:C,(MATCH(A43,'Справочник по %'!A:A,0))),ОТЧЕТ!C43*INDEX('Справочник по %'!C:C,(MATCH(A43,'Справочник по %'!A:A,0))))/100</f>
        <v>423.5</v>
      </c>
      <c r="E43" s="29">
        <f>IF(ОТЧЕТ!A43="SKU3",C43+ОТЧЕТ!C43*0.2,C43+ОТЧЕТ!C43*0.15)</f>
        <v>442.75</v>
      </c>
      <c r="F43" s="7" t="s">
        <v>191</v>
      </c>
      <c r="G43" s="7">
        <v>3123296586</v>
      </c>
      <c r="H43" s="20" t="s">
        <v>192</v>
      </c>
      <c r="I43" s="22" t="str">
        <f>INDEX('Справочник Сети'!B:B,(MATCH(G43,'Справочник Сети'!C:C,0)))</f>
        <v>Столички</v>
      </c>
      <c r="J43" s="7" t="s">
        <v>193</v>
      </c>
      <c r="K43" s="7" t="s">
        <v>194</v>
      </c>
      <c r="L43" s="7" t="s">
        <v>193</v>
      </c>
      <c r="M43" s="31">
        <v>45718</v>
      </c>
      <c r="N43" s="7" t="s">
        <v>195</v>
      </c>
      <c r="O43" s="8">
        <v>3050</v>
      </c>
      <c r="P43" s="24">
        <v>181</v>
      </c>
      <c r="Q43" s="22">
        <f>IF(COUNTIFS(A$2:A43,A43,I$2:I43,I43)=1,1,0)</f>
        <v>0</v>
      </c>
      <c r="R43" s="22">
        <f t="shared" si="0"/>
        <v>10</v>
      </c>
      <c r="S43" s="33">
        <f>IF(COUNTIF(O$2:O43,O43)=1,R43,0)/2.5</f>
        <v>4</v>
      </c>
    </row>
    <row r="44" spans="1:19" ht="18" customHeight="1" x14ac:dyDescent="0.25">
      <c r="A44" s="7" t="s">
        <v>43</v>
      </c>
      <c r="B44" s="8">
        <v>1</v>
      </c>
      <c r="C44" s="9">
        <v>350</v>
      </c>
      <c r="D44" s="29">
        <f>C44+IF(INDEX('Справочник по %'!B:B,(MATCH(A44,'Справочник по %'!A:A,0)))="кол-во",B44*INDEX('Справочник по %'!C:C,(MATCH(A44,'Справочник по %'!A:A,0))),ОТЧЕТ!C44*INDEX('Справочник по %'!C:C,(MATCH(A44,'Справочник по %'!A:A,0))))/100</f>
        <v>385</v>
      </c>
      <c r="E44" s="29">
        <f>IF(ОТЧЕТ!A44="SKU3",C44+ОТЧЕТ!C44*0.2,C44+ОТЧЕТ!C44*0.15)</f>
        <v>402.5</v>
      </c>
      <c r="F44" s="7" t="s">
        <v>196</v>
      </c>
      <c r="G44" s="7">
        <v>7706795062</v>
      </c>
      <c r="H44" s="20" t="s">
        <v>69</v>
      </c>
      <c r="I44" s="22" t="str">
        <f>INDEX('Справочник Сети'!B:B,(MATCH(G44,'Справочник Сети'!C:C,0)))</f>
        <v>Планета здоровья</v>
      </c>
      <c r="J44" s="7" t="s">
        <v>87</v>
      </c>
      <c r="K44" s="7" t="s">
        <v>197</v>
      </c>
      <c r="L44" s="7" t="s">
        <v>87</v>
      </c>
      <c r="M44" s="31">
        <v>45691</v>
      </c>
      <c r="N44" s="7" t="s">
        <v>198</v>
      </c>
      <c r="O44" s="8">
        <v>2959</v>
      </c>
      <c r="P44" s="24">
        <v>183</v>
      </c>
      <c r="Q44" s="22">
        <f>IF(COUNTIFS(A$2:A44,A44,I$2:I44,I44)=1,1,0)</f>
        <v>0</v>
      </c>
      <c r="R44" s="22">
        <f t="shared" si="0"/>
        <v>1</v>
      </c>
      <c r="S44" s="33">
        <f>IF(COUNTIF(O$2:O44,O44)=1,R44,0)/2.5</f>
        <v>0.4</v>
      </c>
    </row>
    <row r="45" spans="1:19" ht="18" customHeight="1" x14ac:dyDescent="0.25">
      <c r="A45" s="7" t="s">
        <v>43</v>
      </c>
      <c r="B45" s="8">
        <v>1</v>
      </c>
      <c r="C45" s="9">
        <v>408</v>
      </c>
      <c r="D45" s="29">
        <f>C45+IF(INDEX('Справочник по %'!B:B,(MATCH(A45,'Справочник по %'!A:A,0)))="кол-во",B45*INDEX('Справочник по %'!C:C,(MATCH(A45,'Справочник по %'!A:A,0))),ОТЧЕТ!C45*INDEX('Справочник по %'!C:C,(MATCH(A45,'Справочник по %'!A:A,0))))/100</f>
        <v>448.8</v>
      </c>
      <c r="E45" s="29">
        <f>IF(ОТЧЕТ!A45="SKU3",C45+ОТЧЕТ!C45*0.2,C45+ОТЧЕТ!C45*0.15)</f>
        <v>469.2</v>
      </c>
      <c r="F45" s="7" t="s">
        <v>196</v>
      </c>
      <c r="G45" s="7">
        <v>7728339546</v>
      </c>
      <c r="H45" s="20" t="s">
        <v>199</v>
      </c>
      <c r="I45" s="22" t="str">
        <f>INDEX('Справочник Сети'!B:B,(MATCH(G45,'Справочник Сети'!C:C,0)))</f>
        <v>Планета здоровья</v>
      </c>
      <c r="J45" s="7" t="s">
        <v>142</v>
      </c>
      <c r="K45" s="7" t="s">
        <v>200</v>
      </c>
      <c r="L45" s="7" t="s">
        <v>142</v>
      </c>
      <c r="M45" s="31">
        <v>45674</v>
      </c>
      <c r="N45" s="7" t="s">
        <v>201</v>
      </c>
      <c r="O45" s="8">
        <v>3093</v>
      </c>
      <c r="P45" s="24">
        <v>188</v>
      </c>
      <c r="Q45" s="22">
        <f>IF(COUNTIFS(A$2:A45,A45,I$2:I45,I45)=1,1,0)</f>
        <v>0</v>
      </c>
      <c r="R45" s="22">
        <f t="shared" si="0"/>
        <v>1</v>
      </c>
      <c r="S45" s="33">
        <f>IF(COUNTIF(O$2:O45,O45)=1,R45,0)/2.5</f>
        <v>0.4</v>
      </c>
    </row>
    <row r="46" spans="1:19" ht="18" customHeight="1" x14ac:dyDescent="0.25">
      <c r="A46" s="7" t="s">
        <v>43</v>
      </c>
      <c r="B46" s="8">
        <v>1</v>
      </c>
      <c r="C46" s="9">
        <v>446</v>
      </c>
      <c r="D46" s="29">
        <f>C46+IF(INDEX('Справочник по %'!B:B,(MATCH(A46,'Справочник по %'!A:A,0)))="кол-во",B46*INDEX('Справочник по %'!C:C,(MATCH(A46,'Справочник по %'!A:A,0))),ОТЧЕТ!C46*INDEX('Справочник по %'!C:C,(MATCH(A46,'Справочник по %'!A:A,0))))/100</f>
        <v>490.6</v>
      </c>
      <c r="E46" s="29">
        <f>IF(ОТЧЕТ!A46="SKU3",C46+ОТЧЕТ!C46*0.2,C46+ОТЧЕТ!C46*0.15)</f>
        <v>512.9</v>
      </c>
      <c r="F46" s="7" t="s">
        <v>202</v>
      </c>
      <c r="G46" s="7">
        <v>6316283317</v>
      </c>
      <c r="H46" s="20" t="s">
        <v>50</v>
      </c>
      <c r="I46" s="22" t="str">
        <f>INDEX('Справочник Сети'!B:B,(MATCH(G46,'Справочник Сети'!C:C,0)))</f>
        <v>Столички</v>
      </c>
      <c r="J46" s="7" t="s">
        <v>203</v>
      </c>
      <c r="K46" s="7" t="s">
        <v>137</v>
      </c>
      <c r="L46" s="7" t="s">
        <v>203</v>
      </c>
      <c r="M46" s="31">
        <v>45696</v>
      </c>
      <c r="N46" s="7" t="s">
        <v>204</v>
      </c>
      <c r="O46" s="8">
        <v>221</v>
      </c>
      <c r="P46" s="24">
        <v>192</v>
      </c>
      <c r="Q46" s="22">
        <f>IF(COUNTIFS(A$2:A46,A46,I$2:I46,I46)=1,1,0)</f>
        <v>0</v>
      </c>
      <c r="R46" s="22">
        <f t="shared" si="0"/>
        <v>1</v>
      </c>
      <c r="S46" s="33">
        <f>IF(COUNTIF(O$2:O46,O46)=1,R46,0)/2.5</f>
        <v>0.4</v>
      </c>
    </row>
    <row r="47" spans="1:19" ht="18" customHeight="1" x14ac:dyDescent="0.25">
      <c r="A47" s="7" t="s">
        <v>43</v>
      </c>
      <c r="B47" s="8">
        <v>1</v>
      </c>
      <c r="C47" s="9">
        <v>399</v>
      </c>
      <c r="D47" s="29">
        <f>C47+IF(INDEX('Справочник по %'!B:B,(MATCH(A47,'Справочник по %'!A:A,0)))="кол-во",B47*INDEX('Справочник по %'!C:C,(MATCH(A47,'Справочник по %'!A:A,0))),ОТЧЕТ!C47*INDEX('Справочник по %'!C:C,(MATCH(A47,'Справочник по %'!A:A,0))))/100</f>
        <v>438.9</v>
      </c>
      <c r="E47" s="29">
        <f>IF(ОТЧЕТ!A47="SKU3",C47+ОТЧЕТ!C47*0.2,C47+ОТЧЕТ!C47*0.15)</f>
        <v>458.85</v>
      </c>
      <c r="F47" s="7" t="s">
        <v>205</v>
      </c>
      <c r="G47" s="7">
        <v>7716997445</v>
      </c>
      <c r="H47" s="20" t="s">
        <v>167</v>
      </c>
      <c r="I47" s="22" t="str">
        <f>INDEX('Справочник Сети'!B:B,(MATCH(G47,'Справочник Сети'!C:C,0)))</f>
        <v>Столички</v>
      </c>
      <c r="J47" s="7" t="s">
        <v>168</v>
      </c>
      <c r="K47" s="7" t="s">
        <v>206</v>
      </c>
      <c r="L47" s="7" t="s">
        <v>168</v>
      </c>
      <c r="M47" s="31">
        <v>45676</v>
      </c>
      <c r="N47" s="7" t="s">
        <v>207</v>
      </c>
      <c r="O47" s="8">
        <v>993</v>
      </c>
      <c r="P47" s="24">
        <v>201</v>
      </c>
      <c r="Q47" s="22">
        <f>IF(COUNTIFS(A$2:A47,A47,I$2:I47,I47)=1,1,0)</f>
        <v>0</v>
      </c>
      <c r="R47" s="22">
        <f t="shared" si="0"/>
        <v>3</v>
      </c>
      <c r="S47" s="33">
        <f>IF(COUNTIF(O$2:O47,O47)=1,R47,0)/2.5</f>
        <v>1.2</v>
      </c>
    </row>
    <row r="48" spans="1:19" ht="18" customHeight="1" x14ac:dyDescent="0.25">
      <c r="A48" s="7" t="s">
        <v>43</v>
      </c>
      <c r="B48" s="8">
        <v>1</v>
      </c>
      <c r="C48" s="9">
        <v>399</v>
      </c>
      <c r="D48" s="29">
        <f>C48+IF(INDEX('Справочник по %'!B:B,(MATCH(A48,'Справочник по %'!A:A,0)))="кол-во",B48*INDEX('Справочник по %'!C:C,(MATCH(A48,'Справочник по %'!A:A,0))),ОТЧЕТ!C48*INDEX('Справочник по %'!C:C,(MATCH(A48,'Справочник по %'!A:A,0))))/100</f>
        <v>438.9</v>
      </c>
      <c r="E48" s="29">
        <f>IF(ОТЧЕТ!A48="SKU3",C48+ОТЧЕТ!C48*0.2,C48+ОТЧЕТ!C48*0.15)</f>
        <v>458.85</v>
      </c>
      <c r="F48" s="7" t="s">
        <v>208</v>
      </c>
      <c r="G48" s="7">
        <v>7716997445</v>
      </c>
      <c r="H48" s="20" t="s">
        <v>167</v>
      </c>
      <c r="I48" s="22" t="str">
        <f>INDEX('Справочник Сети'!B:B,(MATCH(G48,'Справочник Сети'!C:C,0)))</f>
        <v>Столички</v>
      </c>
      <c r="J48" s="7" t="s">
        <v>168</v>
      </c>
      <c r="K48" s="7" t="s">
        <v>206</v>
      </c>
      <c r="L48" s="7" t="s">
        <v>168</v>
      </c>
      <c r="M48" s="31">
        <v>45676</v>
      </c>
      <c r="N48" s="7" t="s">
        <v>207</v>
      </c>
      <c r="O48" s="8">
        <v>993</v>
      </c>
      <c r="P48" s="24">
        <v>201</v>
      </c>
      <c r="Q48" s="22">
        <f>IF(COUNTIFS(A$2:A48,A48,I$2:I48,I48)=1,1,0)</f>
        <v>0</v>
      </c>
      <c r="R48" s="22">
        <f t="shared" si="0"/>
        <v>3</v>
      </c>
      <c r="S48" s="33">
        <f>IF(COUNTIF(O$2:O48,O48)=1,R48,0)/2.5</f>
        <v>0</v>
      </c>
    </row>
    <row r="49" spans="1:19" ht="18" customHeight="1" x14ac:dyDescent="0.25">
      <c r="A49" s="7" t="s">
        <v>43</v>
      </c>
      <c r="B49" s="8">
        <v>1</v>
      </c>
      <c r="C49" s="9">
        <v>399</v>
      </c>
      <c r="D49" s="29">
        <f>C49+IF(INDEX('Справочник по %'!B:B,(MATCH(A49,'Справочник по %'!A:A,0)))="кол-во",B49*INDEX('Справочник по %'!C:C,(MATCH(A49,'Справочник по %'!A:A,0))),ОТЧЕТ!C49*INDEX('Справочник по %'!C:C,(MATCH(A49,'Справочник по %'!A:A,0))))/100</f>
        <v>438.9</v>
      </c>
      <c r="E49" s="29">
        <f>IF(ОТЧЕТ!A49="SKU3",C49+ОТЧЕТ!C49*0.2,C49+ОТЧЕТ!C49*0.15)</f>
        <v>458.85</v>
      </c>
      <c r="F49" s="7" t="s">
        <v>209</v>
      </c>
      <c r="G49" s="7">
        <v>7716997445</v>
      </c>
      <c r="H49" s="20" t="s">
        <v>167</v>
      </c>
      <c r="I49" s="22" t="str">
        <f>INDEX('Справочник Сети'!B:B,(MATCH(G49,'Справочник Сети'!C:C,0)))</f>
        <v>Столички</v>
      </c>
      <c r="J49" s="7" t="s">
        <v>168</v>
      </c>
      <c r="K49" s="7" t="s">
        <v>206</v>
      </c>
      <c r="L49" s="7" t="s">
        <v>168</v>
      </c>
      <c r="M49" s="31">
        <v>45676</v>
      </c>
      <c r="N49" s="7" t="s">
        <v>207</v>
      </c>
      <c r="O49" s="8">
        <v>993</v>
      </c>
      <c r="P49" s="24">
        <v>201</v>
      </c>
      <c r="Q49" s="22">
        <f>IF(COUNTIFS(A$2:A49,A49,I$2:I49,I49)=1,1,0)</f>
        <v>0</v>
      </c>
      <c r="R49" s="22">
        <f t="shared" si="0"/>
        <v>3</v>
      </c>
      <c r="S49" s="33">
        <f>IF(COUNTIF(O$2:O49,O49)=1,R49,0)/2.5</f>
        <v>0</v>
      </c>
    </row>
    <row r="50" spans="1:19" ht="18" customHeight="1" x14ac:dyDescent="0.25">
      <c r="A50" s="7" t="s">
        <v>43</v>
      </c>
      <c r="B50" s="8">
        <v>1</v>
      </c>
      <c r="C50" s="9">
        <v>410</v>
      </c>
      <c r="D50" s="29">
        <f>C50+IF(INDEX('Справочник по %'!B:B,(MATCH(A50,'Справочник по %'!A:A,0)))="кол-во",B50*INDEX('Справочник по %'!C:C,(MATCH(A50,'Справочник по %'!A:A,0))),ОТЧЕТ!C50*INDEX('Справочник по %'!C:C,(MATCH(A50,'Справочник по %'!A:A,0))))/100</f>
        <v>451</v>
      </c>
      <c r="E50" s="29">
        <f>IF(ОТЧЕТ!A50="SKU3",C50+ОТЧЕТ!C50*0.2,C50+ОТЧЕТ!C50*0.15)</f>
        <v>471.5</v>
      </c>
      <c r="F50" s="7" t="s">
        <v>210</v>
      </c>
      <c r="G50" s="7">
        <v>6166125005</v>
      </c>
      <c r="H50" s="20" t="s">
        <v>211</v>
      </c>
      <c r="I50" s="22" t="str">
        <f>INDEX('Справочник Сети'!B:B,(MATCH(G50,'Справочник Сети'!C:C,0)))</f>
        <v>Столички</v>
      </c>
      <c r="J50" s="7" t="s">
        <v>203</v>
      </c>
      <c r="K50" s="7" t="s">
        <v>212</v>
      </c>
      <c r="L50" s="7" t="s">
        <v>203</v>
      </c>
      <c r="M50" s="31">
        <v>45696</v>
      </c>
      <c r="N50" s="7" t="s">
        <v>213</v>
      </c>
      <c r="O50" s="8">
        <v>71</v>
      </c>
      <c r="P50" s="24">
        <v>208</v>
      </c>
      <c r="Q50" s="22">
        <f>IF(COUNTIFS(A$2:A50,A50,I$2:I50,I50)=1,1,0)</f>
        <v>0</v>
      </c>
      <c r="R50" s="22">
        <f t="shared" si="0"/>
        <v>1</v>
      </c>
      <c r="S50" s="33">
        <f>IF(COUNTIF(O$2:O50,O50)=1,R50,0)/2.5</f>
        <v>0.4</v>
      </c>
    </row>
    <row r="51" spans="1:19" ht="18" customHeight="1" x14ac:dyDescent="0.25">
      <c r="A51" s="7" t="s">
        <v>43</v>
      </c>
      <c r="B51" s="8">
        <v>1</v>
      </c>
      <c r="C51" s="9">
        <v>344</v>
      </c>
      <c r="D51" s="29">
        <f>C51+IF(INDEX('Справочник по %'!B:B,(MATCH(A51,'Справочник по %'!A:A,0)))="кол-во",B51*INDEX('Справочник по %'!C:C,(MATCH(A51,'Справочник по %'!A:A,0))),ОТЧЕТ!C51*INDEX('Справочник по %'!C:C,(MATCH(A51,'Справочник по %'!A:A,0))))/100</f>
        <v>378.4</v>
      </c>
      <c r="E51" s="29">
        <f>IF(ОТЧЕТ!A51="SKU3",C51+ОТЧЕТ!C51*0.2,C51+ОТЧЕТ!C51*0.15)</f>
        <v>395.6</v>
      </c>
      <c r="F51" s="7" t="s">
        <v>210</v>
      </c>
      <c r="G51" s="7">
        <v>2308209785</v>
      </c>
      <c r="H51" s="20" t="s">
        <v>50</v>
      </c>
      <c r="I51" s="22" t="str">
        <f>INDEX('Справочник Сети'!B:B,(MATCH(G51,'Справочник Сети'!C:C,0)))</f>
        <v>Планета здоровья</v>
      </c>
      <c r="J51" s="7" t="s">
        <v>57</v>
      </c>
      <c r="K51" s="7" t="s">
        <v>214</v>
      </c>
      <c r="L51" s="7" t="s">
        <v>57</v>
      </c>
      <c r="M51" s="31">
        <v>45729</v>
      </c>
      <c r="N51" s="7" t="s">
        <v>215</v>
      </c>
      <c r="O51" s="8">
        <v>3273</v>
      </c>
      <c r="P51" s="24">
        <v>214</v>
      </c>
      <c r="Q51" s="22">
        <f>IF(COUNTIFS(A$2:A51,A51,I$2:I51,I51)=1,1,0)</f>
        <v>0</v>
      </c>
      <c r="R51" s="22">
        <f t="shared" si="0"/>
        <v>1</v>
      </c>
      <c r="S51" s="33">
        <f>IF(COUNTIF(O$2:O51,O51)=1,R51,0)/2.5</f>
        <v>0.4</v>
      </c>
    </row>
    <row r="52" spans="1:19" ht="18" customHeight="1" x14ac:dyDescent="0.25">
      <c r="A52" s="7" t="s">
        <v>43</v>
      </c>
      <c r="B52" s="8">
        <v>1</v>
      </c>
      <c r="C52" s="9">
        <v>440.7</v>
      </c>
      <c r="D52" s="29">
        <f>C52+IF(INDEX('Справочник по %'!B:B,(MATCH(A52,'Справочник по %'!A:A,0)))="кол-во",B52*INDEX('Справочник по %'!C:C,(MATCH(A52,'Справочник по %'!A:A,0))),ОТЧЕТ!C52*INDEX('Справочник по %'!C:C,(MATCH(A52,'Справочник по %'!A:A,0))))/100</f>
        <v>484.77</v>
      </c>
      <c r="E52" s="29">
        <f>IF(ОТЧЕТ!A52="SKU3",C52+ОТЧЕТ!C52*0.2,C52+ОТЧЕТ!C52*0.15)</f>
        <v>506.80499999999995</v>
      </c>
      <c r="F52" s="7" t="s">
        <v>210</v>
      </c>
      <c r="G52" s="7">
        <v>3704004871</v>
      </c>
      <c r="H52" s="20" t="s">
        <v>64</v>
      </c>
      <c r="I52" s="22" t="str">
        <f>INDEX('Справочник Сети'!B:B,(MATCH(G52,'Справочник Сети'!C:C,0)))</f>
        <v>Планета здоровья</v>
      </c>
      <c r="J52" s="7" t="s">
        <v>65</v>
      </c>
      <c r="K52" s="7" t="s">
        <v>216</v>
      </c>
      <c r="L52" s="7" t="s">
        <v>65</v>
      </c>
      <c r="M52" s="31">
        <v>45717</v>
      </c>
      <c r="N52" s="7" t="s">
        <v>217</v>
      </c>
      <c r="O52" s="8">
        <v>3489</v>
      </c>
      <c r="P52" s="24">
        <v>217</v>
      </c>
      <c r="Q52" s="22">
        <f>IF(COUNTIFS(A$2:A52,A52,I$2:I52,I52)=1,1,0)</f>
        <v>0</v>
      </c>
      <c r="R52" s="22">
        <f t="shared" si="0"/>
        <v>6</v>
      </c>
      <c r="S52" s="33">
        <f>IF(COUNTIF(O$2:O52,O52)=1,R52,0)/2.5</f>
        <v>0</v>
      </c>
    </row>
    <row r="53" spans="1:19" ht="18" customHeight="1" x14ac:dyDescent="0.25">
      <c r="A53" s="7" t="s">
        <v>43</v>
      </c>
      <c r="B53" s="8">
        <v>1</v>
      </c>
      <c r="C53" s="9">
        <v>480</v>
      </c>
      <c r="D53" s="29">
        <f>C53+IF(INDEX('Справочник по %'!B:B,(MATCH(A53,'Справочник по %'!A:A,0)))="кол-во",B53*INDEX('Справочник по %'!C:C,(MATCH(A53,'Справочник по %'!A:A,0))),ОТЧЕТ!C53*INDEX('Справочник по %'!C:C,(MATCH(A53,'Справочник по %'!A:A,0))))/100</f>
        <v>528</v>
      </c>
      <c r="E53" s="29">
        <f>IF(ОТЧЕТ!A53="SKU3",C53+ОТЧЕТ!C53*0.2,C53+ОТЧЕТ!C53*0.15)</f>
        <v>552</v>
      </c>
      <c r="F53" s="7" t="s">
        <v>218</v>
      </c>
      <c r="G53" s="7">
        <v>234901050224</v>
      </c>
      <c r="H53" s="20" t="s">
        <v>177</v>
      </c>
      <c r="I53" s="22" t="str">
        <f>INDEX('Справочник Сети'!B:B,(MATCH(G53,'Справочник Сети'!C:C,0)))</f>
        <v>Столички</v>
      </c>
      <c r="J53" s="7" t="s">
        <v>74</v>
      </c>
      <c r="K53" s="7" t="s">
        <v>219</v>
      </c>
      <c r="L53" s="7" t="s">
        <v>74</v>
      </c>
      <c r="M53" s="31">
        <v>45661</v>
      </c>
      <c r="N53" s="7" t="s">
        <v>220</v>
      </c>
      <c r="O53" s="8">
        <v>3769</v>
      </c>
      <c r="P53" s="24">
        <v>219</v>
      </c>
      <c r="Q53" s="22">
        <f>IF(COUNTIFS(A$2:A53,A53,I$2:I53,I53)=1,1,0)</f>
        <v>0</v>
      </c>
      <c r="R53" s="22">
        <f t="shared" si="0"/>
        <v>3</v>
      </c>
      <c r="S53" s="33">
        <f>IF(COUNTIF(O$2:O53,O53)=1,R53,0)/2.5</f>
        <v>0</v>
      </c>
    </row>
    <row r="54" spans="1:19" ht="18" customHeight="1" x14ac:dyDescent="0.25">
      <c r="A54" s="7" t="s">
        <v>43</v>
      </c>
      <c r="B54" s="8">
        <v>1</v>
      </c>
      <c r="C54" s="9">
        <v>403</v>
      </c>
      <c r="D54" s="29">
        <f>C54+IF(INDEX('Справочник по %'!B:B,(MATCH(A54,'Справочник по %'!A:A,0)))="кол-во",B54*INDEX('Справочник по %'!C:C,(MATCH(A54,'Справочник по %'!A:A,0))),ОТЧЕТ!C54*INDEX('Справочник по %'!C:C,(MATCH(A54,'Справочник по %'!A:A,0))))/100</f>
        <v>443.3</v>
      </c>
      <c r="E54" s="29">
        <f>IF(ОТЧЕТ!A54="SKU3",C54+ОТЧЕТ!C54*0.2,C54+ОТЧЕТ!C54*0.15)</f>
        <v>463.45</v>
      </c>
      <c r="F54" s="7" t="s">
        <v>218</v>
      </c>
      <c r="G54" s="7">
        <v>7705947629</v>
      </c>
      <c r="H54" s="20" t="s">
        <v>50</v>
      </c>
      <c r="I54" s="22" t="str">
        <f>INDEX('Справочник Сети'!B:B,(MATCH(G54,'Справочник Сети'!C:C,0)))</f>
        <v>36,6</v>
      </c>
      <c r="J54" s="7" t="s">
        <v>104</v>
      </c>
      <c r="K54" s="7" t="s">
        <v>162</v>
      </c>
      <c r="L54" s="7" t="s">
        <v>104</v>
      </c>
      <c r="M54" s="31">
        <v>45693</v>
      </c>
      <c r="N54" s="7" t="s">
        <v>221</v>
      </c>
      <c r="O54" s="8">
        <v>870</v>
      </c>
      <c r="P54" s="24">
        <v>221</v>
      </c>
      <c r="Q54" s="22">
        <f>IF(COUNTIFS(A$2:A54,A54,I$2:I54,I54)=1,1,0)</f>
        <v>0</v>
      </c>
      <c r="R54" s="22">
        <f t="shared" si="0"/>
        <v>2</v>
      </c>
      <c r="S54" s="33">
        <f>IF(COUNTIF(O$2:O54,O54)=1,R54,0)/2.5</f>
        <v>0.8</v>
      </c>
    </row>
    <row r="55" spans="1:19" ht="18" customHeight="1" x14ac:dyDescent="0.25">
      <c r="A55" s="7" t="s">
        <v>43</v>
      </c>
      <c r="B55" s="8">
        <v>1</v>
      </c>
      <c r="C55" s="9">
        <v>616</v>
      </c>
      <c r="D55" s="29">
        <f>C55+IF(INDEX('Справочник по %'!B:B,(MATCH(A55,'Справочник по %'!A:A,0)))="кол-во",B55*INDEX('Справочник по %'!C:C,(MATCH(A55,'Справочник по %'!A:A,0))),ОТЧЕТ!C55*INDEX('Справочник по %'!C:C,(MATCH(A55,'Справочник по %'!A:A,0))))/100</f>
        <v>677.6</v>
      </c>
      <c r="E55" s="29">
        <f>IF(ОТЧЕТ!A55="SKU3",C55+ОТЧЕТ!C55*0.2,C55+ОТЧЕТ!C55*0.15)</f>
        <v>708.4</v>
      </c>
      <c r="F55" s="7" t="s">
        <v>218</v>
      </c>
      <c r="G55" s="7">
        <v>7705947629</v>
      </c>
      <c r="H55" s="20" t="s">
        <v>50</v>
      </c>
      <c r="I55" s="22" t="str">
        <f>INDEX('Справочник Сети'!B:B,(MATCH(G55,'Справочник Сети'!C:C,0)))</f>
        <v>36,6</v>
      </c>
      <c r="J55" s="7" t="s">
        <v>104</v>
      </c>
      <c r="K55" s="7" t="s">
        <v>222</v>
      </c>
      <c r="L55" s="7" t="s">
        <v>104</v>
      </c>
      <c r="M55" s="31">
        <v>45693</v>
      </c>
      <c r="N55" s="7" t="s">
        <v>223</v>
      </c>
      <c r="O55" s="8">
        <v>438</v>
      </c>
      <c r="P55" s="24">
        <v>222</v>
      </c>
      <c r="Q55" s="22">
        <f>IF(COUNTIFS(A$2:A55,A55,I$2:I55,I55)=1,1,0)</f>
        <v>0</v>
      </c>
      <c r="R55" s="22">
        <f t="shared" si="0"/>
        <v>3</v>
      </c>
      <c r="S55" s="33">
        <f>IF(COUNTIF(O$2:O55,O55)=1,R55,0)/2.5</f>
        <v>1.2</v>
      </c>
    </row>
    <row r="56" spans="1:19" ht="18" customHeight="1" x14ac:dyDescent="0.25">
      <c r="A56" s="7" t="s">
        <v>43</v>
      </c>
      <c r="B56" s="8">
        <v>1</v>
      </c>
      <c r="C56" s="9">
        <v>616</v>
      </c>
      <c r="D56" s="29">
        <f>C56+IF(INDEX('Справочник по %'!B:B,(MATCH(A56,'Справочник по %'!A:A,0)))="кол-во",B56*INDEX('Справочник по %'!C:C,(MATCH(A56,'Справочник по %'!A:A,0))),ОТЧЕТ!C56*INDEX('Справочник по %'!C:C,(MATCH(A56,'Справочник по %'!A:A,0))))/100</f>
        <v>677.6</v>
      </c>
      <c r="E56" s="29">
        <f>IF(ОТЧЕТ!A56="SKU3",C56+ОТЧЕТ!C56*0.2,C56+ОТЧЕТ!C56*0.15)</f>
        <v>708.4</v>
      </c>
      <c r="F56" s="7" t="s">
        <v>218</v>
      </c>
      <c r="G56" s="7">
        <v>7705947629</v>
      </c>
      <c r="H56" s="20" t="s">
        <v>50</v>
      </c>
      <c r="I56" s="22" t="str">
        <f>INDEX('Справочник Сети'!B:B,(MATCH(G56,'Справочник Сети'!C:C,0)))</f>
        <v>36,6</v>
      </c>
      <c r="J56" s="7" t="s">
        <v>104</v>
      </c>
      <c r="K56" s="7" t="s">
        <v>224</v>
      </c>
      <c r="L56" s="7" t="s">
        <v>104</v>
      </c>
      <c r="M56" s="31">
        <v>45693</v>
      </c>
      <c r="N56" s="7" t="s">
        <v>225</v>
      </c>
      <c r="O56" s="8">
        <v>438</v>
      </c>
      <c r="P56" s="24">
        <v>223</v>
      </c>
      <c r="Q56" s="22">
        <f>IF(COUNTIFS(A$2:A56,A56,I$2:I56,I56)=1,1,0)</f>
        <v>0</v>
      </c>
      <c r="R56" s="22">
        <f t="shared" si="0"/>
        <v>3</v>
      </c>
      <c r="S56" s="33">
        <f>IF(COUNTIF(O$2:O56,O56)=1,R56,0)/2.5</f>
        <v>0</v>
      </c>
    </row>
    <row r="57" spans="1:19" ht="18" customHeight="1" x14ac:dyDescent="0.25">
      <c r="A57" s="7" t="s">
        <v>43</v>
      </c>
      <c r="B57" s="8">
        <v>1</v>
      </c>
      <c r="C57" s="9">
        <v>368</v>
      </c>
      <c r="D57" s="29">
        <f>C57+IF(INDEX('Справочник по %'!B:B,(MATCH(A57,'Справочник по %'!A:A,0)))="кол-во",B57*INDEX('Справочник по %'!C:C,(MATCH(A57,'Справочник по %'!A:A,0))),ОТЧЕТ!C57*INDEX('Справочник по %'!C:C,(MATCH(A57,'Справочник по %'!A:A,0))))/100</f>
        <v>404.8</v>
      </c>
      <c r="E57" s="29">
        <f>IF(ОТЧЕТ!A57="SKU3",C57+ОТЧЕТ!C57*0.2,C57+ОТЧЕТ!C57*0.15)</f>
        <v>423.2</v>
      </c>
      <c r="F57" s="7" t="s">
        <v>218</v>
      </c>
      <c r="G57" s="7">
        <v>7706795062</v>
      </c>
      <c r="H57" s="20" t="s">
        <v>86</v>
      </c>
      <c r="I57" s="22" t="str">
        <f>INDEX('Справочник Сети'!B:B,(MATCH(G57,'Справочник Сети'!C:C,0)))</f>
        <v>Планета здоровья</v>
      </c>
      <c r="J57" s="7" t="s">
        <v>87</v>
      </c>
      <c r="K57" s="7" t="s">
        <v>219</v>
      </c>
      <c r="L57" s="7" t="s">
        <v>87</v>
      </c>
      <c r="M57" s="31">
        <v>45691</v>
      </c>
      <c r="N57" s="7" t="s">
        <v>226</v>
      </c>
      <c r="O57" s="8">
        <v>3349</v>
      </c>
      <c r="P57" s="24">
        <v>224</v>
      </c>
      <c r="Q57" s="22">
        <f>IF(COUNTIFS(A$2:A57,A57,I$2:I57,I57)=1,1,0)</f>
        <v>0</v>
      </c>
      <c r="R57" s="22">
        <f t="shared" si="0"/>
        <v>5</v>
      </c>
      <c r="S57" s="33">
        <f>IF(COUNTIF(O$2:O57,O57)=1,R57,0)/2.5</f>
        <v>0</v>
      </c>
    </row>
    <row r="58" spans="1:19" ht="18" customHeight="1" x14ac:dyDescent="0.25">
      <c r="A58" s="7" t="s">
        <v>37</v>
      </c>
      <c r="B58" s="8">
        <v>1</v>
      </c>
      <c r="C58" s="9">
        <v>601</v>
      </c>
      <c r="D58" s="29">
        <f>C58+IF(INDEX('Справочник по %'!B:B,(MATCH(A58,'Справочник по %'!A:A,0)))="кол-во",B58*INDEX('Справочник по %'!C:C,(MATCH(A58,'Справочник по %'!A:A,0))),ОТЧЕТ!C58*INDEX('Справочник по %'!C:C,(MATCH(A58,'Справочник по %'!A:A,0))))/100</f>
        <v>601.20000000000005</v>
      </c>
      <c r="E58" s="29">
        <f>IF(ОТЧЕТ!A58="SKU3",C58+ОТЧЕТ!C58*0.2,C58+ОТЧЕТ!C58*0.15)</f>
        <v>691.15</v>
      </c>
      <c r="F58" s="7" t="s">
        <v>227</v>
      </c>
      <c r="G58" s="7">
        <v>7706795062</v>
      </c>
      <c r="H58" s="20" t="s">
        <v>114</v>
      </c>
      <c r="I58" s="22" t="str">
        <f>INDEX('Справочник Сети'!B:B,(MATCH(G58,'Справочник Сети'!C:C,0)))</f>
        <v>Планета здоровья</v>
      </c>
      <c r="J58" s="7" t="s">
        <v>87</v>
      </c>
      <c r="K58" s="7" t="s">
        <v>228</v>
      </c>
      <c r="L58" s="7" t="s">
        <v>116</v>
      </c>
      <c r="M58" s="31">
        <v>45692</v>
      </c>
      <c r="N58" s="7" t="s">
        <v>229</v>
      </c>
      <c r="O58" s="8">
        <v>1120</v>
      </c>
      <c r="P58" s="24">
        <v>226</v>
      </c>
      <c r="Q58" s="22">
        <f>IF(COUNTIFS(A$2:A58,A58,I$2:I58,I58)=1,1,0)</f>
        <v>0</v>
      </c>
      <c r="R58" s="22">
        <f t="shared" si="0"/>
        <v>5</v>
      </c>
      <c r="S58" s="33">
        <f>IF(COUNTIF(O$2:O58,O58)=1,R58,0)/2.5</f>
        <v>0</v>
      </c>
    </row>
    <row r="59" spans="1:19" ht="18" customHeight="1" x14ac:dyDescent="0.25">
      <c r="A59" s="7" t="s">
        <v>43</v>
      </c>
      <c r="B59" s="8">
        <v>1</v>
      </c>
      <c r="C59" s="9">
        <v>379</v>
      </c>
      <c r="D59" s="29">
        <f>C59+IF(INDEX('Справочник по %'!B:B,(MATCH(A59,'Справочник по %'!A:A,0)))="кол-во",B59*INDEX('Справочник по %'!C:C,(MATCH(A59,'Справочник по %'!A:A,0))),ОТЧЕТ!C59*INDEX('Справочник по %'!C:C,(MATCH(A59,'Справочник по %'!A:A,0))))/100</f>
        <v>416.9</v>
      </c>
      <c r="E59" s="29">
        <f>IF(ОТЧЕТ!A59="SKU3",C59+ОТЧЕТ!C59*0.2,C59+ОТЧЕТ!C59*0.15)</f>
        <v>435.85</v>
      </c>
      <c r="F59" s="7" t="s">
        <v>230</v>
      </c>
      <c r="G59" s="7">
        <v>5905254762</v>
      </c>
      <c r="H59" s="20" t="s">
        <v>39</v>
      </c>
      <c r="I59" s="22" t="str">
        <f>INDEX('Справочник Сети'!B:B,(MATCH(G59,'Справочник Сети'!C:C,0)))</f>
        <v>Столички</v>
      </c>
      <c r="J59" s="7" t="s">
        <v>174</v>
      </c>
      <c r="K59" s="7" t="s">
        <v>231</v>
      </c>
      <c r="L59" s="7" t="s">
        <v>40</v>
      </c>
      <c r="M59" s="31">
        <v>45712</v>
      </c>
      <c r="N59" s="7" t="s">
        <v>232</v>
      </c>
      <c r="O59" s="8">
        <v>2215</v>
      </c>
      <c r="P59" s="24">
        <v>227</v>
      </c>
      <c r="Q59" s="22">
        <f>IF(COUNTIFS(A$2:A59,A59,I$2:I59,I59)=1,1,0)</f>
        <v>0</v>
      </c>
      <c r="R59" s="22">
        <f t="shared" si="0"/>
        <v>5</v>
      </c>
      <c r="S59" s="33">
        <f>IF(COUNTIF(O$2:O59,O59)=1,R59,0)/2.5</f>
        <v>0</v>
      </c>
    </row>
    <row r="60" spans="1:19" ht="18" customHeight="1" x14ac:dyDescent="0.25">
      <c r="A60" s="7" t="s">
        <v>43</v>
      </c>
      <c r="B60" s="8">
        <v>1</v>
      </c>
      <c r="C60" s="9">
        <v>375</v>
      </c>
      <c r="D60" s="29">
        <f>C60+IF(INDEX('Справочник по %'!B:B,(MATCH(A60,'Справочник по %'!A:A,0)))="кол-во",B60*INDEX('Справочник по %'!C:C,(MATCH(A60,'Справочник по %'!A:A,0))),ОТЧЕТ!C60*INDEX('Справочник по %'!C:C,(MATCH(A60,'Справочник по %'!A:A,0))))/100</f>
        <v>412.5</v>
      </c>
      <c r="E60" s="29">
        <f>IF(ОТЧЕТ!A60="SKU3",C60+ОТЧЕТ!C60*0.2,C60+ОТЧЕТ!C60*0.15)</f>
        <v>431.25</v>
      </c>
      <c r="F60" s="7" t="s">
        <v>230</v>
      </c>
      <c r="G60" s="7">
        <v>7706795062</v>
      </c>
      <c r="H60" s="20" t="s">
        <v>233</v>
      </c>
      <c r="I60" s="22" t="str">
        <f>INDEX('Справочник Сети'!B:B,(MATCH(G60,'Справочник Сети'!C:C,0)))</f>
        <v>Планета здоровья</v>
      </c>
      <c r="J60" s="7" t="s">
        <v>87</v>
      </c>
      <c r="K60" s="7" t="s">
        <v>234</v>
      </c>
      <c r="L60" s="7" t="s">
        <v>87</v>
      </c>
      <c r="M60" s="31">
        <v>45691</v>
      </c>
      <c r="N60" s="7" t="s">
        <v>235</v>
      </c>
      <c r="O60" s="8">
        <v>1796</v>
      </c>
      <c r="P60" s="24">
        <v>230</v>
      </c>
      <c r="Q60" s="22">
        <f>IF(COUNTIFS(A$2:A60,A60,I$2:I60,I60)=1,1,0)</f>
        <v>0</v>
      </c>
      <c r="R60" s="22">
        <f t="shared" si="0"/>
        <v>8</v>
      </c>
      <c r="S60" s="33">
        <f>IF(COUNTIF(O$2:O60,O60)=1,R60,0)/2.5</f>
        <v>3.2</v>
      </c>
    </row>
    <row r="61" spans="1:19" ht="18" customHeight="1" x14ac:dyDescent="0.25">
      <c r="A61" s="7" t="s">
        <v>43</v>
      </c>
      <c r="B61" s="8">
        <v>1</v>
      </c>
      <c r="C61" s="9">
        <v>447.3</v>
      </c>
      <c r="D61" s="29">
        <f>C61+IF(INDEX('Справочник по %'!B:B,(MATCH(A61,'Справочник по %'!A:A,0)))="кол-во",B61*INDEX('Справочник по %'!C:C,(MATCH(A61,'Справочник по %'!A:A,0))),ОТЧЕТ!C61*INDEX('Справочник по %'!C:C,(MATCH(A61,'Справочник по %'!A:A,0))))/100</f>
        <v>492.03000000000003</v>
      </c>
      <c r="E61" s="29">
        <f>IF(ОТЧЕТ!A61="SKU3",C61+ОТЧЕТ!C61*0.2,C61+ОТЧЕТ!C61*0.15)</f>
        <v>514.39499999999998</v>
      </c>
      <c r="F61" s="7" t="s">
        <v>230</v>
      </c>
      <c r="G61" s="7">
        <v>7720335388</v>
      </c>
      <c r="H61" s="20" t="s">
        <v>91</v>
      </c>
      <c r="I61" s="22" t="str">
        <f>INDEX('Справочник Сети'!B:B,(MATCH(G61,'Справочник Сети'!C:C,0)))</f>
        <v>Столички</v>
      </c>
      <c r="J61" s="7" t="s">
        <v>168</v>
      </c>
      <c r="K61" s="7" t="s">
        <v>236</v>
      </c>
      <c r="L61" s="7" t="s">
        <v>168</v>
      </c>
      <c r="M61" s="31">
        <v>45676</v>
      </c>
      <c r="N61" s="7" t="s">
        <v>237</v>
      </c>
      <c r="O61" s="8">
        <v>2430</v>
      </c>
      <c r="P61" s="24">
        <v>231</v>
      </c>
      <c r="Q61" s="22">
        <f>IF(COUNTIFS(A$2:A61,A61,I$2:I61,I61)=1,1,0)</f>
        <v>0</v>
      </c>
      <c r="R61" s="22">
        <f t="shared" si="0"/>
        <v>1</v>
      </c>
      <c r="S61" s="33">
        <f>IF(COUNTIF(O$2:O61,O61)=1,R61,0)/2.5</f>
        <v>0.4</v>
      </c>
    </row>
    <row r="62" spans="1:19" ht="18" customHeight="1" x14ac:dyDescent="0.25">
      <c r="A62" s="7" t="s">
        <v>43</v>
      </c>
      <c r="B62" s="8">
        <v>1</v>
      </c>
      <c r="C62" s="9">
        <v>460.75</v>
      </c>
      <c r="D62" s="29">
        <f>C62+IF(INDEX('Справочник по %'!B:B,(MATCH(A62,'Справочник по %'!A:A,0)))="кол-во",B62*INDEX('Справочник по %'!C:C,(MATCH(A62,'Справочник по %'!A:A,0))),ОТЧЕТ!C62*INDEX('Справочник по %'!C:C,(MATCH(A62,'Справочник по %'!A:A,0))))/100</f>
        <v>506.82499999999999</v>
      </c>
      <c r="E62" s="29">
        <f>IF(ОТЧЕТ!A62="SKU3",C62+ОТЧЕТ!C62*0.2,C62+ОТЧЕТ!C62*0.15)</f>
        <v>529.86249999999995</v>
      </c>
      <c r="F62" s="7" t="s">
        <v>230</v>
      </c>
      <c r="G62" s="7">
        <v>9724191998</v>
      </c>
      <c r="H62" s="20" t="s">
        <v>50</v>
      </c>
      <c r="I62" s="22" t="str">
        <f>INDEX('Справочник Сети'!B:B,(MATCH(G62,'Справочник Сети'!C:C,0)))</f>
        <v>Столички</v>
      </c>
      <c r="J62" s="7" t="s">
        <v>74</v>
      </c>
      <c r="K62" s="7" t="s">
        <v>238</v>
      </c>
      <c r="L62" s="7" t="s">
        <v>239</v>
      </c>
      <c r="M62" s="31">
        <v>45662</v>
      </c>
      <c r="N62" s="7" t="s">
        <v>240</v>
      </c>
      <c r="O62" s="8">
        <v>867</v>
      </c>
      <c r="P62" s="24">
        <v>232</v>
      </c>
      <c r="Q62" s="22">
        <f>IF(COUNTIFS(A$2:A62,A62,I$2:I62,I62)=1,1,0)</f>
        <v>0</v>
      </c>
      <c r="R62" s="22">
        <f t="shared" si="0"/>
        <v>3</v>
      </c>
      <c r="S62" s="33">
        <f>IF(COUNTIF(O$2:O62,O62)=1,R62,0)/2.5</f>
        <v>1.2</v>
      </c>
    </row>
    <row r="63" spans="1:19" ht="18" customHeight="1" x14ac:dyDescent="0.25">
      <c r="A63" s="7" t="s">
        <v>43</v>
      </c>
      <c r="B63" s="8">
        <v>1</v>
      </c>
      <c r="C63" s="9">
        <v>610</v>
      </c>
      <c r="D63" s="29">
        <f>C63+IF(INDEX('Справочник по %'!B:B,(MATCH(A63,'Справочник по %'!A:A,0)))="кол-во",B63*INDEX('Справочник по %'!C:C,(MATCH(A63,'Справочник по %'!A:A,0))),ОТЧЕТ!C63*INDEX('Справочник по %'!C:C,(MATCH(A63,'Справочник по %'!A:A,0))))/100</f>
        <v>671</v>
      </c>
      <c r="E63" s="29">
        <f>IF(ОТЧЕТ!A63="SKU3",C63+ОТЧЕТ!C63*0.2,C63+ОТЧЕТ!C63*0.15)</f>
        <v>701.5</v>
      </c>
      <c r="F63" s="7" t="s">
        <v>230</v>
      </c>
      <c r="G63" s="7">
        <v>7705947629</v>
      </c>
      <c r="H63" s="20" t="s">
        <v>50</v>
      </c>
      <c r="I63" s="22" t="str">
        <f>INDEX('Справочник Сети'!B:B,(MATCH(G63,'Справочник Сети'!C:C,0)))</f>
        <v>36,6</v>
      </c>
      <c r="J63" s="7" t="s">
        <v>104</v>
      </c>
      <c r="K63" s="7" t="s">
        <v>241</v>
      </c>
      <c r="L63" s="7" t="s">
        <v>104</v>
      </c>
      <c r="M63" s="31">
        <v>45693</v>
      </c>
      <c r="N63" s="7" t="s">
        <v>242</v>
      </c>
      <c r="O63" s="8">
        <v>372</v>
      </c>
      <c r="P63" s="24">
        <v>234</v>
      </c>
      <c r="Q63" s="22">
        <f>IF(COUNTIFS(A$2:A63,A63,I$2:I63,I63)=1,1,0)</f>
        <v>0</v>
      </c>
      <c r="R63" s="22">
        <f t="shared" si="0"/>
        <v>13</v>
      </c>
      <c r="S63" s="33">
        <f>IF(COUNTIF(O$2:O63,O63)=1,R63,0)/2.5</f>
        <v>0</v>
      </c>
    </row>
    <row r="64" spans="1:19" ht="18" customHeight="1" x14ac:dyDescent="0.25">
      <c r="A64" s="7" t="s">
        <v>43</v>
      </c>
      <c r="B64" s="8">
        <v>1</v>
      </c>
      <c r="C64" s="9">
        <v>515</v>
      </c>
      <c r="D64" s="29">
        <f>C64+IF(INDEX('Справочник по %'!B:B,(MATCH(A64,'Справочник по %'!A:A,0)))="кол-во",B64*INDEX('Справочник по %'!C:C,(MATCH(A64,'Справочник по %'!A:A,0))),ОТЧЕТ!C64*INDEX('Справочник по %'!C:C,(MATCH(A64,'Справочник по %'!A:A,0))))/100</f>
        <v>566.5</v>
      </c>
      <c r="E64" s="29">
        <f>IF(ОТЧЕТ!A64="SKU3",C64+ОТЧЕТ!C64*0.2,C64+ОТЧЕТ!C64*0.15)</f>
        <v>592.25</v>
      </c>
      <c r="F64" s="7" t="s">
        <v>243</v>
      </c>
      <c r="G64" s="7">
        <v>7814139847</v>
      </c>
      <c r="H64" s="20" t="s">
        <v>50</v>
      </c>
      <c r="I64" s="22" t="str">
        <f>INDEX('Справочник Сети'!B:B,(MATCH(G64,'Справочник Сети'!C:C,0)))</f>
        <v>Планета здоровья</v>
      </c>
      <c r="J64" s="7" t="s">
        <v>121</v>
      </c>
      <c r="K64" s="7" t="s">
        <v>244</v>
      </c>
      <c r="L64" s="7" t="s">
        <v>121</v>
      </c>
      <c r="M64" s="31">
        <v>45671</v>
      </c>
      <c r="N64" s="7" t="s">
        <v>245</v>
      </c>
      <c r="O64" s="8">
        <v>2865</v>
      </c>
      <c r="P64" s="24">
        <v>236</v>
      </c>
      <c r="Q64" s="22">
        <f>IF(COUNTIFS(A$2:A64,A64,I$2:I64,I64)=1,1,0)</f>
        <v>0</v>
      </c>
      <c r="R64" s="22">
        <f t="shared" si="0"/>
        <v>7</v>
      </c>
      <c r="S64" s="33">
        <f>IF(COUNTIF(O$2:O64,O64)=1,R64,0)/2.5</f>
        <v>2.8</v>
      </c>
    </row>
    <row r="65" spans="1:19" ht="18" customHeight="1" x14ac:dyDescent="0.25">
      <c r="A65" s="7" t="s">
        <v>43</v>
      </c>
      <c r="B65" s="8">
        <v>1</v>
      </c>
      <c r="C65" s="9">
        <v>540</v>
      </c>
      <c r="D65" s="29">
        <f>C65+IF(INDEX('Справочник по %'!B:B,(MATCH(A65,'Справочник по %'!A:A,0)))="кол-во",B65*INDEX('Справочник по %'!C:C,(MATCH(A65,'Справочник по %'!A:A,0))),ОТЧЕТ!C65*INDEX('Справочник по %'!C:C,(MATCH(A65,'Справочник по %'!A:A,0))))/100</f>
        <v>594</v>
      </c>
      <c r="E65" s="29">
        <f>IF(ОТЧЕТ!A65="SKU3",C65+ОТЧЕТ!C65*0.2,C65+ОТЧЕТ!C65*0.15)</f>
        <v>621</v>
      </c>
      <c r="F65" s="7" t="s">
        <v>243</v>
      </c>
      <c r="G65" s="7">
        <v>5032223231</v>
      </c>
      <c r="H65" s="20" t="s">
        <v>91</v>
      </c>
      <c r="I65" s="22" t="str">
        <f>INDEX('Справочник Сети'!B:B,(MATCH(G65,'Справочник Сети'!C:C,0)))</f>
        <v>Планета здоровья</v>
      </c>
      <c r="J65" s="7" t="s">
        <v>92</v>
      </c>
      <c r="K65" s="7" t="s">
        <v>246</v>
      </c>
      <c r="L65" s="7" t="s">
        <v>92</v>
      </c>
      <c r="M65" s="31">
        <v>45714</v>
      </c>
      <c r="N65" s="7" t="s">
        <v>247</v>
      </c>
      <c r="O65" s="8">
        <v>594</v>
      </c>
      <c r="P65" s="24">
        <v>237</v>
      </c>
      <c r="Q65" s="22">
        <f>IF(COUNTIFS(A$2:A65,A65,I$2:I65,I65)=1,1,0)</f>
        <v>0</v>
      </c>
      <c r="R65" s="22">
        <f t="shared" si="0"/>
        <v>2</v>
      </c>
      <c r="S65" s="33">
        <f>IF(COUNTIF(O$2:O65,O65)=1,R65,0)/2.5</f>
        <v>0</v>
      </c>
    </row>
    <row r="66" spans="1:19" ht="18" customHeight="1" x14ac:dyDescent="0.25">
      <c r="A66" s="7" t="s">
        <v>43</v>
      </c>
      <c r="B66" s="8">
        <v>1</v>
      </c>
      <c r="C66" s="9">
        <v>399</v>
      </c>
      <c r="D66" s="29">
        <f>C66+IF(INDEX('Справочник по %'!B:B,(MATCH(A66,'Справочник по %'!A:A,0)))="кол-во",B66*INDEX('Справочник по %'!C:C,(MATCH(A66,'Справочник по %'!A:A,0))),ОТЧЕТ!C66*INDEX('Справочник по %'!C:C,(MATCH(A66,'Справочник по %'!A:A,0))))/100</f>
        <v>438.9</v>
      </c>
      <c r="E66" s="29">
        <f>IF(ОТЧЕТ!A66="SKU3",C66+ОТЧЕТ!C66*0.2,C66+ОТЧЕТ!C66*0.15)</f>
        <v>458.85</v>
      </c>
      <c r="F66" s="7" t="s">
        <v>248</v>
      </c>
      <c r="G66" s="7">
        <v>150900884117</v>
      </c>
      <c r="H66" s="20" t="s">
        <v>50</v>
      </c>
      <c r="I66" s="22" t="str">
        <f>INDEX('Справочник Сети'!B:B,(MATCH(G66,'Справочник Сети'!C:C,0)))</f>
        <v>Столички</v>
      </c>
      <c r="J66" s="7" t="s">
        <v>74</v>
      </c>
      <c r="K66" s="7" t="s">
        <v>249</v>
      </c>
      <c r="L66" s="7" t="s">
        <v>74</v>
      </c>
      <c r="M66" s="31">
        <v>45661</v>
      </c>
      <c r="N66" s="7" t="s">
        <v>250</v>
      </c>
      <c r="O66" s="8">
        <v>3091</v>
      </c>
      <c r="P66" s="24">
        <v>239</v>
      </c>
      <c r="Q66" s="22">
        <f>IF(COUNTIFS(A$2:A66,A66,I$2:I66,I66)=1,1,0)</f>
        <v>0</v>
      </c>
      <c r="R66" s="22">
        <f t="shared" si="0"/>
        <v>1</v>
      </c>
      <c r="S66" s="33">
        <f>IF(COUNTIF(O$2:O66,O66)=1,R66,0)/2.5</f>
        <v>0.4</v>
      </c>
    </row>
    <row r="67" spans="1:19" ht="18" customHeight="1" x14ac:dyDescent="0.25">
      <c r="A67" s="7" t="s">
        <v>43</v>
      </c>
      <c r="B67" s="8">
        <v>1</v>
      </c>
      <c r="C67" s="9">
        <v>476</v>
      </c>
      <c r="D67" s="29">
        <f>C67+IF(INDEX('Справочник по %'!B:B,(MATCH(A67,'Справочник по %'!A:A,0)))="кол-во",B67*INDEX('Справочник по %'!C:C,(MATCH(A67,'Справочник по %'!A:A,0))),ОТЧЕТ!C67*INDEX('Справочник по %'!C:C,(MATCH(A67,'Справочник по %'!A:A,0))))/100</f>
        <v>523.6</v>
      </c>
      <c r="E67" s="29">
        <f>IF(ОТЧЕТ!A67="SKU3",C67+ОТЧЕТ!C67*0.2,C67+ОТЧЕТ!C67*0.15)</f>
        <v>547.4</v>
      </c>
      <c r="F67" s="7" t="s">
        <v>248</v>
      </c>
      <c r="G67" s="7">
        <v>610401000804</v>
      </c>
      <c r="H67" s="20" t="s">
        <v>50</v>
      </c>
      <c r="I67" s="22" t="str">
        <f>INDEX('Справочник Сети'!B:B,(MATCH(G67,'Справочник Сети'!C:C,0)))</f>
        <v>Столички</v>
      </c>
      <c r="J67" s="7" t="s">
        <v>251</v>
      </c>
      <c r="K67" s="7" t="s">
        <v>252</v>
      </c>
      <c r="L67" s="7" t="s">
        <v>251</v>
      </c>
      <c r="M67" s="31">
        <v>45659</v>
      </c>
      <c r="N67" s="7" t="s">
        <v>253</v>
      </c>
      <c r="O67" s="8">
        <v>2663</v>
      </c>
      <c r="P67" s="24">
        <v>240</v>
      </c>
      <c r="Q67" s="22">
        <f>IF(COUNTIFS(A$2:A67,A67,I$2:I67,I67)=1,1,0)</f>
        <v>0</v>
      </c>
      <c r="R67" s="22">
        <f t="shared" ref="R67:R130" si="1">COUNTIF(O:O,O67)</f>
        <v>2</v>
      </c>
      <c r="S67" s="33">
        <f>IF(COUNTIF(O$2:O67,O67)=1,R67,0)/2.5</f>
        <v>0.8</v>
      </c>
    </row>
    <row r="68" spans="1:19" ht="18" customHeight="1" x14ac:dyDescent="0.25">
      <c r="A68" s="7" t="s">
        <v>43</v>
      </c>
      <c r="B68" s="8">
        <v>1</v>
      </c>
      <c r="C68" s="9">
        <v>405.11</v>
      </c>
      <c r="D68" s="29">
        <f>C68+IF(INDEX('Справочник по %'!B:B,(MATCH(A68,'Справочник по %'!A:A,0)))="кол-во",B68*INDEX('Справочник по %'!C:C,(MATCH(A68,'Справочник по %'!A:A,0))),ОТЧЕТ!C68*INDEX('Справочник по %'!C:C,(MATCH(A68,'Справочник по %'!A:A,0))))/100</f>
        <v>445.62100000000004</v>
      </c>
      <c r="E68" s="29">
        <f>IF(ОТЧЕТ!A68="SKU3",C68+ОТЧЕТ!C68*0.2,C68+ОТЧЕТ!C68*0.15)</f>
        <v>465.87650000000002</v>
      </c>
      <c r="F68" s="7" t="s">
        <v>248</v>
      </c>
      <c r="G68" s="7">
        <v>5751039272</v>
      </c>
      <c r="H68" s="20" t="s">
        <v>91</v>
      </c>
      <c r="I68" s="22" t="str">
        <f>INDEX('Справочник Сети'!B:B,(MATCH(G68,'Справочник Сети'!C:C,0)))</f>
        <v>Столички</v>
      </c>
      <c r="J68" s="7" t="s">
        <v>40</v>
      </c>
      <c r="K68" s="7" t="s">
        <v>254</v>
      </c>
      <c r="L68" s="7" t="s">
        <v>255</v>
      </c>
      <c r="M68" s="31">
        <v>45713</v>
      </c>
      <c r="N68" s="7" t="s">
        <v>256</v>
      </c>
      <c r="O68" s="8">
        <v>2035</v>
      </c>
      <c r="P68" s="24">
        <v>241</v>
      </c>
      <c r="Q68" s="22">
        <f>IF(COUNTIFS(A$2:A68,A68,I$2:I68,I68)=1,1,0)</f>
        <v>0</v>
      </c>
      <c r="R68" s="22">
        <f t="shared" si="1"/>
        <v>1</v>
      </c>
      <c r="S68" s="33">
        <f>IF(COUNTIF(O$2:O68,O68)=1,R68,0)/2.5</f>
        <v>0.4</v>
      </c>
    </row>
    <row r="69" spans="1:19" ht="18" customHeight="1" x14ac:dyDescent="0.25">
      <c r="A69" s="7" t="s">
        <v>37</v>
      </c>
      <c r="B69" s="8">
        <v>1</v>
      </c>
      <c r="C69" s="9">
        <v>615</v>
      </c>
      <c r="D69" s="29">
        <f>C69+IF(INDEX('Справочник по %'!B:B,(MATCH(A69,'Справочник по %'!A:A,0)))="кол-во",B69*INDEX('Справочник по %'!C:C,(MATCH(A69,'Справочник по %'!A:A,0))),ОТЧЕТ!C69*INDEX('Справочник по %'!C:C,(MATCH(A69,'Справочник по %'!A:A,0))))/100</f>
        <v>615.20000000000005</v>
      </c>
      <c r="E69" s="29">
        <f>IF(ОТЧЕТ!A69="SKU3",C69+ОТЧЕТ!C69*0.2,C69+ОТЧЕТ!C69*0.15)</f>
        <v>707.25</v>
      </c>
      <c r="F69" s="7" t="s">
        <v>257</v>
      </c>
      <c r="G69" s="7">
        <v>5905254762</v>
      </c>
      <c r="H69" s="20" t="s">
        <v>39</v>
      </c>
      <c r="I69" s="22" t="str">
        <f>INDEX('Справочник Сети'!B:B,(MATCH(G69,'Справочник Сети'!C:C,0)))</f>
        <v>Столички</v>
      </c>
      <c r="J69" s="7" t="s">
        <v>174</v>
      </c>
      <c r="K69" s="7" t="s">
        <v>258</v>
      </c>
      <c r="L69" s="7" t="s">
        <v>40</v>
      </c>
      <c r="M69" s="31">
        <v>45712</v>
      </c>
      <c r="N69" s="7" t="s">
        <v>259</v>
      </c>
      <c r="O69" s="8">
        <v>2215</v>
      </c>
      <c r="P69" s="24">
        <v>245</v>
      </c>
      <c r="Q69" s="22">
        <f>IF(COUNTIFS(A$2:A69,A69,I$2:I69,I69)=1,1,0)</f>
        <v>0</v>
      </c>
      <c r="R69" s="22">
        <f t="shared" si="1"/>
        <v>5</v>
      </c>
      <c r="S69" s="33">
        <f>IF(COUNTIF(O$2:O69,O69)=1,R69,0)/2.5</f>
        <v>0</v>
      </c>
    </row>
    <row r="70" spans="1:19" ht="18" customHeight="1" x14ac:dyDescent="0.25">
      <c r="A70" s="7" t="s">
        <v>43</v>
      </c>
      <c r="B70" s="8">
        <v>1</v>
      </c>
      <c r="C70" s="9">
        <v>600</v>
      </c>
      <c r="D70" s="29">
        <f>C70+IF(INDEX('Справочник по %'!B:B,(MATCH(A70,'Справочник по %'!A:A,0)))="кол-во",B70*INDEX('Справочник по %'!C:C,(MATCH(A70,'Справочник по %'!A:A,0))),ОТЧЕТ!C70*INDEX('Справочник по %'!C:C,(MATCH(A70,'Справочник по %'!A:A,0))))/100</f>
        <v>660</v>
      </c>
      <c r="E70" s="29">
        <f>IF(ОТЧЕТ!A70="SKU3",C70+ОТЧЕТ!C70*0.2,C70+ОТЧЕТ!C70*0.15)</f>
        <v>690</v>
      </c>
      <c r="F70" s="7" t="s">
        <v>257</v>
      </c>
      <c r="G70" s="7">
        <v>7705947629</v>
      </c>
      <c r="H70" s="20" t="s">
        <v>50</v>
      </c>
      <c r="I70" s="22" t="str">
        <f>INDEX('Справочник Сети'!B:B,(MATCH(G70,'Справочник Сети'!C:C,0)))</f>
        <v>36,6</v>
      </c>
      <c r="J70" s="7" t="s">
        <v>116</v>
      </c>
      <c r="K70" s="7" t="s">
        <v>260</v>
      </c>
      <c r="L70" s="7" t="s">
        <v>104</v>
      </c>
      <c r="M70" s="31">
        <v>45693</v>
      </c>
      <c r="N70" s="7" t="s">
        <v>261</v>
      </c>
      <c r="O70" s="8">
        <v>2645</v>
      </c>
      <c r="P70" s="24">
        <v>246</v>
      </c>
      <c r="Q70" s="22">
        <f>IF(COUNTIFS(A$2:A70,A70,I$2:I70,I70)=1,1,0)</f>
        <v>0</v>
      </c>
      <c r="R70" s="22">
        <f t="shared" si="1"/>
        <v>9</v>
      </c>
      <c r="S70" s="33">
        <f>IF(COUNTIF(O$2:O70,O70)=1,R70,0)/2.5</f>
        <v>3.6</v>
      </c>
    </row>
    <row r="71" spans="1:19" ht="18" customHeight="1" x14ac:dyDescent="0.25">
      <c r="A71" s="7" t="s">
        <v>43</v>
      </c>
      <c r="B71" s="8">
        <v>1</v>
      </c>
      <c r="C71" s="9">
        <v>419</v>
      </c>
      <c r="D71" s="29">
        <f>C71+IF(INDEX('Справочник по %'!B:B,(MATCH(A71,'Справочник по %'!A:A,0)))="кол-во",B71*INDEX('Справочник по %'!C:C,(MATCH(A71,'Справочник по %'!A:A,0))),ОТЧЕТ!C71*INDEX('Справочник по %'!C:C,(MATCH(A71,'Справочник по %'!A:A,0))))/100</f>
        <v>460.9</v>
      </c>
      <c r="E71" s="29">
        <f>IF(ОТЧЕТ!A71="SKU3",C71+ОТЧЕТ!C71*0.2,C71+ОТЧЕТ!C71*0.15)</f>
        <v>481.85</v>
      </c>
      <c r="F71" s="7" t="s">
        <v>257</v>
      </c>
      <c r="G71" s="7">
        <v>5905254762</v>
      </c>
      <c r="H71" s="20" t="s">
        <v>39</v>
      </c>
      <c r="I71" s="22" t="str">
        <f>INDEX('Справочник Сети'!B:B,(MATCH(G71,'Справочник Сети'!C:C,0)))</f>
        <v>Столички</v>
      </c>
      <c r="J71" s="7" t="s">
        <v>174</v>
      </c>
      <c r="K71" s="7" t="s">
        <v>262</v>
      </c>
      <c r="L71" s="7" t="s">
        <v>40</v>
      </c>
      <c r="M71" s="31">
        <v>45712</v>
      </c>
      <c r="N71" s="7" t="s">
        <v>263</v>
      </c>
      <c r="O71" s="8">
        <v>2215</v>
      </c>
      <c r="P71" s="24">
        <v>247</v>
      </c>
      <c r="Q71" s="22">
        <f>IF(COUNTIFS(A$2:A71,A71,I$2:I71,I71)=1,1,0)</f>
        <v>0</v>
      </c>
      <c r="R71" s="22">
        <f t="shared" si="1"/>
        <v>5</v>
      </c>
      <c r="S71" s="33">
        <f>IF(COUNTIF(O$2:O71,O71)=1,R71,0)/2.5</f>
        <v>0</v>
      </c>
    </row>
    <row r="72" spans="1:19" ht="18" customHeight="1" x14ac:dyDescent="0.25">
      <c r="A72" s="7" t="s">
        <v>43</v>
      </c>
      <c r="B72" s="8">
        <v>1</v>
      </c>
      <c r="C72" s="9">
        <v>672</v>
      </c>
      <c r="D72" s="29">
        <f>C72+IF(INDEX('Справочник по %'!B:B,(MATCH(A72,'Справочник по %'!A:A,0)))="кол-во",B72*INDEX('Справочник по %'!C:C,(MATCH(A72,'Справочник по %'!A:A,0))),ОТЧЕТ!C72*INDEX('Справочник по %'!C:C,(MATCH(A72,'Справочник по %'!A:A,0))))/100</f>
        <v>739.2</v>
      </c>
      <c r="E72" s="29">
        <f>IF(ОТЧЕТ!A72="SKU3",C72+ОТЧЕТ!C72*0.2,C72+ОТЧЕТ!C72*0.15)</f>
        <v>772.8</v>
      </c>
      <c r="F72" s="7" t="s">
        <v>257</v>
      </c>
      <c r="G72" s="7">
        <v>7705947629</v>
      </c>
      <c r="H72" s="20" t="s">
        <v>50</v>
      </c>
      <c r="I72" s="22" t="str">
        <f>INDEX('Справочник Сети'!B:B,(MATCH(G72,'Справочник Сети'!C:C,0)))</f>
        <v>36,6</v>
      </c>
      <c r="J72" s="7" t="s">
        <v>116</v>
      </c>
      <c r="K72" s="7" t="s">
        <v>264</v>
      </c>
      <c r="L72" s="7" t="s">
        <v>104</v>
      </c>
      <c r="M72" s="31">
        <v>45693</v>
      </c>
      <c r="N72" s="7" t="s">
        <v>265</v>
      </c>
      <c r="O72" s="8">
        <v>2645</v>
      </c>
      <c r="P72" s="24">
        <v>248</v>
      </c>
      <c r="Q72" s="22">
        <f>IF(COUNTIFS(A$2:A72,A72,I$2:I72,I72)=1,1,0)</f>
        <v>0</v>
      </c>
      <c r="R72" s="22">
        <f t="shared" si="1"/>
        <v>9</v>
      </c>
      <c r="S72" s="33">
        <f>IF(COUNTIF(O$2:O72,O72)=1,R72,0)/2.5</f>
        <v>0</v>
      </c>
    </row>
    <row r="73" spans="1:19" ht="18" customHeight="1" x14ac:dyDescent="0.25">
      <c r="A73" s="7" t="s">
        <v>43</v>
      </c>
      <c r="B73" s="8">
        <v>1</v>
      </c>
      <c r="C73" s="9">
        <v>394</v>
      </c>
      <c r="D73" s="29">
        <f>C73+IF(INDEX('Справочник по %'!B:B,(MATCH(A73,'Справочник по %'!A:A,0)))="кол-во",B73*INDEX('Справочник по %'!C:C,(MATCH(A73,'Справочник по %'!A:A,0))),ОТЧЕТ!C73*INDEX('Справочник по %'!C:C,(MATCH(A73,'Справочник по %'!A:A,0))))/100</f>
        <v>433.4</v>
      </c>
      <c r="E73" s="29">
        <f>IF(ОТЧЕТ!A73="SKU3",C73+ОТЧЕТ!C73*0.2,C73+ОТЧЕТ!C73*0.15)</f>
        <v>453.1</v>
      </c>
      <c r="F73" s="7" t="s">
        <v>266</v>
      </c>
      <c r="G73" s="7">
        <v>7706795062</v>
      </c>
      <c r="H73" s="20" t="s">
        <v>99</v>
      </c>
      <c r="I73" s="22" t="str">
        <f>INDEX('Справочник Сети'!B:B,(MATCH(G73,'Справочник Сети'!C:C,0)))</f>
        <v>Планета здоровья</v>
      </c>
      <c r="J73" s="7" t="s">
        <v>87</v>
      </c>
      <c r="K73" s="7" t="s">
        <v>267</v>
      </c>
      <c r="L73" s="7" t="s">
        <v>87</v>
      </c>
      <c r="M73" s="31">
        <v>45691</v>
      </c>
      <c r="N73" s="7" t="s">
        <v>268</v>
      </c>
      <c r="O73" s="8">
        <v>3604</v>
      </c>
      <c r="P73" s="24">
        <v>270</v>
      </c>
      <c r="Q73" s="22">
        <f>IF(COUNTIFS(A$2:A73,A73,I$2:I73,I73)=1,1,0)</f>
        <v>0</v>
      </c>
      <c r="R73" s="22">
        <f t="shared" si="1"/>
        <v>3</v>
      </c>
      <c r="S73" s="33">
        <f>IF(COUNTIF(O$2:O73,O73)=1,R73,0)/2.5</f>
        <v>0</v>
      </c>
    </row>
    <row r="74" spans="1:19" ht="18" customHeight="1" x14ac:dyDescent="0.25">
      <c r="A74" s="7" t="s">
        <v>43</v>
      </c>
      <c r="B74" s="8">
        <v>1</v>
      </c>
      <c r="C74" s="9">
        <v>370</v>
      </c>
      <c r="D74" s="29">
        <f>C74+IF(INDEX('Справочник по %'!B:B,(MATCH(A74,'Справочник по %'!A:A,0)))="кол-во",B74*INDEX('Справочник по %'!C:C,(MATCH(A74,'Справочник по %'!A:A,0))),ОТЧЕТ!C74*INDEX('Справочник по %'!C:C,(MATCH(A74,'Справочник по %'!A:A,0))))/100</f>
        <v>407</v>
      </c>
      <c r="E74" s="29">
        <f>IF(ОТЧЕТ!A74="SKU3",C74+ОТЧЕТ!C74*0.2,C74+ОТЧЕТ!C74*0.15)</f>
        <v>425.5</v>
      </c>
      <c r="F74" s="7" t="s">
        <v>266</v>
      </c>
      <c r="G74" s="7">
        <v>7706795062</v>
      </c>
      <c r="H74" s="20" t="s">
        <v>188</v>
      </c>
      <c r="I74" s="22" t="str">
        <f>INDEX('Справочник Сети'!B:B,(MATCH(G74,'Справочник Сети'!C:C,0)))</f>
        <v>Планета здоровья</v>
      </c>
      <c r="J74" s="7" t="s">
        <v>87</v>
      </c>
      <c r="K74" s="7" t="s">
        <v>269</v>
      </c>
      <c r="L74" s="7" t="s">
        <v>116</v>
      </c>
      <c r="M74" s="31">
        <v>45692</v>
      </c>
      <c r="N74" s="7" t="s">
        <v>270</v>
      </c>
      <c r="O74" s="8">
        <v>364</v>
      </c>
      <c r="P74" s="24">
        <v>271</v>
      </c>
      <c r="Q74" s="22">
        <f>IF(COUNTIFS(A$2:A74,A74,I$2:I74,I74)=1,1,0)</f>
        <v>0</v>
      </c>
      <c r="R74" s="22">
        <f t="shared" si="1"/>
        <v>3</v>
      </c>
      <c r="S74" s="33">
        <f>IF(COUNTIF(O$2:O74,O74)=1,R74,0)/2.5</f>
        <v>0</v>
      </c>
    </row>
    <row r="75" spans="1:19" ht="18" customHeight="1" x14ac:dyDescent="0.25">
      <c r="A75" s="7" t="s">
        <v>37</v>
      </c>
      <c r="B75" s="8">
        <v>1</v>
      </c>
      <c r="C75" s="9">
        <v>553</v>
      </c>
      <c r="D75" s="29">
        <f>C75+IF(INDEX('Справочник по %'!B:B,(MATCH(A75,'Справочник по %'!A:A,0)))="кол-во",B75*INDEX('Справочник по %'!C:C,(MATCH(A75,'Справочник по %'!A:A,0))),ОТЧЕТ!C75*INDEX('Справочник по %'!C:C,(MATCH(A75,'Справочник по %'!A:A,0))))/100</f>
        <v>553.20000000000005</v>
      </c>
      <c r="E75" s="29">
        <f>IF(ОТЧЕТ!A75="SKU3",C75+ОТЧЕТ!C75*0.2,C75+ОТЧЕТ!C75*0.15)</f>
        <v>635.95000000000005</v>
      </c>
      <c r="F75" s="7" t="s">
        <v>266</v>
      </c>
      <c r="G75" s="7">
        <v>7706795062</v>
      </c>
      <c r="H75" s="20" t="s">
        <v>233</v>
      </c>
      <c r="I75" s="22" t="str">
        <f>INDEX('Справочник Сети'!B:B,(MATCH(G75,'Справочник Сети'!C:C,0)))</f>
        <v>Планета здоровья</v>
      </c>
      <c r="J75" s="7" t="s">
        <v>87</v>
      </c>
      <c r="K75" s="7" t="s">
        <v>271</v>
      </c>
      <c r="L75" s="7" t="s">
        <v>87</v>
      </c>
      <c r="M75" s="31">
        <v>45691</v>
      </c>
      <c r="N75" s="7" t="s">
        <v>272</v>
      </c>
      <c r="O75" s="8">
        <v>1796</v>
      </c>
      <c r="P75" s="24">
        <v>272</v>
      </c>
      <c r="Q75" s="22">
        <f>IF(COUNTIFS(A$2:A75,A75,I$2:I75,I75)=1,1,0)</f>
        <v>0</v>
      </c>
      <c r="R75" s="22">
        <f t="shared" si="1"/>
        <v>8</v>
      </c>
      <c r="S75" s="33">
        <f>IF(COUNTIF(O$2:O75,O75)=1,R75,0)/2.5</f>
        <v>0</v>
      </c>
    </row>
    <row r="76" spans="1:19" ht="18" customHeight="1" x14ac:dyDescent="0.25">
      <c r="A76" s="7" t="s">
        <v>43</v>
      </c>
      <c r="B76" s="8">
        <v>1</v>
      </c>
      <c r="C76" s="9">
        <v>430</v>
      </c>
      <c r="D76" s="29">
        <f>C76+IF(INDEX('Справочник по %'!B:B,(MATCH(A76,'Справочник по %'!A:A,0)))="кол-во",B76*INDEX('Справочник по %'!C:C,(MATCH(A76,'Справочник по %'!A:A,0))),ОТЧЕТ!C76*INDEX('Справочник по %'!C:C,(MATCH(A76,'Справочник по %'!A:A,0))))/100</f>
        <v>473</v>
      </c>
      <c r="E76" s="29">
        <f>IF(ОТЧЕТ!A76="SKU3",C76+ОТЧЕТ!C76*0.2,C76+ОТЧЕТ!C76*0.15)</f>
        <v>494.5</v>
      </c>
      <c r="F76" s="7" t="s">
        <v>266</v>
      </c>
      <c r="G76" s="7">
        <v>5008036897</v>
      </c>
      <c r="H76" s="20" t="s">
        <v>273</v>
      </c>
      <c r="I76" s="22" t="str">
        <f>INDEX('Справочник Сети'!B:B,(MATCH(G76,'Справочник Сети'!C:C,0)))</f>
        <v>Столички</v>
      </c>
      <c r="J76" s="7" t="s">
        <v>83</v>
      </c>
      <c r="K76" s="7" t="s">
        <v>271</v>
      </c>
      <c r="L76" s="7" t="s">
        <v>83</v>
      </c>
      <c r="M76" s="31">
        <v>45715</v>
      </c>
      <c r="N76" s="7" t="s">
        <v>274</v>
      </c>
      <c r="O76" s="8">
        <v>3688</v>
      </c>
      <c r="P76" s="24">
        <v>273</v>
      </c>
      <c r="Q76" s="22">
        <f>IF(COUNTIFS(A$2:A76,A76,I$2:I76,I76)=1,1,0)</f>
        <v>0</v>
      </c>
      <c r="R76" s="22">
        <f t="shared" si="1"/>
        <v>3</v>
      </c>
      <c r="S76" s="33">
        <f>IF(COUNTIF(O$2:O76,O76)=1,R76,0)/2.5</f>
        <v>1.2</v>
      </c>
    </row>
    <row r="77" spans="1:19" ht="18" customHeight="1" x14ac:dyDescent="0.25">
      <c r="A77" s="7" t="s">
        <v>43</v>
      </c>
      <c r="B77" s="8">
        <v>1</v>
      </c>
      <c r="C77" s="9">
        <v>600</v>
      </c>
      <c r="D77" s="29">
        <f>C77+IF(INDEX('Справочник по %'!B:B,(MATCH(A77,'Справочник по %'!A:A,0)))="кол-во",B77*INDEX('Справочник по %'!C:C,(MATCH(A77,'Справочник по %'!A:A,0))),ОТЧЕТ!C77*INDEX('Справочник по %'!C:C,(MATCH(A77,'Справочник по %'!A:A,0))))/100</f>
        <v>660</v>
      </c>
      <c r="E77" s="29">
        <f>IF(ОТЧЕТ!A77="SKU3",C77+ОТЧЕТ!C77*0.2,C77+ОТЧЕТ!C77*0.15)</f>
        <v>690</v>
      </c>
      <c r="F77" s="7" t="s">
        <v>275</v>
      </c>
      <c r="G77" s="7">
        <v>7705947629</v>
      </c>
      <c r="H77" s="20" t="s">
        <v>50</v>
      </c>
      <c r="I77" s="22" t="str">
        <f>INDEX('Справочник Сети'!B:B,(MATCH(G77,'Справочник Сети'!C:C,0)))</f>
        <v>36,6</v>
      </c>
      <c r="J77" s="7" t="s">
        <v>116</v>
      </c>
      <c r="K77" s="7" t="s">
        <v>276</v>
      </c>
      <c r="L77" s="7" t="s">
        <v>104</v>
      </c>
      <c r="M77" s="31">
        <v>45693</v>
      </c>
      <c r="N77" s="7" t="s">
        <v>277</v>
      </c>
      <c r="O77" s="8">
        <v>2645</v>
      </c>
      <c r="P77" s="24">
        <v>278</v>
      </c>
      <c r="Q77" s="22">
        <f>IF(COUNTIFS(A$2:A77,A77,I$2:I77,I77)=1,1,0)</f>
        <v>0</v>
      </c>
      <c r="R77" s="22">
        <f t="shared" si="1"/>
        <v>9</v>
      </c>
      <c r="S77" s="33">
        <f>IF(COUNTIF(O$2:O77,O77)=1,R77,0)/2.5</f>
        <v>0</v>
      </c>
    </row>
    <row r="78" spans="1:19" ht="18" customHeight="1" x14ac:dyDescent="0.25">
      <c r="A78" s="7" t="s">
        <v>43</v>
      </c>
      <c r="B78" s="8">
        <v>1</v>
      </c>
      <c r="C78" s="9">
        <v>582</v>
      </c>
      <c r="D78" s="29">
        <f>C78+IF(INDEX('Справочник по %'!B:B,(MATCH(A78,'Справочник по %'!A:A,0)))="кол-во",B78*INDEX('Справочник по %'!C:C,(MATCH(A78,'Справочник по %'!A:A,0))),ОТЧЕТ!C78*INDEX('Справочник по %'!C:C,(MATCH(A78,'Справочник по %'!A:A,0))))/100</f>
        <v>640.20000000000005</v>
      </c>
      <c r="E78" s="29">
        <f>IF(ОТЧЕТ!A78="SKU3",C78+ОТЧЕТ!C78*0.2,C78+ОТЧЕТ!C78*0.15)</f>
        <v>669.3</v>
      </c>
      <c r="F78" s="7" t="s">
        <v>275</v>
      </c>
      <c r="G78" s="7">
        <v>7705947629</v>
      </c>
      <c r="H78" s="20" t="s">
        <v>50</v>
      </c>
      <c r="I78" s="22" t="str">
        <f>INDEX('Справочник Сети'!B:B,(MATCH(G78,'Справочник Сети'!C:C,0)))</f>
        <v>36,6</v>
      </c>
      <c r="J78" s="7" t="s">
        <v>116</v>
      </c>
      <c r="K78" s="7" t="s">
        <v>278</v>
      </c>
      <c r="L78" s="7" t="s">
        <v>104</v>
      </c>
      <c r="M78" s="31">
        <v>45693</v>
      </c>
      <c r="N78" s="7" t="s">
        <v>279</v>
      </c>
      <c r="O78" s="8">
        <v>2645</v>
      </c>
      <c r="P78" s="24">
        <v>279</v>
      </c>
      <c r="Q78" s="22">
        <f>IF(COUNTIFS(A$2:A78,A78,I$2:I78,I78)=1,1,0)</f>
        <v>0</v>
      </c>
      <c r="R78" s="22">
        <f t="shared" si="1"/>
        <v>9</v>
      </c>
      <c r="S78" s="33">
        <f>IF(COUNTIF(O$2:O78,O78)=1,R78,0)/2.5</f>
        <v>0</v>
      </c>
    </row>
    <row r="79" spans="1:19" ht="18" customHeight="1" x14ac:dyDescent="0.25">
      <c r="A79" s="7" t="s">
        <v>43</v>
      </c>
      <c r="B79" s="8">
        <v>1</v>
      </c>
      <c r="C79" s="9">
        <v>609</v>
      </c>
      <c r="D79" s="29">
        <f>C79+IF(INDEX('Справочник по %'!B:B,(MATCH(A79,'Справочник по %'!A:A,0)))="кол-во",B79*INDEX('Справочник по %'!C:C,(MATCH(A79,'Справочник по %'!A:A,0))),ОТЧЕТ!C79*INDEX('Справочник по %'!C:C,(MATCH(A79,'Справочник по %'!A:A,0))))/100</f>
        <v>669.9</v>
      </c>
      <c r="E79" s="29">
        <f>IF(ОТЧЕТ!A79="SKU3",C79+ОТЧЕТ!C79*0.2,C79+ОТЧЕТ!C79*0.15)</f>
        <v>700.35</v>
      </c>
      <c r="F79" s="7" t="s">
        <v>275</v>
      </c>
      <c r="G79" s="7">
        <v>7705947629</v>
      </c>
      <c r="H79" s="20" t="s">
        <v>50</v>
      </c>
      <c r="I79" s="22" t="str">
        <f>INDEX('Справочник Сети'!B:B,(MATCH(G79,'Справочник Сети'!C:C,0)))</f>
        <v>36,6</v>
      </c>
      <c r="J79" s="7" t="s">
        <v>116</v>
      </c>
      <c r="K79" s="7" t="s">
        <v>280</v>
      </c>
      <c r="L79" s="7" t="s">
        <v>104</v>
      </c>
      <c r="M79" s="31">
        <v>45693</v>
      </c>
      <c r="N79" s="7" t="s">
        <v>281</v>
      </c>
      <c r="O79" s="8">
        <v>2645</v>
      </c>
      <c r="P79" s="24">
        <v>280</v>
      </c>
      <c r="Q79" s="22">
        <f>IF(COUNTIFS(A$2:A79,A79,I$2:I79,I79)=1,1,0)</f>
        <v>0</v>
      </c>
      <c r="R79" s="22">
        <f t="shared" si="1"/>
        <v>9</v>
      </c>
      <c r="S79" s="33">
        <f>IF(COUNTIF(O$2:O79,O79)=1,R79,0)/2.5</f>
        <v>0</v>
      </c>
    </row>
    <row r="80" spans="1:19" ht="18" customHeight="1" x14ac:dyDescent="0.25">
      <c r="A80" s="7" t="s">
        <v>43</v>
      </c>
      <c r="B80" s="8">
        <v>1</v>
      </c>
      <c r="C80" s="9">
        <v>483.2</v>
      </c>
      <c r="D80" s="29">
        <f>C80+IF(INDEX('Справочник по %'!B:B,(MATCH(A80,'Справочник по %'!A:A,0)))="кол-во",B80*INDEX('Справочник по %'!C:C,(MATCH(A80,'Справочник по %'!A:A,0))),ОТЧЕТ!C80*INDEX('Справочник по %'!C:C,(MATCH(A80,'Справочник по %'!A:A,0))))/100</f>
        <v>531.52</v>
      </c>
      <c r="E80" s="29">
        <f>IF(ОТЧЕТ!A80="SKU3",C80+ОТЧЕТ!C80*0.2,C80+ОТЧЕТ!C80*0.15)</f>
        <v>555.67999999999995</v>
      </c>
      <c r="F80" s="7" t="s">
        <v>282</v>
      </c>
      <c r="G80" s="7">
        <v>5249123031</v>
      </c>
      <c r="H80" s="20" t="s">
        <v>50</v>
      </c>
      <c r="I80" s="22" t="str">
        <f>INDEX('Справочник Сети'!B:B,(MATCH(G80,'Справочник Сети'!C:C,0)))</f>
        <v>Столички</v>
      </c>
      <c r="J80" s="7" t="s">
        <v>92</v>
      </c>
      <c r="K80" s="7" t="s">
        <v>283</v>
      </c>
      <c r="L80" s="7" t="s">
        <v>92</v>
      </c>
      <c r="M80" s="31">
        <v>45714</v>
      </c>
      <c r="N80" s="7" t="s">
        <v>284</v>
      </c>
      <c r="O80" s="8">
        <v>421</v>
      </c>
      <c r="P80" s="24">
        <v>282</v>
      </c>
      <c r="Q80" s="22">
        <f>IF(COUNTIFS(A$2:A80,A80,I$2:I80,I80)=1,1,0)</f>
        <v>0</v>
      </c>
      <c r="R80" s="22">
        <f t="shared" si="1"/>
        <v>1</v>
      </c>
      <c r="S80" s="33">
        <f>IF(COUNTIF(O$2:O80,O80)=1,R80,0)/2.5</f>
        <v>0.4</v>
      </c>
    </row>
    <row r="81" spans="1:19" ht="18" customHeight="1" x14ac:dyDescent="0.25">
      <c r="A81" s="7" t="s">
        <v>43</v>
      </c>
      <c r="B81" s="8">
        <v>1</v>
      </c>
      <c r="C81" s="9">
        <v>405.1</v>
      </c>
      <c r="D81" s="29">
        <f>C81+IF(INDEX('Справочник по %'!B:B,(MATCH(A81,'Справочник по %'!A:A,0)))="кол-во",B81*INDEX('Справочник по %'!C:C,(MATCH(A81,'Справочник по %'!A:A,0))),ОТЧЕТ!C81*INDEX('Справочник по %'!C:C,(MATCH(A81,'Справочник по %'!A:A,0))))/100</f>
        <v>445.61</v>
      </c>
      <c r="E81" s="29">
        <f>IF(ОТЧЕТ!A81="SKU3",C81+ОТЧЕТ!C81*0.2,C81+ОТЧЕТ!C81*0.15)</f>
        <v>465.86500000000001</v>
      </c>
      <c r="F81" s="7" t="s">
        <v>285</v>
      </c>
      <c r="G81" s="7">
        <v>2722060732</v>
      </c>
      <c r="H81" s="20" t="s">
        <v>50</v>
      </c>
      <c r="I81" s="22" t="str">
        <f>INDEX('Справочник Сети'!B:B,(MATCH(G81,'Справочник Сети'!C:C,0)))</f>
        <v>Столички</v>
      </c>
      <c r="J81" s="7" t="s">
        <v>51</v>
      </c>
      <c r="K81" s="7" t="s">
        <v>162</v>
      </c>
      <c r="L81" s="7" t="s">
        <v>46</v>
      </c>
      <c r="M81" s="31">
        <v>45726</v>
      </c>
      <c r="N81" s="7" t="s">
        <v>286</v>
      </c>
      <c r="O81" s="8">
        <v>2630</v>
      </c>
      <c r="P81" s="24">
        <v>285</v>
      </c>
      <c r="Q81" s="22">
        <f>IF(COUNTIFS(A$2:A81,A81,I$2:I81,I81)=1,1,0)</f>
        <v>0</v>
      </c>
      <c r="R81" s="22">
        <f t="shared" si="1"/>
        <v>23</v>
      </c>
      <c r="S81" s="33">
        <f>IF(COUNTIF(O$2:O81,O81)=1,R81,0)/2.5</f>
        <v>9.1999999999999993</v>
      </c>
    </row>
    <row r="82" spans="1:19" ht="18" customHeight="1" x14ac:dyDescent="0.25">
      <c r="A82" s="7" t="s">
        <v>43</v>
      </c>
      <c r="B82" s="8">
        <v>1</v>
      </c>
      <c r="C82" s="9">
        <v>460</v>
      </c>
      <c r="D82" s="29">
        <f>C82+IF(INDEX('Справочник по %'!B:B,(MATCH(A82,'Справочник по %'!A:A,0)))="кол-во",B82*INDEX('Справочник по %'!C:C,(MATCH(A82,'Справочник по %'!A:A,0))),ОТЧЕТ!C82*INDEX('Справочник по %'!C:C,(MATCH(A82,'Справочник по %'!A:A,0))))/100</f>
        <v>506</v>
      </c>
      <c r="E82" s="29">
        <f>IF(ОТЧЕТ!A82="SKU3",C82+ОТЧЕТ!C82*0.2,C82+ОТЧЕТ!C82*0.15)</f>
        <v>529</v>
      </c>
      <c r="F82" s="7" t="s">
        <v>285</v>
      </c>
      <c r="G82" s="7">
        <v>2727023526</v>
      </c>
      <c r="H82" s="20" t="s">
        <v>50</v>
      </c>
      <c r="I82" s="22" t="str">
        <f>INDEX('Справочник Сети'!B:B,(MATCH(G82,'Справочник Сети'!C:C,0)))</f>
        <v>Столички</v>
      </c>
      <c r="J82" s="7" t="s">
        <v>193</v>
      </c>
      <c r="K82" s="7" t="s">
        <v>287</v>
      </c>
      <c r="L82" s="7" t="s">
        <v>193</v>
      </c>
      <c r="M82" s="31">
        <v>45718</v>
      </c>
      <c r="N82" s="7" t="s">
        <v>288</v>
      </c>
      <c r="O82" s="8">
        <v>2630</v>
      </c>
      <c r="P82" s="24">
        <v>286</v>
      </c>
      <c r="Q82" s="22">
        <f>IF(COUNTIFS(A$2:A82,A82,I$2:I82,I82)=1,1,0)</f>
        <v>0</v>
      </c>
      <c r="R82" s="22">
        <f t="shared" si="1"/>
        <v>23</v>
      </c>
      <c r="S82" s="33">
        <f>IF(COUNTIF(O$2:O82,O82)=1,R82,0)/2.5</f>
        <v>0</v>
      </c>
    </row>
    <row r="83" spans="1:19" ht="18" customHeight="1" x14ac:dyDescent="0.25">
      <c r="A83" s="7" t="s">
        <v>43</v>
      </c>
      <c r="B83" s="8">
        <v>1</v>
      </c>
      <c r="C83" s="9">
        <v>412</v>
      </c>
      <c r="D83" s="29">
        <f>C83+IF(INDEX('Справочник по %'!B:B,(MATCH(A83,'Справочник по %'!A:A,0)))="кол-во",B83*INDEX('Справочник по %'!C:C,(MATCH(A83,'Справочник по %'!A:A,0))),ОТЧЕТ!C83*INDEX('Справочник по %'!C:C,(MATCH(A83,'Справочник по %'!A:A,0))))/100</f>
        <v>453.2</v>
      </c>
      <c r="E83" s="29">
        <f>IF(ОТЧЕТ!A83="SKU3",C83+ОТЧЕТ!C83*0.2,C83+ОТЧЕТ!C83*0.15)</f>
        <v>473.8</v>
      </c>
      <c r="F83" s="7" t="s">
        <v>289</v>
      </c>
      <c r="G83" s="7">
        <v>2722060732</v>
      </c>
      <c r="H83" s="20" t="s">
        <v>50</v>
      </c>
      <c r="I83" s="22" t="str">
        <f>INDEX('Справочник Сети'!B:B,(MATCH(G83,'Справочник Сети'!C:C,0)))</f>
        <v>Столички</v>
      </c>
      <c r="J83" s="7" t="s">
        <v>51</v>
      </c>
      <c r="K83" s="7" t="s">
        <v>290</v>
      </c>
      <c r="L83" s="7" t="s">
        <v>46</v>
      </c>
      <c r="M83" s="31">
        <v>45726</v>
      </c>
      <c r="N83" s="7" t="s">
        <v>291</v>
      </c>
      <c r="O83" s="8">
        <v>2630</v>
      </c>
      <c r="P83" s="24">
        <v>287</v>
      </c>
      <c r="Q83" s="22">
        <f>IF(COUNTIFS(A$2:A83,A83,I$2:I83,I83)=1,1,0)</f>
        <v>0</v>
      </c>
      <c r="R83" s="22">
        <f t="shared" si="1"/>
        <v>23</v>
      </c>
      <c r="S83" s="33">
        <f>IF(COUNTIF(O$2:O83,O83)=1,R83,0)/2.5</f>
        <v>0</v>
      </c>
    </row>
    <row r="84" spans="1:19" ht="18" customHeight="1" x14ac:dyDescent="0.25">
      <c r="A84" s="7" t="s">
        <v>43</v>
      </c>
      <c r="B84" s="8">
        <v>1</v>
      </c>
      <c r="C84" s="9">
        <v>457</v>
      </c>
      <c r="D84" s="29">
        <f>C84+IF(INDEX('Справочник по %'!B:B,(MATCH(A84,'Справочник по %'!A:A,0)))="кол-во",B84*INDEX('Справочник по %'!C:C,(MATCH(A84,'Справочник по %'!A:A,0))),ОТЧЕТ!C84*INDEX('Справочник по %'!C:C,(MATCH(A84,'Справочник по %'!A:A,0))))/100</f>
        <v>502.7</v>
      </c>
      <c r="E84" s="29">
        <f>IF(ОТЧЕТ!A84="SKU3",C84+ОТЧЕТ!C84*0.2,C84+ОТЧЕТ!C84*0.15)</f>
        <v>525.54999999999995</v>
      </c>
      <c r="F84" s="7" t="s">
        <v>292</v>
      </c>
      <c r="G84" s="7">
        <v>9705147513</v>
      </c>
      <c r="H84" s="20" t="s">
        <v>50</v>
      </c>
      <c r="I84" s="22" t="str">
        <f>INDEX('Справочник Сети'!B:B,(MATCH(G84,'Справочник Сети'!C:C,0)))</f>
        <v>Столички</v>
      </c>
      <c r="J84" s="7" t="s">
        <v>239</v>
      </c>
      <c r="K84" s="7" t="s">
        <v>293</v>
      </c>
      <c r="L84" s="7" t="s">
        <v>239</v>
      </c>
      <c r="M84" s="31">
        <v>45662</v>
      </c>
      <c r="N84" s="7" t="s">
        <v>294</v>
      </c>
      <c r="O84" s="8">
        <v>3104</v>
      </c>
      <c r="P84" s="24">
        <v>291</v>
      </c>
      <c r="Q84" s="22">
        <f>IF(COUNTIFS(A$2:A84,A84,I$2:I84,I84)=1,1,0)</f>
        <v>0</v>
      </c>
      <c r="R84" s="22">
        <f t="shared" si="1"/>
        <v>6</v>
      </c>
      <c r="S84" s="33">
        <f>IF(COUNTIF(O$2:O84,O84)=1,R84,0)/2.5</f>
        <v>2.4</v>
      </c>
    </row>
    <row r="85" spans="1:19" ht="18" customHeight="1" x14ac:dyDescent="0.25">
      <c r="A85" s="7" t="s">
        <v>43</v>
      </c>
      <c r="B85" s="8">
        <v>1</v>
      </c>
      <c r="C85" s="9">
        <v>400.75</v>
      </c>
      <c r="D85" s="29">
        <f>C85+IF(INDEX('Справочник по %'!B:B,(MATCH(A85,'Справочник по %'!A:A,0)))="кол-во",B85*INDEX('Справочник по %'!C:C,(MATCH(A85,'Справочник по %'!A:A,0))),ОТЧЕТ!C85*INDEX('Справочник по %'!C:C,(MATCH(A85,'Справочник по %'!A:A,0))))/100</f>
        <v>440.82499999999999</v>
      </c>
      <c r="E85" s="29">
        <f>IF(ОТЧЕТ!A85="SKU3",C85+ОТЧЕТ!C85*0.2,C85+ОТЧЕТ!C85*0.15)</f>
        <v>460.86250000000001</v>
      </c>
      <c r="F85" s="7" t="s">
        <v>295</v>
      </c>
      <c r="G85" s="7">
        <v>5507102175</v>
      </c>
      <c r="H85" s="20" t="s">
        <v>50</v>
      </c>
      <c r="I85" s="22" t="str">
        <f>INDEX('Справочник Сети'!B:B,(MATCH(G85,'Справочник Сети'!C:C,0)))</f>
        <v>Столички</v>
      </c>
      <c r="J85" s="7" t="s">
        <v>255</v>
      </c>
      <c r="K85" s="7" t="s">
        <v>296</v>
      </c>
      <c r="L85" s="7" t="s">
        <v>255</v>
      </c>
      <c r="M85" s="31">
        <v>45713</v>
      </c>
      <c r="N85" s="7" t="s">
        <v>297</v>
      </c>
      <c r="O85" s="8">
        <v>1900</v>
      </c>
      <c r="P85" s="24">
        <v>293</v>
      </c>
      <c r="Q85" s="22">
        <f>IF(COUNTIFS(A$2:A85,A85,I$2:I85,I85)=1,1,0)</f>
        <v>0</v>
      </c>
      <c r="R85" s="22">
        <f t="shared" si="1"/>
        <v>3</v>
      </c>
      <c r="S85" s="33">
        <f>IF(COUNTIF(O$2:O85,O85)=1,R85,0)/2.5</f>
        <v>1.2</v>
      </c>
    </row>
    <row r="86" spans="1:19" ht="18" customHeight="1" x14ac:dyDescent="0.25">
      <c r="A86" s="7" t="s">
        <v>43</v>
      </c>
      <c r="B86" s="8">
        <v>1</v>
      </c>
      <c r="C86" s="9">
        <v>396.2</v>
      </c>
      <c r="D86" s="29">
        <f>C86+IF(INDEX('Справочник по %'!B:B,(MATCH(A86,'Справочник по %'!A:A,0)))="кол-во",B86*INDEX('Справочник по %'!C:C,(MATCH(A86,'Справочник по %'!A:A,0))),ОТЧЕТ!C86*INDEX('Справочник по %'!C:C,(MATCH(A86,'Справочник по %'!A:A,0))))/100</f>
        <v>435.82</v>
      </c>
      <c r="E86" s="29">
        <f>IF(ОТЧЕТ!A86="SKU3",C86+ОТЧЕТ!C86*0.2,C86+ОТЧЕТ!C86*0.15)</f>
        <v>455.63</v>
      </c>
      <c r="F86" s="7" t="s">
        <v>295</v>
      </c>
      <c r="G86" s="7">
        <v>360300674906</v>
      </c>
      <c r="H86" s="20" t="s">
        <v>298</v>
      </c>
      <c r="I86" s="22" t="str">
        <f>INDEX('Справочник Сети'!B:B,(MATCH(G86,'Справочник Сети'!C:C,0)))</f>
        <v>Столички</v>
      </c>
      <c r="J86" s="7" t="s">
        <v>110</v>
      </c>
      <c r="K86" s="7" t="s">
        <v>299</v>
      </c>
      <c r="L86" s="7" t="s">
        <v>110</v>
      </c>
      <c r="M86" s="31">
        <v>45660</v>
      </c>
      <c r="N86" s="7" t="s">
        <v>300</v>
      </c>
      <c r="O86" s="8">
        <v>1058</v>
      </c>
      <c r="P86" s="24">
        <v>295</v>
      </c>
      <c r="Q86" s="22">
        <f>IF(COUNTIFS(A$2:A86,A86,I$2:I86,I86)=1,1,0)</f>
        <v>0</v>
      </c>
      <c r="R86" s="22">
        <f t="shared" si="1"/>
        <v>4</v>
      </c>
      <c r="S86" s="33">
        <f>IF(COUNTIF(O$2:O86,O86)=1,R86,0)/2.5</f>
        <v>1.6</v>
      </c>
    </row>
    <row r="87" spans="1:19" ht="18" customHeight="1" x14ac:dyDescent="0.25">
      <c r="A87" s="7" t="s">
        <v>43</v>
      </c>
      <c r="B87" s="8">
        <v>1</v>
      </c>
      <c r="C87" s="9">
        <v>451</v>
      </c>
      <c r="D87" s="29">
        <f>C87+IF(INDEX('Справочник по %'!B:B,(MATCH(A87,'Справочник по %'!A:A,0)))="кол-во",B87*INDEX('Справочник по %'!C:C,(MATCH(A87,'Справочник по %'!A:A,0))),ОТЧЕТ!C87*INDEX('Справочник по %'!C:C,(MATCH(A87,'Справочник по %'!A:A,0))))/100</f>
        <v>496.1</v>
      </c>
      <c r="E87" s="29">
        <f>IF(ОТЧЕТ!A87="SKU3",C87+ОТЧЕТ!C87*0.2,C87+ОТЧЕТ!C87*0.15)</f>
        <v>518.65</v>
      </c>
      <c r="F87" s="7" t="s">
        <v>295</v>
      </c>
      <c r="G87" s="7">
        <v>32300986524</v>
      </c>
      <c r="H87" s="20" t="s">
        <v>301</v>
      </c>
      <c r="I87" s="22" t="str">
        <f>INDEX('Справочник Сети'!B:B,(MATCH(G87,'Справочник Сети'!C:C,0)))</f>
        <v>36,6</v>
      </c>
      <c r="J87" s="7" t="s">
        <v>74</v>
      </c>
      <c r="K87" s="7" t="s">
        <v>169</v>
      </c>
      <c r="L87" s="7" t="s">
        <v>74</v>
      </c>
      <c r="M87" s="31">
        <v>45661</v>
      </c>
      <c r="N87" s="7" t="s">
        <v>302</v>
      </c>
      <c r="O87" s="8">
        <v>2315</v>
      </c>
      <c r="P87" s="24">
        <v>299</v>
      </c>
      <c r="Q87" s="22">
        <f>IF(COUNTIFS(A$2:A87,A87,I$2:I87,I87)=1,1,0)</f>
        <v>0</v>
      </c>
      <c r="R87" s="22">
        <f t="shared" si="1"/>
        <v>1</v>
      </c>
      <c r="S87" s="33">
        <f>IF(COUNTIF(O$2:O87,O87)=1,R87,0)/2.5</f>
        <v>0.4</v>
      </c>
    </row>
    <row r="88" spans="1:19" ht="18" customHeight="1" x14ac:dyDescent="0.25">
      <c r="A88" s="7" t="s">
        <v>43</v>
      </c>
      <c r="B88" s="8">
        <v>1</v>
      </c>
      <c r="C88" s="9">
        <v>370</v>
      </c>
      <c r="D88" s="29">
        <f>C88+IF(INDEX('Справочник по %'!B:B,(MATCH(A88,'Справочник по %'!A:A,0)))="кол-во",B88*INDEX('Справочник по %'!C:C,(MATCH(A88,'Справочник по %'!A:A,0))),ОТЧЕТ!C88*INDEX('Справочник по %'!C:C,(MATCH(A88,'Справочник по %'!A:A,0))))/100</f>
        <v>407</v>
      </c>
      <c r="E88" s="29">
        <f>IF(ОТЧЕТ!A88="SKU3",C88+ОТЧЕТ!C88*0.2,C88+ОТЧЕТ!C88*0.15)</f>
        <v>425.5</v>
      </c>
      <c r="F88" s="7" t="s">
        <v>303</v>
      </c>
      <c r="G88" s="7">
        <v>7732121736</v>
      </c>
      <c r="H88" s="20" t="s">
        <v>304</v>
      </c>
      <c r="I88" s="22" t="str">
        <f>INDEX('Справочник Сети'!B:B,(MATCH(G88,'Справочник Сети'!C:C,0)))</f>
        <v>Планета здоровья</v>
      </c>
      <c r="J88" s="7" t="s">
        <v>149</v>
      </c>
      <c r="K88" s="7" t="s">
        <v>305</v>
      </c>
      <c r="L88" s="7" t="s">
        <v>149</v>
      </c>
      <c r="M88" s="31">
        <v>45673</v>
      </c>
      <c r="N88" s="7" t="s">
        <v>306</v>
      </c>
      <c r="O88" s="8">
        <v>2322</v>
      </c>
      <c r="P88" s="24">
        <v>304</v>
      </c>
      <c r="Q88" s="22">
        <f>IF(COUNTIFS(A$2:A88,A88,I$2:I88,I88)=1,1,0)</f>
        <v>0</v>
      </c>
      <c r="R88" s="22">
        <f t="shared" si="1"/>
        <v>3</v>
      </c>
      <c r="S88" s="33">
        <f>IF(COUNTIF(O$2:O88,O88)=1,R88,0)/2.5</f>
        <v>1.2</v>
      </c>
    </row>
    <row r="89" spans="1:19" ht="18" customHeight="1" x14ac:dyDescent="0.25">
      <c r="A89" s="7" t="s">
        <v>43</v>
      </c>
      <c r="B89" s="8">
        <v>1</v>
      </c>
      <c r="C89" s="9">
        <v>449</v>
      </c>
      <c r="D89" s="29">
        <f>C89+IF(INDEX('Справочник по %'!B:B,(MATCH(A89,'Справочник по %'!A:A,0)))="кол-во",B89*INDEX('Справочник по %'!C:C,(MATCH(A89,'Справочник по %'!A:A,0))),ОТЧЕТ!C89*INDEX('Справочник по %'!C:C,(MATCH(A89,'Справочник по %'!A:A,0))))/100</f>
        <v>493.9</v>
      </c>
      <c r="E89" s="29">
        <f>IF(ОТЧЕТ!A89="SKU3",C89+ОТЧЕТ!C89*0.2,C89+ОТЧЕТ!C89*0.15)</f>
        <v>516.35</v>
      </c>
      <c r="F89" s="7" t="s">
        <v>307</v>
      </c>
      <c r="G89" s="7">
        <v>7705947629</v>
      </c>
      <c r="H89" s="20" t="s">
        <v>64</v>
      </c>
      <c r="I89" s="22" t="str">
        <f>INDEX('Справочник Сети'!B:B,(MATCH(G89,'Справочник Сети'!C:C,0)))</f>
        <v>36,6</v>
      </c>
      <c r="J89" s="7" t="s">
        <v>104</v>
      </c>
      <c r="K89" s="7" t="s">
        <v>308</v>
      </c>
      <c r="L89" s="7" t="s">
        <v>104</v>
      </c>
      <c r="M89" s="31">
        <v>45693</v>
      </c>
      <c r="N89" s="7" t="s">
        <v>309</v>
      </c>
      <c r="O89" s="8">
        <v>609</v>
      </c>
      <c r="P89" s="24">
        <v>305</v>
      </c>
      <c r="Q89" s="22">
        <f>IF(COUNTIFS(A$2:A89,A89,I$2:I89,I89)=1,1,0)</f>
        <v>0</v>
      </c>
      <c r="R89" s="22">
        <f t="shared" si="1"/>
        <v>4</v>
      </c>
      <c r="S89" s="33">
        <f>IF(COUNTIF(O$2:O89,O89)=1,R89,0)/2.5</f>
        <v>0</v>
      </c>
    </row>
    <row r="90" spans="1:19" ht="18" customHeight="1" x14ac:dyDescent="0.25">
      <c r="A90" s="7" t="s">
        <v>43</v>
      </c>
      <c r="B90" s="8">
        <v>1</v>
      </c>
      <c r="C90" s="9">
        <v>452</v>
      </c>
      <c r="D90" s="29">
        <f>C90+IF(INDEX('Справочник по %'!B:B,(MATCH(A90,'Справочник по %'!A:A,0)))="кол-во",B90*INDEX('Справочник по %'!C:C,(MATCH(A90,'Справочник по %'!A:A,0))),ОТЧЕТ!C90*INDEX('Справочник по %'!C:C,(MATCH(A90,'Справочник по %'!A:A,0))))/100</f>
        <v>497.2</v>
      </c>
      <c r="E90" s="29">
        <f>IF(ОТЧЕТ!A90="SKU3",C90+ОТЧЕТ!C90*0.2,C90+ОТЧЕТ!C90*0.15)</f>
        <v>519.79999999999995</v>
      </c>
      <c r="F90" s="7" t="s">
        <v>310</v>
      </c>
      <c r="G90" s="7">
        <v>2311105578</v>
      </c>
      <c r="H90" s="20" t="s">
        <v>64</v>
      </c>
      <c r="I90" s="22" t="str">
        <f>INDEX('Справочник Сети'!B:B,(MATCH(G90,'Справочник Сети'!C:C,0)))</f>
        <v>Столички</v>
      </c>
      <c r="J90" s="7" t="s">
        <v>70</v>
      </c>
      <c r="K90" s="7" t="s">
        <v>311</v>
      </c>
      <c r="L90" s="7" t="s">
        <v>70</v>
      </c>
      <c r="M90" s="31">
        <v>45728</v>
      </c>
      <c r="N90" s="7" t="s">
        <v>312</v>
      </c>
      <c r="O90" s="8">
        <v>2640</v>
      </c>
      <c r="P90" s="24">
        <v>307</v>
      </c>
      <c r="Q90" s="22">
        <f>IF(COUNTIFS(A$2:A90,A90,I$2:I90,I90)=1,1,0)</f>
        <v>0</v>
      </c>
      <c r="R90" s="22">
        <f t="shared" si="1"/>
        <v>1</v>
      </c>
      <c r="S90" s="33">
        <f>IF(COUNTIF(O$2:O90,O90)=1,R90,0)/2.5</f>
        <v>0.4</v>
      </c>
    </row>
    <row r="91" spans="1:19" ht="18" customHeight="1" x14ac:dyDescent="0.25">
      <c r="A91" s="7" t="s">
        <v>43</v>
      </c>
      <c r="B91" s="8">
        <v>1</v>
      </c>
      <c r="C91" s="9">
        <v>382.3</v>
      </c>
      <c r="D91" s="29">
        <f>C91+IF(INDEX('Справочник по %'!B:B,(MATCH(A91,'Справочник по %'!A:A,0)))="кол-во",B91*INDEX('Справочник по %'!C:C,(MATCH(A91,'Справочник по %'!A:A,0))),ОТЧЕТ!C91*INDEX('Справочник по %'!C:C,(MATCH(A91,'Справочник по %'!A:A,0))))/100</f>
        <v>420.53000000000003</v>
      </c>
      <c r="E91" s="29">
        <f>IF(ОТЧЕТ!A91="SKU3",C91+ОТЧЕТ!C91*0.2,C91+ОТЧЕТ!C91*0.15)</f>
        <v>439.64499999999998</v>
      </c>
      <c r="F91" s="7" t="s">
        <v>313</v>
      </c>
      <c r="G91" s="7">
        <v>7840411560</v>
      </c>
      <c r="H91" s="20" t="s">
        <v>314</v>
      </c>
      <c r="I91" s="22" t="str">
        <f>INDEX('Справочник Сети'!B:B,(MATCH(G91,'Справочник Сети'!C:C,0)))</f>
        <v>Столички</v>
      </c>
      <c r="J91" s="7" t="s">
        <v>315</v>
      </c>
      <c r="K91" s="7" t="s">
        <v>316</v>
      </c>
      <c r="L91" s="7" t="s">
        <v>315</v>
      </c>
      <c r="M91" s="31">
        <v>45670</v>
      </c>
      <c r="N91" s="7" t="s">
        <v>317</v>
      </c>
      <c r="O91" s="8">
        <v>2258</v>
      </c>
      <c r="P91" s="24">
        <v>309</v>
      </c>
      <c r="Q91" s="22">
        <f>IF(COUNTIFS(A$2:A91,A91,I$2:I91,I91)=1,1,0)</f>
        <v>0</v>
      </c>
      <c r="R91" s="22">
        <f t="shared" si="1"/>
        <v>2</v>
      </c>
      <c r="S91" s="33">
        <f>IF(COUNTIF(O$2:O91,O91)=1,R91,0)/2.5</f>
        <v>0.8</v>
      </c>
    </row>
    <row r="92" spans="1:19" ht="18" customHeight="1" x14ac:dyDescent="0.25">
      <c r="A92" s="7" t="s">
        <v>43</v>
      </c>
      <c r="B92" s="8">
        <v>1</v>
      </c>
      <c r="C92" s="9">
        <v>406.3</v>
      </c>
      <c r="D92" s="29">
        <f>C92+IF(INDEX('Справочник по %'!B:B,(MATCH(A92,'Справочник по %'!A:A,0)))="кол-во",B92*INDEX('Справочник по %'!C:C,(MATCH(A92,'Справочник по %'!A:A,0))),ОТЧЕТ!C92*INDEX('Справочник по %'!C:C,(MATCH(A92,'Справочник по %'!A:A,0))))/100</f>
        <v>446.93</v>
      </c>
      <c r="E92" s="29">
        <f>IF(ОТЧЕТ!A92="SKU3",C92+ОТЧЕТ!C92*0.2,C92+ОТЧЕТ!C92*0.15)</f>
        <v>467.245</v>
      </c>
      <c r="F92" s="7" t="s">
        <v>318</v>
      </c>
      <c r="G92" s="7">
        <v>3446042846</v>
      </c>
      <c r="H92" s="20" t="s">
        <v>319</v>
      </c>
      <c r="I92" s="22" t="str">
        <f>INDEX('Справочник Сети'!B:B,(MATCH(G92,'Справочник Сети'!C:C,0)))</f>
        <v>Столички</v>
      </c>
      <c r="J92" s="7" t="s">
        <v>193</v>
      </c>
      <c r="K92" s="7" t="s">
        <v>320</v>
      </c>
      <c r="L92" s="7" t="s">
        <v>193</v>
      </c>
      <c r="M92" s="31">
        <v>45718</v>
      </c>
      <c r="N92" s="7" t="s">
        <v>321</v>
      </c>
      <c r="O92" s="8">
        <v>2581</v>
      </c>
      <c r="P92" s="24">
        <v>314</v>
      </c>
      <c r="Q92" s="22">
        <f>IF(COUNTIFS(A$2:A92,A92,I$2:I92,I92)=1,1,0)</f>
        <v>0</v>
      </c>
      <c r="R92" s="22">
        <f t="shared" si="1"/>
        <v>7</v>
      </c>
      <c r="S92" s="33">
        <f>IF(COUNTIF(O$2:O92,O92)=1,R92,0)/2.5</f>
        <v>2.8</v>
      </c>
    </row>
    <row r="93" spans="1:19" ht="18" customHeight="1" x14ac:dyDescent="0.25">
      <c r="A93" s="7" t="s">
        <v>43</v>
      </c>
      <c r="B93" s="8">
        <v>1</v>
      </c>
      <c r="C93" s="9">
        <v>445</v>
      </c>
      <c r="D93" s="29">
        <f>C93+IF(INDEX('Справочник по %'!B:B,(MATCH(A93,'Справочник по %'!A:A,0)))="кол-во",B93*INDEX('Справочник по %'!C:C,(MATCH(A93,'Справочник по %'!A:A,0))),ОТЧЕТ!C93*INDEX('Справочник по %'!C:C,(MATCH(A93,'Справочник по %'!A:A,0))))/100</f>
        <v>489.5</v>
      </c>
      <c r="E93" s="29">
        <f>IF(ОТЧЕТ!A93="SKU3",C93+ОТЧЕТ!C93*0.2,C93+ОТЧЕТ!C93*0.15)</f>
        <v>511.75</v>
      </c>
      <c r="F93" s="7" t="s">
        <v>318</v>
      </c>
      <c r="G93" s="7">
        <v>910914194053</v>
      </c>
      <c r="H93" s="20" t="s">
        <v>64</v>
      </c>
      <c r="I93" s="22" t="str">
        <f>INDEX('Справочник Сети'!B:B,(MATCH(G93,'Справочник Сети'!C:C,0)))</f>
        <v>Столички</v>
      </c>
      <c r="J93" s="7" t="s">
        <v>322</v>
      </c>
      <c r="K93" s="7" t="s">
        <v>55</v>
      </c>
      <c r="L93" s="7" t="s">
        <v>322</v>
      </c>
      <c r="M93" s="31">
        <v>45658</v>
      </c>
      <c r="N93" s="7" t="s">
        <v>323</v>
      </c>
      <c r="O93" s="8">
        <v>709</v>
      </c>
      <c r="P93" s="24">
        <v>315</v>
      </c>
      <c r="Q93" s="22">
        <f>IF(COUNTIFS(A$2:A93,A93,I$2:I93,I93)=1,1,0)</f>
        <v>0</v>
      </c>
      <c r="R93" s="22">
        <f t="shared" si="1"/>
        <v>1</v>
      </c>
      <c r="S93" s="33">
        <f>IF(COUNTIF(O$2:O93,O93)=1,R93,0)/2.5</f>
        <v>0.4</v>
      </c>
    </row>
    <row r="94" spans="1:19" ht="18" customHeight="1" x14ac:dyDescent="0.25">
      <c r="A94" s="7" t="s">
        <v>43</v>
      </c>
      <c r="B94" s="8">
        <v>1</v>
      </c>
      <c r="C94" s="9">
        <v>450</v>
      </c>
      <c r="D94" s="29">
        <f>C94+IF(INDEX('Справочник по %'!B:B,(MATCH(A94,'Справочник по %'!A:A,0)))="кол-во",B94*INDEX('Справочник по %'!C:C,(MATCH(A94,'Справочник по %'!A:A,0))),ОТЧЕТ!C94*INDEX('Справочник по %'!C:C,(MATCH(A94,'Справочник по %'!A:A,0))))/100</f>
        <v>495</v>
      </c>
      <c r="E94" s="29">
        <f>IF(ОТЧЕТ!A94="SKU3",C94+ОТЧЕТ!C94*0.2,C94+ОТЧЕТ!C94*0.15)</f>
        <v>517.5</v>
      </c>
      <c r="F94" s="7" t="s">
        <v>318</v>
      </c>
      <c r="G94" s="7">
        <v>4222016270</v>
      </c>
      <c r="H94" s="20" t="s">
        <v>324</v>
      </c>
      <c r="I94" s="22" t="str">
        <f>INDEX('Справочник Сети'!B:B,(MATCH(G94,'Справочник Сети'!C:C,0)))</f>
        <v>Столички</v>
      </c>
      <c r="J94" s="7" t="s">
        <v>155</v>
      </c>
      <c r="K94" s="7" t="s">
        <v>325</v>
      </c>
      <c r="L94" s="7" t="s">
        <v>155</v>
      </c>
      <c r="M94" s="31">
        <v>45716</v>
      </c>
      <c r="N94" s="7" t="s">
        <v>326</v>
      </c>
      <c r="O94" s="8">
        <v>3370</v>
      </c>
      <c r="P94" s="24">
        <v>317</v>
      </c>
      <c r="Q94" s="22">
        <f>IF(COUNTIFS(A$2:A94,A94,I$2:I94,I94)=1,1,0)</f>
        <v>0</v>
      </c>
      <c r="R94" s="22">
        <f t="shared" si="1"/>
        <v>1</v>
      </c>
      <c r="S94" s="33">
        <f>IF(COUNTIF(O$2:O94,O94)=1,R94,0)/2.5</f>
        <v>0.4</v>
      </c>
    </row>
    <row r="95" spans="1:19" ht="18" customHeight="1" x14ac:dyDescent="0.25">
      <c r="A95" s="7" t="s">
        <v>43</v>
      </c>
      <c r="B95" s="8">
        <v>1</v>
      </c>
      <c r="C95" s="9">
        <v>377</v>
      </c>
      <c r="D95" s="29">
        <f>C95+IF(INDEX('Справочник по %'!B:B,(MATCH(A95,'Справочник по %'!A:A,0)))="кол-во",B95*INDEX('Справочник по %'!C:C,(MATCH(A95,'Справочник по %'!A:A,0))),ОТЧЕТ!C95*INDEX('Справочник по %'!C:C,(MATCH(A95,'Справочник по %'!A:A,0))))/100</f>
        <v>414.7</v>
      </c>
      <c r="E95" s="29">
        <f>IF(ОТЧЕТ!A95="SKU3",C95+ОТЧЕТ!C95*0.2,C95+ОТЧЕТ!C95*0.15)</f>
        <v>433.55</v>
      </c>
      <c r="F95" s="7" t="s">
        <v>318</v>
      </c>
      <c r="G95" s="7">
        <v>7706795062</v>
      </c>
      <c r="H95" s="20" t="s">
        <v>327</v>
      </c>
      <c r="I95" s="22" t="str">
        <f>INDEX('Справочник Сети'!B:B,(MATCH(G95,'Справочник Сети'!C:C,0)))</f>
        <v>Планета здоровья</v>
      </c>
      <c r="J95" s="7" t="s">
        <v>87</v>
      </c>
      <c r="K95" s="7" t="s">
        <v>328</v>
      </c>
      <c r="L95" s="7" t="s">
        <v>87</v>
      </c>
      <c r="M95" s="31">
        <v>45691</v>
      </c>
      <c r="N95" s="7" t="s">
        <v>329</v>
      </c>
      <c r="O95" s="8">
        <v>2576</v>
      </c>
      <c r="P95" s="24">
        <v>318</v>
      </c>
      <c r="Q95" s="22">
        <f>IF(COUNTIFS(A$2:A95,A95,I$2:I95,I95)=1,1,0)</f>
        <v>0</v>
      </c>
      <c r="R95" s="22">
        <f t="shared" si="1"/>
        <v>1</v>
      </c>
      <c r="S95" s="33">
        <f>IF(COUNTIF(O$2:O95,O95)=1,R95,0)/2.5</f>
        <v>0.4</v>
      </c>
    </row>
    <row r="96" spans="1:19" ht="18" customHeight="1" x14ac:dyDescent="0.25">
      <c r="A96" s="7" t="s">
        <v>43</v>
      </c>
      <c r="B96" s="8">
        <v>1</v>
      </c>
      <c r="C96" s="9">
        <v>388.1</v>
      </c>
      <c r="D96" s="29">
        <f>C96+IF(INDEX('Справочник по %'!B:B,(MATCH(A96,'Справочник по %'!A:A,0)))="кол-во",B96*INDEX('Справочник по %'!C:C,(MATCH(A96,'Справочник по %'!A:A,0))),ОТЧЕТ!C96*INDEX('Справочник по %'!C:C,(MATCH(A96,'Справочник по %'!A:A,0))))/100</f>
        <v>426.91</v>
      </c>
      <c r="E96" s="29">
        <f>IF(ОТЧЕТ!A96="SKU3",C96+ОТЧЕТ!C96*0.2,C96+ОТЧЕТ!C96*0.15)</f>
        <v>446.31500000000005</v>
      </c>
      <c r="F96" s="7" t="s">
        <v>318</v>
      </c>
      <c r="G96" s="7">
        <v>7728339546</v>
      </c>
      <c r="H96" s="20" t="s">
        <v>141</v>
      </c>
      <c r="I96" s="22" t="str">
        <f>INDEX('Справочник Сети'!B:B,(MATCH(G96,'Справочник Сети'!C:C,0)))</f>
        <v>Планета здоровья</v>
      </c>
      <c r="J96" s="7" t="s">
        <v>142</v>
      </c>
      <c r="K96" s="7" t="s">
        <v>330</v>
      </c>
      <c r="L96" s="7" t="s">
        <v>142</v>
      </c>
      <c r="M96" s="31">
        <v>45674</v>
      </c>
      <c r="N96" s="7" t="s">
        <v>331</v>
      </c>
      <c r="O96" s="8">
        <v>1353</v>
      </c>
      <c r="P96" s="24">
        <v>319</v>
      </c>
      <c r="Q96" s="22">
        <f>IF(COUNTIFS(A$2:A96,A96,I$2:I96,I96)=1,1,0)</f>
        <v>0</v>
      </c>
      <c r="R96" s="22">
        <f t="shared" si="1"/>
        <v>5</v>
      </c>
      <c r="S96" s="33">
        <f>IF(COUNTIF(O$2:O96,O96)=1,R96,0)/2.5</f>
        <v>0</v>
      </c>
    </row>
    <row r="97" spans="1:19" ht="18" customHeight="1" x14ac:dyDescent="0.25">
      <c r="A97" s="7" t="s">
        <v>43</v>
      </c>
      <c r="B97" s="8">
        <v>1</v>
      </c>
      <c r="C97" s="9">
        <v>607</v>
      </c>
      <c r="D97" s="29">
        <f>C97+IF(INDEX('Справочник по %'!B:B,(MATCH(A97,'Справочник по %'!A:A,0)))="кол-во",B97*INDEX('Справочник по %'!C:C,(MATCH(A97,'Справочник по %'!A:A,0))),ОТЧЕТ!C97*INDEX('Справочник по %'!C:C,(MATCH(A97,'Справочник по %'!A:A,0))))/100</f>
        <v>667.7</v>
      </c>
      <c r="E97" s="29">
        <f>IF(ОТЧЕТ!A97="SKU3",C97+ОТЧЕТ!C97*0.2,C97+ОТЧЕТ!C97*0.15)</f>
        <v>698.05</v>
      </c>
      <c r="F97" s="7" t="s">
        <v>318</v>
      </c>
      <c r="G97" s="7">
        <v>7705947629</v>
      </c>
      <c r="H97" s="20" t="s">
        <v>50</v>
      </c>
      <c r="I97" s="22" t="str">
        <f>INDEX('Справочник Сети'!B:B,(MATCH(G97,'Справочник Сети'!C:C,0)))</f>
        <v>36,6</v>
      </c>
      <c r="J97" s="7" t="s">
        <v>116</v>
      </c>
      <c r="K97" s="7" t="s">
        <v>332</v>
      </c>
      <c r="L97" s="7" t="s">
        <v>104</v>
      </c>
      <c r="M97" s="31">
        <v>45693</v>
      </c>
      <c r="N97" s="7" t="s">
        <v>333</v>
      </c>
      <c r="O97" s="8">
        <v>2763</v>
      </c>
      <c r="P97" s="24">
        <v>321</v>
      </c>
      <c r="Q97" s="22">
        <f>IF(COUNTIFS(A$2:A97,A97,I$2:I97,I97)=1,1,0)</f>
        <v>0</v>
      </c>
      <c r="R97" s="22">
        <f t="shared" si="1"/>
        <v>3</v>
      </c>
      <c r="S97" s="33">
        <f>IF(COUNTIF(O$2:O97,O97)=1,R97,0)/2.5</f>
        <v>1.2</v>
      </c>
    </row>
    <row r="98" spans="1:19" ht="18" customHeight="1" x14ac:dyDescent="0.25">
      <c r="A98" s="7" t="s">
        <v>37</v>
      </c>
      <c r="B98" s="8">
        <v>1</v>
      </c>
      <c r="C98" s="9">
        <v>637.4</v>
      </c>
      <c r="D98" s="29">
        <f>C98+IF(INDEX('Справочник по %'!B:B,(MATCH(A98,'Справочник по %'!A:A,0)))="кол-во",B98*INDEX('Справочник по %'!C:C,(MATCH(A98,'Справочник по %'!A:A,0))),ОТЧЕТ!C98*INDEX('Справочник по %'!C:C,(MATCH(A98,'Справочник по %'!A:A,0))))/100</f>
        <v>637.6</v>
      </c>
      <c r="E98" s="29">
        <f>IF(ОТЧЕТ!A98="SKU3",C98+ОТЧЕТ!C98*0.2,C98+ОТЧЕТ!C98*0.15)</f>
        <v>733.01</v>
      </c>
      <c r="F98" s="7" t="s">
        <v>318</v>
      </c>
      <c r="G98" s="7">
        <v>1660127012</v>
      </c>
      <c r="H98" s="20" t="s">
        <v>334</v>
      </c>
      <c r="I98" s="22" t="str">
        <f>INDEX('Справочник Сети'!B:B,(MATCH(G98,'Справочник Сети'!C:C,0)))</f>
        <v>Столички</v>
      </c>
      <c r="J98" s="7" t="s">
        <v>335</v>
      </c>
      <c r="K98" s="7" t="s">
        <v>129</v>
      </c>
      <c r="L98" s="7" t="s">
        <v>335</v>
      </c>
      <c r="M98" s="31">
        <v>45731</v>
      </c>
      <c r="N98" s="7" t="s">
        <v>336</v>
      </c>
      <c r="O98" s="8">
        <v>373</v>
      </c>
      <c r="P98" s="24">
        <v>322</v>
      </c>
      <c r="Q98" s="22">
        <f>IF(COUNTIFS(A$2:A98,A98,I$2:I98,I98)=1,1,0)</f>
        <v>0</v>
      </c>
      <c r="R98" s="22">
        <f t="shared" si="1"/>
        <v>1</v>
      </c>
      <c r="S98" s="33">
        <f>IF(COUNTIF(O$2:O98,O98)=1,R98,0)/2.5</f>
        <v>0.4</v>
      </c>
    </row>
    <row r="99" spans="1:19" ht="18" customHeight="1" x14ac:dyDescent="0.25">
      <c r="A99" s="7" t="s">
        <v>43</v>
      </c>
      <c r="B99" s="8">
        <v>1</v>
      </c>
      <c r="C99" s="9">
        <v>434.5</v>
      </c>
      <c r="D99" s="29">
        <f>C99+IF(INDEX('Справочник по %'!B:B,(MATCH(A99,'Справочник по %'!A:A,0)))="кол-во",B99*INDEX('Справочник по %'!C:C,(MATCH(A99,'Справочник по %'!A:A,0))),ОТЧЕТ!C99*INDEX('Справочник по %'!C:C,(MATCH(A99,'Справочник по %'!A:A,0))))/100</f>
        <v>477.95</v>
      </c>
      <c r="E99" s="29">
        <f>IF(ОТЧЕТ!A99="SKU3",C99+ОТЧЕТ!C99*0.2,C99+ОТЧЕТ!C99*0.15)</f>
        <v>499.67500000000001</v>
      </c>
      <c r="F99" s="7" t="s">
        <v>318</v>
      </c>
      <c r="G99" s="7">
        <v>7840411560</v>
      </c>
      <c r="H99" s="20" t="s">
        <v>314</v>
      </c>
      <c r="I99" s="22" t="str">
        <f>INDEX('Справочник Сети'!B:B,(MATCH(G99,'Справочник Сети'!C:C,0)))</f>
        <v>Столички</v>
      </c>
      <c r="J99" s="7" t="s">
        <v>315</v>
      </c>
      <c r="K99" s="7" t="s">
        <v>337</v>
      </c>
      <c r="L99" s="7" t="s">
        <v>315</v>
      </c>
      <c r="M99" s="31">
        <v>45670</v>
      </c>
      <c r="N99" s="7" t="s">
        <v>338</v>
      </c>
      <c r="O99" s="8">
        <v>2258</v>
      </c>
      <c r="P99" s="24">
        <v>323</v>
      </c>
      <c r="Q99" s="22">
        <f>IF(COUNTIFS(A$2:A99,A99,I$2:I99,I99)=1,1,0)</f>
        <v>0</v>
      </c>
      <c r="R99" s="22">
        <f t="shared" si="1"/>
        <v>2</v>
      </c>
      <c r="S99" s="33">
        <f>IF(COUNTIF(O$2:O99,O99)=1,R99,0)/2.5</f>
        <v>0</v>
      </c>
    </row>
    <row r="100" spans="1:19" ht="18" customHeight="1" x14ac:dyDescent="0.25">
      <c r="A100" s="7" t="s">
        <v>43</v>
      </c>
      <c r="B100" s="8">
        <v>1</v>
      </c>
      <c r="C100" s="9">
        <v>515</v>
      </c>
      <c r="D100" s="29">
        <f>C100+IF(INDEX('Справочник по %'!B:B,(MATCH(A100,'Справочник по %'!A:A,0)))="кол-во",B100*INDEX('Справочник по %'!C:C,(MATCH(A100,'Справочник по %'!A:A,0))),ОТЧЕТ!C100*INDEX('Справочник по %'!C:C,(MATCH(A100,'Справочник по %'!A:A,0))))/100</f>
        <v>566.5</v>
      </c>
      <c r="E100" s="29">
        <f>IF(ОТЧЕТ!A100="SKU3",C100+ОТЧЕТ!C100*0.2,C100+ОТЧЕТ!C100*0.15)</f>
        <v>592.25</v>
      </c>
      <c r="F100" s="7" t="s">
        <v>318</v>
      </c>
      <c r="G100" s="7">
        <v>7814139847</v>
      </c>
      <c r="H100" s="20" t="s">
        <v>50</v>
      </c>
      <c r="I100" s="22" t="str">
        <f>INDEX('Справочник Сети'!B:B,(MATCH(G100,'Справочник Сети'!C:C,0)))</f>
        <v>Планета здоровья</v>
      </c>
      <c r="J100" s="7" t="s">
        <v>121</v>
      </c>
      <c r="K100" s="7" t="s">
        <v>339</v>
      </c>
      <c r="L100" s="7" t="s">
        <v>121</v>
      </c>
      <c r="M100" s="31">
        <v>45671</v>
      </c>
      <c r="N100" s="7" t="s">
        <v>340</v>
      </c>
      <c r="O100" s="8">
        <v>2865</v>
      </c>
      <c r="P100" s="24">
        <v>324</v>
      </c>
      <c r="Q100" s="22">
        <f>IF(COUNTIFS(A$2:A100,A100,I$2:I100,I100)=1,1,0)</f>
        <v>0</v>
      </c>
      <c r="R100" s="22">
        <f t="shared" si="1"/>
        <v>7</v>
      </c>
      <c r="S100" s="33">
        <f>IF(COUNTIF(O$2:O100,O100)=1,R100,0)/2.5</f>
        <v>0</v>
      </c>
    </row>
    <row r="101" spans="1:19" ht="18" customHeight="1" x14ac:dyDescent="0.25">
      <c r="A101" s="7" t="s">
        <v>43</v>
      </c>
      <c r="B101" s="8">
        <v>1</v>
      </c>
      <c r="C101" s="9">
        <v>379</v>
      </c>
      <c r="D101" s="29">
        <f>C101+IF(INDEX('Справочник по %'!B:B,(MATCH(A101,'Справочник по %'!A:A,0)))="кол-во",B101*INDEX('Справочник по %'!C:C,(MATCH(A101,'Справочник по %'!A:A,0))),ОТЧЕТ!C101*INDEX('Справочник по %'!C:C,(MATCH(A101,'Справочник по %'!A:A,0))))/100</f>
        <v>416.9</v>
      </c>
      <c r="E101" s="29">
        <f>IF(ОТЧЕТ!A101="SKU3",C101+ОТЧЕТ!C101*0.2,C101+ОТЧЕТ!C101*0.15)</f>
        <v>435.85</v>
      </c>
      <c r="F101" s="7" t="s">
        <v>318</v>
      </c>
      <c r="G101" s="7">
        <v>7732121736</v>
      </c>
      <c r="H101" s="20" t="s">
        <v>341</v>
      </c>
      <c r="I101" s="22" t="str">
        <f>INDEX('Справочник Сети'!B:B,(MATCH(G101,'Справочник Сети'!C:C,0)))</f>
        <v>Планета здоровья</v>
      </c>
      <c r="J101" s="7" t="s">
        <v>149</v>
      </c>
      <c r="K101" s="7" t="s">
        <v>342</v>
      </c>
      <c r="L101" s="7" t="s">
        <v>149</v>
      </c>
      <c r="M101" s="31">
        <v>45673</v>
      </c>
      <c r="N101" s="7" t="s">
        <v>343</v>
      </c>
      <c r="O101" s="8">
        <v>2131</v>
      </c>
      <c r="P101" s="24">
        <v>326</v>
      </c>
      <c r="Q101" s="22">
        <f>IF(COUNTIFS(A$2:A101,A101,I$2:I101,I101)=1,1,0)</f>
        <v>0</v>
      </c>
      <c r="R101" s="22">
        <f t="shared" si="1"/>
        <v>5</v>
      </c>
      <c r="S101" s="33">
        <f>IF(COUNTIF(O$2:O101,O101)=1,R101,0)/2.5</f>
        <v>2</v>
      </c>
    </row>
    <row r="102" spans="1:19" ht="18" customHeight="1" x14ac:dyDescent="0.25">
      <c r="A102" s="7" t="s">
        <v>43</v>
      </c>
      <c r="B102" s="8">
        <v>1</v>
      </c>
      <c r="C102" s="9">
        <v>535</v>
      </c>
      <c r="D102" s="29">
        <f>C102+IF(INDEX('Справочник по %'!B:B,(MATCH(A102,'Справочник по %'!A:A,0)))="кол-во",B102*INDEX('Справочник по %'!C:C,(MATCH(A102,'Справочник по %'!A:A,0))),ОТЧЕТ!C102*INDEX('Справочник по %'!C:C,(MATCH(A102,'Справочник по %'!A:A,0))))/100</f>
        <v>588.5</v>
      </c>
      <c r="E102" s="29">
        <f>IF(ОТЧЕТ!A102="SKU3",C102+ОТЧЕТ!C102*0.2,C102+ОТЧЕТ!C102*0.15)</f>
        <v>615.25</v>
      </c>
      <c r="F102" s="7" t="s">
        <v>344</v>
      </c>
      <c r="G102" s="7">
        <v>550310361355</v>
      </c>
      <c r="H102" s="20" t="s">
        <v>50</v>
      </c>
      <c r="I102" s="22" t="str">
        <f>INDEX('Справочник Сети'!B:B,(MATCH(G102,'Справочник Сети'!C:C,0)))</f>
        <v>Столички</v>
      </c>
      <c r="J102" s="7" t="s">
        <v>251</v>
      </c>
      <c r="K102" s="7" t="s">
        <v>345</v>
      </c>
      <c r="L102" s="7" t="s">
        <v>110</v>
      </c>
      <c r="M102" s="31">
        <v>45660</v>
      </c>
      <c r="N102" s="7" t="s">
        <v>346</v>
      </c>
      <c r="O102" s="8">
        <v>676</v>
      </c>
      <c r="P102" s="24">
        <v>333</v>
      </c>
      <c r="Q102" s="22">
        <f>IF(COUNTIFS(A$2:A102,A102,I$2:I102,I102)=1,1,0)</f>
        <v>0</v>
      </c>
      <c r="R102" s="22">
        <f t="shared" si="1"/>
        <v>1</v>
      </c>
      <c r="S102" s="33">
        <f>IF(COUNTIF(O$2:O102,O102)=1,R102,0)/2.5</f>
        <v>0.4</v>
      </c>
    </row>
    <row r="103" spans="1:19" ht="18" customHeight="1" x14ac:dyDescent="0.25">
      <c r="A103" s="7" t="s">
        <v>43</v>
      </c>
      <c r="B103" s="8">
        <v>1</v>
      </c>
      <c r="C103" s="9">
        <v>420</v>
      </c>
      <c r="D103" s="29">
        <f>C103+IF(INDEX('Справочник по %'!B:B,(MATCH(A103,'Справочник по %'!A:A,0)))="кол-во",B103*INDEX('Справочник по %'!C:C,(MATCH(A103,'Справочник по %'!A:A,0))),ОТЧЕТ!C103*INDEX('Справочник по %'!C:C,(MATCH(A103,'Справочник по %'!A:A,0))))/100</f>
        <v>462</v>
      </c>
      <c r="E103" s="29">
        <f>IF(ОТЧЕТ!A103="SKU3",C103+ОТЧЕТ!C103*0.2,C103+ОТЧЕТ!C103*0.15)</f>
        <v>483</v>
      </c>
      <c r="F103" s="7" t="s">
        <v>347</v>
      </c>
      <c r="G103" s="7">
        <v>4632178758</v>
      </c>
      <c r="H103" s="20" t="s">
        <v>91</v>
      </c>
      <c r="I103" s="22" t="str">
        <f>INDEX('Справочник Сети'!B:B,(MATCH(G103,'Справочник Сети'!C:C,0)))</f>
        <v>Столички</v>
      </c>
      <c r="J103" s="7" t="s">
        <v>83</v>
      </c>
      <c r="K103" s="7" t="s">
        <v>348</v>
      </c>
      <c r="L103" s="7" t="s">
        <v>155</v>
      </c>
      <c r="M103" s="31">
        <v>45716</v>
      </c>
      <c r="N103" s="7" t="s">
        <v>349</v>
      </c>
      <c r="O103" s="8">
        <v>240</v>
      </c>
      <c r="P103" s="24">
        <v>334</v>
      </c>
      <c r="Q103" s="22">
        <f>IF(COUNTIFS(A$2:A103,A103,I$2:I103,I103)=1,1,0)</f>
        <v>0</v>
      </c>
      <c r="R103" s="22">
        <f t="shared" si="1"/>
        <v>2</v>
      </c>
      <c r="S103" s="33">
        <f>IF(COUNTIF(O$2:O103,O103)=1,R103,0)/2.5</f>
        <v>0.8</v>
      </c>
    </row>
    <row r="104" spans="1:19" ht="18" customHeight="1" x14ac:dyDescent="0.25">
      <c r="A104" s="7" t="s">
        <v>43</v>
      </c>
      <c r="B104" s="8">
        <v>1</v>
      </c>
      <c r="C104" s="9">
        <v>441</v>
      </c>
      <c r="D104" s="29">
        <f>C104+IF(INDEX('Справочник по %'!B:B,(MATCH(A104,'Справочник по %'!A:A,0)))="кол-во",B104*INDEX('Справочник по %'!C:C,(MATCH(A104,'Справочник по %'!A:A,0))),ОТЧЕТ!C104*INDEX('Справочник по %'!C:C,(MATCH(A104,'Справочник по %'!A:A,0))))/100</f>
        <v>485.1</v>
      </c>
      <c r="E104" s="29">
        <f>IF(ОТЧЕТ!A104="SKU3",C104+ОТЧЕТ!C104*0.2,C104+ОТЧЕТ!C104*0.15)</f>
        <v>507.15</v>
      </c>
      <c r="F104" s="7" t="s">
        <v>347</v>
      </c>
      <c r="G104" s="7">
        <v>3907029575</v>
      </c>
      <c r="H104" s="20" t="s">
        <v>350</v>
      </c>
      <c r="I104" s="22" t="str">
        <f>INDEX('Справочник Сети'!B:B,(MATCH(G104,'Справочник Сети'!C:C,0)))</f>
        <v>Столички</v>
      </c>
      <c r="J104" s="7" t="s">
        <v>155</v>
      </c>
      <c r="K104" s="7" t="s">
        <v>316</v>
      </c>
      <c r="L104" s="7" t="s">
        <v>155</v>
      </c>
      <c r="M104" s="31">
        <v>45716</v>
      </c>
      <c r="N104" s="7" t="s">
        <v>351</v>
      </c>
      <c r="O104" s="8">
        <v>3549</v>
      </c>
      <c r="P104" s="24">
        <v>335</v>
      </c>
      <c r="Q104" s="22">
        <f>IF(COUNTIFS(A$2:A104,A104,I$2:I104,I104)=1,1,0)</f>
        <v>0</v>
      </c>
      <c r="R104" s="22">
        <f t="shared" si="1"/>
        <v>1</v>
      </c>
      <c r="S104" s="33">
        <f>IF(COUNTIF(O$2:O104,O104)=1,R104,0)/2.5</f>
        <v>0.4</v>
      </c>
    </row>
    <row r="105" spans="1:19" ht="18" customHeight="1" x14ac:dyDescent="0.25">
      <c r="A105" s="7" t="s">
        <v>37</v>
      </c>
      <c r="B105" s="8">
        <v>1</v>
      </c>
      <c r="C105" s="9">
        <v>675</v>
      </c>
      <c r="D105" s="29">
        <f>C105+IF(INDEX('Справочник по %'!B:B,(MATCH(A105,'Справочник по %'!A:A,0)))="кол-во",B105*INDEX('Справочник по %'!C:C,(MATCH(A105,'Справочник по %'!A:A,0))),ОТЧЕТ!C105*INDEX('Справочник по %'!C:C,(MATCH(A105,'Справочник по %'!A:A,0))))/100</f>
        <v>675.2</v>
      </c>
      <c r="E105" s="29">
        <f>IF(ОТЧЕТ!A105="SKU3",C105+ОТЧЕТ!C105*0.2,C105+ОТЧЕТ!C105*0.15)</f>
        <v>776.25</v>
      </c>
      <c r="F105" s="7" t="s">
        <v>352</v>
      </c>
      <c r="G105" s="7">
        <v>7802194843</v>
      </c>
      <c r="H105" s="20" t="s">
        <v>50</v>
      </c>
      <c r="I105" s="22" t="str">
        <f>INDEX('Справочник Сети'!B:B,(MATCH(G105,'Справочник Сети'!C:C,0)))</f>
        <v>Столички</v>
      </c>
      <c r="J105" s="7" t="s">
        <v>353</v>
      </c>
      <c r="K105" s="7" t="s">
        <v>354</v>
      </c>
      <c r="L105" s="7" t="s">
        <v>353</v>
      </c>
      <c r="M105" s="31">
        <v>45672</v>
      </c>
      <c r="N105" s="7" t="s">
        <v>355</v>
      </c>
      <c r="O105" s="8">
        <v>3775</v>
      </c>
      <c r="P105" s="24">
        <v>340</v>
      </c>
      <c r="Q105" s="22">
        <f>IF(COUNTIFS(A$2:A105,A105,I$2:I105,I105)=1,1,0)</f>
        <v>0</v>
      </c>
      <c r="R105" s="22">
        <f t="shared" si="1"/>
        <v>3</v>
      </c>
      <c r="S105" s="33">
        <f>IF(COUNTIF(O$2:O105,O105)=1,R105,0)/2.5</f>
        <v>1.2</v>
      </c>
    </row>
    <row r="106" spans="1:19" ht="18" customHeight="1" x14ac:dyDescent="0.25">
      <c r="A106" s="7" t="s">
        <v>43</v>
      </c>
      <c r="B106" s="8">
        <v>1</v>
      </c>
      <c r="C106" s="9">
        <v>440</v>
      </c>
      <c r="D106" s="29">
        <f>C106+IF(INDEX('Справочник по %'!B:B,(MATCH(A106,'Справочник по %'!A:A,0)))="кол-во",B106*INDEX('Справочник по %'!C:C,(MATCH(A106,'Справочник по %'!A:A,0))),ОТЧЕТ!C106*INDEX('Справочник по %'!C:C,(MATCH(A106,'Справочник по %'!A:A,0))))/100</f>
        <v>484</v>
      </c>
      <c r="E106" s="29">
        <f>IF(ОТЧЕТ!A106="SKU3",C106+ОТЧЕТ!C106*0.2,C106+ОТЧЕТ!C106*0.15)</f>
        <v>506</v>
      </c>
      <c r="F106" s="7" t="s">
        <v>352</v>
      </c>
      <c r="G106" s="7">
        <v>5008036897</v>
      </c>
      <c r="H106" s="20" t="s">
        <v>273</v>
      </c>
      <c r="I106" s="22" t="str">
        <f>INDEX('Справочник Сети'!B:B,(MATCH(G106,'Справочник Сети'!C:C,0)))</f>
        <v>Столички</v>
      </c>
      <c r="J106" s="7" t="s">
        <v>83</v>
      </c>
      <c r="K106" s="7" t="s">
        <v>356</v>
      </c>
      <c r="L106" s="7" t="s">
        <v>83</v>
      </c>
      <c r="M106" s="31">
        <v>45715</v>
      </c>
      <c r="N106" s="7" t="s">
        <v>357</v>
      </c>
      <c r="O106" s="8">
        <v>3688</v>
      </c>
      <c r="P106" s="24">
        <v>341</v>
      </c>
      <c r="Q106" s="22">
        <f>IF(COUNTIFS(A$2:A106,A106,I$2:I106,I106)=1,1,0)</f>
        <v>0</v>
      </c>
      <c r="R106" s="22">
        <f t="shared" si="1"/>
        <v>3</v>
      </c>
      <c r="S106" s="33">
        <f>IF(COUNTIF(O$2:O106,O106)=1,R106,0)/2.5</f>
        <v>0</v>
      </c>
    </row>
    <row r="107" spans="1:19" ht="18" customHeight="1" x14ac:dyDescent="0.25">
      <c r="A107" s="7" t="s">
        <v>43</v>
      </c>
      <c r="B107" s="8">
        <v>1</v>
      </c>
      <c r="C107" s="9">
        <v>672</v>
      </c>
      <c r="D107" s="29">
        <f>C107+IF(INDEX('Справочник по %'!B:B,(MATCH(A107,'Справочник по %'!A:A,0)))="кол-во",B107*INDEX('Справочник по %'!C:C,(MATCH(A107,'Справочник по %'!A:A,0))),ОТЧЕТ!C107*INDEX('Справочник по %'!C:C,(MATCH(A107,'Справочник по %'!A:A,0))))/100</f>
        <v>739.2</v>
      </c>
      <c r="E107" s="29">
        <f>IF(ОТЧЕТ!A107="SKU3",C107+ОТЧЕТ!C107*0.2,C107+ОТЧЕТ!C107*0.15)</f>
        <v>772.8</v>
      </c>
      <c r="F107" s="7" t="s">
        <v>358</v>
      </c>
      <c r="G107" s="7">
        <v>7705947629</v>
      </c>
      <c r="H107" s="20" t="s">
        <v>50</v>
      </c>
      <c r="I107" s="22" t="str">
        <f>INDEX('Справочник Сети'!B:B,(MATCH(G107,'Справочник Сети'!C:C,0)))</f>
        <v>36,6</v>
      </c>
      <c r="J107" s="7" t="s">
        <v>116</v>
      </c>
      <c r="K107" s="7" t="s">
        <v>359</v>
      </c>
      <c r="L107" s="7" t="s">
        <v>104</v>
      </c>
      <c r="M107" s="31">
        <v>45693</v>
      </c>
      <c r="N107" s="7" t="s">
        <v>360</v>
      </c>
      <c r="O107" s="8">
        <v>2645</v>
      </c>
      <c r="P107" s="24">
        <v>342</v>
      </c>
      <c r="Q107" s="22">
        <f>IF(COUNTIFS(A$2:A107,A107,I$2:I107,I107)=1,1,0)</f>
        <v>0</v>
      </c>
      <c r="R107" s="22">
        <f t="shared" si="1"/>
        <v>9</v>
      </c>
      <c r="S107" s="33">
        <f>IF(COUNTIF(O$2:O107,O107)=1,R107,0)/2.5</f>
        <v>0</v>
      </c>
    </row>
    <row r="108" spans="1:19" ht="18" customHeight="1" x14ac:dyDescent="0.25">
      <c r="A108" s="7" t="s">
        <v>43</v>
      </c>
      <c r="B108" s="8">
        <v>1</v>
      </c>
      <c r="C108" s="9">
        <v>448</v>
      </c>
      <c r="D108" s="29">
        <f>C108+IF(INDEX('Справочник по %'!B:B,(MATCH(A108,'Справочник по %'!A:A,0)))="кол-во",B108*INDEX('Справочник по %'!C:C,(MATCH(A108,'Справочник по %'!A:A,0))),ОТЧЕТ!C108*INDEX('Справочник по %'!C:C,(MATCH(A108,'Справочник по %'!A:A,0))))/100</f>
        <v>492.8</v>
      </c>
      <c r="E108" s="29">
        <f>IF(ОТЧЕТ!A108="SKU3",C108+ОТЧЕТ!C108*0.2,C108+ОТЧЕТ!C108*0.15)</f>
        <v>515.20000000000005</v>
      </c>
      <c r="F108" s="7" t="s">
        <v>361</v>
      </c>
      <c r="G108" s="7">
        <v>326537584</v>
      </c>
      <c r="H108" s="20" t="s">
        <v>50</v>
      </c>
      <c r="I108" s="22" t="str">
        <f>INDEX('Справочник Сети'!B:B,(MATCH(G108,'Справочник Сети'!C:C,0)))</f>
        <v>Планета здоровья</v>
      </c>
      <c r="J108" s="7" t="s">
        <v>362</v>
      </c>
      <c r="K108" s="7" t="s">
        <v>299</v>
      </c>
      <c r="L108" s="7" t="s">
        <v>362</v>
      </c>
      <c r="M108" s="31">
        <v>45732</v>
      </c>
      <c r="N108" s="7" t="s">
        <v>363</v>
      </c>
      <c r="O108" s="8">
        <v>1702</v>
      </c>
      <c r="P108" s="24">
        <v>370</v>
      </c>
      <c r="Q108" s="22">
        <f>IF(COUNTIFS(A$2:A108,A108,I$2:I108,I108)=1,1,0)</f>
        <v>0</v>
      </c>
      <c r="R108" s="22">
        <f t="shared" si="1"/>
        <v>9</v>
      </c>
      <c r="S108" s="33">
        <f>IF(COUNTIF(O$2:O108,O108)=1,R108,0)/2.5</f>
        <v>3.6</v>
      </c>
    </row>
    <row r="109" spans="1:19" ht="18" customHeight="1" x14ac:dyDescent="0.25">
      <c r="A109" s="7" t="s">
        <v>43</v>
      </c>
      <c r="B109" s="8">
        <v>1</v>
      </c>
      <c r="C109" s="9">
        <v>460</v>
      </c>
      <c r="D109" s="29">
        <f>C109+IF(INDEX('Справочник по %'!B:B,(MATCH(A109,'Справочник по %'!A:A,0)))="кол-во",B109*INDEX('Справочник по %'!C:C,(MATCH(A109,'Справочник по %'!A:A,0))),ОТЧЕТ!C109*INDEX('Справочник по %'!C:C,(MATCH(A109,'Справочник по %'!A:A,0))))/100</f>
        <v>506</v>
      </c>
      <c r="E109" s="29">
        <f>IF(ОТЧЕТ!A109="SKU3",C109+ОТЧЕТ!C109*0.2,C109+ОТЧЕТ!C109*0.15)</f>
        <v>529</v>
      </c>
      <c r="F109" s="7" t="s">
        <v>361</v>
      </c>
      <c r="G109" s="7">
        <v>2319055400</v>
      </c>
      <c r="H109" s="20" t="s">
        <v>364</v>
      </c>
      <c r="I109" s="22" t="str">
        <f>INDEX('Справочник Сети'!B:B,(MATCH(G109,'Справочник Сети'!C:C,0)))</f>
        <v>Столички</v>
      </c>
      <c r="J109" s="7" t="s">
        <v>70</v>
      </c>
      <c r="K109" s="7" t="s">
        <v>365</v>
      </c>
      <c r="L109" s="7" t="s">
        <v>70</v>
      </c>
      <c r="M109" s="31">
        <v>45728</v>
      </c>
      <c r="N109" s="7" t="s">
        <v>366</v>
      </c>
      <c r="O109" s="8">
        <v>783</v>
      </c>
      <c r="P109" s="24">
        <v>371</v>
      </c>
      <c r="Q109" s="22">
        <f>IF(COUNTIFS(A$2:A109,A109,I$2:I109,I109)=1,1,0)</f>
        <v>0</v>
      </c>
      <c r="R109" s="22">
        <f t="shared" si="1"/>
        <v>1</v>
      </c>
      <c r="S109" s="33">
        <f>IF(COUNTIF(O$2:O109,O109)=1,R109,0)/2.5</f>
        <v>0.4</v>
      </c>
    </row>
    <row r="110" spans="1:19" ht="18" customHeight="1" x14ac:dyDescent="0.25">
      <c r="A110" s="7" t="s">
        <v>37</v>
      </c>
      <c r="B110" s="8">
        <v>1</v>
      </c>
      <c r="C110" s="9">
        <v>640</v>
      </c>
      <c r="D110" s="29">
        <f>C110+IF(INDEX('Справочник по %'!B:B,(MATCH(A110,'Справочник по %'!A:A,0)))="кол-во",B110*INDEX('Справочник по %'!C:C,(MATCH(A110,'Справочник по %'!A:A,0))),ОТЧЕТ!C110*INDEX('Справочник по %'!C:C,(MATCH(A110,'Справочник по %'!A:A,0))))/100</f>
        <v>640.20000000000005</v>
      </c>
      <c r="E110" s="29">
        <f>IF(ОТЧЕТ!A110="SKU3",C110+ОТЧЕТ!C110*0.2,C110+ОТЧЕТ!C110*0.15)</f>
        <v>736</v>
      </c>
      <c r="F110" s="7" t="s">
        <v>367</v>
      </c>
      <c r="G110" s="7">
        <v>4205262893</v>
      </c>
      <c r="H110" s="20" t="s">
        <v>368</v>
      </c>
      <c r="I110" s="22" t="str">
        <f>INDEX('Справочник Сети'!B:B,(MATCH(G110,'Справочник Сети'!C:C,0)))</f>
        <v>Столички</v>
      </c>
      <c r="J110" s="7" t="s">
        <v>155</v>
      </c>
      <c r="K110" s="7" t="s">
        <v>369</v>
      </c>
      <c r="L110" s="7" t="s">
        <v>155</v>
      </c>
      <c r="M110" s="31">
        <v>45716</v>
      </c>
      <c r="N110" s="7" t="s">
        <v>370</v>
      </c>
      <c r="O110" s="8">
        <v>1914</v>
      </c>
      <c r="P110" s="24">
        <v>372</v>
      </c>
      <c r="Q110" s="22">
        <f>IF(COUNTIFS(A$2:A110,A110,I$2:I110,I110)=1,1,0)</f>
        <v>0</v>
      </c>
      <c r="R110" s="22">
        <f t="shared" si="1"/>
        <v>3</v>
      </c>
      <c r="S110" s="33">
        <f>IF(COUNTIF(O$2:O110,O110)=1,R110,0)/2.5</f>
        <v>1.2</v>
      </c>
    </row>
    <row r="111" spans="1:19" ht="18" customHeight="1" x14ac:dyDescent="0.25">
      <c r="A111" s="7" t="s">
        <v>37</v>
      </c>
      <c r="B111" s="8">
        <v>1</v>
      </c>
      <c r="C111" s="9">
        <v>699.9</v>
      </c>
      <c r="D111" s="29">
        <f>C111+IF(INDEX('Справочник по %'!B:B,(MATCH(A111,'Справочник по %'!A:A,0)))="кол-во",B111*INDEX('Справочник по %'!C:C,(MATCH(A111,'Справочник по %'!A:A,0))),ОТЧЕТ!C111*INDEX('Справочник по %'!C:C,(MATCH(A111,'Справочник по %'!A:A,0))))/100</f>
        <v>700.1</v>
      </c>
      <c r="E111" s="29">
        <f>IF(ОТЧЕТ!A111="SKU3",C111+ОТЧЕТ!C111*0.2,C111+ОТЧЕТ!C111*0.15)</f>
        <v>804.88499999999999</v>
      </c>
      <c r="F111" s="7" t="s">
        <v>367</v>
      </c>
      <c r="G111" s="7">
        <v>1841012052</v>
      </c>
      <c r="H111" s="20" t="s">
        <v>371</v>
      </c>
      <c r="I111" s="22" t="str">
        <f>INDEX('Справочник Сети'!B:B,(MATCH(G111,'Справочник Сети'!C:C,0)))</f>
        <v>Столички</v>
      </c>
      <c r="J111" s="7" t="s">
        <v>372</v>
      </c>
      <c r="K111" s="7" t="s">
        <v>373</v>
      </c>
      <c r="L111" s="7" t="s">
        <v>335</v>
      </c>
      <c r="M111" s="31">
        <v>45731</v>
      </c>
      <c r="N111" s="7" t="s">
        <v>374</v>
      </c>
      <c r="O111" s="8">
        <v>1125</v>
      </c>
      <c r="P111" s="24">
        <v>376</v>
      </c>
      <c r="Q111" s="22">
        <f>IF(COUNTIFS(A$2:A111,A111,I$2:I111,I111)=1,1,0)</f>
        <v>0</v>
      </c>
      <c r="R111" s="22">
        <f t="shared" si="1"/>
        <v>3</v>
      </c>
      <c r="S111" s="33">
        <f>IF(COUNTIF(O$2:O111,O111)=1,R111,0)/2.5</f>
        <v>1.2</v>
      </c>
    </row>
    <row r="112" spans="1:19" ht="18" customHeight="1" x14ac:dyDescent="0.25">
      <c r="A112" s="7" t="s">
        <v>43</v>
      </c>
      <c r="B112" s="8">
        <v>1</v>
      </c>
      <c r="C112" s="9">
        <v>580</v>
      </c>
      <c r="D112" s="29">
        <f>C112+IF(INDEX('Справочник по %'!B:B,(MATCH(A112,'Справочник по %'!A:A,0)))="кол-во",B112*INDEX('Справочник по %'!C:C,(MATCH(A112,'Справочник по %'!A:A,0))),ОТЧЕТ!C112*INDEX('Справочник по %'!C:C,(MATCH(A112,'Справочник по %'!A:A,0))))/100</f>
        <v>638</v>
      </c>
      <c r="E112" s="29">
        <f>IF(ОТЧЕТ!A112="SKU3",C112+ОТЧЕТ!C112*0.2,C112+ОТЧЕТ!C112*0.15)</f>
        <v>667</v>
      </c>
      <c r="F112" s="7" t="s">
        <v>367</v>
      </c>
      <c r="G112" s="7">
        <v>1435268848</v>
      </c>
      <c r="H112" s="20" t="s">
        <v>50</v>
      </c>
      <c r="I112" s="22" t="str">
        <f>INDEX('Справочник Сети'!B:B,(MATCH(G112,'Справочник Сети'!C:C,0)))</f>
        <v>Столички</v>
      </c>
      <c r="J112" s="7" t="s">
        <v>335</v>
      </c>
      <c r="K112" s="7" t="s">
        <v>375</v>
      </c>
      <c r="L112" s="7" t="s">
        <v>335</v>
      </c>
      <c r="M112" s="31">
        <v>45731</v>
      </c>
      <c r="N112" s="7" t="s">
        <v>376</v>
      </c>
      <c r="O112" s="8">
        <v>1139</v>
      </c>
      <c r="P112" s="24">
        <v>377</v>
      </c>
      <c r="Q112" s="22">
        <f>IF(COUNTIFS(A$2:A112,A112,I$2:I112,I112)=1,1,0)</f>
        <v>0</v>
      </c>
      <c r="R112" s="22">
        <f t="shared" si="1"/>
        <v>2</v>
      </c>
      <c r="S112" s="33">
        <f>IF(COUNTIF(O$2:O112,O112)=1,R112,0)/2.5</f>
        <v>0.8</v>
      </c>
    </row>
    <row r="113" spans="1:19" ht="18" customHeight="1" x14ac:dyDescent="0.25">
      <c r="A113" s="7" t="s">
        <v>43</v>
      </c>
      <c r="B113" s="8">
        <v>1</v>
      </c>
      <c r="C113" s="9">
        <v>575</v>
      </c>
      <c r="D113" s="29">
        <f>C113+IF(INDEX('Справочник по %'!B:B,(MATCH(A113,'Справочник по %'!A:A,0)))="кол-во",B113*INDEX('Справочник по %'!C:C,(MATCH(A113,'Справочник по %'!A:A,0))),ОТЧЕТ!C113*INDEX('Справочник по %'!C:C,(MATCH(A113,'Справочник по %'!A:A,0))))/100</f>
        <v>632.5</v>
      </c>
      <c r="E113" s="29">
        <f>IF(ОТЧЕТ!A113="SKU3",C113+ОТЧЕТ!C113*0.2,C113+ОТЧЕТ!C113*0.15)</f>
        <v>661.25</v>
      </c>
      <c r="F113" s="7" t="s">
        <v>377</v>
      </c>
      <c r="G113" s="7">
        <v>5017128086</v>
      </c>
      <c r="H113" s="20" t="s">
        <v>378</v>
      </c>
      <c r="I113" s="22" t="str">
        <f>INDEX('Справочник Сети'!B:B,(MATCH(G113,'Справочник Сети'!C:C,0)))</f>
        <v>Столички</v>
      </c>
      <c r="J113" s="7" t="s">
        <v>83</v>
      </c>
      <c r="K113" s="7" t="s">
        <v>379</v>
      </c>
      <c r="L113" s="7" t="s">
        <v>83</v>
      </c>
      <c r="M113" s="31">
        <v>45715</v>
      </c>
      <c r="N113" s="7" t="s">
        <v>380</v>
      </c>
      <c r="O113" s="8">
        <v>903</v>
      </c>
      <c r="P113" s="24">
        <v>382</v>
      </c>
      <c r="Q113" s="22">
        <f>IF(COUNTIFS(A$2:A113,A113,I$2:I113,I113)=1,1,0)</f>
        <v>0</v>
      </c>
      <c r="R113" s="22">
        <f t="shared" si="1"/>
        <v>3</v>
      </c>
      <c r="S113" s="33">
        <f>IF(COUNTIF(O$2:O113,O113)=1,R113,0)/2.5</f>
        <v>1.2</v>
      </c>
    </row>
    <row r="114" spans="1:19" ht="18" customHeight="1" x14ac:dyDescent="0.25">
      <c r="A114" s="7" t="s">
        <v>37</v>
      </c>
      <c r="B114" s="8">
        <v>1</v>
      </c>
      <c r="C114" s="9">
        <v>565</v>
      </c>
      <c r="D114" s="29">
        <f>C114+IF(INDEX('Справочник по %'!B:B,(MATCH(A114,'Справочник по %'!A:A,0)))="кол-во",B114*INDEX('Справочник по %'!C:C,(MATCH(A114,'Справочник по %'!A:A,0))),ОТЧЕТ!C114*INDEX('Справочник по %'!C:C,(MATCH(A114,'Справочник по %'!A:A,0))))/100</f>
        <v>565.20000000000005</v>
      </c>
      <c r="E114" s="29">
        <f>IF(ОТЧЕТ!A114="SKU3",C114+ОТЧЕТ!C114*0.2,C114+ОТЧЕТ!C114*0.15)</f>
        <v>649.75</v>
      </c>
      <c r="F114" s="7" t="s">
        <v>377</v>
      </c>
      <c r="G114" s="7">
        <v>7204146152</v>
      </c>
      <c r="H114" s="20" t="s">
        <v>103</v>
      </c>
      <c r="I114" s="22" t="str">
        <f>INDEX('Справочник Сети'!B:B,(MATCH(G114,'Справочник Сети'!C:C,0)))</f>
        <v>36,6</v>
      </c>
      <c r="J114" s="7" t="s">
        <v>104</v>
      </c>
      <c r="K114" s="7" t="s">
        <v>381</v>
      </c>
      <c r="L114" s="7" t="s">
        <v>106</v>
      </c>
      <c r="M114" s="31">
        <v>45694</v>
      </c>
      <c r="N114" s="7" t="s">
        <v>382</v>
      </c>
      <c r="O114" s="8">
        <v>1683</v>
      </c>
      <c r="P114" s="24">
        <v>383</v>
      </c>
      <c r="Q114" s="22">
        <f>IF(COUNTIFS(A$2:A114,A114,I$2:I114,I114)=1,1,0)</f>
        <v>0</v>
      </c>
      <c r="R114" s="22">
        <f t="shared" si="1"/>
        <v>9</v>
      </c>
      <c r="S114" s="33">
        <f>IF(COUNTIF(O$2:O114,O114)=1,R114,0)/2.5</f>
        <v>3.6</v>
      </c>
    </row>
    <row r="115" spans="1:19" ht="18" customHeight="1" x14ac:dyDescent="0.25">
      <c r="A115" s="7" t="s">
        <v>43</v>
      </c>
      <c r="B115" s="8">
        <v>1</v>
      </c>
      <c r="C115" s="9">
        <v>546</v>
      </c>
      <c r="D115" s="29">
        <f>C115+IF(INDEX('Справочник по %'!B:B,(MATCH(A115,'Справочник по %'!A:A,0)))="кол-во",B115*INDEX('Справочник по %'!C:C,(MATCH(A115,'Справочник по %'!A:A,0))),ОТЧЕТ!C115*INDEX('Справочник по %'!C:C,(MATCH(A115,'Справочник по %'!A:A,0))))/100</f>
        <v>600.6</v>
      </c>
      <c r="E115" s="29">
        <f>IF(ОТЧЕТ!A115="SKU3",C115+ОТЧЕТ!C115*0.2,C115+ОТЧЕТ!C115*0.15)</f>
        <v>627.9</v>
      </c>
      <c r="F115" s="7" t="s">
        <v>383</v>
      </c>
      <c r="G115" s="7">
        <v>2539096225</v>
      </c>
      <c r="H115" s="20" t="s">
        <v>384</v>
      </c>
      <c r="I115" s="22" t="str">
        <f>INDEX('Справочник Сети'!B:B,(MATCH(G115,'Справочник Сети'!C:C,0)))</f>
        <v>36,6</v>
      </c>
      <c r="J115" s="7" t="s">
        <v>46</v>
      </c>
      <c r="K115" s="7" t="s">
        <v>385</v>
      </c>
      <c r="L115" s="7" t="s">
        <v>46</v>
      </c>
      <c r="M115" s="31">
        <v>45726</v>
      </c>
      <c r="N115" s="7" t="s">
        <v>386</v>
      </c>
      <c r="O115" s="8">
        <v>3398</v>
      </c>
      <c r="P115" s="24">
        <v>385</v>
      </c>
      <c r="Q115" s="22">
        <f>IF(COUNTIFS(A$2:A115,A115,I$2:I115,I115)=1,1,0)</f>
        <v>0</v>
      </c>
      <c r="R115" s="22">
        <f t="shared" si="1"/>
        <v>4</v>
      </c>
      <c r="S115" s="33">
        <f>IF(COUNTIF(O$2:O115,O115)=1,R115,0)/2.5</f>
        <v>1.6</v>
      </c>
    </row>
    <row r="116" spans="1:19" ht="18" customHeight="1" x14ac:dyDescent="0.25">
      <c r="A116" s="7" t="s">
        <v>43</v>
      </c>
      <c r="B116" s="8">
        <v>1</v>
      </c>
      <c r="C116" s="9">
        <v>413.85</v>
      </c>
      <c r="D116" s="29">
        <f>C116+IF(INDEX('Справочник по %'!B:B,(MATCH(A116,'Справочник по %'!A:A,0)))="кол-во",B116*INDEX('Справочник по %'!C:C,(MATCH(A116,'Справочник по %'!A:A,0))),ОТЧЕТ!C116*INDEX('Справочник по %'!C:C,(MATCH(A116,'Справочник по %'!A:A,0))))/100</f>
        <v>455.23500000000001</v>
      </c>
      <c r="E116" s="29">
        <f>IF(ОТЧЕТ!A116="SKU3",C116+ОТЧЕТ!C116*0.2,C116+ОТЧЕТ!C116*0.15)</f>
        <v>475.92750000000001</v>
      </c>
      <c r="F116" s="7" t="s">
        <v>387</v>
      </c>
      <c r="G116" s="7">
        <v>550704589807</v>
      </c>
      <c r="H116" s="20" t="s">
        <v>50</v>
      </c>
      <c r="I116" s="22" t="str">
        <f>INDEX('Справочник Сети'!B:B,(MATCH(G116,'Справочник Сети'!C:C,0)))</f>
        <v>Столички</v>
      </c>
      <c r="J116" s="7" t="s">
        <v>251</v>
      </c>
      <c r="K116" s="7" t="s">
        <v>388</v>
      </c>
      <c r="L116" s="7" t="s">
        <v>251</v>
      </c>
      <c r="M116" s="31">
        <v>45659</v>
      </c>
      <c r="N116" s="7" t="s">
        <v>389</v>
      </c>
      <c r="O116" s="8">
        <v>1134</v>
      </c>
      <c r="P116" s="24">
        <v>387</v>
      </c>
      <c r="Q116" s="22">
        <f>IF(COUNTIFS(A$2:A116,A116,I$2:I116,I116)=1,1,0)</f>
        <v>0</v>
      </c>
      <c r="R116" s="22">
        <f t="shared" si="1"/>
        <v>4</v>
      </c>
      <c r="S116" s="33">
        <f>IF(COUNTIF(O$2:O116,O116)=1,R116,0)/2.5</f>
        <v>1.6</v>
      </c>
    </row>
    <row r="117" spans="1:19" ht="18" customHeight="1" x14ac:dyDescent="0.25">
      <c r="A117" s="7" t="s">
        <v>43</v>
      </c>
      <c r="B117" s="8">
        <v>1</v>
      </c>
      <c r="C117" s="9">
        <v>404</v>
      </c>
      <c r="D117" s="29">
        <f>C117+IF(INDEX('Справочник по %'!B:B,(MATCH(A117,'Справочник по %'!A:A,0)))="кол-во",B117*INDEX('Справочник по %'!C:C,(MATCH(A117,'Справочник по %'!A:A,0))),ОТЧЕТ!C117*INDEX('Справочник по %'!C:C,(MATCH(A117,'Справочник по %'!A:A,0))))/100</f>
        <v>444.4</v>
      </c>
      <c r="E117" s="29">
        <f>IF(ОТЧЕТ!A117="SKU3",C117+ОТЧЕТ!C117*0.2,C117+ОТЧЕТ!C117*0.15)</f>
        <v>464.6</v>
      </c>
      <c r="F117" s="7" t="s">
        <v>390</v>
      </c>
      <c r="G117" s="7">
        <v>7728339546</v>
      </c>
      <c r="H117" s="20" t="s">
        <v>391</v>
      </c>
      <c r="I117" s="22" t="str">
        <f>INDEX('Справочник Сети'!B:B,(MATCH(G117,'Справочник Сети'!C:C,0)))</f>
        <v>Планета здоровья</v>
      </c>
      <c r="J117" s="7" t="s">
        <v>142</v>
      </c>
      <c r="K117" s="7" t="s">
        <v>392</v>
      </c>
      <c r="L117" s="7" t="s">
        <v>142</v>
      </c>
      <c r="M117" s="31">
        <v>45674</v>
      </c>
      <c r="N117" s="7" t="s">
        <v>393</v>
      </c>
      <c r="O117" s="8">
        <v>2907</v>
      </c>
      <c r="P117" s="24">
        <v>1047</v>
      </c>
      <c r="Q117" s="22">
        <f>IF(COUNTIFS(A$2:A117,A117,I$2:I117,I117)=1,1,0)</f>
        <v>0</v>
      </c>
      <c r="R117" s="22">
        <f t="shared" si="1"/>
        <v>1</v>
      </c>
      <c r="S117" s="33">
        <f>IF(COUNTIF(O$2:O117,O117)=1,R117,0)/2.5</f>
        <v>0.4</v>
      </c>
    </row>
    <row r="118" spans="1:19" ht="18" customHeight="1" x14ac:dyDescent="0.25">
      <c r="A118" s="7" t="s">
        <v>43</v>
      </c>
      <c r="B118" s="8">
        <v>1</v>
      </c>
      <c r="C118" s="9">
        <v>488</v>
      </c>
      <c r="D118" s="29">
        <f>C118+IF(INDEX('Справочник по %'!B:B,(MATCH(A118,'Справочник по %'!A:A,0)))="кол-во",B118*INDEX('Справочник по %'!C:C,(MATCH(A118,'Справочник по %'!A:A,0))),ОТЧЕТ!C118*INDEX('Справочник по %'!C:C,(MATCH(A118,'Справочник по %'!A:A,0))))/100</f>
        <v>536.79999999999995</v>
      </c>
      <c r="E118" s="29">
        <f>IF(ОТЧЕТ!A118="SKU3",C118+ОТЧЕТ!C118*0.2,C118+ОТЧЕТ!C118*0.15)</f>
        <v>561.20000000000005</v>
      </c>
      <c r="F118" s="7" t="s">
        <v>390</v>
      </c>
      <c r="G118" s="7">
        <v>7705947629</v>
      </c>
      <c r="H118" s="20" t="s">
        <v>50</v>
      </c>
      <c r="I118" s="22" t="str">
        <f>INDEX('Справочник Сети'!B:B,(MATCH(G118,'Справочник Сети'!C:C,0)))</f>
        <v>36,6</v>
      </c>
      <c r="J118" s="7" t="s">
        <v>116</v>
      </c>
      <c r="K118" s="7" t="s">
        <v>394</v>
      </c>
      <c r="L118" s="7" t="s">
        <v>116</v>
      </c>
      <c r="M118" s="31">
        <v>45692</v>
      </c>
      <c r="N118" s="7" t="s">
        <v>395</v>
      </c>
      <c r="O118" s="8">
        <v>3263</v>
      </c>
      <c r="P118" s="24">
        <v>1051</v>
      </c>
      <c r="Q118" s="22">
        <f>IF(COUNTIFS(A$2:A118,A118,I$2:I118,I118)=1,1,0)</f>
        <v>0</v>
      </c>
      <c r="R118" s="22">
        <f t="shared" si="1"/>
        <v>1</v>
      </c>
      <c r="S118" s="33">
        <f>IF(COUNTIF(O$2:O118,O118)=1,R118,0)/2.5</f>
        <v>0.4</v>
      </c>
    </row>
    <row r="119" spans="1:19" ht="18" customHeight="1" x14ac:dyDescent="0.25">
      <c r="A119" s="7" t="s">
        <v>37</v>
      </c>
      <c r="B119" s="8">
        <v>1</v>
      </c>
      <c r="C119" s="9">
        <v>592</v>
      </c>
      <c r="D119" s="29">
        <f>C119+IF(INDEX('Справочник по %'!B:B,(MATCH(A119,'Справочник по %'!A:A,0)))="кол-во",B119*INDEX('Справочник по %'!C:C,(MATCH(A119,'Справочник по %'!A:A,0))),ОТЧЕТ!C119*INDEX('Справочник по %'!C:C,(MATCH(A119,'Справочник по %'!A:A,0))))/100</f>
        <v>592.20000000000005</v>
      </c>
      <c r="E119" s="29">
        <f>IF(ОТЧЕТ!A119="SKU3",C119+ОТЧЕТ!C119*0.2,C119+ОТЧЕТ!C119*0.15)</f>
        <v>680.8</v>
      </c>
      <c r="F119" s="7" t="s">
        <v>390</v>
      </c>
      <c r="G119" s="7">
        <v>2310212231</v>
      </c>
      <c r="H119" s="20" t="s">
        <v>69</v>
      </c>
      <c r="I119" s="22" t="str">
        <f>INDEX('Справочник Сети'!B:B,(MATCH(G119,'Справочник Сети'!C:C,0)))</f>
        <v>Нео-фарм</v>
      </c>
      <c r="J119" s="7" t="s">
        <v>70</v>
      </c>
      <c r="K119" s="7" t="s">
        <v>396</v>
      </c>
      <c r="L119" s="7" t="s">
        <v>70</v>
      </c>
      <c r="M119" s="31">
        <v>45728</v>
      </c>
      <c r="N119" s="7" t="s">
        <v>397</v>
      </c>
      <c r="O119" s="8">
        <v>1018</v>
      </c>
      <c r="P119" s="24">
        <v>1054</v>
      </c>
      <c r="Q119" s="22">
        <f>IF(COUNTIFS(A$2:A119,A119,I$2:I119,I119)=1,1,0)</f>
        <v>1</v>
      </c>
      <c r="R119" s="22">
        <f t="shared" si="1"/>
        <v>1</v>
      </c>
      <c r="S119" s="33">
        <f>IF(COUNTIF(O$2:O119,O119)=1,R119,0)/2.5</f>
        <v>0.4</v>
      </c>
    </row>
    <row r="120" spans="1:19" ht="18" customHeight="1" x14ac:dyDescent="0.25">
      <c r="A120" s="7" t="s">
        <v>43</v>
      </c>
      <c r="B120" s="8">
        <v>1</v>
      </c>
      <c r="C120" s="9">
        <v>413</v>
      </c>
      <c r="D120" s="29">
        <f>C120+IF(INDEX('Справочник по %'!B:B,(MATCH(A120,'Справочник по %'!A:A,0)))="кол-во",B120*INDEX('Справочник по %'!C:C,(MATCH(A120,'Справочник по %'!A:A,0))),ОТЧЕТ!C120*INDEX('Справочник по %'!C:C,(MATCH(A120,'Справочник по %'!A:A,0))))/100</f>
        <v>454.3</v>
      </c>
      <c r="E120" s="29">
        <f>IF(ОТЧЕТ!A120="SKU3",C120+ОТЧЕТ!C120*0.2,C120+ОТЧЕТ!C120*0.15)</f>
        <v>474.95</v>
      </c>
      <c r="F120" s="7" t="s">
        <v>390</v>
      </c>
      <c r="G120" s="7">
        <v>2308110232</v>
      </c>
      <c r="H120" s="20" t="s">
        <v>69</v>
      </c>
      <c r="I120" s="22" t="str">
        <f>INDEX('Справочник Сети'!B:B,(MATCH(G120,'Справочник Сети'!C:C,0)))</f>
        <v>Нео-фарм</v>
      </c>
      <c r="J120" s="7" t="s">
        <v>372</v>
      </c>
      <c r="K120" s="7" t="s">
        <v>398</v>
      </c>
      <c r="L120" s="7" t="s">
        <v>372</v>
      </c>
      <c r="M120" s="31">
        <v>45730</v>
      </c>
      <c r="N120" s="7" t="s">
        <v>399</v>
      </c>
      <c r="O120" s="8">
        <v>642</v>
      </c>
      <c r="P120" s="24">
        <v>1055</v>
      </c>
      <c r="Q120" s="22">
        <f>IF(COUNTIFS(A$2:A120,A120,I$2:I120,I120)=1,1,0)</f>
        <v>1</v>
      </c>
      <c r="R120" s="22">
        <f t="shared" si="1"/>
        <v>1</v>
      </c>
      <c r="S120" s="33">
        <f>IF(COUNTIF(O$2:O120,O120)=1,R120,0)/2.5</f>
        <v>0.4</v>
      </c>
    </row>
    <row r="121" spans="1:19" ht="18" customHeight="1" x14ac:dyDescent="0.25">
      <c r="A121" s="7" t="s">
        <v>37</v>
      </c>
      <c r="B121" s="8">
        <v>1</v>
      </c>
      <c r="C121" s="9">
        <v>680</v>
      </c>
      <c r="D121" s="29">
        <f>C121+IF(INDEX('Справочник по %'!B:B,(MATCH(A121,'Справочник по %'!A:A,0)))="кол-во",B121*INDEX('Справочник по %'!C:C,(MATCH(A121,'Справочник по %'!A:A,0))),ОТЧЕТ!C121*INDEX('Справочник по %'!C:C,(MATCH(A121,'Справочник по %'!A:A,0))))/100</f>
        <v>680.2</v>
      </c>
      <c r="E121" s="29">
        <f>IF(ОТЧЕТ!A121="SKU3",C121+ОТЧЕТ!C121*0.2,C121+ОТЧЕТ!C121*0.15)</f>
        <v>782</v>
      </c>
      <c r="F121" s="7" t="s">
        <v>390</v>
      </c>
      <c r="G121" s="7">
        <v>7839300921</v>
      </c>
      <c r="H121" s="20" t="s">
        <v>50</v>
      </c>
      <c r="I121" s="22" t="str">
        <f>INDEX('Справочник Сети'!B:B,(MATCH(G121,'Справочник Сети'!C:C,0)))</f>
        <v>Планета здоровья</v>
      </c>
      <c r="J121" s="7" t="s">
        <v>121</v>
      </c>
      <c r="K121" s="7" t="s">
        <v>400</v>
      </c>
      <c r="L121" s="7" t="s">
        <v>121</v>
      </c>
      <c r="M121" s="31">
        <v>45671</v>
      </c>
      <c r="N121" s="7" t="s">
        <v>401</v>
      </c>
      <c r="O121" s="8">
        <v>2844</v>
      </c>
      <c r="P121" s="24">
        <v>1056</v>
      </c>
      <c r="Q121" s="22">
        <f>IF(COUNTIFS(A$2:A121,A121,I$2:I121,I121)=1,1,0)</f>
        <v>0</v>
      </c>
      <c r="R121" s="22">
        <f t="shared" si="1"/>
        <v>2</v>
      </c>
      <c r="S121" s="33">
        <f>IF(COUNTIF(O$2:O121,O121)=1,R121,0)/2.5</f>
        <v>0.8</v>
      </c>
    </row>
    <row r="122" spans="1:19" ht="18" customHeight="1" x14ac:dyDescent="0.25">
      <c r="A122" s="7" t="s">
        <v>43</v>
      </c>
      <c r="B122" s="8">
        <v>1</v>
      </c>
      <c r="C122" s="9">
        <v>399</v>
      </c>
      <c r="D122" s="29">
        <f>C122+IF(INDEX('Справочник по %'!B:B,(MATCH(A122,'Справочник по %'!A:A,0)))="кол-во",B122*INDEX('Справочник по %'!C:C,(MATCH(A122,'Справочник по %'!A:A,0))),ОТЧЕТ!C122*INDEX('Справочник по %'!C:C,(MATCH(A122,'Справочник по %'!A:A,0))))/100</f>
        <v>438.9</v>
      </c>
      <c r="E122" s="29">
        <f>IF(ОТЧЕТ!A122="SKU3",C122+ОТЧЕТ!C122*0.2,C122+ОТЧЕТ!C122*0.15)</f>
        <v>458.85</v>
      </c>
      <c r="F122" s="7" t="s">
        <v>390</v>
      </c>
      <c r="G122" s="7">
        <v>6166128454</v>
      </c>
      <c r="H122" s="20" t="s">
        <v>402</v>
      </c>
      <c r="I122" s="22" t="str">
        <f>INDEX('Справочник Сети'!B:B,(MATCH(G122,'Справочник Сети'!C:C,0)))</f>
        <v>Планета здоровья</v>
      </c>
      <c r="J122" s="7" t="s">
        <v>203</v>
      </c>
      <c r="K122" s="7" t="s">
        <v>403</v>
      </c>
      <c r="L122" s="7" t="s">
        <v>203</v>
      </c>
      <c r="M122" s="31">
        <v>45696</v>
      </c>
      <c r="N122" s="7" t="s">
        <v>404</v>
      </c>
      <c r="O122" s="8">
        <v>2234</v>
      </c>
      <c r="P122" s="24">
        <v>1057</v>
      </c>
      <c r="Q122" s="22">
        <f>IF(COUNTIFS(A$2:A122,A122,I$2:I122,I122)=1,1,0)</f>
        <v>0</v>
      </c>
      <c r="R122" s="22">
        <f t="shared" si="1"/>
        <v>1</v>
      </c>
      <c r="S122" s="33">
        <f>IF(COUNTIF(O$2:O122,O122)=1,R122,0)/2.5</f>
        <v>0.4</v>
      </c>
    </row>
    <row r="123" spans="1:19" ht="18" customHeight="1" x14ac:dyDescent="0.25">
      <c r="A123" s="7" t="s">
        <v>43</v>
      </c>
      <c r="B123" s="8">
        <v>1</v>
      </c>
      <c r="C123" s="9">
        <v>387</v>
      </c>
      <c r="D123" s="29">
        <f>C123+IF(INDEX('Справочник по %'!B:B,(MATCH(A123,'Справочник по %'!A:A,0)))="кол-во",B123*INDEX('Справочник по %'!C:C,(MATCH(A123,'Справочник по %'!A:A,0))),ОТЧЕТ!C123*INDEX('Справочник по %'!C:C,(MATCH(A123,'Справочник по %'!A:A,0))))/100</f>
        <v>425.7</v>
      </c>
      <c r="E123" s="29">
        <f>IF(ОТЧЕТ!A123="SKU3",C123+ОТЧЕТ!C123*0.2,C123+ОТЧЕТ!C123*0.15)</f>
        <v>445.05</v>
      </c>
      <c r="F123" s="7" t="s">
        <v>390</v>
      </c>
      <c r="G123" s="7">
        <v>7706795062</v>
      </c>
      <c r="H123" s="20" t="s">
        <v>405</v>
      </c>
      <c r="I123" s="22" t="str">
        <f>INDEX('Справочник Сети'!B:B,(MATCH(G123,'Справочник Сети'!C:C,0)))</f>
        <v>Планета здоровья</v>
      </c>
      <c r="J123" s="7" t="s">
        <v>87</v>
      </c>
      <c r="K123" s="7" t="s">
        <v>249</v>
      </c>
      <c r="L123" s="7" t="s">
        <v>87</v>
      </c>
      <c r="M123" s="31">
        <v>45691</v>
      </c>
      <c r="N123" s="7" t="s">
        <v>406</v>
      </c>
      <c r="O123" s="8">
        <v>3488</v>
      </c>
      <c r="P123" s="24">
        <v>1058</v>
      </c>
      <c r="Q123" s="22">
        <f>IF(COUNTIFS(A$2:A123,A123,I$2:I123,I123)=1,1,0)</f>
        <v>0</v>
      </c>
      <c r="R123" s="22">
        <f t="shared" si="1"/>
        <v>3</v>
      </c>
      <c r="S123" s="33">
        <f>IF(COUNTIF(O$2:O123,O123)=1,R123,0)/2.5</f>
        <v>1.2</v>
      </c>
    </row>
    <row r="124" spans="1:19" ht="18" customHeight="1" x14ac:dyDescent="0.25">
      <c r="A124" s="7" t="s">
        <v>43</v>
      </c>
      <c r="B124" s="8">
        <v>1</v>
      </c>
      <c r="C124" s="9">
        <v>441.5</v>
      </c>
      <c r="D124" s="29">
        <f>C124+IF(INDEX('Справочник по %'!B:B,(MATCH(A124,'Справочник по %'!A:A,0)))="кол-во",B124*INDEX('Справочник по %'!C:C,(MATCH(A124,'Справочник по %'!A:A,0))),ОТЧЕТ!C124*INDEX('Справочник по %'!C:C,(MATCH(A124,'Справочник по %'!A:A,0))))/100</f>
        <v>485.65</v>
      </c>
      <c r="E124" s="29">
        <f>IF(ОТЧЕТ!A124="SKU3",C124+ОТЧЕТ!C124*0.2,C124+ОТЧЕТ!C124*0.15)</f>
        <v>507.72500000000002</v>
      </c>
      <c r="F124" s="7" t="s">
        <v>390</v>
      </c>
      <c r="G124" s="7">
        <v>5751039272</v>
      </c>
      <c r="H124" s="20" t="s">
        <v>91</v>
      </c>
      <c r="I124" s="22" t="str">
        <f>INDEX('Справочник Сети'!B:B,(MATCH(G124,'Справочник Сети'!C:C,0)))</f>
        <v>Столички</v>
      </c>
      <c r="J124" s="7" t="s">
        <v>40</v>
      </c>
      <c r="K124" s="7" t="s">
        <v>407</v>
      </c>
      <c r="L124" s="7" t="s">
        <v>255</v>
      </c>
      <c r="M124" s="31">
        <v>45713</v>
      </c>
      <c r="N124" s="7" t="s">
        <v>408</v>
      </c>
      <c r="O124" s="8">
        <v>3768</v>
      </c>
      <c r="P124" s="24">
        <v>1065</v>
      </c>
      <c r="Q124" s="22">
        <f>IF(COUNTIFS(A$2:A124,A124,I$2:I124,I124)=1,1,0)</f>
        <v>0</v>
      </c>
      <c r="R124" s="22">
        <f t="shared" si="1"/>
        <v>1</v>
      </c>
      <c r="S124" s="33">
        <f>IF(COUNTIF(O$2:O124,O124)=1,R124,0)/2.5</f>
        <v>0.4</v>
      </c>
    </row>
    <row r="125" spans="1:19" ht="18" customHeight="1" x14ac:dyDescent="0.25">
      <c r="A125" s="7" t="s">
        <v>43</v>
      </c>
      <c r="B125" s="8">
        <v>1</v>
      </c>
      <c r="C125" s="9">
        <v>398</v>
      </c>
      <c r="D125" s="29">
        <f>C125+IF(INDEX('Справочник по %'!B:B,(MATCH(A125,'Справочник по %'!A:A,0)))="кол-во",B125*INDEX('Справочник по %'!C:C,(MATCH(A125,'Справочник по %'!A:A,0))),ОТЧЕТ!C125*INDEX('Справочник по %'!C:C,(MATCH(A125,'Справочник по %'!A:A,0))))/100</f>
        <v>437.8</v>
      </c>
      <c r="E125" s="29">
        <f>IF(ОТЧЕТ!A125="SKU3",C125+ОТЧЕТ!C125*0.2,C125+ОТЧЕТ!C125*0.15)</f>
        <v>457.7</v>
      </c>
      <c r="F125" s="7" t="s">
        <v>409</v>
      </c>
      <c r="G125" s="7">
        <v>7728339546</v>
      </c>
      <c r="H125" s="20" t="s">
        <v>410</v>
      </c>
      <c r="I125" s="22" t="str">
        <f>INDEX('Справочник Сети'!B:B,(MATCH(G125,'Справочник Сети'!C:C,0)))</f>
        <v>Планета здоровья</v>
      </c>
      <c r="J125" s="7" t="s">
        <v>142</v>
      </c>
      <c r="K125" s="7" t="s">
        <v>411</v>
      </c>
      <c r="L125" s="7" t="s">
        <v>142</v>
      </c>
      <c r="M125" s="31">
        <v>45674</v>
      </c>
      <c r="N125" s="7" t="s">
        <v>412</v>
      </c>
      <c r="O125" s="8">
        <v>3271</v>
      </c>
      <c r="P125" s="24">
        <v>1071</v>
      </c>
      <c r="Q125" s="22">
        <f>IF(COUNTIFS(A$2:A125,A125,I$2:I125,I125)=1,1,0)</f>
        <v>0</v>
      </c>
      <c r="R125" s="22">
        <f t="shared" si="1"/>
        <v>4</v>
      </c>
      <c r="S125" s="33">
        <f>IF(COUNTIF(O$2:O125,O125)=1,R125,0)/2.5</f>
        <v>1.6</v>
      </c>
    </row>
    <row r="126" spans="1:19" ht="18" customHeight="1" x14ac:dyDescent="0.25">
      <c r="A126" s="7" t="s">
        <v>43</v>
      </c>
      <c r="B126" s="8">
        <v>1</v>
      </c>
      <c r="C126" s="9">
        <v>377</v>
      </c>
      <c r="D126" s="29">
        <f>C126+IF(INDEX('Справочник по %'!B:B,(MATCH(A126,'Справочник по %'!A:A,0)))="кол-во",B126*INDEX('Справочник по %'!C:C,(MATCH(A126,'Справочник по %'!A:A,0))),ОТЧЕТ!C126*INDEX('Справочник по %'!C:C,(MATCH(A126,'Справочник по %'!A:A,0))))/100</f>
        <v>414.7</v>
      </c>
      <c r="E126" s="29">
        <f>IF(ОТЧЕТ!A126="SKU3",C126+ОТЧЕТ!C126*0.2,C126+ОТЧЕТ!C126*0.15)</f>
        <v>433.55</v>
      </c>
      <c r="F126" s="7" t="s">
        <v>409</v>
      </c>
      <c r="G126" s="7">
        <v>7706795062</v>
      </c>
      <c r="H126" s="20" t="s">
        <v>413</v>
      </c>
      <c r="I126" s="22" t="str">
        <f>INDEX('Справочник Сети'!B:B,(MATCH(G126,'Справочник Сети'!C:C,0)))</f>
        <v>Планета здоровья</v>
      </c>
      <c r="J126" s="7" t="s">
        <v>87</v>
      </c>
      <c r="K126" s="7" t="s">
        <v>414</v>
      </c>
      <c r="L126" s="7" t="s">
        <v>87</v>
      </c>
      <c r="M126" s="31">
        <v>45691</v>
      </c>
      <c r="N126" s="7" t="s">
        <v>415</v>
      </c>
      <c r="O126" s="8">
        <v>2036</v>
      </c>
      <c r="P126" s="24">
        <v>1072</v>
      </c>
      <c r="Q126" s="22">
        <f>IF(COUNTIFS(A$2:A126,A126,I$2:I126,I126)=1,1,0)</f>
        <v>0</v>
      </c>
      <c r="R126" s="22">
        <f t="shared" si="1"/>
        <v>1</v>
      </c>
      <c r="S126" s="33">
        <f>IF(COUNTIF(O$2:O126,O126)=1,R126,0)/2.5</f>
        <v>0.4</v>
      </c>
    </row>
    <row r="127" spans="1:19" ht="18" customHeight="1" x14ac:dyDescent="0.25">
      <c r="A127" s="7" t="s">
        <v>43</v>
      </c>
      <c r="B127" s="8">
        <v>1</v>
      </c>
      <c r="C127" s="9">
        <v>391</v>
      </c>
      <c r="D127" s="29">
        <f>C127+IF(INDEX('Справочник по %'!B:B,(MATCH(A127,'Справочник по %'!A:A,0)))="кол-во",B127*INDEX('Справочник по %'!C:C,(MATCH(A127,'Справочник по %'!A:A,0))),ОТЧЕТ!C127*INDEX('Справочник по %'!C:C,(MATCH(A127,'Справочник по %'!A:A,0))))/100</f>
        <v>430.1</v>
      </c>
      <c r="E127" s="29">
        <f>IF(ОТЧЕТ!A127="SKU3",C127+ОТЧЕТ!C127*0.2,C127+ОТЧЕТ!C127*0.15)</f>
        <v>449.65</v>
      </c>
      <c r="F127" s="7" t="s">
        <v>409</v>
      </c>
      <c r="G127" s="7">
        <v>2309136755</v>
      </c>
      <c r="H127" s="20" t="s">
        <v>50</v>
      </c>
      <c r="I127" s="22" t="str">
        <f>INDEX('Справочник Сети'!B:B,(MATCH(G127,'Справочник Сети'!C:C,0)))</f>
        <v>Столички</v>
      </c>
      <c r="J127" s="7" t="s">
        <v>57</v>
      </c>
      <c r="K127" s="7" t="s">
        <v>416</v>
      </c>
      <c r="L127" s="7" t="s">
        <v>57</v>
      </c>
      <c r="M127" s="31">
        <v>45729</v>
      </c>
      <c r="N127" s="7" t="s">
        <v>417</v>
      </c>
      <c r="O127" s="8">
        <v>1577</v>
      </c>
      <c r="P127" s="24">
        <v>1080</v>
      </c>
      <c r="Q127" s="22">
        <f>IF(COUNTIFS(A$2:A127,A127,I$2:I127,I127)=1,1,0)</f>
        <v>0</v>
      </c>
      <c r="R127" s="22">
        <f t="shared" si="1"/>
        <v>5</v>
      </c>
      <c r="S127" s="33">
        <f>IF(COUNTIF(O$2:O127,O127)=1,R127,0)/2.5</f>
        <v>2</v>
      </c>
    </row>
    <row r="128" spans="1:19" ht="18" customHeight="1" x14ac:dyDescent="0.25">
      <c r="A128" s="7" t="s">
        <v>37</v>
      </c>
      <c r="B128" s="8">
        <v>1</v>
      </c>
      <c r="C128" s="9">
        <v>570</v>
      </c>
      <c r="D128" s="29">
        <f>C128+IF(INDEX('Справочник по %'!B:B,(MATCH(A128,'Справочник по %'!A:A,0)))="кол-во",B128*INDEX('Справочник по %'!C:C,(MATCH(A128,'Справочник по %'!A:A,0))),ОТЧЕТ!C128*INDEX('Справочник по %'!C:C,(MATCH(A128,'Справочник по %'!A:A,0))))/100</f>
        <v>570.20000000000005</v>
      </c>
      <c r="E128" s="29">
        <f>IF(ОТЧЕТ!A128="SKU3",C128+ОТЧЕТ!C128*0.2,C128+ОТЧЕТ!C128*0.15)</f>
        <v>655.5</v>
      </c>
      <c r="F128" s="7" t="s">
        <v>418</v>
      </c>
      <c r="G128" s="7">
        <v>2310200444</v>
      </c>
      <c r="H128" s="20" t="s">
        <v>69</v>
      </c>
      <c r="I128" s="22" t="str">
        <f>INDEX('Справочник Сети'!B:B,(MATCH(G128,'Справочник Сети'!C:C,0)))</f>
        <v>Планета здоровья</v>
      </c>
      <c r="J128" s="7" t="s">
        <v>70</v>
      </c>
      <c r="K128" s="7" t="s">
        <v>419</v>
      </c>
      <c r="L128" s="7" t="s">
        <v>57</v>
      </c>
      <c r="M128" s="31">
        <v>45729</v>
      </c>
      <c r="N128" s="7" t="s">
        <v>420</v>
      </c>
      <c r="O128" s="8">
        <v>1345</v>
      </c>
      <c r="P128" s="24">
        <v>1086</v>
      </c>
      <c r="Q128" s="22">
        <f>IF(COUNTIFS(A$2:A128,A128,I$2:I128,I128)=1,1,0)</f>
        <v>0</v>
      </c>
      <c r="R128" s="22">
        <f t="shared" si="1"/>
        <v>1</v>
      </c>
      <c r="S128" s="33">
        <f>IF(COUNTIF(O$2:O128,O128)=1,R128,0)/2.5</f>
        <v>0.4</v>
      </c>
    </row>
    <row r="129" spans="1:19" ht="18" customHeight="1" x14ac:dyDescent="0.25">
      <c r="A129" s="7" t="s">
        <v>43</v>
      </c>
      <c r="B129" s="8">
        <v>1</v>
      </c>
      <c r="C129" s="9">
        <v>400</v>
      </c>
      <c r="D129" s="29">
        <f>C129+IF(INDEX('Справочник по %'!B:B,(MATCH(A129,'Справочник по %'!A:A,0)))="кол-во",B129*INDEX('Справочник по %'!C:C,(MATCH(A129,'Справочник по %'!A:A,0))),ОТЧЕТ!C129*INDEX('Справочник по %'!C:C,(MATCH(A129,'Справочник по %'!A:A,0))))/100</f>
        <v>440</v>
      </c>
      <c r="E129" s="29">
        <f>IF(ОТЧЕТ!A129="SKU3",C129+ОТЧЕТ!C129*0.2,C129+ОТЧЕТ!C129*0.15)</f>
        <v>460</v>
      </c>
      <c r="F129" s="7" t="s">
        <v>421</v>
      </c>
      <c r="G129" s="12" t="s">
        <v>5753</v>
      </c>
      <c r="H129" s="20" t="s">
        <v>422</v>
      </c>
      <c r="I129" s="22" t="e">
        <f>INDEX('Справочник Сети'!B:B,(MATCH(G129,'Справочник Сети'!C:C,0)))</f>
        <v>#N/A</v>
      </c>
      <c r="J129" s="7" t="s">
        <v>155</v>
      </c>
      <c r="K129" s="7" t="s">
        <v>423</v>
      </c>
      <c r="L129" s="7" t="s">
        <v>155</v>
      </c>
      <c r="M129" s="31">
        <v>45716</v>
      </c>
      <c r="N129" s="7" t="s">
        <v>424</v>
      </c>
      <c r="O129" s="8">
        <v>3709</v>
      </c>
      <c r="P129" s="24">
        <v>1087</v>
      </c>
      <c r="Q129" s="22">
        <f>IF(COUNTIFS(A$2:A129,A129,I$2:I129,I129)=1,1,0)</f>
        <v>1</v>
      </c>
      <c r="R129" s="22">
        <f t="shared" si="1"/>
        <v>5</v>
      </c>
      <c r="S129" s="33">
        <f>IF(COUNTIF(O$2:O129,O129)=1,R129,0)/2.5</f>
        <v>2</v>
      </c>
    </row>
    <row r="130" spans="1:19" ht="18" customHeight="1" x14ac:dyDescent="0.25">
      <c r="A130" s="7" t="s">
        <v>43</v>
      </c>
      <c r="B130" s="8">
        <v>1</v>
      </c>
      <c r="C130" s="9">
        <v>490</v>
      </c>
      <c r="D130" s="29">
        <f>C130+IF(INDEX('Справочник по %'!B:B,(MATCH(A130,'Справочник по %'!A:A,0)))="кол-во",B130*INDEX('Справочник по %'!C:C,(MATCH(A130,'Справочник по %'!A:A,0))),ОТЧЕТ!C130*INDEX('Справочник по %'!C:C,(MATCH(A130,'Справочник по %'!A:A,0))))/100</f>
        <v>539</v>
      </c>
      <c r="E130" s="29">
        <f>IF(ОТЧЕТ!A130="SKU3",C130+ОТЧЕТ!C130*0.2,C130+ОТЧЕТ!C130*0.15)</f>
        <v>563.5</v>
      </c>
      <c r="F130" s="7" t="s">
        <v>425</v>
      </c>
      <c r="G130" s="7">
        <v>7814809234</v>
      </c>
      <c r="H130" s="20" t="s">
        <v>426</v>
      </c>
      <c r="I130" s="22">
        <f>INDEX('Справочник Сети'!B:B,(MATCH(G130,'Справочник Сети'!C:C,0)))</f>
        <v>0</v>
      </c>
      <c r="J130" s="7" t="s">
        <v>121</v>
      </c>
      <c r="K130" s="7" t="s">
        <v>427</v>
      </c>
      <c r="L130" s="7" t="s">
        <v>121</v>
      </c>
      <c r="M130" s="31">
        <v>45671</v>
      </c>
      <c r="N130" s="7" t="s">
        <v>428</v>
      </c>
      <c r="O130" s="8">
        <v>3329</v>
      </c>
      <c r="P130" s="24">
        <v>1088</v>
      </c>
      <c r="Q130" s="22">
        <f>IF(COUNTIFS(A$2:A130,A130,I$2:I130,I130)=1,1,0)</f>
        <v>1</v>
      </c>
      <c r="R130" s="22">
        <f t="shared" si="1"/>
        <v>1</v>
      </c>
      <c r="S130" s="33">
        <f>IF(COUNTIF(O$2:O130,O130)=1,R130,0)/2.5</f>
        <v>0.4</v>
      </c>
    </row>
    <row r="131" spans="1:19" ht="18" customHeight="1" x14ac:dyDescent="0.25">
      <c r="A131" s="7" t="s">
        <v>43</v>
      </c>
      <c r="B131" s="8">
        <v>1</v>
      </c>
      <c r="C131" s="9">
        <v>338.92</v>
      </c>
      <c r="D131" s="29">
        <f>C131+IF(INDEX('Справочник по %'!B:B,(MATCH(A131,'Справочник по %'!A:A,0)))="кол-во",B131*INDEX('Справочник по %'!C:C,(MATCH(A131,'Справочник по %'!A:A,0))),ОТЧЕТ!C131*INDEX('Справочник по %'!C:C,(MATCH(A131,'Справочник по %'!A:A,0))))/100</f>
        <v>372.81200000000001</v>
      </c>
      <c r="E131" s="29">
        <f>IF(ОТЧЕТ!A131="SKU3",C131+ОТЧЕТ!C131*0.2,C131+ОТЧЕТ!C131*0.15)</f>
        <v>389.75800000000004</v>
      </c>
      <c r="F131" s="7" t="s">
        <v>429</v>
      </c>
      <c r="G131" s="7">
        <v>7732121736</v>
      </c>
      <c r="H131" s="20" t="s">
        <v>430</v>
      </c>
      <c r="I131" s="22" t="str">
        <f>INDEX('Справочник Сети'!B:B,(MATCH(G131,'Справочник Сети'!C:C,0)))</f>
        <v>Планета здоровья</v>
      </c>
      <c r="J131" s="7" t="s">
        <v>149</v>
      </c>
      <c r="K131" s="7" t="s">
        <v>431</v>
      </c>
      <c r="L131" s="7" t="s">
        <v>149</v>
      </c>
      <c r="M131" s="31">
        <v>45673</v>
      </c>
      <c r="N131" s="7" t="s">
        <v>432</v>
      </c>
      <c r="O131" s="8">
        <v>2740</v>
      </c>
      <c r="P131" s="24">
        <v>1093</v>
      </c>
      <c r="Q131" s="22">
        <f>IF(COUNTIFS(A$2:A131,A131,I$2:I131,I131)=1,1,0)</f>
        <v>0</v>
      </c>
      <c r="R131" s="22">
        <f t="shared" ref="R131:R194" si="2">COUNTIF(O:O,O131)</f>
        <v>1</v>
      </c>
      <c r="S131" s="33">
        <f>IF(COUNTIF(O$2:O131,O131)=1,R131,0)/2.5</f>
        <v>0.4</v>
      </c>
    </row>
    <row r="132" spans="1:19" ht="18" customHeight="1" x14ac:dyDescent="0.25">
      <c r="A132" s="7" t="s">
        <v>43</v>
      </c>
      <c r="B132" s="8">
        <v>1</v>
      </c>
      <c r="C132" s="9">
        <v>440</v>
      </c>
      <c r="D132" s="29">
        <f>C132+IF(INDEX('Справочник по %'!B:B,(MATCH(A132,'Справочник по %'!A:A,0)))="кол-во",B132*INDEX('Справочник по %'!C:C,(MATCH(A132,'Справочник по %'!A:A,0))),ОТЧЕТ!C132*INDEX('Справочник по %'!C:C,(MATCH(A132,'Справочник по %'!A:A,0))))/100</f>
        <v>484</v>
      </c>
      <c r="E132" s="29">
        <f>IF(ОТЧЕТ!A132="SKU3",C132+ОТЧЕТ!C132*0.2,C132+ОТЧЕТ!C132*0.15)</f>
        <v>506</v>
      </c>
      <c r="F132" s="7" t="s">
        <v>429</v>
      </c>
      <c r="G132" s="7">
        <v>462901346416</v>
      </c>
      <c r="H132" s="20" t="s">
        <v>50</v>
      </c>
      <c r="I132" s="22" t="str">
        <f>INDEX('Справочник Сети'!B:B,(MATCH(G132,'Справочник Сети'!C:C,0)))</f>
        <v>Планета здоровья</v>
      </c>
      <c r="J132" s="7" t="s">
        <v>110</v>
      </c>
      <c r="K132" s="7" t="s">
        <v>433</v>
      </c>
      <c r="L132" s="7" t="s">
        <v>110</v>
      </c>
      <c r="M132" s="31">
        <v>45660</v>
      </c>
      <c r="N132" s="7" t="s">
        <v>434</v>
      </c>
      <c r="O132" s="8">
        <v>347</v>
      </c>
      <c r="P132" s="24">
        <v>1094</v>
      </c>
      <c r="Q132" s="22">
        <f>IF(COUNTIFS(A$2:A132,A132,I$2:I132,I132)=1,1,0)</f>
        <v>0</v>
      </c>
      <c r="R132" s="22">
        <f t="shared" si="2"/>
        <v>4</v>
      </c>
      <c r="S132" s="33">
        <f>IF(COUNTIF(O$2:O132,O132)=1,R132,0)/2.5</f>
        <v>1.6</v>
      </c>
    </row>
    <row r="133" spans="1:19" ht="18" customHeight="1" x14ac:dyDescent="0.25">
      <c r="A133" s="7" t="s">
        <v>43</v>
      </c>
      <c r="B133" s="8">
        <v>1</v>
      </c>
      <c r="C133" s="9">
        <v>470</v>
      </c>
      <c r="D133" s="29">
        <f>C133+IF(INDEX('Справочник по %'!B:B,(MATCH(A133,'Справочник по %'!A:A,0)))="кол-во",B133*INDEX('Справочник по %'!C:C,(MATCH(A133,'Справочник по %'!A:A,0))),ОТЧЕТ!C133*INDEX('Справочник по %'!C:C,(MATCH(A133,'Справочник по %'!A:A,0))))/100</f>
        <v>517</v>
      </c>
      <c r="E133" s="29">
        <f>IF(ОТЧЕТ!A133="SKU3",C133+ОТЧЕТ!C133*0.2,C133+ОТЧЕТ!C133*0.15)</f>
        <v>540.5</v>
      </c>
      <c r="F133" s="7" t="s">
        <v>435</v>
      </c>
      <c r="G133" s="7">
        <v>5903072982</v>
      </c>
      <c r="H133" s="20" t="s">
        <v>39</v>
      </c>
      <c r="I133" s="22" t="str">
        <f>INDEX('Справочник Сети'!B:B,(MATCH(G133,'Справочник Сети'!C:C,0)))</f>
        <v>Планета здоровья</v>
      </c>
      <c r="J133" s="7" t="s">
        <v>40</v>
      </c>
      <c r="K133" s="7" t="s">
        <v>436</v>
      </c>
      <c r="L133" s="7" t="s">
        <v>40</v>
      </c>
      <c r="M133" s="31">
        <v>45712</v>
      </c>
      <c r="N133" s="7" t="s">
        <v>437</v>
      </c>
      <c r="O133" s="8">
        <v>452</v>
      </c>
      <c r="P133" s="24">
        <v>1104</v>
      </c>
      <c r="Q133" s="22">
        <f>IF(COUNTIFS(A$2:A133,A133,I$2:I133,I133)=1,1,0)</f>
        <v>0</v>
      </c>
      <c r="R133" s="22">
        <f t="shared" si="2"/>
        <v>1</v>
      </c>
      <c r="S133" s="33">
        <f>IF(COUNTIF(O$2:O133,O133)=1,R133,0)/2.5</f>
        <v>0.4</v>
      </c>
    </row>
    <row r="134" spans="1:19" ht="18" customHeight="1" x14ac:dyDescent="0.25">
      <c r="A134" s="7" t="s">
        <v>43</v>
      </c>
      <c r="B134" s="8">
        <v>1</v>
      </c>
      <c r="C134" s="9">
        <v>439</v>
      </c>
      <c r="D134" s="29">
        <f>C134+IF(INDEX('Справочник по %'!B:B,(MATCH(A134,'Справочник по %'!A:A,0)))="кол-во",B134*INDEX('Справочник по %'!C:C,(MATCH(A134,'Справочник по %'!A:A,0))),ОТЧЕТ!C134*INDEX('Справочник по %'!C:C,(MATCH(A134,'Справочник по %'!A:A,0))))/100</f>
        <v>482.9</v>
      </c>
      <c r="E134" s="29">
        <f>IF(ОТЧЕТ!A134="SKU3",C134+ОТЧЕТ!C134*0.2,C134+ОТЧЕТ!C134*0.15)</f>
        <v>504.85</v>
      </c>
      <c r="F134" s="7" t="s">
        <v>438</v>
      </c>
      <c r="G134" s="7">
        <v>6659049231</v>
      </c>
      <c r="H134" s="20" t="s">
        <v>439</v>
      </c>
      <c r="I134" s="22">
        <f>INDEX('Справочник Сети'!B:B,(MATCH(G134,'Справочник Сети'!C:C,0)))</f>
        <v>0</v>
      </c>
      <c r="J134" s="7" t="s">
        <v>133</v>
      </c>
      <c r="K134" s="7" t="s">
        <v>440</v>
      </c>
      <c r="L134" s="7" t="s">
        <v>133</v>
      </c>
      <c r="M134" s="31">
        <v>45695</v>
      </c>
      <c r="N134" s="7" t="s">
        <v>441</v>
      </c>
      <c r="O134" s="8">
        <v>3056</v>
      </c>
      <c r="P134" s="24">
        <v>1106</v>
      </c>
      <c r="Q134" s="22">
        <f>IF(COUNTIFS(A$2:A134,A134,I$2:I134,I134)=1,1,0)</f>
        <v>0</v>
      </c>
      <c r="R134" s="22">
        <f t="shared" si="2"/>
        <v>1</v>
      </c>
      <c r="S134" s="33">
        <f>IF(COUNTIF(O$2:O134,O134)=1,R134,0)/2.5</f>
        <v>0.4</v>
      </c>
    </row>
    <row r="135" spans="1:19" ht="18" customHeight="1" x14ac:dyDescent="0.25">
      <c r="A135" s="7" t="s">
        <v>43</v>
      </c>
      <c r="B135" s="8">
        <v>1</v>
      </c>
      <c r="C135" s="9">
        <v>390</v>
      </c>
      <c r="D135" s="29">
        <f>C135+IF(INDEX('Справочник по %'!B:B,(MATCH(A135,'Справочник по %'!A:A,0)))="кол-во",B135*INDEX('Справочник по %'!C:C,(MATCH(A135,'Справочник по %'!A:A,0))),ОТЧЕТ!C135*INDEX('Справочник по %'!C:C,(MATCH(A135,'Справочник по %'!A:A,0))))/100</f>
        <v>429</v>
      </c>
      <c r="E135" s="29">
        <f>IF(ОТЧЕТ!A135="SKU3",C135+ОТЧЕТ!C135*0.2,C135+ОТЧЕТ!C135*0.15)</f>
        <v>448.5</v>
      </c>
      <c r="F135" s="7" t="s">
        <v>442</v>
      </c>
      <c r="G135" s="7">
        <v>2373007348</v>
      </c>
      <c r="H135" s="20" t="s">
        <v>443</v>
      </c>
      <c r="I135" s="22">
        <f>INDEX('Справочник Сети'!B:B,(MATCH(G135,'Справочник Сети'!C:C,0)))</f>
        <v>0</v>
      </c>
      <c r="J135" s="7" t="s">
        <v>96</v>
      </c>
      <c r="K135" s="7" t="s">
        <v>444</v>
      </c>
      <c r="L135" s="7" t="s">
        <v>96</v>
      </c>
      <c r="M135" s="31">
        <v>45727</v>
      </c>
      <c r="N135" s="7" t="s">
        <v>445</v>
      </c>
      <c r="O135" s="8">
        <v>1173</v>
      </c>
      <c r="P135" s="24">
        <v>1110</v>
      </c>
      <c r="Q135" s="22">
        <f>IF(COUNTIFS(A$2:A135,A135,I$2:I135,I135)=1,1,0)</f>
        <v>0</v>
      </c>
      <c r="R135" s="22">
        <f t="shared" si="2"/>
        <v>2</v>
      </c>
      <c r="S135" s="33">
        <f>IF(COUNTIF(O$2:O135,O135)=1,R135,0)/2.5</f>
        <v>0.8</v>
      </c>
    </row>
    <row r="136" spans="1:19" ht="18" customHeight="1" x14ac:dyDescent="0.25">
      <c r="A136" s="7" t="s">
        <v>43</v>
      </c>
      <c r="B136" s="8">
        <v>1</v>
      </c>
      <c r="C136" s="9">
        <v>541</v>
      </c>
      <c r="D136" s="29">
        <f>C136+IF(INDEX('Справочник по %'!B:B,(MATCH(A136,'Справочник по %'!A:A,0)))="кол-во",B136*INDEX('Справочник по %'!C:C,(MATCH(A136,'Справочник по %'!A:A,0))),ОТЧЕТ!C136*INDEX('Справочник по %'!C:C,(MATCH(A136,'Справочник по %'!A:A,0))))/100</f>
        <v>595.1</v>
      </c>
      <c r="E136" s="29">
        <f>IF(ОТЧЕТ!A136="SKU3",C136+ОТЧЕТ!C136*0.2,C136+ОТЧЕТ!C136*0.15)</f>
        <v>622.15</v>
      </c>
      <c r="F136" s="7" t="s">
        <v>446</v>
      </c>
      <c r="G136" s="7">
        <v>5260408672</v>
      </c>
      <c r="H136" s="20" t="s">
        <v>50</v>
      </c>
      <c r="I136" s="22">
        <f>INDEX('Справочник Сети'!B:B,(MATCH(G136,'Справочник Сети'!C:C,0)))</f>
        <v>0</v>
      </c>
      <c r="J136" s="7" t="s">
        <v>92</v>
      </c>
      <c r="K136" s="7" t="s">
        <v>447</v>
      </c>
      <c r="L136" s="7" t="s">
        <v>92</v>
      </c>
      <c r="M136" s="31">
        <v>45714</v>
      </c>
      <c r="N136" s="7" t="s">
        <v>448</v>
      </c>
      <c r="O136" s="8">
        <v>2298</v>
      </c>
      <c r="P136" s="24">
        <v>1114</v>
      </c>
      <c r="Q136" s="22">
        <f>IF(COUNTIFS(A$2:A136,A136,I$2:I136,I136)=1,1,0)</f>
        <v>0</v>
      </c>
      <c r="R136" s="22">
        <f t="shared" si="2"/>
        <v>1</v>
      </c>
      <c r="S136" s="33">
        <f>IF(COUNTIF(O$2:O136,O136)=1,R136,0)/2.5</f>
        <v>0.4</v>
      </c>
    </row>
    <row r="137" spans="1:19" ht="18" customHeight="1" x14ac:dyDescent="0.25">
      <c r="A137" s="7" t="s">
        <v>43</v>
      </c>
      <c r="B137" s="8">
        <v>1</v>
      </c>
      <c r="C137" s="9">
        <v>424</v>
      </c>
      <c r="D137" s="29">
        <f>C137+IF(INDEX('Справочник по %'!B:B,(MATCH(A137,'Справочник по %'!A:A,0)))="кол-во",B137*INDEX('Справочник по %'!C:C,(MATCH(A137,'Справочник по %'!A:A,0))),ОТЧЕТ!C137*INDEX('Справочник по %'!C:C,(MATCH(A137,'Справочник по %'!A:A,0))))/100</f>
        <v>466.4</v>
      </c>
      <c r="E137" s="29">
        <f>IF(ОТЧЕТ!A137="SKU3",C137+ОТЧЕТ!C137*0.2,C137+ОТЧЕТ!C137*0.15)</f>
        <v>487.6</v>
      </c>
      <c r="F137" s="7" t="s">
        <v>449</v>
      </c>
      <c r="G137" s="7">
        <v>2466189073</v>
      </c>
      <c r="H137" s="20" t="s">
        <v>450</v>
      </c>
      <c r="I137" s="22" t="str">
        <f>INDEX('Справочник Сети'!B:B,(MATCH(G137,'Справочник Сети'!C:C,0)))</f>
        <v>Нео-фарм</v>
      </c>
      <c r="J137" s="7" t="s">
        <v>96</v>
      </c>
      <c r="K137" s="7" t="s">
        <v>451</v>
      </c>
      <c r="L137" s="7" t="s">
        <v>96</v>
      </c>
      <c r="M137" s="31">
        <v>45727</v>
      </c>
      <c r="N137" s="7" t="s">
        <v>452</v>
      </c>
      <c r="O137" s="8">
        <v>3749</v>
      </c>
      <c r="P137" s="24">
        <v>1115</v>
      </c>
      <c r="Q137" s="22">
        <f>IF(COUNTIFS(A$2:A137,A137,I$2:I137,I137)=1,1,0)</f>
        <v>0</v>
      </c>
      <c r="R137" s="22">
        <f t="shared" si="2"/>
        <v>1</v>
      </c>
      <c r="S137" s="33">
        <f>IF(COUNTIF(O$2:O137,O137)=1,R137,0)/2.5</f>
        <v>0.4</v>
      </c>
    </row>
    <row r="138" spans="1:19" ht="18" customHeight="1" x14ac:dyDescent="0.25">
      <c r="A138" s="7" t="s">
        <v>43</v>
      </c>
      <c r="B138" s="8">
        <v>1</v>
      </c>
      <c r="C138" s="9">
        <v>370</v>
      </c>
      <c r="D138" s="29">
        <f>C138+IF(INDEX('Справочник по %'!B:B,(MATCH(A138,'Справочник по %'!A:A,0)))="кол-во",B138*INDEX('Справочник по %'!C:C,(MATCH(A138,'Справочник по %'!A:A,0))),ОТЧЕТ!C138*INDEX('Справочник по %'!C:C,(MATCH(A138,'Справочник по %'!A:A,0))))/100</f>
        <v>407</v>
      </c>
      <c r="E138" s="29">
        <f>IF(ОТЧЕТ!A138="SKU3",C138+ОТЧЕТ!C138*0.2,C138+ОТЧЕТ!C138*0.15)</f>
        <v>425.5</v>
      </c>
      <c r="F138" s="7" t="s">
        <v>449</v>
      </c>
      <c r="G138" s="7">
        <v>2225105670</v>
      </c>
      <c r="H138" s="20" t="s">
        <v>69</v>
      </c>
      <c r="I138" s="22" t="str">
        <f>INDEX('Справочник Сети'!B:B,(MATCH(G138,'Справочник Сети'!C:C,0)))</f>
        <v>Столички</v>
      </c>
      <c r="J138" s="7" t="s">
        <v>372</v>
      </c>
      <c r="K138" s="7" t="s">
        <v>453</v>
      </c>
      <c r="L138" s="7" t="s">
        <v>372</v>
      </c>
      <c r="M138" s="31">
        <v>45730</v>
      </c>
      <c r="N138" s="7" t="s">
        <v>454</v>
      </c>
      <c r="O138" s="8">
        <v>2919</v>
      </c>
      <c r="P138" s="24">
        <v>1118</v>
      </c>
      <c r="Q138" s="22">
        <f>IF(COUNTIFS(A$2:A138,A138,I$2:I138,I138)=1,1,0)</f>
        <v>0</v>
      </c>
      <c r="R138" s="22">
        <f t="shared" si="2"/>
        <v>8</v>
      </c>
      <c r="S138" s="33">
        <f>IF(COUNTIF(O$2:O138,O138)=1,R138,0)/2.5</f>
        <v>3.2</v>
      </c>
    </row>
    <row r="139" spans="1:19" ht="18" customHeight="1" x14ac:dyDescent="0.25">
      <c r="A139" s="7" t="s">
        <v>43</v>
      </c>
      <c r="B139" s="8">
        <v>1</v>
      </c>
      <c r="C139" s="9">
        <v>553</v>
      </c>
      <c r="D139" s="29">
        <f>C139+IF(INDEX('Справочник по %'!B:B,(MATCH(A139,'Справочник по %'!A:A,0)))="кол-во",B139*INDEX('Справочник по %'!C:C,(MATCH(A139,'Справочник по %'!A:A,0))),ОТЧЕТ!C139*INDEX('Справочник по %'!C:C,(MATCH(A139,'Справочник по %'!A:A,0))))/100</f>
        <v>608.29999999999995</v>
      </c>
      <c r="E139" s="29">
        <f>IF(ОТЧЕТ!A139="SKU3",C139+ОТЧЕТ!C139*0.2,C139+ОТЧЕТ!C139*0.15)</f>
        <v>635.95000000000005</v>
      </c>
      <c r="F139" s="7" t="s">
        <v>449</v>
      </c>
      <c r="G139" s="7">
        <v>5405072034</v>
      </c>
      <c r="H139" s="20" t="s">
        <v>455</v>
      </c>
      <c r="I139" s="22" t="str">
        <f>INDEX('Справочник Сети'!B:B,(MATCH(G139,'Справочник Сети'!C:C,0)))</f>
        <v>Нео-фарм</v>
      </c>
      <c r="J139" s="7" t="s">
        <v>92</v>
      </c>
      <c r="K139" s="7" t="s">
        <v>456</v>
      </c>
      <c r="L139" s="7" t="s">
        <v>92</v>
      </c>
      <c r="M139" s="31">
        <v>45714</v>
      </c>
      <c r="N139" s="7" t="s">
        <v>457</v>
      </c>
      <c r="O139" s="8">
        <v>2903</v>
      </c>
      <c r="P139" s="24">
        <v>1119</v>
      </c>
      <c r="Q139" s="22">
        <f>IF(COUNTIFS(A$2:A139,A139,I$2:I139,I139)=1,1,0)</f>
        <v>0</v>
      </c>
      <c r="R139" s="22">
        <f t="shared" si="2"/>
        <v>1</v>
      </c>
      <c r="S139" s="33">
        <f>IF(COUNTIF(O$2:O139,O139)=1,R139,0)/2.5</f>
        <v>0.4</v>
      </c>
    </row>
    <row r="140" spans="1:19" ht="18" customHeight="1" x14ac:dyDescent="0.25">
      <c r="A140" s="7" t="s">
        <v>43</v>
      </c>
      <c r="B140" s="8">
        <v>1</v>
      </c>
      <c r="C140" s="9">
        <v>451</v>
      </c>
      <c r="D140" s="29">
        <f>C140+IF(INDEX('Справочник по %'!B:B,(MATCH(A140,'Справочник по %'!A:A,0)))="кол-во",B140*INDEX('Справочник по %'!C:C,(MATCH(A140,'Справочник по %'!A:A,0))),ОТЧЕТ!C140*INDEX('Справочник по %'!C:C,(MATCH(A140,'Справочник по %'!A:A,0))))/100</f>
        <v>496.1</v>
      </c>
      <c r="E140" s="29">
        <f>IF(ОТЧЕТ!A140="SKU3",C140+ОТЧЕТ!C140*0.2,C140+ОТЧЕТ!C140*0.15)</f>
        <v>518.65</v>
      </c>
      <c r="F140" s="7" t="s">
        <v>458</v>
      </c>
      <c r="G140" s="7">
        <v>326537584</v>
      </c>
      <c r="H140" s="20" t="s">
        <v>459</v>
      </c>
      <c r="I140" s="22" t="str">
        <f>INDEX('Справочник Сети'!B:B,(MATCH(G140,'Справочник Сети'!C:C,0)))</f>
        <v>Планета здоровья</v>
      </c>
      <c r="J140" s="7" t="s">
        <v>362</v>
      </c>
      <c r="K140" s="7" t="s">
        <v>460</v>
      </c>
      <c r="L140" s="7" t="s">
        <v>362</v>
      </c>
      <c r="M140" s="31">
        <v>45732</v>
      </c>
      <c r="N140" s="7" t="s">
        <v>461</v>
      </c>
      <c r="O140" s="8">
        <v>1702</v>
      </c>
      <c r="P140" s="24">
        <v>1122</v>
      </c>
      <c r="Q140" s="22">
        <f>IF(COUNTIFS(A$2:A140,A140,I$2:I140,I140)=1,1,0)</f>
        <v>0</v>
      </c>
      <c r="R140" s="22">
        <f t="shared" si="2"/>
        <v>9</v>
      </c>
      <c r="S140" s="33">
        <f>IF(COUNTIF(O$2:O140,O140)=1,R140,0)/2.5</f>
        <v>0</v>
      </c>
    </row>
    <row r="141" spans="1:19" ht="18" customHeight="1" x14ac:dyDescent="0.25">
      <c r="A141" s="7" t="s">
        <v>43</v>
      </c>
      <c r="B141" s="8">
        <v>1</v>
      </c>
      <c r="C141" s="9">
        <v>385.9</v>
      </c>
      <c r="D141" s="29">
        <f>C141+IF(INDEX('Справочник по %'!B:B,(MATCH(A141,'Справочник по %'!A:A,0)))="кол-во",B141*INDEX('Справочник по %'!C:C,(MATCH(A141,'Справочник по %'!A:A,0))),ОТЧЕТ!C141*INDEX('Справочник по %'!C:C,(MATCH(A141,'Справочник по %'!A:A,0))))/100</f>
        <v>424.49</v>
      </c>
      <c r="E141" s="29">
        <f>IF(ОТЧЕТ!A141="SKU3",C141+ОТЧЕТ!C141*0.2,C141+ОТЧЕТ!C141*0.15)</f>
        <v>443.78499999999997</v>
      </c>
      <c r="F141" s="7" t="s">
        <v>458</v>
      </c>
      <c r="G141" s="7">
        <v>3801042576</v>
      </c>
      <c r="H141" s="20" t="s">
        <v>64</v>
      </c>
      <c r="I141" s="22" t="str">
        <f>INDEX('Справочник Сети'!B:B,(MATCH(G141,'Справочник Сети'!C:C,0)))</f>
        <v>Планета здоровья</v>
      </c>
      <c r="J141" s="7" t="s">
        <v>65</v>
      </c>
      <c r="K141" s="7" t="s">
        <v>462</v>
      </c>
      <c r="L141" s="7" t="s">
        <v>65</v>
      </c>
      <c r="M141" s="31">
        <v>45717</v>
      </c>
      <c r="N141" s="7" t="s">
        <v>463</v>
      </c>
      <c r="O141" s="8">
        <v>2531</v>
      </c>
      <c r="P141" s="24">
        <v>1125</v>
      </c>
      <c r="Q141" s="22">
        <f>IF(COUNTIFS(A$2:A141,A141,I$2:I141,I141)=1,1,0)</f>
        <v>0</v>
      </c>
      <c r="R141" s="22">
        <f t="shared" si="2"/>
        <v>5</v>
      </c>
      <c r="S141" s="33">
        <f>IF(COUNTIF(O$2:O141,O141)=1,R141,0)/2.5</f>
        <v>2</v>
      </c>
    </row>
    <row r="142" spans="1:19" ht="18" customHeight="1" x14ac:dyDescent="0.25">
      <c r="A142" s="7" t="s">
        <v>37</v>
      </c>
      <c r="B142" s="8">
        <v>1</v>
      </c>
      <c r="C142" s="9">
        <v>634</v>
      </c>
      <c r="D142" s="29">
        <f>C142+IF(INDEX('Справочник по %'!B:B,(MATCH(A142,'Справочник по %'!A:A,0)))="кол-во",B142*INDEX('Справочник по %'!C:C,(MATCH(A142,'Справочник по %'!A:A,0))),ОТЧЕТ!C142*INDEX('Справочник по %'!C:C,(MATCH(A142,'Справочник по %'!A:A,0))))/100</f>
        <v>634.20000000000005</v>
      </c>
      <c r="E142" s="29">
        <f>IF(ОТЧЕТ!A142="SKU3",C142+ОТЧЕТ!C142*0.2,C142+ОТЧЕТ!C142*0.15)</f>
        <v>729.1</v>
      </c>
      <c r="F142" s="7" t="s">
        <v>458</v>
      </c>
      <c r="G142" s="12" t="s">
        <v>5763</v>
      </c>
      <c r="H142" s="20" t="s">
        <v>464</v>
      </c>
      <c r="I142" s="22" t="e">
        <f>INDEX('Справочник Сети'!B:B,(MATCH(G142,'Справочник Сети'!C:C,0)))</f>
        <v>#N/A</v>
      </c>
      <c r="J142" s="7" t="s">
        <v>185</v>
      </c>
      <c r="K142" s="7" t="s">
        <v>465</v>
      </c>
      <c r="L142" s="7" t="s">
        <v>168</v>
      </c>
      <c r="M142" s="31">
        <v>45676</v>
      </c>
      <c r="N142" s="7" t="s">
        <v>466</v>
      </c>
      <c r="O142" s="8">
        <v>3481</v>
      </c>
      <c r="P142" s="24">
        <v>1128</v>
      </c>
      <c r="Q142" s="22">
        <f>IF(COUNTIFS(A$2:A142,A142,I$2:I142,I142)=1,1,0)</f>
        <v>1</v>
      </c>
      <c r="R142" s="22">
        <f t="shared" si="2"/>
        <v>1</v>
      </c>
      <c r="S142" s="33">
        <f>IF(COUNTIF(O$2:O142,O142)=1,R142,0)/2.5</f>
        <v>0.4</v>
      </c>
    </row>
    <row r="143" spans="1:19" ht="18" customHeight="1" x14ac:dyDescent="0.25">
      <c r="A143" s="7" t="s">
        <v>43</v>
      </c>
      <c r="B143" s="8">
        <v>1</v>
      </c>
      <c r="C143" s="9">
        <v>557</v>
      </c>
      <c r="D143" s="29">
        <f>C143+IF(INDEX('Справочник по %'!B:B,(MATCH(A143,'Справочник по %'!A:A,0)))="кол-во",B143*INDEX('Справочник по %'!C:C,(MATCH(A143,'Справочник по %'!A:A,0))),ОТЧЕТ!C143*INDEX('Справочник по %'!C:C,(MATCH(A143,'Справочник по %'!A:A,0))))/100</f>
        <v>612.70000000000005</v>
      </c>
      <c r="E143" s="29">
        <f>IF(ОТЧЕТ!A143="SKU3",C143+ОТЧЕТ!C143*0.2,C143+ОТЧЕТ!C143*0.15)</f>
        <v>640.54999999999995</v>
      </c>
      <c r="F143" s="7" t="s">
        <v>458</v>
      </c>
      <c r="G143" s="7">
        <v>2309136755</v>
      </c>
      <c r="H143" s="20" t="s">
        <v>50</v>
      </c>
      <c r="I143" s="22" t="str">
        <f>INDEX('Справочник Сети'!B:B,(MATCH(G143,'Справочник Сети'!C:C,0)))</f>
        <v>Столички</v>
      </c>
      <c r="J143" s="7" t="s">
        <v>57</v>
      </c>
      <c r="K143" s="7" t="s">
        <v>467</v>
      </c>
      <c r="L143" s="7" t="s">
        <v>57</v>
      </c>
      <c r="M143" s="31">
        <v>45729</v>
      </c>
      <c r="N143" s="7" t="s">
        <v>468</v>
      </c>
      <c r="O143" s="8">
        <v>1577</v>
      </c>
      <c r="P143" s="24">
        <v>1130</v>
      </c>
      <c r="Q143" s="22">
        <f>IF(COUNTIFS(A$2:A143,A143,I$2:I143,I143)=1,1,0)</f>
        <v>0</v>
      </c>
      <c r="R143" s="22">
        <f t="shared" si="2"/>
        <v>5</v>
      </c>
      <c r="S143" s="33">
        <f>IF(COUNTIF(O$2:O143,O143)=1,R143,0)/2.5</f>
        <v>0</v>
      </c>
    </row>
    <row r="144" spans="1:19" ht="18" customHeight="1" x14ac:dyDescent="0.25">
      <c r="A144" s="7" t="s">
        <v>37</v>
      </c>
      <c r="B144" s="8">
        <v>1</v>
      </c>
      <c r="C144" s="9">
        <v>680</v>
      </c>
      <c r="D144" s="29">
        <f>C144+IF(INDEX('Справочник по %'!B:B,(MATCH(A144,'Справочник по %'!A:A,0)))="кол-во",B144*INDEX('Справочник по %'!C:C,(MATCH(A144,'Справочник по %'!A:A,0))),ОТЧЕТ!C144*INDEX('Справочник по %'!C:C,(MATCH(A144,'Справочник по %'!A:A,0))))/100</f>
        <v>680.2</v>
      </c>
      <c r="E144" s="29">
        <f>IF(ОТЧЕТ!A144="SKU3",C144+ОТЧЕТ!C144*0.2,C144+ОТЧЕТ!C144*0.15)</f>
        <v>782</v>
      </c>
      <c r="F144" s="7" t="s">
        <v>458</v>
      </c>
      <c r="G144" s="7">
        <v>4702014562</v>
      </c>
      <c r="H144" s="20" t="s">
        <v>50</v>
      </c>
      <c r="I144" s="22" t="str">
        <f>INDEX('Справочник Сети'!B:B,(MATCH(G144,'Справочник Сети'!C:C,0)))</f>
        <v>Ригла</v>
      </c>
      <c r="J144" s="7" t="s">
        <v>83</v>
      </c>
      <c r="K144" s="7" t="s">
        <v>427</v>
      </c>
      <c r="L144" s="7" t="s">
        <v>83</v>
      </c>
      <c r="M144" s="31">
        <v>45715</v>
      </c>
      <c r="N144" s="7" t="s">
        <v>469</v>
      </c>
      <c r="O144" s="8">
        <v>2971</v>
      </c>
      <c r="P144" s="24">
        <v>1132</v>
      </c>
      <c r="Q144" s="22">
        <f>IF(COUNTIFS(A$2:A144,A144,I$2:I144,I144)=1,1,0)</f>
        <v>1</v>
      </c>
      <c r="R144" s="22">
        <f t="shared" si="2"/>
        <v>3</v>
      </c>
      <c r="S144" s="33">
        <f>IF(COUNTIF(O$2:O144,O144)=1,R144,0)/2.5</f>
        <v>1.2</v>
      </c>
    </row>
    <row r="145" spans="1:19" ht="18" customHeight="1" x14ac:dyDescent="0.25">
      <c r="A145" s="7" t="s">
        <v>37</v>
      </c>
      <c r="B145" s="8">
        <v>1</v>
      </c>
      <c r="C145" s="9">
        <v>551</v>
      </c>
      <c r="D145" s="29">
        <f>C145+IF(INDEX('Справочник по %'!B:B,(MATCH(A145,'Справочник по %'!A:A,0)))="кол-во",B145*INDEX('Справочник по %'!C:C,(MATCH(A145,'Справочник по %'!A:A,0))),ОТЧЕТ!C145*INDEX('Справочник по %'!C:C,(MATCH(A145,'Справочник по %'!A:A,0))))/100</f>
        <v>551.20000000000005</v>
      </c>
      <c r="E145" s="29">
        <f>IF(ОТЧЕТ!A145="SKU3",C145+ОТЧЕТ!C145*0.2,C145+ОТЧЕТ!C145*0.15)</f>
        <v>633.65</v>
      </c>
      <c r="F145" s="7" t="s">
        <v>458</v>
      </c>
      <c r="G145" s="7">
        <v>7706795062</v>
      </c>
      <c r="H145" s="20" t="s">
        <v>470</v>
      </c>
      <c r="I145" s="22" t="str">
        <f>INDEX('Справочник Сети'!B:B,(MATCH(G145,'Справочник Сети'!C:C,0)))</f>
        <v>Планета здоровья</v>
      </c>
      <c r="J145" s="7" t="s">
        <v>87</v>
      </c>
      <c r="K145" s="7" t="s">
        <v>471</v>
      </c>
      <c r="L145" s="7" t="s">
        <v>87</v>
      </c>
      <c r="M145" s="31">
        <v>45691</v>
      </c>
      <c r="N145" s="7" t="s">
        <v>472</v>
      </c>
      <c r="O145" s="8">
        <v>2109</v>
      </c>
      <c r="P145" s="24">
        <v>1137</v>
      </c>
      <c r="Q145" s="22">
        <f>IF(COUNTIFS(A$2:A145,A145,I$2:I145,I145)=1,1,0)</f>
        <v>0</v>
      </c>
      <c r="R145" s="22">
        <f t="shared" si="2"/>
        <v>3</v>
      </c>
      <c r="S145" s="33">
        <f>IF(COUNTIF(O$2:O145,O145)=1,R145,0)/2.5</f>
        <v>1.2</v>
      </c>
    </row>
    <row r="146" spans="1:19" ht="18" customHeight="1" x14ac:dyDescent="0.25">
      <c r="A146" s="7" t="s">
        <v>37</v>
      </c>
      <c r="B146" s="8">
        <v>1</v>
      </c>
      <c r="C146" s="9">
        <v>554</v>
      </c>
      <c r="D146" s="29">
        <f>C146+IF(INDEX('Справочник по %'!B:B,(MATCH(A146,'Справочник по %'!A:A,0)))="кол-во",B146*INDEX('Справочник по %'!C:C,(MATCH(A146,'Справочник по %'!A:A,0))),ОТЧЕТ!C146*INDEX('Справочник по %'!C:C,(MATCH(A146,'Справочник по %'!A:A,0))))/100</f>
        <v>554.20000000000005</v>
      </c>
      <c r="E146" s="29">
        <f>IF(ОТЧЕТ!A146="SKU3",C146+ОТЧЕТ!C146*0.2,C146+ОТЧЕТ!C146*0.15)</f>
        <v>637.1</v>
      </c>
      <c r="F146" s="7" t="s">
        <v>458</v>
      </c>
      <c r="G146" s="7">
        <v>7706795062</v>
      </c>
      <c r="H146" s="20" t="s">
        <v>470</v>
      </c>
      <c r="I146" s="22" t="str">
        <f>INDEX('Справочник Сети'!B:B,(MATCH(G146,'Справочник Сети'!C:C,0)))</f>
        <v>Планета здоровья</v>
      </c>
      <c r="J146" s="7" t="s">
        <v>87</v>
      </c>
      <c r="K146" s="7" t="s">
        <v>471</v>
      </c>
      <c r="L146" s="7" t="s">
        <v>87</v>
      </c>
      <c r="M146" s="31">
        <v>45691</v>
      </c>
      <c r="N146" s="7" t="s">
        <v>472</v>
      </c>
      <c r="O146" s="8">
        <v>2109</v>
      </c>
      <c r="P146" s="24">
        <v>1137</v>
      </c>
      <c r="Q146" s="22">
        <f>IF(COUNTIFS(A$2:A146,A146,I$2:I146,I146)=1,1,0)</f>
        <v>0</v>
      </c>
      <c r="R146" s="22">
        <f t="shared" si="2"/>
        <v>3</v>
      </c>
      <c r="S146" s="33">
        <f>IF(COUNTIF(O$2:O146,O146)=1,R146,0)/2.5</f>
        <v>0</v>
      </c>
    </row>
    <row r="147" spans="1:19" ht="18" customHeight="1" x14ac:dyDescent="0.25">
      <c r="A147" s="7" t="s">
        <v>37</v>
      </c>
      <c r="B147" s="8">
        <v>1</v>
      </c>
      <c r="C147" s="9">
        <v>575</v>
      </c>
      <c r="D147" s="29">
        <f>C147+IF(INDEX('Справочник по %'!B:B,(MATCH(A147,'Справочник по %'!A:A,0)))="кол-во",B147*INDEX('Справочник по %'!C:C,(MATCH(A147,'Справочник по %'!A:A,0))),ОТЧЕТ!C147*INDEX('Справочник по %'!C:C,(MATCH(A147,'Справочник по %'!A:A,0))))/100</f>
        <v>575.20000000000005</v>
      </c>
      <c r="E147" s="29">
        <f>IF(ОТЧЕТ!A147="SKU3",C147+ОТЧЕТ!C147*0.2,C147+ОТЧЕТ!C147*0.15)</f>
        <v>661.25</v>
      </c>
      <c r="F147" s="7" t="s">
        <v>458</v>
      </c>
      <c r="G147" s="7">
        <v>6950118467</v>
      </c>
      <c r="H147" s="20" t="s">
        <v>50</v>
      </c>
      <c r="I147" s="22">
        <f>INDEX('Справочник Сети'!B:B,(MATCH(G147,'Справочник Сети'!C:C,0)))</f>
        <v>0</v>
      </c>
      <c r="J147" s="7" t="s">
        <v>106</v>
      </c>
      <c r="K147" s="7" t="s">
        <v>473</v>
      </c>
      <c r="L147" s="7" t="s">
        <v>106</v>
      </c>
      <c r="M147" s="31">
        <v>45694</v>
      </c>
      <c r="N147" s="7" t="s">
        <v>474</v>
      </c>
      <c r="O147" s="8">
        <v>355</v>
      </c>
      <c r="P147" s="24">
        <v>1145</v>
      </c>
      <c r="Q147" s="22">
        <f>IF(COUNTIFS(A$2:A147,A147,I$2:I147,I147)=1,1,0)</f>
        <v>1</v>
      </c>
      <c r="R147" s="22">
        <f t="shared" si="2"/>
        <v>2</v>
      </c>
      <c r="S147" s="33">
        <f>IF(COUNTIF(O$2:O147,O147)=1,R147,0)/2.5</f>
        <v>0.8</v>
      </c>
    </row>
    <row r="148" spans="1:19" ht="18" customHeight="1" x14ac:dyDescent="0.25">
      <c r="A148" s="7" t="s">
        <v>43</v>
      </c>
      <c r="B148" s="8">
        <v>1</v>
      </c>
      <c r="C148" s="9">
        <v>525</v>
      </c>
      <c r="D148" s="29">
        <f>C148+IF(INDEX('Справочник по %'!B:B,(MATCH(A148,'Справочник по %'!A:A,0)))="кол-во",B148*INDEX('Справочник по %'!C:C,(MATCH(A148,'Справочник по %'!A:A,0))),ОТЧЕТ!C148*INDEX('Справочник по %'!C:C,(MATCH(A148,'Справочник по %'!A:A,0))))/100</f>
        <v>577.5</v>
      </c>
      <c r="E148" s="29">
        <f>IF(ОТЧЕТ!A148="SKU3",C148+ОТЧЕТ!C148*0.2,C148+ОТЧЕТ!C148*0.15)</f>
        <v>603.75</v>
      </c>
      <c r="F148" s="7" t="s">
        <v>458</v>
      </c>
      <c r="G148" s="7">
        <v>7840370306</v>
      </c>
      <c r="H148" s="20" t="s">
        <v>475</v>
      </c>
      <c r="I148" s="22">
        <f>INDEX('Справочник Сети'!B:B,(MATCH(G148,'Справочник Сети'!C:C,0)))</f>
        <v>0</v>
      </c>
      <c r="J148" s="7" t="s">
        <v>315</v>
      </c>
      <c r="K148" s="7" t="s">
        <v>476</v>
      </c>
      <c r="L148" s="7" t="s">
        <v>121</v>
      </c>
      <c r="M148" s="31">
        <v>45671</v>
      </c>
      <c r="N148" s="7" t="s">
        <v>477</v>
      </c>
      <c r="O148" s="8">
        <v>2296</v>
      </c>
      <c r="P148" s="24">
        <v>1147</v>
      </c>
      <c r="Q148" s="22">
        <f>IF(COUNTIFS(A$2:A148,A148,I$2:I148,I148)=1,1,0)</f>
        <v>0</v>
      </c>
      <c r="R148" s="22">
        <f t="shared" si="2"/>
        <v>2</v>
      </c>
      <c r="S148" s="33">
        <f>IF(COUNTIF(O$2:O148,O148)=1,R148,0)/2.5</f>
        <v>0.8</v>
      </c>
    </row>
    <row r="149" spans="1:19" ht="18" customHeight="1" x14ac:dyDescent="0.25">
      <c r="A149" s="7" t="s">
        <v>37</v>
      </c>
      <c r="B149" s="8">
        <v>1</v>
      </c>
      <c r="C149" s="9">
        <v>749.5</v>
      </c>
      <c r="D149" s="29">
        <f>C149+IF(INDEX('Справочник по %'!B:B,(MATCH(A149,'Справочник по %'!A:A,0)))="кол-во",B149*INDEX('Справочник по %'!C:C,(MATCH(A149,'Справочник по %'!A:A,0))),ОТЧЕТ!C149*INDEX('Справочник по %'!C:C,(MATCH(A149,'Справочник по %'!A:A,0))))/100</f>
        <v>749.7</v>
      </c>
      <c r="E149" s="29">
        <f>IF(ОТЧЕТ!A149="SKU3",C149+ОТЧЕТ!C149*0.2,C149+ОТЧЕТ!C149*0.15)</f>
        <v>861.92499999999995</v>
      </c>
      <c r="F149" s="7" t="s">
        <v>458</v>
      </c>
      <c r="G149" s="7">
        <v>7733179584</v>
      </c>
      <c r="H149" s="20" t="s">
        <v>50</v>
      </c>
      <c r="I149" s="22" t="str">
        <f>INDEX('Справочник Сети'!B:B,(MATCH(G149,'Справочник Сети'!C:C,0)))</f>
        <v>Нео-фарм</v>
      </c>
      <c r="J149" s="7" t="s">
        <v>353</v>
      </c>
      <c r="K149" s="7" t="s">
        <v>478</v>
      </c>
      <c r="L149" s="7" t="s">
        <v>149</v>
      </c>
      <c r="M149" s="31">
        <v>45673</v>
      </c>
      <c r="N149" s="7" t="s">
        <v>479</v>
      </c>
      <c r="O149" s="8">
        <v>1004</v>
      </c>
      <c r="P149" s="24">
        <v>1148</v>
      </c>
      <c r="Q149" s="22">
        <f>IF(COUNTIFS(A$2:A149,A149,I$2:I149,I149)=1,1,0)</f>
        <v>0</v>
      </c>
      <c r="R149" s="22">
        <f t="shared" si="2"/>
        <v>1</v>
      </c>
      <c r="S149" s="33">
        <f>IF(COUNTIF(O$2:O149,O149)=1,R149,0)/2.5</f>
        <v>0.4</v>
      </c>
    </row>
    <row r="150" spans="1:19" ht="18" customHeight="1" x14ac:dyDescent="0.25">
      <c r="A150" s="7" t="s">
        <v>43</v>
      </c>
      <c r="B150" s="8">
        <v>1</v>
      </c>
      <c r="C150" s="9">
        <v>418.61</v>
      </c>
      <c r="D150" s="29">
        <f>C150+IF(INDEX('Справочник по %'!B:B,(MATCH(A150,'Справочник по %'!A:A,0)))="кол-во",B150*INDEX('Справочник по %'!C:C,(MATCH(A150,'Справочник по %'!A:A,0))),ОТЧЕТ!C150*INDEX('Справочник по %'!C:C,(MATCH(A150,'Справочник по %'!A:A,0))))/100</f>
        <v>460.471</v>
      </c>
      <c r="E150" s="29">
        <f>IF(ОТЧЕТ!A150="SKU3",C150+ОТЧЕТ!C150*0.2,C150+ОТЧЕТ!C150*0.15)</f>
        <v>481.4015</v>
      </c>
      <c r="F150" s="7" t="s">
        <v>480</v>
      </c>
      <c r="G150" s="7">
        <v>5507102175</v>
      </c>
      <c r="H150" s="20" t="s">
        <v>50</v>
      </c>
      <c r="I150" s="22" t="str">
        <f>INDEX('Справочник Сети'!B:B,(MATCH(G150,'Справочник Сети'!C:C,0)))</f>
        <v>Столички</v>
      </c>
      <c r="J150" s="7" t="s">
        <v>255</v>
      </c>
      <c r="K150" s="7" t="s">
        <v>481</v>
      </c>
      <c r="L150" s="7" t="s">
        <v>255</v>
      </c>
      <c r="M150" s="31">
        <v>45713</v>
      </c>
      <c r="N150" s="7" t="s">
        <v>482</v>
      </c>
      <c r="O150" s="8">
        <v>3288</v>
      </c>
      <c r="P150" s="24">
        <v>1579</v>
      </c>
      <c r="Q150" s="22">
        <f>IF(COUNTIFS(A$2:A150,A150,I$2:I150,I150)=1,1,0)</f>
        <v>0</v>
      </c>
      <c r="R150" s="22">
        <f t="shared" si="2"/>
        <v>3</v>
      </c>
      <c r="S150" s="33">
        <f>IF(COUNTIF(O$2:O150,O150)=1,R150,0)/2.5</f>
        <v>1.2</v>
      </c>
    </row>
    <row r="151" spans="1:19" ht="18" customHeight="1" x14ac:dyDescent="0.25">
      <c r="A151" s="7" t="s">
        <v>43</v>
      </c>
      <c r="B151" s="8">
        <v>1</v>
      </c>
      <c r="C151" s="9">
        <v>600</v>
      </c>
      <c r="D151" s="29">
        <f>C151+IF(INDEX('Справочник по %'!B:B,(MATCH(A151,'Справочник по %'!A:A,0)))="кол-во",B151*INDEX('Справочник по %'!C:C,(MATCH(A151,'Справочник по %'!A:A,0))),ОТЧЕТ!C151*INDEX('Справочник по %'!C:C,(MATCH(A151,'Справочник по %'!A:A,0))))/100</f>
        <v>660</v>
      </c>
      <c r="E151" s="29">
        <f>IF(ОТЧЕТ!A151="SKU3",C151+ОТЧЕТ!C151*0.2,C151+ОТЧЕТ!C151*0.15)</f>
        <v>690</v>
      </c>
      <c r="F151" s="7" t="s">
        <v>483</v>
      </c>
      <c r="G151" s="7">
        <v>7729480598</v>
      </c>
      <c r="H151" s="20" t="s">
        <v>50</v>
      </c>
      <c r="I151" s="22">
        <f>INDEX('Справочник Сети'!B:B,(MATCH(G151,'Справочник Сети'!C:C,0)))</f>
        <v>0</v>
      </c>
      <c r="J151" s="7" t="s">
        <v>142</v>
      </c>
      <c r="K151" s="7" t="s">
        <v>484</v>
      </c>
      <c r="L151" s="7" t="s">
        <v>142</v>
      </c>
      <c r="M151" s="31">
        <v>45674</v>
      </c>
      <c r="N151" s="7" t="s">
        <v>485</v>
      </c>
      <c r="O151" s="8">
        <v>1921</v>
      </c>
      <c r="P151" s="24">
        <v>1582</v>
      </c>
      <c r="Q151" s="22">
        <f>IF(COUNTIFS(A$2:A151,A151,I$2:I151,I151)=1,1,0)</f>
        <v>0</v>
      </c>
      <c r="R151" s="22">
        <f t="shared" si="2"/>
        <v>1</v>
      </c>
      <c r="S151" s="33">
        <f>IF(COUNTIF(O$2:O151,O151)=1,R151,0)/2.5</f>
        <v>0.4</v>
      </c>
    </row>
    <row r="152" spans="1:19" ht="18" customHeight="1" x14ac:dyDescent="0.25">
      <c r="A152" s="7" t="s">
        <v>37</v>
      </c>
      <c r="B152" s="8">
        <v>1</v>
      </c>
      <c r="C152" s="9">
        <v>535</v>
      </c>
      <c r="D152" s="29">
        <f>C152+IF(INDEX('Справочник по %'!B:B,(MATCH(A152,'Справочник по %'!A:A,0)))="кол-во",B152*INDEX('Справочник по %'!C:C,(MATCH(A152,'Справочник по %'!A:A,0))),ОТЧЕТ!C152*INDEX('Справочник по %'!C:C,(MATCH(A152,'Справочник по %'!A:A,0))))/100</f>
        <v>535.20000000000005</v>
      </c>
      <c r="E152" s="29">
        <f>IF(ОТЧЕТ!A152="SKU3",C152+ОТЧЕТ!C152*0.2,C152+ОТЧЕТ!C152*0.15)</f>
        <v>615.25</v>
      </c>
      <c r="F152" s="7" t="s">
        <v>486</v>
      </c>
      <c r="G152" s="7">
        <v>7706795062</v>
      </c>
      <c r="H152" s="20" t="s">
        <v>487</v>
      </c>
      <c r="I152" s="22" t="str">
        <f>INDEX('Справочник Сети'!B:B,(MATCH(G152,'Справочник Сети'!C:C,0)))</f>
        <v>Планета здоровья</v>
      </c>
      <c r="J152" s="7" t="s">
        <v>87</v>
      </c>
      <c r="K152" s="7" t="s">
        <v>488</v>
      </c>
      <c r="L152" s="7" t="s">
        <v>87</v>
      </c>
      <c r="M152" s="31">
        <v>45691</v>
      </c>
      <c r="N152" s="7" t="s">
        <v>489</v>
      </c>
      <c r="O152" s="8">
        <v>1553</v>
      </c>
      <c r="P152" s="24">
        <v>1583</v>
      </c>
      <c r="Q152" s="22">
        <f>IF(COUNTIFS(A$2:A152,A152,I$2:I152,I152)=1,1,0)</f>
        <v>0</v>
      </c>
      <c r="R152" s="22">
        <f t="shared" si="2"/>
        <v>5</v>
      </c>
      <c r="S152" s="33">
        <f>IF(COUNTIF(O$2:O152,O152)=1,R152,0)/2.5</f>
        <v>2</v>
      </c>
    </row>
    <row r="153" spans="1:19" ht="18" customHeight="1" x14ac:dyDescent="0.25">
      <c r="A153" s="7" t="s">
        <v>43</v>
      </c>
      <c r="B153" s="8">
        <v>1</v>
      </c>
      <c r="C153" s="9">
        <v>408.4</v>
      </c>
      <c r="D153" s="29">
        <f>C153+IF(INDEX('Справочник по %'!B:B,(MATCH(A153,'Справочник по %'!A:A,0)))="кол-во",B153*INDEX('Справочник по %'!C:C,(MATCH(A153,'Справочник по %'!A:A,0))),ОТЧЕТ!C153*INDEX('Справочник по %'!C:C,(MATCH(A153,'Справочник по %'!A:A,0))))/100</f>
        <v>449.24</v>
      </c>
      <c r="E153" s="29">
        <f>IF(ОТЧЕТ!A153="SKU3",C153+ОТЧЕТ!C153*0.2,C153+ОТЧЕТ!C153*0.15)</f>
        <v>469.65999999999997</v>
      </c>
      <c r="F153" s="7" t="s">
        <v>490</v>
      </c>
      <c r="G153" s="7">
        <v>7840411560</v>
      </c>
      <c r="H153" s="20" t="s">
        <v>491</v>
      </c>
      <c r="I153" s="22" t="str">
        <f>INDEX('Справочник Сети'!B:B,(MATCH(G153,'Справочник Сети'!C:C,0)))</f>
        <v>Столички</v>
      </c>
      <c r="J153" s="7" t="s">
        <v>315</v>
      </c>
      <c r="K153" s="7" t="s">
        <v>492</v>
      </c>
      <c r="L153" s="7" t="s">
        <v>315</v>
      </c>
      <c r="M153" s="31">
        <v>45670</v>
      </c>
      <c r="N153" s="7" t="s">
        <v>493</v>
      </c>
      <c r="O153" s="8">
        <v>2953</v>
      </c>
      <c r="P153" s="24">
        <v>1584</v>
      </c>
      <c r="Q153" s="22">
        <f>IF(COUNTIFS(A$2:A153,A153,I$2:I153,I153)=1,1,0)</f>
        <v>0</v>
      </c>
      <c r="R153" s="22">
        <f t="shared" si="2"/>
        <v>4</v>
      </c>
      <c r="S153" s="33">
        <f>IF(COUNTIF(O$2:O153,O153)=1,R153,0)/2.5</f>
        <v>1.6</v>
      </c>
    </row>
    <row r="154" spans="1:19" ht="18" customHeight="1" x14ac:dyDescent="0.25">
      <c r="A154" s="7" t="s">
        <v>43</v>
      </c>
      <c r="B154" s="8">
        <v>1</v>
      </c>
      <c r="C154" s="9">
        <v>378</v>
      </c>
      <c r="D154" s="29">
        <f>C154+IF(INDEX('Справочник по %'!B:B,(MATCH(A154,'Справочник по %'!A:A,0)))="кол-во",B154*INDEX('Справочник по %'!C:C,(MATCH(A154,'Справочник по %'!A:A,0))),ОТЧЕТ!C154*INDEX('Справочник по %'!C:C,(MATCH(A154,'Справочник по %'!A:A,0))))/100</f>
        <v>415.8</v>
      </c>
      <c r="E154" s="29">
        <f>IF(ОТЧЕТ!A154="SKU3",C154+ОТЧЕТ!C154*0.2,C154+ОТЧЕТ!C154*0.15)</f>
        <v>434.7</v>
      </c>
      <c r="F154" s="7" t="s">
        <v>490</v>
      </c>
      <c r="G154" s="7">
        <v>7706795062</v>
      </c>
      <c r="H154" s="20" t="s">
        <v>494</v>
      </c>
      <c r="I154" s="22" t="str">
        <f>INDEX('Справочник Сети'!B:B,(MATCH(G154,'Справочник Сети'!C:C,0)))</f>
        <v>Планета здоровья</v>
      </c>
      <c r="J154" s="7" t="s">
        <v>87</v>
      </c>
      <c r="K154" s="7" t="s">
        <v>495</v>
      </c>
      <c r="L154" s="7" t="s">
        <v>87</v>
      </c>
      <c r="M154" s="31">
        <v>45691</v>
      </c>
      <c r="N154" s="7" t="s">
        <v>496</v>
      </c>
      <c r="O154" s="8">
        <v>1711</v>
      </c>
      <c r="P154" s="24">
        <v>1587</v>
      </c>
      <c r="Q154" s="22">
        <f>IF(COUNTIFS(A$2:A154,A154,I$2:I154,I154)=1,1,0)</f>
        <v>0</v>
      </c>
      <c r="R154" s="22">
        <f t="shared" si="2"/>
        <v>1</v>
      </c>
      <c r="S154" s="33">
        <f>IF(COUNTIF(O$2:O154,O154)=1,R154,0)/2.5</f>
        <v>0.4</v>
      </c>
    </row>
    <row r="155" spans="1:19" ht="18" customHeight="1" x14ac:dyDescent="0.25">
      <c r="A155" s="7" t="s">
        <v>43</v>
      </c>
      <c r="B155" s="8">
        <v>1</v>
      </c>
      <c r="C155" s="9">
        <v>389.88</v>
      </c>
      <c r="D155" s="29">
        <f>C155+IF(INDEX('Справочник по %'!B:B,(MATCH(A155,'Справочник по %'!A:A,0)))="кол-во",B155*INDEX('Справочник по %'!C:C,(MATCH(A155,'Справочник по %'!A:A,0))),ОТЧЕТ!C155*INDEX('Справочник по %'!C:C,(MATCH(A155,'Справочник по %'!A:A,0))))/100</f>
        <v>428.86799999999999</v>
      </c>
      <c r="E155" s="29">
        <f>IF(ОТЧЕТ!A155="SKU3",C155+ОТЧЕТ!C155*0.2,C155+ОТЧЕТ!C155*0.15)</f>
        <v>448.36199999999997</v>
      </c>
      <c r="F155" s="7" t="s">
        <v>497</v>
      </c>
      <c r="G155" s="7">
        <v>7705947629</v>
      </c>
      <c r="H155" s="20" t="s">
        <v>50</v>
      </c>
      <c r="I155" s="22" t="str">
        <f>INDEX('Справочник Сети'!B:B,(MATCH(G155,'Справочник Сети'!C:C,0)))</f>
        <v>36,6</v>
      </c>
      <c r="J155" s="7" t="s">
        <v>116</v>
      </c>
      <c r="K155" s="7" t="s">
        <v>498</v>
      </c>
      <c r="L155" s="7" t="s">
        <v>104</v>
      </c>
      <c r="M155" s="31">
        <v>45693</v>
      </c>
      <c r="N155" s="7" t="s">
        <v>499</v>
      </c>
      <c r="O155" s="8">
        <v>3228</v>
      </c>
      <c r="P155" s="24">
        <v>1590</v>
      </c>
      <c r="Q155" s="22">
        <f>IF(COUNTIFS(A$2:A155,A155,I$2:I155,I155)=1,1,0)</f>
        <v>0</v>
      </c>
      <c r="R155" s="22">
        <f t="shared" si="2"/>
        <v>3</v>
      </c>
      <c r="S155" s="33">
        <f>IF(COUNTIF(O$2:O155,O155)=1,R155,0)/2.5</f>
        <v>1.2</v>
      </c>
    </row>
    <row r="156" spans="1:19" ht="18" customHeight="1" x14ac:dyDescent="0.25">
      <c r="A156" s="7" t="s">
        <v>43</v>
      </c>
      <c r="B156" s="8">
        <v>1</v>
      </c>
      <c r="C156" s="9">
        <v>610</v>
      </c>
      <c r="D156" s="29">
        <f>C156+IF(INDEX('Справочник по %'!B:B,(MATCH(A156,'Справочник по %'!A:A,0)))="кол-во",B156*INDEX('Справочник по %'!C:C,(MATCH(A156,'Справочник по %'!A:A,0))),ОТЧЕТ!C156*INDEX('Справочник по %'!C:C,(MATCH(A156,'Справочник по %'!A:A,0))))/100</f>
        <v>671</v>
      </c>
      <c r="E156" s="29">
        <f>IF(ОТЧЕТ!A156="SKU3",C156+ОТЧЕТ!C156*0.2,C156+ОТЧЕТ!C156*0.15)</f>
        <v>701.5</v>
      </c>
      <c r="F156" s="7" t="s">
        <v>500</v>
      </c>
      <c r="G156" s="7">
        <v>7705947629</v>
      </c>
      <c r="H156" s="20" t="s">
        <v>50</v>
      </c>
      <c r="I156" s="22" t="str">
        <f>INDEX('Справочник Сети'!B:B,(MATCH(G156,'Справочник Сети'!C:C,0)))</f>
        <v>36,6</v>
      </c>
      <c r="J156" s="7" t="s">
        <v>104</v>
      </c>
      <c r="K156" s="7" t="s">
        <v>501</v>
      </c>
      <c r="L156" s="7" t="s">
        <v>104</v>
      </c>
      <c r="M156" s="31">
        <v>45693</v>
      </c>
      <c r="N156" s="7" t="s">
        <v>502</v>
      </c>
      <c r="O156" s="8">
        <v>372</v>
      </c>
      <c r="P156" s="24">
        <v>1591</v>
      </c>
      <c r="Q156" s="22">
        <f>IF(COUNTIFS(A$2:A156,A156,I$2:I156,I156)=1,1,0)</f>
        <v>0</v>
      </c>
      <c r="R156" s="22">
        <f t="shared" si="2"/>
        <v>13</v>
      </c>
      <c r="S156" s="33">
        <f>IF(COUNTIF(O$2:O156,O156)=1,R156,0)/2.5</f>
        <v>0</v>
      </c>
    </row>
    <row r="157" spans="1:19" ht="18" customHeight="1" x14ac:dyDescent="0.25">
      <c r="A157" s="7" t="s">
        <v>43</v>
      </c>
      <c r="B157" s="8">
        <v>1</v>
      </c>
      <c r="C157" s="9">
        <v>592</v>
      </c>
      <c r="D157" s="29">
        <f>C157+IF(INDEX('Справочник по %'!B:B,(MATCH(A157,'Справочник по %'!A:A,0)))="кол-во",B157*INDEX('Справочник по %'!C:C,(MATCH(A157,'Справочник по %'!A:A,0))),ОТЧЕТ!C157*INDEX('Справочник по %'!C:C,(MATCH(A157,'Справочник по %'!A:A,0))))/100</f>
        <v>651.20000000000005</v>
      </c>
      <c r="E157" s="29">
        <f>IF(ОТЧЕТ!A157="SKU3",C157+ОТЧЕТ!C157*0.2,C157+ОТЧЕТ!C157*0.15)</f>
        <v>680.8</v>
      </c>
      <c r="F157" s="7" t="s">
        <v>503</v>
      </c>
      <c r="G157" s="7">
        <v>7714844316</v>
      </c>
      <c r="H157" s="20" t="s">
        <v>50</v>
      </c>
      <c r="I157" s="22" t="str">
        <f>INDEX('Справочник Сети'!B:B,(MATCH(G157,'Справочник Сети'!C:C,0)))</f>
        <v>Планета здоровья</v>
      </c>
      <c r="J157" s="7" t="s">
        <v>504</v>
      </c>
      <c r="K157" s="7" t="s">
        <v>505</v>
      </c>
      <c r="L157" s="7" t="s">
        <v>504</v>
      </c>
      <c r="M157" s="31">
        <v>45690</v>
      </c>
      <c r="N157" s="7" t="s">
        <v>506</v>
      </c>
      <c r="O157" s="8">
        <v>2496</v>
      </c>
      <c r="P157" s="24">
        <v>1594</v>
      </c>
      <c r="Q157" s="22">
        <f>IF(COUNTIFS(A$2:A157,A157,I$2:I157,I157)=1,1,0)</f>
        <v>0</v>
      </c>
      <c r="R157" s="22">
        <f t="shared" si="2"/>
        <v>6</v>
      </c>
      <c r="S157" s="33">
        <f>IF(COUNTIF(O$2:O157,O157)=1,R157,0)/2.5</f>
        <v>2.4</v>
      </c>
    </row>
    <row r="158" spans="1:19" ht="18" customHeight="1" x14ac:dyDescent="0.25">
      <c r="A158" s="7" t="s">
        <v>37</v>
      </c>
      <c r="B158" s="8">
        <v>1</v>
      </c>
      <c r="C158" s="9">
        <v>616</v>
      </c>
      <c r="D158" s="29">
        <f>C158+IF(INDEX('Справочник по %'!B:B,(MATCH(A158,'Справочник по %'!A:A,0)))="кол-во",B158*INDEX('Справочник по %'!C:C,(MATCH(A158,'Справочник по %'!A:A,0))),ОТЧЕТ!C158*INDEX('Справочник по %'!C:C,(MATCH(A158,'Справочник по %'!A:A,0))))/100</f>
        <v>616.20000000000005</v>
      </c>
      <c r="E158" s="29">
        <f>IF(ОТЧЕТ!A158="SKU3",C158+ОТЧЕТ!C158*0.2,C158+ОТЧЕТ!C158*0.15)</f>
        <v>708.4</v>
      </c>
      <c r="F158" s="7" t="s">
        <v>507</v>
      </c>
      <c r="G158" s="7">
        <v>463400414804</v>
      </c>
      <c r="H158" s="20" t="s">
        <v>64</v>
      </c>
      <c r="I158" s="22" t="str">
        <f>INDEX('Справочник Сети'!B:B,(MATCH(G158,'Справочник Сети'!C:C,0)))</f>
        <v>Планета здоровья</v>
      </c>
      <c r="J158" s="7" t="s">
        <v>110</v>
      </c>
      <c r="K158" s="7" t="s">
        <v>508</v>
      </c>
      <c r="L158" s="7" t="s">
        <v>110</v>
      </c>
      <c r="M158" s="31">
        <v>45660</v>
      </c>
      <c r="N158" s="7" t="s">
        <v>509</v>
      </c>
      <c r="O158" s="8">
        <v>2194</v>
      </c>
      <c r="P158" s="24">
        <v>1598</v>
      </c>
      <c r="Q158" s="22">
        <f>IF(COUNTIFS(A$2:A158,A158,I$2:I158,I158)=1,1,0)</f>
        <v>0</v>
      </c>
      <c r="R158" s="22">
        <f t="shared" si="2"/>
        <v>2</v>
      </c>
      <c r="S158" s="33">
        <f>IF(COUNTIF(O$2:O158,O158)=1,R158,0)/2.5</f>
        <v>0.8</v>
      </c>
    </row>
    <row r="159" spans="1:19" ht="18" customHeight="1" x14ac:dyDescent="0.25">
      <c r="A159" s="7" t="s">
        <v>43</v>
      </c>
      <c r="B159" s="8">
        <v>1</v>
      </c>
      <c r="C159" s="9">
        <v>445</v>
      </c>
      <c r="D159" s="29">
        <f>C159+IF(INDEX('Справочник по %'!B:B,(MATCH(A159,'Справочник по %'!A:A,0)))="кол-во",B159*INDEX('Справочник по %'!C:C,(MATCH(A159,'Справочник по %'!A:A,0))),ОТЧЕТ!C159*INDEX('Справочник по %'!C:C,(MATCH(A159,'Справочник по %'!A:A,0))))/100</f>
        <v>489.5</v>
      </c>
      <c r="E159" s="29">
        <f>IF(ОТЧЕТ!A159="SKU3",C159+ОТЧЕТ!C159*0.2,C159+ОТЧЕТ!C159*0.15)</f>
        <v>511.75</v>
      </c>
      <c r="F159" s="7" t="s">
        <v>507</v>
      </c>
      <c r="G159" s="7">
        <v>231700119537</v>
      </c>
      <c r="H159" s="20" t="s">
        <v>50</v>
      </c>
      <c r="I159" s="22">
        <f>INDEX('Справочник Сети'!B:B,(MATCH(G159,'Справочник Сети'!C:C,0)))</f>
        <v>0</v>
      </c>
      <c r="J159" s="7" t="s">
        <v>74</v>
      </c>
      <c r="K159" s="7" t="s">
        <v>293</v>
      </c>
      <c r="L159" s="7" t="s">
        <v>74</v>
      </c>
      <c r="M159" s="31">
        <v>45661</v>
      </c>
      <c r="N159" s="7" t="s">
        <v>510</v>
      </c>
      <c r="O159" s="8">
        <v>2602</v>
      </c>
      <c r="P159" s="24">
        <v>1599</v>
      </c>
      <c r="Q159" s="22">
        <f>IF(COUNTIFS(A$2:A159,A159,I$2:I159,I159)=1,1,0)</f>
        <v>0</v>
      </c>
      <c r="R159" s="22">
        <f t="shared" si="2"/>
        <v>2</v>
      </c>
      <c r="S159" s="33">
        <f>IF(COUNTIF(O$2:O159,O159)=1,R159,0)/2.5</f>
        <v>0.8</v>
      </c>
    </row>
    <row r="160" spans="1:19" ht="18" customHeight="1" x14ac:dyDescent="0.25">
      <c r="A160" s="7" t="s">
        <v>37</v>
      </c>
      <c r="B160" s="8">
        <v>1</v>
      </c>
      <c r="C160" s="9">
        <v>655</v>
      </c>
      <c r="D160" s="29">
        <f>C160+IF(INDEX('Справочник по %'!B:B,(MATCH(A160,'Справочник по %'!A:A,0)))="кол-во",B160*INDEX('Справочник по %'!C:C,(MATCH(A160,'Справочник по %'!A:A,0))),ОТЧЕТ!C160*INDEX('Справочник по %'!C:C,(MATCH(A160,'Справочник по %'!A:A,0))))/100</f>
        <v>655.20000000000005</v>
      </c>
      <c r="E160" s="29">
        <f>IF(ОТЧЕТ!A160="SKU3",C160+ОТЧЕТ!C160*0.2,C160+ОТЧЕТ!C160*0.15)</f>
        <v>753.25</v>
      </c>
      <c r="F160" s="7" t="s">
        <v>507</v>
      </c>
      <c r="G160" s="7">
        <v>5907998608</v>
      </c>
      <c r="H160" s="20" t="s">
        <v>511</v>
      </c>
      <c r="I160" s="22" t="str">
        <f>INDEX('Справочник Сети'!B:B,(MATCH(G160,'Справочник Сети'!C:C,0)))</f>
        <v>Планета здоровья</v>
      </c>
      <c r="J160" s="7" t="s">
        <v>512</v>
      </c>
      <c r="K160" s="7" t="s">
        <v>508</v>
      </c>
      <c r="L160" s="7" t="s">
        <v>513</v>
      </c>
      <c r="M160" s="31">
        <v>45701</v>
      </c>
      <c r="N160" s="7" t="s">
        <v>514</v>
      </c>
      <c r="O160" s="8">
        <v>1253</v>
      </c>
      <c r="P160" s="24">
        <v>1600</v>
      </c>
      <c r="Q160" s="22">
        <f>IF(COUNTIFS(A$2:A160,A160,I$2:I160,I160)=1,1,0)</f>
        <v>0</v>
      </c>
      <c r="R160" s="22">
        <f t="shared" si="2"/>
        <v>8</v>
      </c>
      <c r="S160" s="33">
        <f>IF(COUNTIF(O$2:O160,O160)=1,R160,0)/2.5</f>
        <v>0</v>
      </c>
    </row>
    <row r="161" spans="1:19" ht="18" customHeight="1" x14ac:dyDescent="0.25">
      <c r="A161" s="7" t="s">
        <v>43</v>
      </c>
      <c r="B161" s="8">
        <v>1</v>
      </c>
      <c r="C161" s="9">
        <v>430</v>
      </c>
      <c r="D161" s="29">
        <f>C161+IF(INDEX('Справочник по %'!B:B,(MATCH(A161,'Справочник по %'!A:A,0)))="кол-во",B161*INDEX('Справочник по %'!C:C,(MATCH(A161,'Справочник по %'!A:A,0))),ОТЧЕТ!C161*INDEX('Справочник по %'!C:C,(MATCH(A161,'Справочник по %'!A:A,0))))/100</f>
        <v>473</v>
      </c>
      <c r="E161" s="29">
        <f>IF(ОТЧЕТ!A161="SKU3",C161+ОТЧЕТ!C161*0.2,C161+ОТЧЕТ!C161*0.15)</f>
        <v>494.5</v>
      </c>
      <c r="F161" s="7" t="s">
        <v>507</v>
      </c>
      <c r="G161" s="7">
        <v>7734231220</v>
      </c>
      <c r="H161" s="20" t="s">
        <v>50</v>
      </c>
      <c r="I161" s="22">
        <f>INDEX('Справочник Сети'!B:B,(MATCH(G161,'Справочник Сети'!C:C,0)))</f>
        <v>0</v>
      </c>
      <c r="J161" s="7" t="s">
        <v>353</v>
      </c>
      <c r="K161" s="7" t="s">
        <v>515</v>
      </c>
      <c r="L161" s="7" t="s">
        <v>353</v>
      </c>
      <c r="M161" s="31">
        <v>45672</v>
      </c>
      <c r="N161" s="7" t="s">
        <v>516</v>
      </c>
      <c r="O161" s="8">
        <v>51</v>
      </c>
      <c r="P161" s="24">
        <v>1601</v>
      </c>
      <c r="Q161" s="22">
        <f>IF(COUNTIFS(A$2:A161,A161,I$2:I161,I161)=1,1,0)</f>
        <v>0</v>
      </c>
      <c r="R161" s="22">
        <f t="shared" si="2"/>
        <v>2</v>
      </c>
      <c r="S161" s="33">
        <f>IF(COUNTIF(O$2:O161,O161)=1,R161,0)/2.5</f>
        <v>0.8</v>
      </c>
    </row>
    <row r="162" spans="1:19" ht="18" customHeight="1" x14ac:dyDescent="0.25">
      <c r="A162" s="7" t="s">
        <v>37</v>
      </c>
      <c r="B162" s="8">
        <v>1</v>
      </c>
      <c r="C162" s="9">
        <v>584</v>
      </c>
      <c r="D162" s="29">
        <f>C162+IF(INDEX('Справочник по %'!B:B,(MATCH(A162,'Справочник по %'!A:A,0)))="кол-во",B162*INDEX('Справочник по %'!C:C,(MATCH(A162,'Справочник по %'!A:A,0))),ОТЧЕТ!C162*INDEX('Справочник по %'!C:C,(MATCH(A162,'Справочник по %'!A:A,0))))/100</f>
        <v>584.20000000000005</v>
      </c>
      <c r="E162" s="29">
        <f>IF(ОТЧЕТ!A162="SKU3",C162+ОТЧЕТ!C162*0.2,C162+ОТЧЕТ!C162*0.15)</f>
        <v>671.6</v>
      </c>
      <c r="F162" s="7" t="s">
        <v>507</v>
      </c>
      <c r="G162" s="7">
        <v>2310096546</v>
      </c>
      <c r="H162" s="20" t="s">
        <v>69</v>
      </c>
      <c r="I162" s="22" t="str">
        <f>INDEX('Справочник Сети'!B:B,(MATCH(G162,'Справочник Сети'!C:C,0)))</f>
        <v>36,6</v>
      </c>
      <c r="J162" s="7" t="s">
        <v>57</v>
      </c>
      <c r="K162" s="7" t="s">
        <v>517</v>
      </c>
      <c r="L162" s="7" t="s">
        <v>57</v>
      </c>
      <c r="M162" s="31">
        <v>45729</v>
      </c>
      <c r="N162" s="7" t="s">
        <v>518</v>
      </c>
      <c r="O162" s="8">
        <v>1452</v>
      </c>
      <c r="P162" s="24">
        <v>1602</v>
      </c>
      <c r="Q162" s="22">
        <f>IF(COUNTIFS(A$2:A162,A162,I$2:I162,I162)=1,1,0)</f>
        <v>0</v>
      </c>
      <c r="R162" s="22">
        <f t="shared" si="2"/>
        <v>1</v>
      </c>
      <c r="S162" s="33">
        <f>IF(COUNTIF(O$2:O162,O162)=1,R162,0)/2.5</f>
        <v>0.4</v>
      </c>
    </row>
    <row r="163" spans="1:19" ht="18" customHeight="1" x14ac:dyDescent="0.25">
      <c r="A163" s="7" t="s">
        <v>37</v>
      </c>
      <c r="B163" s="8">
        <v>1</v>
      </c>
      <c r="C163" s="9">
        <v>570</v>
      </c>
      <c r="D163" s="29">
        <f>C163+IF(INDEX('Справочник по %'!B:B,(MATCH(A163,'Справочник по %'!A:A,0)))="кол-во",B163*INDEX('Справочник по %'!C:C,(MATCH(A163,'Справочник по %'!A:A,0))),ОТЧЕТ!C163*INDEX('Справочник по %'!C:C,(MATCH(A163,'Справочник по %'!A:A,0))))/100</f>
        <v>570.20000000000005</v>
      </c>
      <c r="E163" s="29">
        <f>IF(ОТЧЕТ!A163="SKU3",C163+ОТЧЕТ!C163*0.2,C163+ОТЧЕТ!C163*0.15)</f>
        <v>655.5</v>
      </c>
      <c r="F163" s="7" t="s">
        <v>507</v>
      </c>
      <c r="G163" s="7">
        <v>6164078092</v>
      </c>
      <c r="H163" s="20" t="s">
        <v>519</v>
      </c>
      <c r="I163" s="22" t="str">
        <f>INDEX('Справочник Сети'!B:B,(MATCH(G163,'Справочник Сети'!C:C,0)))</f>
        <v>Ригла</v>
      </c>
      <c r="J163" s="7" t="s">
        <v>520</v>
      </c>
      <c r="K163" s="7" t="s">
        <v>521</v>
      </c>
      <c r="L163" s="7" t="s">
        <v>520</v>
      </c>
      <c r="M163" s="31">
        <v>45697</v>
      </c>
      <c r="N163" s="7" t="s">
        <v>522</v>
      </c>
      <c r="O163" s="8">
        <v>3168</v>
      </c>
      <c r="P163" s="24">
        <v>1605</v>
      </c>
      <c r="Q163" s="22">
        <f>IF(COUNTIFS(A$2:A163,A163,I$2:I163,I163)=1,1,0)</f>
        <v>0</v>
      </c>
      <c r="R163" s="22">
        <f t="shared" si="2"/>
        <v>1</v>
      </c>
      <c r="S163" s="33">
        <f>IF(COUNTIF(O$2:O163,O163)=1,R163,0)/2.5</f>
        <v>0.4</v>
      </c>
    </row>
    <row r="164" spans="1:19" ht="18" customHeight="1" x14ac:dyDescent="0.25">
      <c r="A164" s="7" t="s">
        <v>43</v>
      </c>
      <c r="B164" s="8">
        <v>1</v>
      </c>
      <c r="C164" s="9">
        <v>399</v>
      </c>
      <c r="D164" s="29">
        <f>C164+IF(INDEX('Справочник по %'!B:B,(MATCH(A164,'Справочник по %'!A:A,0)))="кол-во",B164*INDEX('Справочник по %'!C:C,(MATCH(A164,'Справочник по %'!A:A,0))),ОТЧЕТ!C164*INDEX('Справочник по %'!C:C,(MATCH(A164,'Справочник по %'!A:A,0))))/100</f>
        <v>438.9</v>
      </c>
      <c r="E164" s="29">
        <f>IF(ОТЧЕТ!A164="SKU3",C164+ОТЧЕТ!C164*0.2,C164+ОТЧЕТ!C164*0.15)</f>
        <v>458.85</v>
      </c>
      <c r="F164" s="7" t="s">
        <v>523</v>
      </c>
      <c r="G164" s="7">
        <v>7728339546</v>
      </c>
      <c r="H164" s="20" t="s">
        <v>524</v>
      </c>
      <c r="I164" s="22" t="str">
        <f>INDEX('Справочник Сети'!B:B,(MATCH(G164,'Справочник Сети'!C:C,0)))</f>
        <v>Планета здоровья</v>
      </c>
      <c r="J164" s="7" t="s">
        <v>142</v>
      </c>
      <c r="K164" s="7" t="s">
        <v>525</v>
      </c>
      <c r="L164" s="7" t="s">
        <v>142</v>
      </c>
      <c r="M164" s="31">
        <v>45674</v>
      </c>
      <c r="N164" s="7" t="s">
        <v>526</v>
      </c>
      <c r="O164" s="8">
        <v>2842</v>
      </c>
      <c r="P164" s="24">
        <v>1606</v>
      </c>
      <c r="Q164" s="22">
        <f>IF(COUNTIFS(A$2:A164,A164,I$2:I164,I164)=1,1,0)</f>
        <v>0</v>
      </c>
      <c r="R164" s="22">
        <f t="shared" si="2"/>
        <v>2</v>
      </c>
      <c r="S164" s="33">
        <f>IF(COUNTIF(O$2:O164,O164)=1,R164,0)/2.5</f>
        <v>0.8</v>
      </c>
    </row>
    <row r="165" spans="1:19" ht="18" customHeight="1" x14ac:dyDescent="0.25">
      <c r="A165" s="7" t="s">
        <v>37</v>
      </c>
      <c r="B165" s="8">
        <v>1</v>
      </c>
      <c r="C165" s="9">
        <v>678</v>
      </c>
      <c r="D165" s="29">
        <f>C165+IF(INDEX('Справочник по %'!B:B,(MATCH(A165,'Справочник по %'!A:A,0)))="кол-во",B165*INDEX('Справочник по %'!C:C,(MATCH(A165,'Справочник по %'!A:A,0))),ОТЧЕТ!C165*INDEX('Справочник по %'!C:C,(MATCH(A165,'Справочник по %'!A:A,0))))/100</f>
        <v>678.2</v>
      </c>
      <c r="E165" s="29">
        <f>IF(ОТЧЕТ!A165="SKU3",C165+ОТЧЕТ!C165*0.2,C165+ОТЧЕТ!C165*0.15)</f>
        <v>779.7</v>
      </c>
      <c r="F165" s="7" t="s">
        <v>527</v>
      </c>
      <c r="G165" s="7">
        <v>5800000070</v>
      </c>
      <c r="H165" s="20" t="s">
        <v>528</v>
      </c>
      <c r="I165" s="22" t="str">
        <f>INDEX('Справочник Сети'!B:B,(MATCH(G165,'Справочник Сети'!C:C,0)))</f>
        <v>Ригла</v>
      </c>
      <c r="J165" s="7" t="s">
        <v>40</v>
      </c>
      <c r="K165" s="7" t="s">
        <v>529</v>
      </c>
      <c r="L165" s="7" t="s">
        <v>40</v>
      </c>
      <c r="M165" s="31">
        <v>45712</v>
      </c>
      <c r="N165" s="7" t="s">
        <v>530</v>
      </c>
      <c r="O165" s="8">
        <v>3327</v>
      </c>
      <c r="P165" s="24">
        <v>1607</v>
      </c>
      <c r="Q165" s="22">
        <f>IF(COUNTIFS(A$2:A165,A165,I$2:I165,I165)=1,1,0)</f>
        <v>0</v>
      </c>
      <c r="R165" s="22">
        <f t="shared" si="2"/>
        <v>1</v>
      </c>
      <c r="S165" s="33">
        <f>IF(COUNTIF(O$2:O165,O165)=1,R165,0)/2.5</f>
        <v>0.4</v>
      </c>
    </row>
    <row r="166" spans="1:19" ht="18" customHeight="1" x14ac:dyDescent="0.25">
      <c r="A166" s="7" t="s">
        <v>37</v>
      </c>
      <c r="B166" s="8">
        <v>1</v>
      </c>
      <c r="C166" s="9">
        <v>663</v>
      </c>
      <c r="D166" s="29">
        <f>C166+IF(INDEX('Справочник по %'!B:B,(MATCH(A166,'Справочник по %'!A:A,0)))="кол-во",B166*INDEX('Справочник по %'!C:C,(MATCH(A166,'Справочник по %'!A:A,0))),ОТЧЕТ!C166*INDEX('Справочник по %'!C:C,(MATCH(A166,'Справочник по %'!A:A,0))))/100</f>
        <v>663.2</v>
      </c>
      <c r="E166" s="29">
        <f>IF(ОТЧЕТ!A166="SKU3",C166+ОТЧЕТ!C166*0.2,C166+ОТЧЕТ!C166*0.15)</f>
        <v>762.45</v>
      </c>
      <c r="F166" s="7" t="s">
        <v>527</v>
      </c>
      <c r="G166" s="7">
        <v>7726423062</v>
      </c>
      <c r="H166" s="20" t="s">
        <v>50</v>
      </c>
      <c r="I166" s="22" t="str">
        <f>INDEX('Справочник Сети'!B:B,(MATCH(G166,'Справочник Сети'!C:C,0)))</f>
        <v>Ригла</v>
      </c>
      <c r="J166" s="7" t="s">
        <v>185</v>
      </c>
      <c r="K166" s="7" t="s">
        <v>531</v>
      </c>
      <c r="L166" s="7" t="s">
        <v>185</v>
      </c>
      <c r="M166" s="31">
        <v>45675</v>
      </c>
      <c r="N166" s="7" t="s">
        <v>532</v>
      </c>
      <c r="O166" s="8">
        <v>32</v>
      </c>
      <c r="P166" s="24">
        <v>1610</v>
      </c>
      <c r="Q166" s="22">
        <f>IF(COUNTIFS(A$2:A166,A166,I$2:I166,I166)=1,1,0)</f>
        <v>0</v>
      </c>
      <c r="R166" s="22">
        <f t="shared" si="2"/>
        <v>3</v>
      </c>
      <c r="S166" s="33">
        <f>IF(COUNTIF(O$2:O166,O166)=1,R166,0)/2.5</f>
        <v>1.2</v>
      </c>
    </row>
    <row r="167" spans="1:19" ht="18" customHeight="1" x14ac:dyDescent="0.25">
      <c r="A167" s="7" t="s">
        <v>43</v>
      </c>
      <c r="B167" s="8">
        <v>1</v>
      </c>
      <c r="C167" s="9">
        <v>488</v>
      </c>
      <c r="D167" s="29">
        <f>C167+IF(INDEX('Справочник по %'!B:B,(MATCH(A167,'Справочник по %'!A:A,0)))="кол-во",B167*INDEX('Справочник по %'!C:C,(MATCH(A167,'Справочник по %'!A:A,0))),ОТЧЕТ!C167*INDEX('Справочник по %'!C:C,(MATCH(A167,'Справочник по %'!A:A,0))))/100</f>
        <v>536.79999999999995</v>
      </c>
      <c r="E167" s="29">
        <f>IF(ОТЧЕТ!A167="SKU3",C167+ОТЧЕТ!C167*0.2,C167+ОТЧЕТ!C167*0.15)</f>
        <v>561.20000000000005</v>
      </c>
      <c r="F167" s="7" t="s">
        <v>533</v>
      </c>
      <c r="G167" s="7">
        <v>2538047433</v>
      </c>
      <c r="H167" s="20" t="s">
        <v>50</v>
      </c>
      <c r="I167" s="22">
        <f>INDEX('Справочник Сети'!B:B,(MATCH(G167,'Справочник Сети'!C:C,0)))</f>
        <v>0</v>
      </c>
      <c r="J167" s="7" t="s">
        <v>46</v>
      </c>
      <c r="K167" s="7" t="s">
        <v>534</v>
      </c>
      <c r="L167" s="7" t="s">
        <v>96</v>
      </c>
      <c r="M167" s="31">
        <v>45727</v>
      </c>
      <c r="N167" s="7" t="s">
        <v>535</v>
      </c>
      <c r="O167" s="8">
        <v>795</v>
      </c>
      <c r="P167" s="24">
        <v>1616</v>
      </c>
      <c r="Q167" s="22">
        <f>IF(COUNTIFS(A$2:A167,A167,I$2:I167,I167)=1,1,0)</f>
        <v>0</v>
      </c>
      <c r="R167" s="22">
        <f t="shared" si="2"/>
        <v>1</v>
      </c>
      <c r="S167" s="33">
        <f>IF(COUNTIF(O$2:O167,O167)=1,R167,0)/2.5</f>
        <v>0.4</v>
      </c>
    </row>
    <row r="168" spans="1:19" ht="18" customHeight="1" x14ac:dyDescent="0.25">
      <c r="A168" s="7" t="s">
        <v>43</v>
      </c>
      <c r="B168" s="8">
        <v>1</v>
      </c>
      <c r="C168" s="9">
        <v>400.72</v>
      </c>
      <c r="D168" s="29">
        <f>C168+IF(INDEX('Справочник по %'!B:B,(MATCH(A168,'Справочник по %'!A:A,0)))="кол-во",B168*INDEX('Справочник по %'!C:C,(MATCH(A168,'Справочник по %'!A:A,0))),ОТЧЕТ!C168*INDEX('Справочник по %'!C:C,(MATCH(A168,'Справочник по %'!A:A,0))))/100</f>
        <v>440.79200000000003</v>
      </c>
      <c r="E168" s="29">
        <f>IF(ОТЧЕТ!A168="SKU3",C168+ОТЧЕТ!C168*0.2,C168+ОТЧЕТ!C168*0.15)</f>
        <v>460.82800000000003</v>
      </c>
      <c r="F168" s="7" t="s">
        <v>536</v>
      </c>
      <c r="G168" s="7">
        <v>5507102175</v>
      </c>
      <c r="H168" s="20" t="s">
        <v>50</v>
      </c>
      <c r="I168" s="22" t="str">
        <f>INDEX('Справочник Сети'!B:B,(MATCH(G168,'Справочник Сети'!C:C,0)))</f>
        <v>Столички</v>
      </c>
      <c r="J168" s="7" t="s">
        <v>255</v>
      </c>
      <c r="K168" s="7" t="s">
        <v>537</v>
      </c>
      <c r="L168" s="7" t="s">
        <v>255</v>
      </c>
      <c r="M168" s="31">
        <v>45713</v>
      </c>
      <c r="N168" s="7" t="s">
        <v>538</v>
      </c>
      <c r="O168" s="8">
        <v>449</v>
      </c>
      <c r="P168" s="24">
        <v>1620</v>
      </c>
      <c r="Q168" s="22">
        <f>IF(COUNTIFS(A$2:A168,A168,I$2:I168,I168)=1,1,0)</f>
        <v>0</v>
      </c>
      <c r="R168" s="22">
        <f t="shared" si="2"/>
        <v>5</v>
      </c>
      <c r="S168" s="33">
        <f>IF(COUNTIF(O$2:O168,O168)=1,R168,0)/2.5</f>
        <v>2</v>
      </c>
    </row>
    <row r="169" spans="1:19" ht="18" customHeight="1" x14ac:dyDescent="0.25">
      <c r="A169" s="7" t="s">
        <v>43</v>
      </c>
      <c r="B169" s="8">
        <v>1</v>
      </c>
      <c r="C169" s="9">
        <v>400</v>
      </c>
      <c r="D169" s="29">
        <f>C169+IF(INDEX('Справочник по %'!B:B,(MATCH(A169,'Справочник по %'!A:A,0)))="кол-во",B169*INDEX('Справочник по %'!C:C,(MATCH(A169,'Справочник по %'!A:A,0))),ОТЧЕТ!C169*INDEX('Справочник по %'!C:C,(MATCH(A169,'Справочник по %'!A:A,0))))/100</f>
        <v>440</v>
      </c>
      <c r="E169" s="29">
        <f>IF(ОТЧЕТ!A169="SKU3",C169+ОТЧЕТ!C169*0.2,C169+ОТЧЕТ!C169*0.15)</f>
        <v>460</v>
      </c>
      <c r="F169" s="7" t="s">
        <v>539</v>
      </c>
      <c r="G169" s="7">
        <v>550104300741</v>
      </c>
      <c r="H169" s="20" t="s">
        <v>91</v>
      </c>
      <c r="I169" s="22" t="str">
        <f>INDEX('Справочник Сети'!B:B,(MATCH(G169,'Справочник Сети'!C:C,0)))</f>
        <v>Нео-фарм</v>
      </c>
      <c r="J169" s="7" t="s">
        <v>251</v>
      </c>
      <c r="K169" s="7" t="s">
        <v>431</v>
      </c>
      <c r="L169" s="7" t="s">
        <v>110</v>
      </c>
      <c r="M169" s="31">
        <v>45660</v>
      </c>
      <c r="N169" s="7" t="s">
        <v>540</v>
      </c>
      <c r="O169" s="8">
        <v>375</v>
      </c>
      <c r="P169" s="24">
        <v>1621</v>
      </c>
      <c r="Q169" s="22">
        <f>IF(COUNTIFS(A$2:A169,A169,I$2:I169,I169)=1,1,0)</f>
        <v>0</v>
      </c>
      <c r="R169" s="22">
        <f t="shared" si="2"/>
        <v>1</v>
      </c>
      <c r="S169" s="33">
        <f>IF(COUNTIF(O$2:O169,O169)=1,R169,0)/2.5</f>
        <v>0.4</v>
      </c>
    </row>
    <row r="170" spans="1:19" ht="18" customHeight="1" x14ac:dyDescent="0.25">
      <c r="A170" s="7" t="s">
        <v>43</v>
      </c>
      <c r="B170" s="8">
        <v>1</v>
      </c>
      <c r="C170" s="9">
        <v>515</v>
      </c>
      <c r="D170" s="29">
        <f>C170+IF(INDEX('Справочник по %'!B:B,(MATCH(A170,'Справочник по %'!A:A,0)))="кол-во",B170*INDEX('Справочник по %'!C:C,(MATCH(A170,'Справочник по %'!A:A,0))),ОТЧЕТ!C170*INDEX('Справочник по %'!C:C,(MATCH(A170,'Справочник по %'!A:A,0))))/100</f>
        <v>566.5</v>
      </c>
      <c r="E170" s="29">
        <f>IF(ОТЧЕТ!A170="SKU3",C170+ОТЧЕТ!C170*0.2,C170+ОТЧЕТ!C170*0.15)</f>
        <v>592.25</v>
      </c>
      <c r="F170" s="7" t="s">
        <v>539</v>
      </c>
      <c r="G170" s="7">
        <v>7805180253</v>
      </c>
      <c r="H170" s="20" t="s">
        <v>50</v>
      </c>
      <c r="I170" s="22">
        <f>INDEX('Справочник Сети'!B:B,(MATCH(G170,'Справочник Сети'!C:C,0)))</f>
        <v>0</v>
      </c>
      <c r="J170" s="7" t="s">
        <v>353</v>
      </c>
      <c r="K170" s="7" t="s">
        <v>41</v>
      </c>
      <c r="L170" s="7" t="s">
        <v>353</v>
      </c>
      <c r="M170" s="31">
        <v>45672</v>
      </c>
      <c r="N170" s="7" t="s">
        <v>541</v>
      </c>
      <c r="O170" s="8">
        <v>3052</v>
      </c>
      <c r="P170" s="24">
        <v>1622</v>
      </c>
      <c r="Q170" s="22">
        <f>IF(COUNTIFS(A$2:A170,A170,I$2:I170,I170)=1,1,0)</f>
        <v>0</v>
      </c>
      <c r="R170" s="22">
        <f t="shared" si="2"/>
        <v>3</v>
      </c>
      <c r="S170" s="33">
        <f>IF(COUNTIF(O$2:O170,O170)=1,R170,0)/2.5</f>
        <v>1.2</v>
      </c>
    </row>
    <row r="171" spans="1:19" ht="18" customHeight="1" x14ac:dyDescent="0.25">
      <c r="A171" s="7" t="s">
        <v>37</v>
      </c>
      <c r="B171" s="8">
        <v>1</v>
      </c>
      <c r="C171" s="9">
        <v>622</v>
      </c>
      <c r="D171" s="29">
        <f>C171+IF(INDEX('Справочник по %'!B:B,(MATCH(A171,'Справочник по %'!A:A,0)))="кол-во",B171*INDEX('Справочник по %'!C:C,(MATCH(A171,'Справочник по %'!A:A,0))),ОТЧЕТ!C171*INDEX('Справочник по %'!C:C,(MATCH(A171,'Справочник по %'!A:A,0))))/100</f>
        <v>622.20000000000005</v>
      </c>
      <c r="E171" s="29">
        <f>IF(ОТЧЕТ!A171="SKU3",C171+ОТЧЕТ!C171*0.2,C171+ОТЧЕТ!C171*0.15)</f>
        <v>715.3</v>
      </c>
      <c r="F171" s="7" t="s">
        <v>542</v>
      </c>
      <c r="G171" s="7">
        <v>4205262893</v>
      </c>
      <c r="H171" s="20" t="s">
        <v>368</v>
      </c>
      <c r="I171" s="22" t="str">
        <f>INDEX('Справочник Сети'!B:B,(MATCH(G171,'Справочник Сети'!C:C,0)))</f>
        <v>Столички</v>
      </c>
      <c r="J171" s="7" t="s">
        <v>155</v>
      </c>
      <c r="K171" s="7" t="s">
        <v>543</v>
      </c>
      <c r="L171" s="7" t="s">
        <v>155</v>
      </c>
      <c r="M171" s="31">
        <v>45716</v>
      </c>
      <c r="N171" s="7" t="s">
        <v>544</v>
      </c>
      <c r="O171" s="8">
        <v>1914</v>
      </c>
      <c r="P171" s="24">
        <v>1627</v>
      </c>
      <c r="Q171" s="22">
        <f>IF(COUNTIFS(A$2:A171,A171,I$2:I171,I171)=1,1,0)</f>
        <v>0</v>
      </c>
      <c r="R171" s="22">
        <f t="shared" si="2"/>
        <v>3</v>
      </c>
      <c r="S171" s="33">
        <f>IF(COUNTIF(O$2:O171,O171)=1,R171,0)/2.5</f>
        <v>0</v>
      </c>
    </row>
    <row r="172" spans="1:19" ht="18" customHeight="1" x14ac:dyDescent="0.25">
      <c r="A172" s="7" t="s">
        <v>43</v>
      </c>
      <c r="B172" s="8">
        <v>1</v>
      </c>
      <c r="C172" s="9">
        <v>364.16</v>
      </c>
      <c r="D172" s="29">
        <f>C172+IF(INDEX('Справочник по %'!B:B,(MATCH(A172,'Справочник по %'!A:A,0)))="кол-во",B172*INDEX('Справочник по %'!C:C,(MATCH(A172,'Справочник по %'!A:A,0))),ОТЧЕТ!C172*INDEX('Справочник по %'!C:C,(MATCH(A172,'Справочник по %'!A:A,0))))/100</f>
        <v>400.57600000000002</v>
      </c>
      <c r="E172" s="29">
        <f>IF(ОТЧЕТ!A172="SKU3",C172+ОТЧЕТ!C172*0.2,C172+ОТЧЕТ!C172*0.15)</f>
        <v>418.78400000000005</v>
      </c>
      <c r="F172" s="7" t="s">
        <v>542</v>
      </c>
      <c r="G172" s="7">
        <v>2539096225</v>
      </c>
      <c r="H172" s="20" t="s">
        <v>384</v>
      </c>
      <c r="I172" s="22" t="str">
        <f>INDEX('Справочник Сети'!B:B,(MATCH(G172,'Справочник Сети'!C:C,0)))</f>
        <v>36,6</v>
      </c>
      <c r="J172" s="7" t="s">
        <v>46</v>
      </c>
      <c r="K172" s="7" t="s">
        <v>545</v>
      </c>
      <c r="L172" s="7" t="s">
        <v>46</v>
      </c>
      <c r="M172" s="31">
        <v>45726</v>
      </c>
      <c r="N172" s="7" t="s">
        <v>546</v>
      </c>
      <c r="O172" s="8">
        <v>1705</v>
      </c>
      <c r="P172" s="24">
        <v>1628</v>
      </c>
      <c r="Q172" s="22">
        <f>IF(COUNTIFS(A$2:A172,A172,I$2:I172,I172)=1,1,0)</f>
        <v>0</v>
      </c>
      <c r="R172" s="22">
        <f t="shared" si="2"/>
        <v>4</v>
      </c>
      <c r="S172" s="33">
        <f>IF(COUNTIF(O$2:O172,O172)=1,R172,0)/2.5</f>
        <v>1.6</v>
      </c>
    </row>
    <row r="173" spans="1:19" ht="18" customHeight="1" x14ac:dyDescent="0.25">
      <c r="A173" s="7" t="s">
        <v>43</v>
      </c>
      <c r="B173" s="8">
        <v>1</v>
      </c>
      <c r="C173" s="9">
        <v>488</v>
      </c>
      <c r="D173" s="29">
        <f>C173+IF(INDEX('Справочник по %'!B:B,(MATCH(A173,'Справочник по %'!A:A,0)))="кол-во",B173*INDEX('Справочник по %'!C:C,(MATCH(A173,'Справочник по %'!A:A,0))),ОТЧЕТ!C173*INDEX('Справочник по %'!C:C,(MATCH(A173,'Справочник по %'!A:A,0))))/100</f>
        <v>536.79999999999995</v>
      </c>
      <c r="E173" s="29">
        <f>IF(ОТЧЕТ!A173="SKU3",C173+ОТЧЕТ!C173*0.2,C173+ОТЧЕТ!C173*0.15)</f>
        <v>561.20000000000005</v>
      </c>
      <c r="F173" s="7" t="s">
        <v>542</v>
      </c>
      <c r="G173" s="7">
        <v>7807231471</v>
      </c>
      <c r="H173" s="20" t="s">
        <v>91</v>
      </c>
      <c r="I173" s="22">
        <f>INDEX('Справочник Сети'!B:B,(MATCH(G173,'Справочник Сети'!C:C,0)))</f>
        <v>0</v>
      </c>
      <c r="J173" s="7" t="s">
        <v>121</v>
      </c>
      <c r="K173" s="7" t="s">
        <v>41</v>
      </c>
      <c r="L173" s="7" t="s">
        <v>353</v>
      </c>
      <c r="M173" s="31">
        <v>45672</v>
      </c>
      <c r="N173" s="7" t="s">
        <v>547</v>
      </c>
      <c r="O173" s="8">
        <v>2022</v>
      </c>
      <c r="P173" s="24">
        <v>1629</v>
      </c>
      <c r="Q173" s="22">
        <f>IF(COUNTIFS(A$2:A173,A173,I$2:I173,I173)=1,1,0)</f>
        <v>0</v>
      </c>
      <c r="R173" s="22">
        <f t="shared" si="2"/>
        <v>3</v>
      </c>
      <c r="S173" s="33">
        <f>IF(COUNTIF(O$2:O173,O173)=1,R173,0)/2.5</f>
        <v>1.2</v>
      </c>
    </row>
    <row r="174" spans="1:19" ht="18" customHeight="1" x14ac:dyDescent="0.25">
      <c r="A174" s="7" t="s">
        <v>43</v>
      </c>
      <c r="B174" s="8">
        <v>1</v>
      </c>
      <c r="C174" s="9">
        <v>465</v>
      </c>
      <c r="D174" s="29">
        <f>C174+IF(INDEX('Справочник по %'!B:B,(MATCH(A174,'Справочник по %'!A:A,0)))="кол-во",B174*INDEX('Справочник по %'!C:C,(MATCH(A174,'Справочник по %'!A:A,0))),ОТЧЕТ!C174*INDEX('Справочник по %'!C:C,(MATCH(A174,'Справочник по %'!A:A,0))))/100</f>
        <v>511.5</v>
      </c>
      <c r="E174" s="29">
        <f>IF(ОТЧЕТ!A174="SKU3",C174+ОТЧЕТ!C174*0.2,C174+ОТЧЕТ!C174*0.15)</f>
        <v>534.75</v>
      </c>
      <c r="F174" s="7" t="s">
        <v>548</v>
      </c>
      <c r="G174" s="7">
        <v>7743897369</v>
      </c>
      <c r="H174" s="20" t="s">
        <v>549</v>
      </c>
      <c r="I174" s="22" t="str">
        <f>INDEX('Справочник Сети'!B:B,(MATCH(G174,'Справочник Сети'!C:C,0)))</f>
        <v>Ригла</v>
      </c>
      <c r="J174" s="7" t="s">
        <v>353</v>
      </c>
      <c r="K174" s="7" t="s">
        <v>550</v>
      </c>
      <c r="L174" s="7" t="s">
        <v>353</v>
      </c>
      <c r="M174" s="31">
        <v>45672</v>
      </c>
      <c r="N174" s="7" t="s">
        <v>551</v>
      </c>
      <c r="O174" s="8">
        <v>1906</v>
      </c>
      <c r="P174" s="24">
        <v>1630</v>
      </c>
      <c r="Q174" s="22">
        <f>IF(COUNTIFS(A$2:A174,A174,I$2:I174,I174)=1,1,0)</f>
        <v>1</v>
      </c>
      <c r="R174" s="22">
        <f t="shared" si="2"/>
        <v>1</v>
      </c>
      <c r="S174" s="33">
        <f>IF(COUNTIF(O$2:O174,O174)=1,R174,0)/2.5</f>
        <v>0.4</v>
      </c>
    </row>
    <row r="175" spans="1:19" ht="18" customHeight="1" x14ac:dyDescent="0.25">
      <c r="A175" s="7" t="s">
        <v>43</v>
      </c>
      <c r="B175" s="8">
        <v>1</v>
      </c>
      <c r="C175" s="9">
        <v>410</v>
      </c>
      <c r="D175" s="29">
        <f>C175+IF(INDEX('Справочник по %'!B:B,(MATCH(A175,'Справочник по %'!A:A,0)))="кол-во",B175*INDEX('Справочник по %'!C:C,(MATCH(A175,'Справочник по %'!A:A,0))),ОТЧЕТ!C175*INDEX('Справочник по %'!C:C,(MATCH(A175,'Справочник по %'!A:A,0))))/100</f>
        <v>451</v>
      </c>
      <c r="E175" s="29">
        <f>IF(ОТЧЕТ!A175="SKU3",C175+ОТЧЕТ!C175*0.2,C175+ОТЧЕТ!C175*0.15)</f>
        <v>471.5</v>
      </c>
      <c r="F175" s="7" t="s">
        <v>548</v>
      </c>
      <c r="G175" s="7">
        <v>6166112655</v>
      </c>
      <c r="H175" s="20" t="s">
        <v>50</v>
      </c>
      <c r="I175" s="22">
        <f>INDEX('Справочник Сети'!B:B,(MATCH(G175,'Справочник Сети'!C:C,0)))</f>
        <v>0</v>
      </c>
      <c r="J175" s="7" t="s">
        <v>203</v>
      </c>
      <c r="K175" s="7" t="s">
        <v>552</v>
      </c>
      <c r="L175" s="7" t="s">
        <v>203</v>
      </c>
      <c r="M175" s="31">
        <v>45696</v>
      </c>
      <c r="N175" s="7" t="s">
        <v>553</v>
      </c>
      <c r="O175" s="8">
        <v>585</v>
      </c>
      <c r="P175" s="24">
        <v>1631</v>
      </c>
      <c r="Q175" s="22">
        <f>IF(COUNTIFS(A$2:A175,A175,I$2:I175,I175)=1,1,0)</f>
        <v>0</v>
      </c>
      <c r="R175" s="22">
        <f t="shared" si="2"/>
        <v>1</v>
      </c>
      <c r="S175" s="33">
        <f>IF(COUNTIF(O$2:O175,O175)=1,R175,0)/2.5</f>
        <v>0.4</v>
      </c>
    </row>
    <row r="176" spans="1:19" ht="18" customHeight="1" x14ac:dyDescent="0.25">
      <c r="A176" s="7" t="s">
        <v>43</v>
      </c>
      <c r="B176" s="8">
        <v>1</v>
      </c>
      <c r="C176" s="9">
        <v>500</v>
      </c>
      <c r="D176" s="29">
        <f>C176+IF(INDEX('Справочник по %'!B:B,(MATCH(A176,'Справочник по %'!A:A,0)))="кол-во",B176*INDEX('Справочник по %'!C:C,(MATCH(A176,'Справочник по %'!A:A,0))),ОТЧЕТ!C176*INDEX('Справочник по %'!C:C,(MATCH(A176,'Справочник по %'!A:A,0))))/100</f>
        <v>550</v>
      </c>
      <c r="E176" s="29">
        <f>IF(ОТЧЕТ!A176="SKU3",C176+ОТЧЕТ!C176*0.2,C176+ОТЧЕТ!C176*0.15)</f>
        <v>575</v>
      </c>
      <c r="F176" s="7" t="s">
        <v>548</v>
      </c>
      <c r="G176" s="7">
        <v>253712415590</v>
      </c>
      <c r="H176" s="20" t="s">
        <v>554</v>
      </c>
      <c r="I176" s="22" t="str">
        <f>INDEX('Справочник Сети'!B:B,(MATCH(G176,'Справочник Сети'!C:C,0)))</f>
        <v>Ригла</v>
      </c>
      <c r="J176" s="7" t="s">
        <v>110</v>
      </c>
      <c r="K176" s="7" t="s">
        <v>555</v>
      </c>
      <c r="L176" s="7" t="s">
        <v>74</v>
      </c>
      <c r="M176" s="31">
        <v>45661</v>
      </c>
      <c r="N176" s="7" t="s">
        <v>556</v>
      </c>
      <c r="O176" s="8">
        <v>3441</v>
      </c>
      <c r="P176" s="24">
        <v>1632</v>
      </c>
      <c r="Q176" s="22">
        <f>IF(COUNTIFS(A$2:A176,A176,I$2:I176,I176)=1,1,0)</f>
        <v>0</v>
      </c>
      <c r="R176" s="22">
        <f t="shared" si="2"/>
        <v>1</v>
      </c>
      <c r="S176" s="33">
        <f>IF(COUNTIF(O$2:O176,O176)=1,R176,0)/2.5</f>
        <v>0.4</v>
      </c>
    </row>
    <row r="177" spans="1:19" ht="18" customHeight="1" x14ac:dyDescent="0.25">
      <c r="A177" s="7" t="s">
        <v>43</v>
      </c>
      <c r="B177" s="8">
        <v>1</v>
      </c>
      <c r="C177" s="9">
        <v>382.48</v>
      </c>
      <c r="D177" s="29">
        <f>C177+IF(INDEX('Справочник по %'!B:B,(MATCH(A177,'Справочник по %'!A:A,0)))="кол-во",B177*INDEX('Справочник по %'!C:C,(MATCH(A177,'Справочник по %'!A:A,0))),ОТЧЕТ!C177*INDEX('Справочник по %'!C:C,(MATCH(A177,'Справочник по %'!A:A,0))))/100</f>
        <v>420.72800000000001</v>
      </c>
      <c r="E177" s="29">
        <f>IF(ОТЧЕТ!A177="SKU3",C177+ОТЧЕТ!C177*0.2,C177+ОТЧЕТ!C177*0.15)</f>
        <v>439.85200000000003</v>
      </c>
      <c r="F177" s="7" t="s">
        <v>557</v>
      </c>
      <c r="G177" s="7">
        <v>6027082040</v>
      </c>
      <c r="H177" s="20" t="s">
        <v>91</v>
      </c>
      <c r="I177" s="22" t="str">
        <f>INDEX('Справочник Сети'!B:B,(MATCH(G177,'Справочник Сети'!C:C,0)))</f>
        <v>Планета здоровья</v>
      </c>
      <c r="J177" s="7" t="s">
        <v>520</v>
      </c>
      <c r="K177" s="7" t="s">
        <v>558</v>
      </c>
      <c r="L177" s="7" t="s">
        <v>520</v>
      </c>
      <c r="M177" s="31">
        <v>45697</v>
      </c>
      <c r="N177" s="7" t="s">
        <v>559</v>
      </c>
      <c r="O177" s="8">
        <v>72</v>
      </c>
      <c r="P177" s="24">
        <v>1633</v>
      </c>
      <c r="Q177" s="22">
        <f>IF(COUNTIFS(A$2:A177,A177,I$2:I177,I177)=1,1,0)</f>
        <v>0</v>
      </c>
      <c r="R177" s="22">
        <f t="shared" si="2"/>
        <v>1</v>
      </c>
      <c r="S177" s="33">
        <f>IF(COUNTIF(O$2:O177,O177)=1,R177,0)/2.5</f>
        <v>0.4</v>
      </c>
    </row>
    <row r="178" spans="1:19" ht="18" customHeight="1" x14ac:dyDescent="0.25">
      <c r="A178" s="7" t="s">
        <v>43</v>
      </c>
      <c r="B178" s="8">
        <v>1</v>
      </c>
      <c r="C178" s="9">
        <v>389</v>
      </c>
      <c r="D178" s="29">
        <f>C178+IF(INDEX('Справочник по %'!B:B,(MATCH(A178,'Справочник по %'!A:A,0)))="кол-во",B178*INDEX('Справочник по %'!C:C,(MATCH(A178,'Справочник по %'!A:A,0))),ОТЧЕТ!C178*INDEX('Справочник по %'!C:C,(MATCH(A178,'Справочник по %'!A:A,0))))/100</f>
        <v>427.9</v>
      </c>
      <c r="E178" s="29">
        <f>IF(ОТЧЕТ!A178="SKU3",C178+ОТЧЕТ!C178*0.2,C178+ОТЧЕТ!C178*0.15)</f>
        <v>447.35</v>
      </c>
      <c r="F178" s="7" t="s">
        <v>560</v>
      </c>
      <c r="G178" s="7">
        <v>2460120491</v>
      </c>
      <c r="H178" s="20" t="s">
        <v>561</v>
      </c>
      <c r="I178" s="22" t="str">
        <f>INDEX('Справочник Сети'!B:B,(MATCH(G178,'Справочник Сети'!C:C,0)))</f>
        <v>Планета здоровья</v>
      </c>
      <c r="J178" s="7" t="s">
        <v>96</v>
      </c>
      <c r="K178" s="7" t="s">
        <v>562</v>
      </c>
      <c r="L178" s="7" t="s">
        <v>96</v>
      </c>
      <c r="M178" s="31">
        <v>45727</v>
      </c>
      <c r="N178" s="7" t="s">
        <v>563</v>
      </c>
      <c r="O178" s="8">
        <v>2268</v>
      </c>
      <c r="P178" s="24">
        <v>1635</v>
      </c>
      <c r="Q178" s="22">
        <f>IF(COUNTIFS(A$2:A178,A178,I$2:I178,I178)=1,1,0)</f>
        <v>0</v>
      </c>
      <c r="R178" s="22">
        <f t="shared" si="2"/>
        <v>2</v>
      </c>
      <c r="S178" s="33">
        <f>IF(COUNTIF(O$2:O178,O178)=1,R178,0)/2.5</f>
        <v>0.8</v>
      </c>
    </row>
    <row r="179" spans="1:19" ht="18" customHeight="1" x14ac:dyDescent="0.25">
      <c r="A179" s="7" t="s">
        <v>43</v>
      </c>
      <c r="B179" s="8">
        <v>1</v>
      </c>
      <c r="C179" s="9">
        <v>344</v>
      </c>
      <c r="D179" s="29">
        <f>C179+IF(INDEX('Справочник по %'!B:B,(MATCH(A179,'Справочник по %'!A:A,0)))="кол-во",B179*INDEX('Справочник по %'!C:C,(MATCH(A179,'Справочник по %'!A:A,0))),ОТЧЕТ!C179*INDEX('Справочник по %'!C:C,(MATCH(A179,'Справочник по %'!A:A,0))))/100</f>
        <v>378.4</v>
      </c>
      <c r="E179" s="29">
        <f>IF(ОТЧЕТ!A179="SKU3",C179+ОТЧЕТ!C179*0.2,C179+ОТЧЕТ!C179*0.15)</f>
        <v>395.6</v>
      </c>
      <c r="F179" s="7" t="s">
        <v>564</v>
      </c>
      <c r="G179" s="7">
        <v>2222896536</v>
      </c>
      <c r="H179" s="20" t="s">
        <v>50</v>
      </c>
      <c r="I179" s="22" t="str">
        <f>INDEX('Справочник Сети'!B:B,(MATCH(G179,'Справочник Сети'!C:C,0)))</f>
        <v>Нео-фарм</v>
      </c>
      <c r="J179" s="7" t="s">
        <v>372</v>
      </c>
      <c r="K179" s="7" t="s">
        <v>565</v>
      </c>
      <c r="L179" s="7" t="s">
        <v>372</v>
      </c>
      <c r="M179" s="31">
        <v>45730</v>
      </c>
      <c r="N179" s="7" t="s">
        <v>566</v>
      </c>
      <c r="O179" s="8">
        <v>2611</v>
      </c>
      <c r="P179" s="24">
        <v>1645</v>
      </c>
      <c r="Q179" s="22">
        <f>IF(COUNTIFS(A$2:A179,A179,I$2:I179,I179)=1,1,0)</f>
        <v>0</v>
      </c>
      <c r="R179" s="22">
        <f t="shared" si="2"/>
        <v>1</v>
      </c>
      <c r="S179" s="33">
        <f>IF(COUNTIF(O$2:O179,O179)=1,R179,0)/2.5</f>
        <v>0.4</v>
      </c>
    </row>
    <row r="180" spans="1:19" ht="18" customHeight="1" x14ac:dyDescent="0.25">
      <c r="A180" s="7" t="s">
        <v>37</v>
      </c>
      <c r="B180" s="8">
        <v>1</v>
      </c>
      <c r="C180" s="9">
        <v>675</v>
      </c>
      <c r="D180" s="29">
        <f>C180+IF(INDEX('Справочник по %'!B:B,(MATCH(A180,'Справочник по %'!A:A,0)))="кол-во",B180*INDEX('Справочник по %'!C:C,(MATCH(A180,'Справочник по %'!A:A,0))),ОТЧЕТ!C180*INDEX('Справочник по %'!C:C,(MATCH(A180,'Справочник по %'!A:A,0))))/100</f>
        <v>675.2</v>
      </c>
      <c r="E180" s="29">
        <f>IF(ОТЧЕТ!A180="SKU3",C180+ОТЧЕТ!C180*0.2,C180+ОТЧЕТ!C180*0.15)</f>
        <v>776.25</v>
      </c>
      <c r="F180" s="7" t="s">
        <v>564</v>
      </c>
      <c r="G180" s="7">
        <v>9109010910</v>
      </c>
      <c r="H180" s="20" t="s">
        <v>50</v>
      </c>
      <c r="I180" s="22">
        <f>INDEX('Справочник Сети'!B:B,(MATCH(G180,'Справочник Сети'!C:C,0)))</f>
        <v>0</v>
      </c>
      <c r="J180" s="7" t="s">
        <v>239</v>
      </c>
      <c r="K180" s="7" t="s">
        <v>567</v>
      </c>
      <c r="L180" s="7" t="s">
        <v>239</v>
      </c>
      <c r="M180" s="31">
        <v>45662</v>
      </c>
      <c r="N180" s="7" t="s">
        <v>568</v>
      </c>
      <c r="O180" s="8">
        <v>2478</v>
      </c>
      <c r="P180" s="24">
        <v>1648</v>
      </c>
      <c r="Q180" s="22">
        <f>IF(COUNTIFS(A$2:A180,A180,I$2:I180,I180)=1,1,0)</f>
        <v>0</v>
      </c>
      <c r="R180" s="22">
        <f t="shared" si="2"/>
        <v>1</v>
      </c>
      <c r="S180" s="33">
        <f>IF(COUNTIF(O$2:O180,O180)=1,R180,0)/2.5</f>
        <v>0.4</v>
      </c>
    </row>
    <row r="181" spans="1:19" ht="18" customHeight="1" x14ac:dyDescent="0.25">
      <c r="A181" s="7" t="s">
        <v>43</v>
      </c>
      <c r="B181" s="8">
        <v>1</v>
      </c>
      <c r="C181" s="9">
        <v>440.9</v>
      </c>
      <c r="D181" s="29">
        <f>C181+IF(INDEX('Справочник по %'!B:B,(MATCH(A181,'Справочник по %'!A:A,0)))="кол-во",B181*INDEX('Справочник по %'!C:C,(MATCH(A181,'Справочник по %'!A:A,0))),ОТЧЕТ!C181*INDEX('Справочник по %'!C:C,(MATCH(A181,'Справочник по %'!A:A,0))))/100</f>
        <v>484.99</v>
      </c>
      <c r="E181" s="29">
        <f>IF(ОТЧЕТ!A181="SKU3",C181+ОТЧЕТ!C181*0.2,C181+ОТЧЕТ!C181*0.15)</f>
        <v>507.03499999999997</v>
      </c>
      <c r="F181" s="7" t="s">
        <v>569</v>
      </c>
      <c r="G181" s="7">
        <v>1841012052</v>
      </c>
      <c r="H181" s="20" t="s">
        <v>570</v>
      </c>
      <c r="I181" s="22" t="str">
        <f>INDEX('Справочник Сети'!B:B,(MATCH(G181,'Справочник Сети'!C:C,0)))</f>
        <v>Столички</v>
      </c>
      <c r="J181" s="7" t="s">
        <v>372</v>
      </c>
      <c r="K181" s="7" t="s">
        <v>571</v>
      </c>
      <c r="L181" s="7" t="s">
        <v>335</v>
      </c>
      <c r="M181" s="31">
        <v>45731</v>
      </c>
      <c r="N181" s="7" t="s">
        <v>572</v>
      </c>
      <c r="O181" s="8">
        <v>1207</v>
      </c>
      <c r="P181" s="24">
        <v>1651</v>
      </c>
      <c r="Q181" s="22">
        <f>IF(COUNTIFS(A$2:A181,A181,I$2:I181,I181)=1,1,0)</f>
        <v>0</v>
      </c>
      <c r="R181" s="22">
        <f t="shared" si="2"/>
        <v>1</v>
      </c>
      <c r="S181" s="33">
        <f>IF(COUNTIF(O$2:O181,O181)=1,R181,0)/2.5</f>
        <v>0.4</v>
      </c>
    </row>
    <row r="182" spans="1:19" ht="18" customHeight="1" x14ac:dyDescent="0.25">
      <c r="A182" s="7" t="s">
        <v>37</v>
      </c>
      <c r="B182" s="8">
        <v>1</v>
      </c>
      <c r="C182" s="9">
        <v>573</v>
      </c>
      <c r="D182" s="29">
        <f>C182+IF(INDEX('Справочник по %'!B:B,(MATCH(A182,'Справочник по %'!A:A,0)))="кол-во",B182*INDEX('Справочник по %'!C:C,(MATCH(A182,'Справочник по %'!A:A,0))),ОТЧЕТ!C182*INDEX('Справочник по %'!C:C,(MATCH(A182,'Справочник по %'!A:A,0))))/100</f>
        <v>573.20000000000005</v>
      </c>
      <c r="E182" s="29">
        <f>IF(ОТЧЕТ!A182="SKU3",C182+ОТЧЕТ!C182*0.2,C182+ОТЧЕТ!C182*0.15)</f>
        <v>658.95</v>
      </c>
      <c r="F182" s="7" t="s">
        <v>569</v>
      </c>
      <c r="G182" s="7">
        <v>7204146152</v>
      </c>
      <c r="H182" s="20" t="s">
        <v>103</v>
      </c>
      <c r="I182" s="22" t="str">
        <f>INDEX('Справочник Сети'!B:B,(MATCH(G182,'Справочник Сети'!C:C,0)))</f>
        <v>36,6</v>
      </c>
      <c r="J182" s="7" t="s">
        <v>104</v>
      </c>
      <c r="K182" s="7" t="s">
        <v>573</v>
      </c>
      <c r="L182" s="7" t="s">
        <v>106</v>
      </c>
      <c r="M182" s="31">
        <v>45694</v>
      </c>
      <c r="N182" s="7" t="s">
        <v>574</v>
      </c>
      <c r="O182" s="8">
        <v>1683</v>
      </c>
      <c r="P182" s="24">
        <v>1654</v>
      </c>
      <c r="Q182" s="22">
        <f>IF(COUNTIFS(A$2:A182,A182,I$2:I182,I182)=1,1,0)</f>
        <v>0</v>
      </c>
      <c r="R182" s="22">
        <f t="shared" si="2"/>
        <v>9</v>
      </c>
      <c r="S182" s="33">
        <f>IF(COUNTIF(O$2:O182,O182)=1,R182,0)/2.5</f>
        <v>0</v>
      </c>
    </row>
    <row r="183" spans="1:19" ht="18" customHeight="1" x14ac:dyDescent="0.25">
      <c r="A183" s="7" t="s">
        <v>43</v>
      </c>
      <c r="B183" s="8">
        <v>1</v>
      </c>
      <c r="C183" s="9">
        <v>672</v>
      </c>
      <c r="D183" s="29">
        <f>C183+IF(INDEX('Справочник по %'!B:B,(MATCH(A183,'Справочник по %'!A:A,0)))="кол-во",B183*INDEX('Справочник по %'!C:C,(MATCH(A183,'Справочник по %'!A:A,0))),ОТЧЕТ!C183*INDEX('Справочник по %'!C:C,(MATCH(A183,'Справочник по %'!A:A,0))))/100</f>
        <v>739.2</v>
      </c>
      <c r="E183" s="29">
        <f>IF(ОТЧЕТ!A183="SKU3",C183+ОТЧЕТ!C183*0.2,C183+ОТЧЕТ!C183*0.15)</f>
        <v>772.8</v>
      </c>
      <c r="F183" s="7" t="s">
        <v>575</v>
      </c>
      <c r="G183" s="7">
        <v>7705947629</v>
      </c>
      <c r="H183" s="20" t="s">
        <v>50</v>
      </c>
      <c r="I183" s="22" t="str">
        <f>INDEX('Справочник Сети'!B:B,(MATCH(G183,'Справочник Сети'!C:C,0)))</f>
        <v>36,6</v>
      </c>
      <c r="J183" s="7" t="s">
        <v>104</v>
      </c>
      <c r="K183" s="7" t="s">
        <v>576</v>
      </c>
      <c r="L183" s="7" t="s">
        <v>104</v>
      </c>
      <c r="M183" s="31">
        <v>45693</v>
      </c>
      <c r="N183" s="7" t="s">
        <v>577</v>
      </c>
      <c r="O183" s="8">
        <v>773</v>
      </c>
      <c r="P183" s="24">
        <v>1658</v>
      </c>
      <c r="Q183" s="22">
        <f>IF(COUNTIFS(A$2:A183,A183,I$2:I183,I183)=1,1,0)</f>
        <v>0</v>
      </c>
      <c r="R183" s="22">
        <f t="shared" si="2"/>
        <v>4</v>
      </c>
      <c r="S183" s="33">
        <f>IF(COUNTIF(O$2:O183,O183)=1,R183,0)/2.5</f>
        <v>1.6</v>
      </c>
    </row>
    <row r="184" spans="1:19" ht="18" customHeight="1" x14ac:dyDescent="0.25">
      <c r="A184" s="7" t="s">
        <v>146</v>
      </c>
      <c r="B184" s="8">
        <v>1</v>
      </c>
      <c r="C184" s="9">
        <v>810</v>
      </c>
      <c r="D184" s="29">
        <f>C184+IF(INDEX('Справочник по %'!B:B,(MATCH(A184,'Справочник по %'!A:A,0)))="кол-во",B184*INDEX('Справочник по %'!C:C,(MATCH(A184,'Справочник по %'!A:A,0))),ОТЧЕТ!C184*INDEX('Справочник по %'!C:C,(MATCH(A184,'Справочник по %'!A:A,0))))/100</f>
        <v>931.5</v>
      </c>
      <c r="E184" s="29">
        <f>IF(ОТЧЕТ!A184="SKU3",C184+ОТЧЕТ!C184*0.2,C184+ОТЧЕТ!C184*0.15)</f>
        <v>972</v>
      </c>
      <c r="F184" s="7" t="s">
        <v>575</v>
      </c>
      <c r="G184" s="7">
        <v>7714844316</v>
      </c>
      <c r="H184" s="20" t="s">
        <v>50</v>
      </c>
      <c r="I184" s="22" t="str">
        <f>INDEX('Справочник Сети'!B:B,(MATCH(G184,'Справочник Сети'!C:C,0)))</f>
        <v>Планета здоровья</v>
      </c>
      <c r="J184" s="7" t="s">
        <v>504</v>
      </c>
      <c r="K184" s="7" t="s">
        <v>578</v>
      </c>
      <c r="L184" s="7" t="s">
        <v>504</v>
      </c>
      <c r="M184" s="31">
        <v>45690</v>
      </c>
      <c r="N184" s="7" t="s">
        <v>579</v>
      </c>
      <c r="O184" s="8">
        <v>2498</v>
      </c>
      <c r="P184" s="24">
        <v>1661</v>
      </c>
      <c r="Q184" s="22">
        <f>IF(COUNTIFS(A$2:A184,A184,I$2:I184,I184)=1,1,0)</f>
        <v>0</v>
      </c>
      <c r="R184" s="22">
        <f t="shared" si="2"/>
        <v>3</v>
      </c>
      <c r="S184" s="33">
        <f>IF(COUNTIF(O$2:O184,O184)=1,R184,0)/2.5</f>
        <v>1.2</v>
      </c>
    </row>
    <row r="185" spans="1:19" ht="18" customHeight="1" x14ac:dyDescent="0.25">
      <c r="A185" s="7" t="s">
        <v>43</v>
      </c>
      <c r="B185" s="8">
        <v>1</v>
      </c>
      <c r="C185" s="9">
        <v>435.9</v>
      </c>
      <c r="D185" s="29">
        <f>C185+IF(INDEX('Справочник по %'!B:B,(MATCH(A185,'Справочник по %'!A:A,0)))="кол-во",B185*INDEX('Справочник по %'!C:C,(MATCH(A185,'Справочник по %'!A:A,0))),ОТЧЕТ!C185*INDEX('Справочник по %'!C:C,(MATCH(A185,'Справочник по %'!A:A,0))))/100</f>
        <v>479.49</v>
      </c>
      <c r="E185" s="29">
        <f>IF(ОТЧЕТ!A185="SKU3",C185+ОТЧЕТ!C185*0.2,C185+ОТЧЕТ!C185*0.15)</f>
        <v>501.28499999999997</v>
      </c>
      <c r="F185" s="7" t="s">
        <v>575</v>
      </c>
      <c r="G185" s="7">
        <v>1659108128</v>
      </c>
      <c r="H185" s="20" t="s">
        <v>580</v>
      </c>
      <c r="I185" s="22">
        <f>INDEX('Справочник Сети'!B:B,(MATCH(G185,'Справочник Сети'!C:C,0)))</f>
        <v>0</v>
      </c>
      <c r="J185" s="7" t="s">
        <v>335</v>
      </c>
      <c r="K185" s="7" t="s">
        <v>581</v>
      </c>
      <c r="L185" s="7" t="s">
        <v>335</v>
      </c>
      <c r="M185" s="31">
        <v>45731</v>
      </c>
      <c r="N185" s="7" t="s">
        <v>582</v>
      </c>
      <c r="O185" s="8">
        <v>3572</v>
      </c>
      <c r="P185" s="24">
        <v>1669</v>
      </c>
      <c r="Q185" s="22">
        <f>IF(COUNTIFS(A$2:A185,A185,I$2:I185,I185)=1,1,0)</f>
        <v>0</v>
      </c>
      <c r="R185" s="22">
        <f t="shared" si="2"/>
        <v>3</v>
      </c>
      <c r="S185" s="33">
        <f>IF(COUNTIF(O$2:O185,O185)=1,R185,0)/2.5</f>
        <v>1.2</v>
      </c>
    </row>
    <row r="186" spans="1:19" ht="18" customHeight="1" x14ac:dyDescent="0.25">
      <c r="A186" s="7" t="s">
        <v>43</v>
      </c>
      <c r="B186" s="8">
        <v>1</v>
      </c>
      <c r="C186" s="9">
        <v>610</v>
      </c>
      <c r="D186" s="29">
        <f>C186+IF(INDEX('Справочник по %'!B:B,(MATCH(A186,'Справочник по %'!A:A,0)))="кол-во",B186*INDEX('Справочник по %'!C:C,(MATCH(A186,'Справочник по %'!A:A,0))),ОТЧЕТ!C186*INDEX('Справочник по %'!C:C,(MATCH(A186,'Справочник по %'!A:A,0))))/100</f>
        <v>671</v>
      </c>
      <c r="E186" s="29">
        <f>IF(ОТЧЕТ!A186="SKU3",C186+ОТЧЕТ!C186*0.2,C186+ОТЧЕТ!C186*0.15)</f>
        <v>701.5</v>
      </c>
      <c r="F186" s="7" t="s">
        <v>575</v>
      </c>
      <c r="G186" s="7">
        <v>7705947629</v>
      </c>
      <c r="H186" s="20" t="s">
        <v>50</v>
      </c>
      <c r="I186" s="22" t="str">
        <f>INDEX('Справочник Сети'!B:B,(MATCH(G186,'Справочник Сети'!C:C,0)))</f>
        <v>36,6</v>
      </c>
      <c r="J186" s="7" t="s">
        <v>104</v>
      </c>
      <c r="K186" s="7" t="s">
        <v>581</v>
      </c>
      <c r="L186" s="7" t="s">
        <v>104</v>
      </c>
      <c r="M186" s="31">
        <v>45693</v>
      </c>
      <c r="N186" s="7" t="s">
        <v>583</v>
      </c>
      <c r="O186" s="8">
        <v>372</v>
      </c>
      <c r="P186" s="24">
        <v>1670</v>
      </c>
      <c r="Q186" s="22">
        <f>IF(COUNTIFS(A$2:A186,A186,I$2:I186,I186)=1,1,0)</f>
        <v>0</v>
      </c>
      <c r="R186" s="22">
        <f t="shared" si="2"/>
        <v>13</v>
      </c>
      <c r="S186" s="33">
        <f>IF(COUNTIF(O$2:O186,O186)=1,R186,0)/2.5</f>
        <v>0</v>
      </c>
    </row>
    <row r="187" spans="1:19" ht="18" customHeight="1" x14ac:dyDescent="0.25">
      <c r="A187" s="7" t="s">
        <v>43</v>
      </c>
      <c r="B187" s="8">
        <v>1</v>
      </c>
      <c r="C187" s="9">
        <v>475</v>
      </c>
      <c r="D187" s="29">
        <f>C187+IF(INDEX('Справочник по %'!B:B,(MATCH(A187,'Справочник по %'!A:A,0)))="кол-во",B187*INDEX('Справочник по %'!C:C,(MATCH(A187,'Справочник по %'!A:A,0))),ОТЧЕТ!C187*INDEX('Справочник по %'!C:C,(MATCH(A187,'Справочник по %'!A:A,0))))/100</f>
        <v>522.5</v>
      </c>
      <c r="E187" s="29">
        <f>IF(ОТЧЕТ!A187="SKU3",C187+ОТЧЕТ!C187*0.2,C187+ОТЧЕТ!C187*0.15)</f>
        <v>546.25</v>
      </c>
      <c r="F187" s="7" t="s">
        <v>584</v>
      </c>
      <c r="G187" s="7">
        <v>7840411560</v>
      </c>
      <c r="H187" s="20" t="s">
        <v>585</v>
      </c>
      <c r="I187" s="22" t="str">
        <f>INDEX('Справочник Сети'!B:B,(MATCH(G187,'Справочник Сети'!C:C,0)))</f>
        <v>Столички</v>
      </c>
      <c r="J187" s="7" t="s">
        <v>315</v>
      </c>
      <c r="K187" s="7" t="s">
        <v>586</v>
      </c>
      <c r="L187" s="7" t="s">
        <v>315</v>
      </c>
      <c r="M187" s="31">
        <v>45670</v>
      </c>
      <c r="N187" s="7" t="s">
        <v>587</v>
      </c>
      <c r="O187" s="8">
        <v>2044</v>
      </c>
      <c r="P187" s="24">
        <v>1673</v>
      </c>
      <c r="Q187" s="22">
        <f>IF(COUNTIFS(A$2:A187,A187,I$2:I187,I187)=1,1,0)</f>
        <v>0</v>
      </c>
      <c r="R187" s="22">
        <f t="shared" si="2"/>
        <v>1</v>
      </c>
      <c r="S187" s="33">
        <f>IF(COUNTIF(O$2:O187,O187)=1,R187,0)/2.5</f>
        <v>0.4</v>
      </c>
    </row>
    <row r="188" spans="1:19" ht="18" customHeight="1" x14ac:dyDescent="0.25">
      <c r="A188" s="7" t="s">
        <v>43</v>
      </c>
      <c r="B188" s="8">
        <v>1</v>
      </c>
      <c r="C188" s="9">
        <v>449</v>
      </c>
      <c r="D188" s="29">
        <f>C188+IF(INDEX('Справочник по %'!B:B,(MATCH(A188,'Справочник по %'!A:A,0)))="кол-во",B188*INDEX('Справочник по %'!C:C,(MATCH(A188,'Справочник по %'!A:A,0))),ОТЧЕТ!C188*INDEX('Справочник по %'!C:C,(MATCH(A188,'Справочник по %'!A:A,0))))/100</f>
        <v>493.9</v>
      </c>
      <c r="E188" s="29">
        <f>IF(ОТЧЕТ!A188="SKU3",C188+ОТЧЕТ!C188*0.2,C188+ОТЧЕТ!C188*0.15)</f>
        <v>516.35</v>
      </c>
      <c r="F188" s="7" t="s">
        <v>588</v>
      </c>
      <c r="G188" s="7">
        <v>27415104806</v>
      </c>
      <c r="H188" s="20" t="s">
        <v>91</v>
      </c>
      <c r="I188" s="22">
        <f>INDEX('Справочник Сети'!B:B,(MATCH(G188,'Справочник Сети'!C:C,0)))</f>
        <v>0</v>
      </c>
      <c r="J188" s="7" t="s">
        <v>74</v>
      </c>
      <c r="K188" s="7" t="s">
        <v>589</v>
      </c>
      <c r="L188" s="7" t="s">
        <v>74</v>
      </c>
      <c r="M188" s="31">
        <v>45661</v>
      </c>
      <c r="N188" s="7" t="s">
        <v>590</v>
      </c>
      <c r="O188" s="8">
        <v>3317</v>
      </c>
      <c r="P188" s="24">
        <v>1682</v>
      </c>
      <c r="Q188" s="22">
        <f>IF(COUNTIFS(A$2:A188,A188,I$2:I188,I188)=1,1,0)</f>
        <v>0</v>
      </c>
      <c r="R188" s="22">
        <f t="shared" si="2"/>
        <v>3</v>
      </c>
      <c r="S188" s="33">
        <f>IF(COUNTIF(O$2:O188,O188)=1,R188,0)/2.5</f>
        <v>1.2</v>
      </c>
    </row>
    <row r="189" spans="1:19" ht="18" customHeight="1" x14ac:dyDescent="0.25">
      <c r="A189" s="7" t="s">
        <v>37</v>
      </c>
      <c r="B189" s="8">
        <v>1</v>
      </c>
      <c r="C189" s="9">
        <v>679</v>
      </c>
      <c r="D189" s="29">
        <f>C189+IF(INDEX('Справочник по %'!B:B,(MATCH(A189,'Справочник по %'!A:A,0)))="кол-во",B189*INDEX('Справочник по %'!C:C,(MATCH(A189,'Справочник по %'!A:A,0))),ОТЧЕТ!C189*INDEX('Справочник по %'!C:C,(MATCH(A189,'Справочник по %'!A:A,0))))/100</f>
        <v>679.2</v>
      </c>
      <c r="E189" s="29">
        <f>IF(ОТЧЕТ!A189="SKU3",C189+ОТЧЕТ!C189*0.2,C189+ОТЧЕТ!C189*0.15)</f>
        <v>780.85</v>
      </c>
      <c r="F189" s="7" t="s">
        <v>588</v>
      </c>
      <c r="G189" s="7">
        <v>7720304767</v>
      </c>
      <c r="H189" s="20" t="s">
        <v>50</v>
      </c>
      <c r="I189" s="22">
        <f>INDEX('Справочник Сети'!B:B,(MATCH(G189,'Справочник Сети'!C:C,0)))</f>
        <v>0</v>
      </c>
      <c r="J189" s="7" t="s">
        <v>168</v>
      </c>
      <c r="K189" s="7" t="s">
        <v>591</v>
      </c>
      <c r="L189" s="7" t="s">
        <v>168</v>
      </c>
      <c r="M189" s="31">
        <v>45676</v>
      </c>
      <c r="N189" s="7" t="s">
        <v>592</v>
      </c>
      <c r="O189" s="8">
        <v>2196</v>
      </c>
      <c r="P189" s="24">
        <v>1683</v>
      </c>
      <c r="Q189" s="22">
        <f>IF(COUNTIFS(A$2:A189,A189,I$2:I189,I189)=1,1,0)</f>
        <v>0</v>
      </c>
      <c r="R189" s="22">
        <f t="shared" si="2"/>
        <v>1</v>
      </c>
      <c r="S189" s="33">
        <f>IF(COUNTIF(O$2:O189,O189)=1,R189,0)/2.5</f>
        <v>0.4</v>
      </c>
    </row>
    <row r="190" spans="1:19" ht="18" customHeight="1" x14ac:dyDescent="0.25">
      <c r="A190" s="7" t="s">
        <v>43</v>
      </c>
      <c r="B190" s="8">
        <v>1</v>
      </c>
      <c r="C190" s="9">
        <v>485</v>
      </c>
      <c r="D190" s="29">
        <f>C190+IF(INDEX('Справочник по %'!B:B,(MATCH(A190,'Справочник по %'!A:A,0)))="кол-во",B190*INDEX('Справочник по %'!C:C,(MATCH(A190,'Справочник по %'!A:A,0))),ОТЧЕТ!C190*INDEX('Справочник по %'!C:C,(MATCH(A190,'Справочник по %'!A:A,0))))/100</f>
        <v>533.5</v>
      </c>
      <c r="E190" s="29">
        <f>IF(ОТЧЕТ!A190="SKU3",C190+ОТЧЕТ!C190*0.2,C190+ОТЧЕТ!C190*0.15)</f>
        <v>557.75</v>
      </c>
      <c r="F190" s="7" t="s">
        <v>588</v>
      </c>
      <c r="G190" s="7">
        <v>2539096225</v>
      </c>
      <c r="H190" s="20" t="s">
        <v>593</v>
      </c>
      <c r="I190" s="22" t="str">
        <f>INDEX('Справочник Сети'!B:B,(MATCH(G190,'Справочник Сети'!C:C,0)))</f>
        <v>36,6</v>
      </c>
      <c r="J190" s="7" t="s">
        <v>46</v>
      </c>
      <c r="K190" s="7" t="s">
        <v>264</v>
      </c>
      <c r="L190" s="7" t="s">
        <v>46</v>
      </c>
      <c r="M190" s="31">
        <v>45726</v>
      </c>
      <c r="N190" s="7" t="s">
        <v>594</v>
      </c>
      <c r="O190" s="8">
        <v>800</v>
      </c>
      <c r="P190" s="24">
        <v>1684</v>
      </c>
      <c r="Q190" s="22">
        <f>IF(COUNTIFS(A$2:A190,A190,I$2:I190,I190)=1,1,0)</f>
        <v>0</v>
      </c>
      <c r="R190" s="22">
        <f t="shared" si="2"/>
        <v>3</v>
      </c>
      <c r="S190" s="33">
        <f>IF(COUNTIF(O$2:O190,O190)=1,R190,0)/2.5</f>
        <v>1.2</v>
      </c>
    </row>
    <row r="191" spans="1:19" ht="18" customHeight="1" x14ac:dyDescent="0.25">
      <c r="A191" s="7" t="s">
        <v>37</v>
      </c>
      <c r="B191" s="8">
        <v>1</v>
      </c>
      <c r="C191" s="9">
        <v>600.1</v>
      </c>
      <c r="D191" s="29">
        <f>C191+IF(INDEX('Справочник по %'!B:B,(MATCH(A191,'Справочник по %'!A:A,0)))="кол-во",B191*INDEX('Справочник по %'!C:C,(MATCH(A191,'Справочник по %'!A:A,0))),ОТЧЕТ!C191*INDEX('Справочник по %'!C:C,(MATCH(A191,'Справочник по %'!A:A,0))))/100</f>
        <v>600.30000000000007</v>
      </c>
      <c r="E191" s="29">
        <f>IF(ОТЧЕТ!A191="SKU3",C191+ОТЧЕТ!C191*0.2,C191+ОТЧЕТ!C191*0.15)</f>
        <v>690.11500000000001</v>
      </c>
      <c r="F191" s="7" t="s">
        <v>588</v>
      </c>
      <c r="G191" s="7">
        <v>7840411560</v>
      </c>
      <c r="H191" s="20" t="s">
        <v>595</v>
      </c>
      <c r="I191" s="22" t="str">
        <f>INDEX('Справочник Сети'!B:B,(MATCH(G191,'Справочник Сети'!C:C,0)))</f>
        <v>Столички</v>
      </c>
      <c r="J191" s="7" t="s">
        <v>315</v>
      </c>
      <c r="K191" s="7" t="s">
        <v>596</v>
      </c>
      <c r="L191" s="7" t="s">
        <v>315</v>
      </c>
      <c r="M191" s="31">
        <v>45670</v>
      </c>
      <c r="N191" s="7" t="s">
        <v>597</v>
      </c>
      <c r="O191" s="8">
        <v>159</v>
      </c>
      <c r="P191" s="24">
        <v>1685</v>
      </c>
      <c r="Q191" s="22">
        <f>IF(COUNTIFS(A$2:A191,A191,I$2:I191,I191)=1,1,0)</f>
        <v>0</v>
      </c>
      <c r="R191" s="22">
        <f t="shared" si="2"/>
        <v>1</v>
      </c>
      <c r="S191" s="33">
        <f>IF(COUNTIF(O$2:O191,O191)=1,R191,0)/2.5</f>
        <v>0.4</v>
      </c>
    </row>
    <row r="192" spans="1:19" ht="18" customHeight="1" x14ac:dyDescent="0.25">
      <c r="A192" s="7" t="s">
        <v>43</v>
      </c>
      <c r="B192" s="8">
        <v>1</v>
      </c>
      <c r="C192" s="9">
        <v>556</v>
      </c>
      <c r="D192" s="29">
        <f>C192+IF(INDEX('Справочник по %'!B:B,(MATCH(A192,'Справочник по %'!A:A,0)))="кол-во",B192*INDEX('Справочник по %'!C:C,(MATCH(A192,'Справочник по %'!A:A,0))),ОТЧЕТ!C192*INDEX('Справочник по %'!C:C,(MATCH(A192,'Справочник по %'!A:A,0))))/100</f>
        <v>611.6</v>
      </c>
      <c r="E192" s="29">
        <f>IF(ОТЧЕТ!A192="SKU3",C192+ОТЧЕТ!C192*0.2,C192+ОТЧЕТ!C192*0.15)</f>
        <v>639.4</v>
      </c>
      <c r="F192" s="7" t="s">
        <v>588</v>
      </c>
      <c r="G192" s="7">
        <v>7705947629</v>
      </c>
      <c r="H192" s="20" t="s">
        <v>50</v>
      </c>
      <c r="I192" s="22" t="str">
        <f>INDEX('Справочник Сети'!B:B,(MATCH(G192,'Справочник Сети'!C:C,0)))</f>
        <v>36,6</v>
      </c>
      <c r="J192" s="7" t="s">
        <v>104</v>
      </c>
      <c r="K192" s="7" t="s">
        <v>598</v>
      </c>
      <c r="L192" s="7" t="s">
        <v>104</v>
      </c>
      <c r="M192" s="31">
        <v>45693</v>
      </c>
      <c r="N192" s="7" t="s">
        <v>599</v>
      </c>
      <c r="O192" s="8">
        <v>773</v>
      </c>
      <c r="P192" s="24">
        <v>1687</v>
      </c>
      <c r="Q192" s="22">
        <f>IF(COUNTIFS(A$2:A192,A192,I$2:I192,I192)=1,1,0)</f>
        <v>0</v>
      </c>
      <c r="R192" s="22">
        <f t="shared" si="2"/>
        <v>4</v>
      </c>
      <c r="S192" s="33">
        <f>IF(COUNTIF(O$2:O192,O192)=1,R192,0)/2.5</f>
        <v>0</v>
      </c>
    </row>
    <row r="193" spans="1:19" ht="18" customHeight="1" x14ac:dyDescent="0.25">
      <c r="A193" s="7" t="s">
        <v>43</v>
      </c>
      <c r="B193" s="8">
        <v>1</v>
      </c>
      <c r="C193" s="9">
        <v>440</v>
      </c>
      <c r="D193" s="29">
        <f>C193+IF(INDEX('Справочник по %'!B:B,(MATCH(A193,'Справочник по %'!A:A,0)))="кол-во",B193*INDEX('Справочник по %'!C:C,(MATCH(A193,'Справочник по %'!A:A,0))),ОТЧЕТ!C193*INDEX('Справочник по %'!C:C,(MATCH(A193,'Справочник по %'!A:A,0))))/100</f>
        <v>484</v>
      </c>
      <c r="E193" s="29">
        <f>IF(ОТЧЕТ!A193="SKU3",C193+ОТЧЕТ!C193*0.2,C193+ОТЧЕТ!C193*0.15)</f>
        <v>506</v>
      </c>
      <c r="F193" s="7" t="s">
        <v>588</v>
      </c>
      <c r="G193" s="7">
        <v>6903044867</v>
      </c>
      <c r="H193" s="20" t="s">
        <v>600</v>
      </c>
      <c r="I193" s="22" t="str">
        <f>INDEX('Справочник Сети'!B:B,(MATCH(G193,'Справочник Сети'!C:C,0)))</f>
        <v>Ригла</v>
      </c>
      <c r="J193" s="7" t="s">
        <v>106</v>
      </c>
      <c r="K193" s="7" t="s">
        <v>601</v>
      </c>
      <c r="L193" s="7" t="s">
        <v>106</v>
      </c>
      <c r="M193" s="31">
        <v>45694</v>
      </c>
      <c r="N193" s="7" t="s">
        <v>602</v>
      </c>
      <c r="O193" s="8">
        <v>2752</v>
      </c>
      <c r="P193" s="24">
        <v>1688</v>
      </c>
      <c r="Q193" s="22">
        <f>IF(COUNTIFS(A$2:A193,A193,I$2:I193,I193)=1,1,0)</f>
        <v>0</v>
      </c>
      <c r="R193" s="22">
        <f t="shared" si="2"/>
        <v>1</v>
      </c>
      <c r="S193" s="33">
        <f>IF(COUNTIF(O$2:O193,O193)=1,R193,0)/2.5</f>
        <v>0.4</v>
      </c>
    </row>
    <row r="194" spans="1:19" ht="18" customHeight="1" x14ac:dyDescent="0.25">
      <c r="A194" s="7" t="s">
        <v>37</v>
      </c>
      <c r="B194" s="8">
        <v>1</v>
      </c>
      <c r="C194" s="9">
        <v>499</v>
      </c>
      <c r="D194" s="29">
        <f>C194+IF(INDEX('Справочник по %'!B:B,(MATCH(A194,'Справочник по %'!A:A,0)))="кол-во",B194*INDEX('Справочник по %'!C:C,(MATCH(A194,'Справочник по %'!A:A,0))),ОТЧЕТ!C194*INDEX('Справочник по %'!C:C,(MATCH(A194,'Справочник по %'!A:A,0))))/100</f>
        <v>499.2</v>
      </c>
      <c r="E194" s="29">
        <f>IF(ОТЧЕТ!A194="SKU3",C194+ОТЧЕТ!C194*0.2,C194+ОТЧЕТ!C194*0.15)</f>
        <v>573.85</v>
      </c>
      <c r="F194" s="7" t="s">
        <v>588</v>
      </c>
      <c r="G194" s="7">
        <v>7818009091</v>
      </c>
      <c r="H194" s="20" t="s">
        <v>50</v>
      </c>
      <c r="I194" s="22" t="str">
        <f>INDEX('Справочник Сети'!B:B,(MATCH(G194,'Справочник Сети'!C:C,0)))</f>
        <v>Столички</v>
      </c>
      <c r="J194" s="7" t="s">
        <v>121</v>
      </c>
      <c r="K194" s="7" t="s">
        <v>598</v>
      </c>
      <c r="L194" s="7" t="s">
        <v>121</v>
      </c>
      <c r="M194" s="31">
        <v>45671</v>
      </c>
      <c r="N194" s="7" t="s">
        <v>603</v>
      </c>
      <c r="O194" s="8">
        <v>3762</v>
      </c>
      <c r="P194" s="24">
        <v>1690</v>
      </c>
      <c r="Q194" s="22">
        <f>IF(COUNTIFS(A$2:A194,A194,I$2:I194,I194)=1,1,0)</f>
        <v>0</v>
      </c>
      <c r="R194" s="22">
        <f t="shared" si="2"/>
        <v>3</v>
      </c>
      <c r="S194" s="33">
        <f>IF(COUNTIF(O$2:O194,O194)=1,R194,0)/2.5</f>
        <v>1.2</v>
      </c>
    </row>
    <row r="195" spans="1:19" ht="18" customHeight="1" x14ac:dyDescent="0.25">
      <c r="A195" s="7" t="s">
        <v>43</v>
      </c>
      <c r="B195" s="8">
        <v>1</v>
      </c>
      <c r="C195" s="9">
        <v>413</v>
      </c>
      <c r="D195" s="29">
        <f>C195+IF(INDEX('Справочник по %'!B:B,(MATCH(A195,'Справочник по %'!A:A,0)))="кол-во",B195*INDEX('Справочник по %'!C:C,(MATCH(A195,'Справочник по %'!A:A,0))),ОТЧЕТ!C195*INDEX('Справочник по %'!C:C,(MATCH(A195,'Справочник по %'!A:A,0))))/100</f>
        <v>454.3</v>
      </c>
      <c r="E195" s="29">
        <f>IF(ОТЧЕТ!A195="SKU3",C195+ОТЧЕТ!C195*0.2,C195+ОТЧЕТ!C195*0.15)</f>
        <v>474.95</v>
      </c>
      <c r="F195" s="7" t="s">
        <v>604</v>
      </c>
      <c r="G195" s="7">
        <v>1511019564</v>
      </c>
      <c r="H195" s="20" t="s">
        <v>50</v>
      </c>
      <c r="I195" s="22">
        <f>INDEX('Справочник Сети'!B:B,(MATCH(G195,'Справочник Сети'!C:C,0)))</f>
        <v>0</v>
      </c>
      <c r="J195" s="7" t="s">
        <v>335</v>
      </c>
      <c r="K195" s="7" t="s">
        <v>605</v>
      </c>
      <c r="L195" s="7" t="s">
        <v>335</v>
      </c>
      <c r="M195" s="31">
        <v>45731</v>
      </c>
      <c r="N195" s="7" t="s">
        <v>606</v>
      </c>
      <c r="O195" s="8">
        <v>358</v>
      </c>
      <c r="P195" s="24">
        <v>1691</v>
      </c>
      <c r="Q195" s="22">
        <f>IF(COUNTIFS(A$2:A195,A195,I$2:I195,I195)=1,1,0)</f>
        <v>0</v>
      </c>
      <c r="R195" s="22">
        <f t="shared" ref="R195:R258" si="3">COUNTIF(O:O,O195)</f>
        <v>4</v>
      </c>
      <c r="S195" s="33">
        <f>IF(COUNTIF(O$2:O195,O195)=1,R195,0)/2.5</f>
        <v>1.6</v>
      </c>
    </row>
    <row r="196" spans="1:19" ht="18" customHeight="1" x14ac:dyDescent="0.25">
      <c r="A196" s="7" t="s">
        <v>43</v>
      </c>
      <c r="B196" s="8">
        <v>1</v>
      </c>
      <c r="C196" s="9">
        <v>413</v>
      </c>
      <c r="D196" s="29">
        <f>C196+IF(INDEX('Справочник по %'!B:B,(MATCH(A196,'Справочник по %'!A:A,0)))="кол-во",B196*INDEX('Справочник по %'!C:C,(MATCH(A196,'Справочник по %'!A:A,0))),ОТЧЕТ!C196*INDEX('Справочник по %'!C:C,(MATCH(A196,'Справочник по %'!A:A,0))))/100</f>
        <v>454.3</v>
      </c>
      <c r="E196" s="29">
        <f>IF(ОТЧЕТ!A196="SKU3",C196+ОТЧЕТ!C196*0.2,C196+ОТЧЕТ!C196*0.15)</f>
        <v>474.95</v>
      </c>
      <c r="F196" s="7" t="s">
        <v>604</v>
      </c>
      <c r="G196" s="7">
        <v>1511019564</v>
      </c>
      <c r="H196" s="20" t="s">
        <v>50</v>
      </c>
      <c r="I196" s="22">
        <f>INDEX('Справочник Сети'!B:B,(MATCH(G196,'Справочник Сети'!C:C,0)))</f>
        <v>0</v>
      </c>
      <c r="J196" s="7" t="s">
        <v>335</v>
      </c>
      <c r="K196" s="7" t="s">
        <v>607</v>
      </c>
      <c r="L196" s="7" t="s">
        <v>335</v>
      </c>
      <c r="M196" s="31">
        <v>45731</v>
      </c>
      <c r="N196" s="7" t="s">
        <v>608</v>
      </c>
      <c r="O196" s="8">
        <v>358</v>
      </c>
      <c r="P196" s="24">
        <v>1692</v>
      </c>
      <c r="Q196" s="22">
        <f>IF(COUNTIFS(A$2:A196,A196,I$2:I196,I196)=1,1,0)</f>
        <v>0</v>
      </c>
      <c r="R196" s="22">
        <f t="shared" si="3"/>
        <v>4</v>
      </c>
      <c r="S196" s="33">
        <f>IF(COUNTIF(O$2:O196,O196)=1,R196,0)/2.5</f>
        <v>0</v>
      </c>
    </row>
    <row r="197" spans="1:19" ht="18" customHeight="1" x14ac:dyDescent="0.25">
      <c r="A197" s="7" t="s">
        <v>43</v>
      </c>
      <c r="B197" s="8">
        <v>1</v>
      </c>
      <c r="C197" s="9">
        <v>468</v>
      </c>
      <c r="D197" s="29">
        <f>C197+IF(INDEX('Справочник по %'!B:B,(MATCH(A197,'Справочник по %'!A:A,0)))="кол-во",B197*INDEX('Справочник по %'!C:C,(MATCH(A197,'Справочник по %'!A:A,0))),ОТЧЕТ!C197*INDEX('Справочник по %'!C:C,(MATCH(A197,'Справочник по %'!A:A,0))))/100</f>
        <v>514.79999999999995</v>
      </c>
      <c r="E197" s="29">
        <f>IF(ОТЧЕТ!A197="SKU3",C197+ОТЧЕТ!C197*0.2,C197+ОТЧЕТ!C197*0.15)</f>
        <v>538.20000000000005</v>
      </c>
      <c r="F197" s="7" t="s">
        <v>604</v>
      </c>
      <c r="G197" s="7">
        <v>7818009091</v>
      </c>
      <c r="H197" s="20" t="s">
        <v>50</v>
      </c>
      <c r="I197" s="22" t="str">
        <f>INDEX('Справочник Сети'!B:B,(MATCH(G197,'Справочник Сети'!C:C,0)))</f>
        <v>Столички</v>
      </c>
      <c r="J197" s="7" t="s">
        <v>121</v>
      </c>
      <c r="K197" s="7" t="s">
        <v>609</v>
      </c>
      <c r="L197" s="7" t="s">
        <v>121</v>
      </c>
      <c r="M197" s="31">
        <v>45671</v>
      </c>
      <c r="N197" s="7" t="s">
        <v>610</v>
      </c>
      <c r="O197" s="8">
        <v>3762</v>
      </c>
      <c r="P197" s="24">
        <v>1693</v>
      </c>
      <c r="Q197" s="22">
        <f>IF(COUNTIFS(A$2:A197,A197,I$2:I197,I197)=1,1,0)</f>
        <v>0</v>
      </c>
      <c r="R197" s="22">
        <f t="shared" si="3"/>
        <v>3</v>
      </c>
      <c r="S197" s="33">
        <f>IF(COUNTIF(O$2:O197,O197)=1,R197,0)/2.5</f>
        <v>0</v>
      </c>
    </row>
    <row r="198" spans="1:19" ht="18" customHeight="1" x14ac:dyDescent="0.25">
      <c r="A198" s="7" t="s">
        <v>43</v>
      </c>
      <c r="B198" s="8">
        <v>1</v>
      </c>
      <c r="C198" s="9">
        <v>353</v>
      </c>
      <c r="D198" s="29">
        <f>C198+IF(INDEX('Справочник по %'!B:B,(MATCH(A198,'Справочник по %'!A:A,0)))="кол-во",B198*INDEX('Справочник по %'!C:C,(MATCH(A198,'Справочник по %'!A:A,0))),ОТЧЕТ!C198*INDEX('Справочник по %'!C:C,(MATCH(A198,'Справочник по %'!A:A,0))))/100</f>
        <v>388.3</v>
      </c>
      <c r="E198" s="29">
        <f>IF(ОТЧЕТ!A198="SKU3",C198+ОТЧЕТ!C198*0.2,C198+ОТЧЕТ!C198*0.15)</f>
        <v>405.95</v>
      </c>
      <c r="F198" s="7" t="s">
        <v>604</v>
      </c>
      <c r="G198" s="7">
        <v>2309136755</v>
      </c>
      <c r="H198" s="20" t="s">
        <v>50</v>
      </c>
      <c r="I198" s="22" t="str">
        <f>INDEX('Справочник Сети'!B:B,(MATCH(G198,'Справочник Сети'!C:C,0)))</f>
        <v>Столички</v>
      </c>
      <c r="J198" s="7" t="s">
        <v>57</v>
      </c>
      <c r="K198" s="7" t="s">
        <v>596</v>
      </c>
      <c r="L198" s="7" t="s">
        <v>57</v>
      </c>
      <c r="M198" s="31">
        <v>45729</v>
      </c>
      <c r="N198" s="7" t="s">
        <v>611</v>
      </c>
      <c r="O198" s="8">
        <v>1488</v>
      </c>
      <c r="P198" s="24">
        <v>1694</v>
      </c>
      <c r="Q198" s="22">
        <f>IF(COUNTIFS(A$2:A198,A198,I$2:I198,I198)=1,1,0)</f>
        <v>0</v>
      </c>
      <c r="R198" s="22">
        <f t="shared" si="3"/>
        <v>3</v>
      </c>
      <c r="S198" s="33">
        <f>IF(COUNTIF(O$2:O198,O198)=1,R198,0)/2.5</f>
        <v>1.2</v>
      </c>
    </row>
    <row r="199" spans="1:19" ht="18" customHeight="1" x14ac:dyDescent="0.25">
      <c r="A199" s="7" t="s">
        <v>37</v>
      </c>
      <c r="B199" s="8">
        <v>1</v>
      </c>
      <c r="C199" s="9">
        <v>649</v>
      </c>
      <c r="D199" s="29">
        <f>C199+IF(INDEX('Справочник по %'!B:B,(MATCH(A199,'Справочник по %'!A:A,0)))="кол-во",B199*INDEX('Справочник по %'!C:C,(MATCH(A199,'Справочник по %'!A:A,0))),ОТЧЕТ!C199*INDEX('Справочник по %'!C:C,(MATCH(A199,'Справочник по %'!A:A,0))))/100</f>
        <v>649.20000000000005</v>
      </c>
      <c r="E199" s="29">
        <f>IF(ОТЧЕТ!A199="SKU3",C199+ОТЧЕТ!C199*0.2,C199+ОТЧЕТ!C199*0.15)</f>
        <v>746.35</v>
      </c>
      <c r="F199" s="7" t="s">
        <v>612</v>
      </c>
      <c r="G199" s="7">
        <v>7818009091</v>
      </c>
      <c r="H199" s="20" t="s">
        <v>50</v>
      </c>
      <c r="I199" s="22" t="str">
        <f>INDEX('Справочник Сети'!B:B,(MATCH(G199,'Справочник Сети'!C:C,0)))</f>
        <v>Столички</v>
      </c>
      <c r="J199" s="7" t="s">
        <v>121</v>
      </c>
      <c r="K199" s="7" t="s">
        <v>613</v>
      </c>
      <c r="L199" s="7" t="s">
        <v>121</v>
      </c>
      <c r="M199" s="31">
        <v>45671</v>
      </c>
      <c r="N199" s="7" t="s">
        <v>614</v>
      </c>
      <c r="O199" s="8">
        <v>3762</v>
      </c>
      <c r="P199" s="24">
        <v>1695</v>
      </c>
      <c r="Q199" s="22">
        <f>IF(COUNTIFS(A$2:A199,A199,I$2:I199,I199)=1,1,0)</f>
        <v>0</v>
      </c>
      <c r="R199" s="22">
        <f t="shared" si="3"/>
        <v>3</v>
      </c>
      <c r="S199" s="33">
        <f>IF(COUNTIF(O$2:O199,O199)=1,R199,0)/2.5</f>
        <v>0</v>
      </c>
    </row>
    <row r="200" spans="1:19" ht="18" customHeight="1" x14ac:dyDescent="0.25">
      <c r="A200" s="7" t="s">
        <v>43</v>
      </c>
      <c r="B200" s="8">
        <v>1</v>
      </c>
      <c r="C200" s="9">
        <v>355.4</v>
      </c>
      <c r="D200" s="29">
        <f>C200+IF(INDEX('Справочник по %'!B:B,(MATCH(A200,'Справочник по %'!A:A,0)))="кол-во",B200*INDEX('Справочник по %'!C:C,(MATCH(A200,'Справочник по %'!A:A,0))),ОТЧЕТ!C200*INDEX('Справочник по %'!C:C,(MATCH(A200,'Справочник по %'!A:A,0))))/100</f>
        <v>390.94</v>
      </c>
      <c r="E200" s="29">
        <f>IF(ОТЧЕТ!A200="SKU3",C200+ОТЧЕТ!C200*0.2,C200+ОТЧЕТ!C200*0.15)</f>
        <v>408.71</v>
      </c>
      <c r="F200" s="7" t="s">
        <v>612</v>
      </c>
      <c r="G200" s="7">
        <v>5517010163</v>
      </c>
      <c r="H200" s="20" t="s">
        <v>615</v>
      </c>
      <c r="I200" s="22">
        <f>INDEX('Справочник Сети'!B:B,(MATCH(G200,'Справочник Сети'!C:C,0)))</f>
        <v>0</v>
      </c>
      <c r="J200" s="7" t="s">
        <v>255</v>
      </c>
      <c r="K200" s="7" t="s">
        <v>616</v>
      </c>
      <c r="L200" s="7" t="s">
        <v>255</v>
      </c>
      <c r="M200" s="31">
        <v>45713</v>
      </c>
      <c r="N200" s="7" t="s">
        <v>617</v>
      </c>
      <c r="O200" s="8">
        <v>490</v>
      </c>
      <c r="P200" s="24">
        <v>1696</v>
      </c>
      <c r="Q200" s="22">
        <f>IF(COUNTIFS(A$2:A200,A200,I$2:I200,I200)=1,1,0)</f>
        <v>0</v>
      </c>
      <c r="R200" s="22">
        <f t="shared" si="3"/>
        <v>1</v>
      </c>
      <c r="S200" s="33">
        <f>IF(COUNTIF(O$2:O200,O200)=1,R200,0)/2.5</f>
        <v>0.4</v>
      </c>
    </row>
    <row r="201" spans="1:19" ht="18" customHeight="1" x14ac:dyDescent="0.25">
      <c r="A201" s="7" t="s">
        <v>37</v>
      </c>
      <c r="B201" s="8">
        <v>1</v>
      </c>
      <c r="C201" s="9">
        <v>697</v>
      </c>
      <c r="D201" s="29">
        <f>C201+IF(INDEX('Справочник по %'!B:B,(MATCH(A201,'Справочник по %'!A:A,0)))="кол-во",B201*INDEX('Справочник по %'!C:C,(MATCH(A201,'Справочник по %'!A:A,0))),ОТЧЕТ!C201*INDEX('Справочник по %'!C:C,(MATCH(A201,'Справочник по %'!A:A,0))))/100</f>
        <v>697.2</v>
      </c>
      <c r="E201" s="29">
        <f>IF(ОТЧЕТ!A201="SKU3",C201+ОТЧЕТ!C201*0.2,C201+ОТЧЕТ!C201*0.15)</f>
        <v>801.55</v>
      </c>
      <c r="F201" s="7" t="s">
        <v>618</v>
      </c>
      <c r="G201" s="7">
        <v>6671131450</v>
      </c>
      <c r="H201" s="20" t="s">
        <v>132</v>
      </c>
      <c r="I201" s="22">
        <f>INDEX('Справочник Сети'!B:B,(MATCH(G201,'Справочник Сети'!C:C,0)))</f>
        <v>0</v>
      </c>
      <c r="J201" s="7" t="s">
        <v>133</v>
      </c>
      <c r="K201" s="7" t="s">
        <v>619</v>
      </c>
      <c r="L201" s="7" t="s">
        <v>133</v>
      </c>
      <c r="M201" s="31">
        <v>45695</v>
      </c>
      <c r="N201" s="7" t="s">
        <v>620</v>
      </c>
      <c r="O201" s="8">
        <v>2221</v>
      </c>
      <c r="P201" s="24">
        <v>1697</v>
      </c>
      <c r="Q201" s="22">
        <f>IF(COUNTIFS(A$2:A201,A201,I$2:I201,I201)=1,1,0)</f>
        <v>0</v>
      </c>
      <c r="R201" s="22">
        <f t="shared" si="3"/>
        <v>2</v>
      </c>
      <c r="S201" s="33">
        <f>IF(COUNTIF(O$2:O201,O201)=1,R201,0)/2.5</f>
        <v>0.8</v>
      </c>
    </row>
    <row r="202" spans="1:19" ht="18" customHeight="1" x14ac:dyDescent="0.25">
      <c r="A202" s="7" t="s">
        <v>43</v>
      </c>
      <c r="B202" s="8">
        <v>1</v>
      </c>
      <c r="C202" s="9">
        <v>385.9</v>
      </c>
      <c r="D202" s="29">
        <f>C202+IF(INDEX('Справочник по %'!B:B,(MATCH(A202,'Справочник по %'!A:A,0)))="кол-во",B202*INDEX('Справочник по %'!C:C,(MATCH(A202,'Справочник по %'!A:A,0))),ОТЧЕТ!C202*INDEX('Справочник по %'!C:C,(MATCH(A202,'Справочник по %'!A:A,0))))/100</f>
        <v>424.49</v>
      </c>
      <c r="E202" s="29">
        <f>IF(ОТЧЕТ!A202="SKU3",C202+ОТЧЕТ!C202*0.2,C202+ОТЧЕТ!C202*0.15)</f>
        <v>443.78499999999997</v>
      </c>
      <c r="F202" s="7" t="s">
        <v>618</v>
      </c>
      <c r="G202" s="7">
        <v>3801042576</v>
      </c>
      <c r="H202" s="20" t="s">
        <v>64</v>
      </c>
      <c r="I202" s="22" t="str">
        <f>INDEX('Справочник Сети'!B:B,(MATCH(G202,'Справочник Сети'!C:C,0)))</f>
        <v>Планета здоровья</v>
      </c>
      <c r="J202" s="7" t="s">
        <v>65</v>
      </c>
      <c r="K202" s="7" t="s">
        <v>621</v>
      </c>
      <c r="L202" s="7" t="s">
        <v>65</v>
      </c>
      <c r="M202" s="31">
        <v>45717</v>
      </c>
      <c r="N202" s="7" t="s">
        <v>622</v>
      </c>
      <c r="O202" s="8">
        <v>581</v>
      </c>
      <c r="P202" s="24">
        <v>1698</v>
      </c>
      <c r="Q202" s="22">
        <f>IF(COUNTIFS(A$2:A202,A202,I$2:I202,I202)=1,1,0)</f>
        <v>0</v>
      </c>
      <c r="R202" s="22">
        <f t="shared" si="3"/>
        <v>2</v>
      </c>
      <c r="S202" s="33">
        <f>IF(COUNTIF(O$2:O202,O202)=1,R202,0)/2.5</f>
        <v>0.8</v>
      </c>
    </row>
    <row r="203" spans="1:19" ht="18" customHeight="1" x14ac:dyDescent="0.25">
      <c r="A203" s="7" t="s">
        <v>37</v>
      </c>
      <c r="B203" s="8">
        <v>1</v>
      </c>
      <c r="C203" s="9">
        <v>546</v>
      </c>
      <c r="D203" s="29">
        <f>C203+IF(INDEX('Справочник по %'!B:B,(MATCH(A203,'Справочник по %'!A:A,0)))="кол-во",B203*INDEX('Справочник по %'!C:C,(MATCH(A203,'Справочник по %'!A:A,0))),ОТЧЕТ!C203*INDEX('Справочник по %'!C:C,(MATCH(A203,'Справочник по %'!A:A,0))))/100</f>
        <v>546.20000000000005</v>
      </c>
      <c r="E203" s="29">
        <f>IF(ОТЧЕТ!A203="SKU3",C203+ОТЧЕТ!C203*0.2,C203+ОТЧЕТ!C203*0.15)</f>
        <v>627.9</v>
      </c>
      <c r="F203" s="7" t="s">
        <v>623</v>
      </c>
      <c r="G203" s="7">
        <v>7706795062</v>
      </c>
      <c r="H203" s="20" t="s">
        <v>624</v>
      </c>
      <c r="I203" s="22" t="str">
        <f>INDEX('Справочник Сети'!B:B,(MATCH(G203,'Справочник Сети'!C:C,0)))</f>
        <v>Планета здоровья</v>
      </c>
      <c r="J203" s="7" t="s">
        <v>87</v>
      </c>
      <c r="K203" s="7" t="s">
        <v>625</v>
      </c>
      <c r="L203" s="7" t="s">
        <v>116</v>
      </c>
      <c r="M203" s="31">
        <v>45692</v>
      </c>
      <c r="N203" s="7" t="s">
        <v>626</v>
      </c>
      <c r="O203" s="8">
        <v>242</v>
      </c>
      <c r="P203" s="24">
        <v>1701</v>
      </c>
      <c r="Q203" s="22">
        <f>IF(COUNTIFS(A$2:A203,A203,I$2:I203,I203)=1,1,0)</f>
        <v>0</v>
      </c>
      <c r="R203" s="22">
        <f t="shared" si="3"/>
        <v>1</v>
      </c>
      <c r="S203" s="33">
        <f>IF(COUNTIF(O$2:O203,O203)=1,R203,0)/2.5</f>
        <v>0.4</v>
      </c>
    </row>
    <row r="204" spans="1:19" ht="18" customHeight="1" x14ac:dyDescent="0.25">
      <c r="A204" s="7" t="s">
        <v>43</v>
      </c>
      <c r="B204" s="8">
        <v>1</v>
      </c>
      <c r="C204" s="9">
        <v>425</v>
      </c>
      <c r="D204" s="29">
        <f>C204+IF(INDEX('Справочник по %'!B:B,(MATCH(A204,'Справочник по %'!A:A,0)))="кол-во",B204*INDEX('Справочник по %'!C:C,(MATCH(A204,'Справочник по %'!A:A,0))),ОТЧЕТ!C204*INDEX('Справочник по %'!C:C,(MATCH(A204,'Справочник по %'!A:A,0))))/100</f>
        <v>467.5</v>
      </c>
      <c r="E204" s="29">
        <f>IF(ОТЧЕТ!A204="SKU3",C204+ОТЧЕТ!C204*0.2,C204+ОТЧЕТ!C204*0.15)</f>
        <v>488.75</v>
      </c>
      <c r="F204" s="7" t="s">
        <v>623</v>
      </c>
      <c r="G204" s="7">
        <v>1659108128</v>
      </c>
      <c r="H204" s="20" t="s">
        <v>580</v>
      </c>
      <c r="I204" s="22">
        <f>INDEX('Справочник Сети'!B:B,(MATCH(G204,'Справочник Сети'!C:C,0)))</f>
        <v>0</v>
      </c>
      <c r="J204" s="7" t="s">
        <v>335</v>
      </c>
      <c r="K204" s="7" t="s">
        <v>627</v>
      </c>
      <c r="L204" s="7" t="s">
        <v>335</v>
      </c>
      <c r="M204" s="31">
        <v>45731</v>
      </c>
      <c r="N204" s="7" t="s">
        <v>628</v>
      </c>
      <c r="O204" s="8">
        <v>3572</v>
      </c>
      <c r="P204" s="24">
        <v>1702</v>
      </c>
      <c r="Q204" s="22">
        <f>IF(COUNTIFS(A$2:A204,A204,I$2:I204,I204)=1,1,0)</f>
        <v>0</v>
      </c>
      <c r="R204" s="22">
        <f t="shared" si="3"/>
        <v>3</v>
      </c>
      <c r="S204" s="33">
        <f>IF(COUNTIF(O$2:O204,O204)=1,R204,0)/2.5</f>
        <v>0</v>
      </c>
    </row>
    <row r="205" spans="1:19" ht="18" customHeight="1" x14ac:dyDescent="0.25">
      <c r="A205" s="7" t="s">
        <v>43</v>
      </c>
      <c r="B205" s="8">
        <v>1</v>
      </c>
      <c r="C205" s="9">
        <v>460</v>
      </c>
      <c r="D205" s="29">
        <f>C205+IF(INDEX('Справочник по %'!B:B,(MATCH(A205,'Справочник по %'!A:A,0)))="кол-во",B205*INDEX('Справочник по %'!C:C,(MATCH(A205,'Справочник по %'!A:A,0))),ОТЧЕТ!C205*INDEX('Справочник по %'!C:C,(MATCH(A205,'Справочник по %'!A:A,0))))/100</f>
        <v>506</v>
      </c>
      <c r="E205" s="29">
        <f>IF(ОТЧЕТ!A205="SKU3",C205+ОТЧЕТ!C205*0.2,C205+ОТЧЕТ!C205*0.15)</f>
        <v>529</v>
      </c>
      <c r="F205" s="7" t="s">
        <v>623</v>
      </c>
      <c r="G205" s="7">
        <v>7840411560</v>
      </c>
      <c r="H205" s="20" t="s">
        <v>629</v>
      </c>
      <c r="I205" s="22" t="str">
        <f>INDEX('Справочник Сети'!B:B,(MATCH(G205,'Справочник Сети'!C:C,0)))</f>
        <v>Столички</v>
      </c>
      <c r="J205" s="7" t="s">
        <v>315</v>
      </c>
      <c r="K205" s="7" t="s">
        <v>630</v>
      </c>
      <c r="L205" s="7" t="s">
        <v>315</v>
      </c>
      <c r="M205" s="31">
        <v>45670</v>
      </c>
      <c r="N205" s="7" t="s">
        <v>631</v>
      </c>
      <c r="O205" s="8">
        <v>1474</v>
      </c>
      <c r="P205" s="24">
        <v>1703</v>
      </c>
      <c r="Q205" s="22">
        <f>IF(COUNTIFS(A$2:A205,A205,I$2:I205,I205)=1,1,0)</f>
        <v>0</v>
      </c>
      <c r="R205" s="22">
        <f t="shared" si="3"/>
        <v>3</v>
      </c>
      <c r="S205" s="33">
        <f>IF(COUNTIF(O$2:O205,O205)=1,R205,0)/2.5</f>
        <v>1.2</v>
      </c>
    </row>
    <row r="206" spans="1:19" ht="18" customHeight="1" x14ac:dyDescent="0.25">
      <c r="A206" s="7" t="s">
        <v>43</v>
      </c>
      <c r="B206" s="8">
        <v>1</v>
      </c>
      <c r="C206" s="9">
        <v>457</v>
      </c>
      <c r="D206" s="29">
        <f>C206+IF(INDEX('Справочник по %'!B:B,(MATCH(A206,'Справочник по %'!A:A,0)))="кол-во",B206*INDEX('Справочник по %'!C:C,(MATCH(A206,'Справочник по %'!A:A,0))),ОТЧЕТ!C206*INDEX('Справочник по %'!C:C,(MATCH(A206,'Справочник по %'!A:A,0))))/100</f>
        <v>502.7</v>
      </c>
      <c r="E206" s="29">
        <f>IF(ОТЧЕТ!A206="SKU3",C206+ОТЧЕТ!C206*0.2,C206+ОТЧЕТ!C206*0.15)</f>
        <v>525.54999999999995</v>
      </c>
      <c r="F206" s="7" t="s">
        <v>623</v>
      </c>
      <c r="G206" s="7">
        <v>3702228192</v>
      </c>
      <c r="H206" s="20" t="s">
        <v>50</v>
      </c>
      <c r="I206" s="22">
        <f>INDEX('Справочник Сети'!B:B,(MATCH(G206,'Справочник Сети'!C:C,0)))</f>
        <v>0</v>
      </c>
      <c r="J206" s="7" t="s">
        <v>65</v>
      </c>
      <c r="K206" s="7" t="s">
        <v>632</v>
      </c>
      <c r="L206" s="7" t="s">
        <v>65</v>
      </c>
      <c r="M206" s="31">
        <v>45717</v>
      </c>
      <c r="N206" s="7" t="s">
        <v>633</v>
      </c>
      <c r="O206" s="8">
        <v>2148</v>
      </c>
      <c r="P206" s="24">
        <v>1704</v>
      </c>
      <c r="Q206" s="22">
        <f>IF(COUNTIFS(A$2:A206,A206,I$2:I206,I206)=1,1,0)</f>
        <v>0</v>
      </c>
      <c r="R206" s="22">
        <f t="shared" si="3"/>
        <v>3</v>
      </c>
      <c r="S206" s="33">
        <f>IF(COUNTIF(O$2:O206,O206)=1,R206,0)/2.5</f>
        <v>1.2</v>
      </c>
    </row>
    <row r="207" spans="1:19" ht="18" customHeight="1" x14ac:dyDescent="0.25">
      <c r="A207" s="7" t="s">
        <v>43</v>
      </c>
      <c r="B207" s="8">
        <v>1</v>
      </c>
      <c r="C207" s="9">
        <v>450</v>
      </c>
      <c r="D207" s="29">
        <f>C207+IF(INDEX('Справочник по %'!B:B,(MATCH(A207,'Справочник по %'!A:A,0)))="кол-во",B207*INDEX('Справочник по %'!C:C,(MATCH(A207,'Справочник по %'!A:A,0))),ОТЧЕТ!C207*INDEX('Справочник по %'!C:C,(MATCH(A207,'Справочник по %'!A:A,0))))/100</f>
        <v>495</v>
      </c>
      <c r="E207" s="29">
        <f>IF(ОТЧЕТ!A207="SKU3",C207+ОТЧЕТ!C207*0.2,C207+ОТЧЕТ!C207*0.15)</f>
        <v>517.5</v>
      </c>
      <c r="F207" s="7" t="s">
        <v>623</v>
      </c>
      <c r="G207" s="7">
        <v>4205048353</v>
      </c>
      <c r="H207" s="20" t="s">
        <v>634</v>
      </c>
      <c r="I207" s="22" t="str">
        <f>INDEX('Справочник Сети'!B:B,(MATCH(G207,'Справочник Сети'!C:C,0)))</f>
        <v>Планета здоровья</v>
      </c>
      <c r="J207" s="7" t="s">
        <v>155</v>
      </c>
      <c r="K207" s="7" t="s">
        <v>635</v>
      </c>
      <c r="L207" s="7" t="s">
        <v>155</v>
      </c>
      <c r="M207" s="31">
        <v>45716</v>
      </c>
      <c r="N207" s="7" t="s">
        <v>636</v>
      </c>
      <c r="O207" s="8">
        <v>1110</v>
      </c>
      <c r="P207" s="24">
        <v>1705</v>
      </c>
      <c r="Q207" s="22">
        <f>IF(COUNTIFS(A$2:A207,A207,I$2:I207,I207)=1,1,0)</f>
        <v>0</v>
      </c>
      <c r="R207" s="22">
        <f t="shared" si="3"/>
        <v>2</v>
      </c>
      <c r="S207" s="33">
        <f>IF(COUNTIF(O$2:O207,O207)=1,R207,0)/2.5</f>
        <v>0.8</v>
      </c>
    </row>
    <row r="208" spans="1:19" ht="18" customHeight="1" x14ac:dyDescent="0.25">
      <c r="A208" s="7" t="s">
        <v>43</v>
      </c>
      <c r="B208" s="8">
        <v>1</v>
      </c>
      <c r="C208" s="9">
        <v>408.6</v>
      </c>
      <c r="D208" s="29">
        <f>C208+IF(INDEX('Справочник по %'!B:B,(MATCH(A208,'Справочник по %'!A:A,0)))="кол-во",B208*INDEX('Справочник по %'!C:C,(MATCH(A208,'Справочник по %'!A:A,0))),ОТЧЕТ!C208*INDEX('Справочник по %'!C:C,(MATCH(A208,'Справочник по %'!A:A,0))))/100</f>
        <v>449.46000000000004</v>
      </c>
      <c r="E208" s="29">
        <f>IF(ОТЧЕТ!A208="SKU3",C208+ОТЧЕТ!C208*0.2,C208+ОТЧЕТ!C208*0.15)</f>
        <v>469.89000000000004</v>
      </c>
      <c r="F208" s="7" t="s">
        <v>637</v>
      </c>
      <c r="G208" s="7">
        <v>3801042576</v>
      </c>
      <c r="H208" s="20" t="s">
        <v>638</v>
      </c>
      <c r="I208" s="22" t="str">
        <f>INDEX('Справочник Сети'!B:B,(MATCH(G208,'Справочник Сети'!C:C,0)))</f>
        <v>Планета здоровья</v>
      </c>
      <c r="J208" s="7" t="s">
        <v>65</v>
      </c>
      <c r="K208" s="7" t="s">
        <v>639</v>
      </c>
      <c r="L208" s="7" t="s">
        <v>65</v>
      </c>
      <c r="M208" s="31">
        <v>45717</v>
      </c>
      <c r="N208" s="7" t="s">
        <v>640</v>
      </c>
      <c r="O208" s="8">
        <v>2882</v>
      </c>
      <c r="P208" s="24">
        <v>1708</v>
      </c>
      <c r="Q208" s="22">
        <f>IF(COUNTIFS(A$2:A208,A208,I$2:I208,I208)=1,1,0)</f>
        <v>0</v>
      </c>
      <c r="R208" s="22">
        <f t="shared" si="3"/>
        <v>1</v>
      </c>
      <c r="S208" s="33">
        <f>IF(COUNTIF(O$2:O208,O208)=1,R208,0)/2.5</f>
        <v>0.4</v>
      </c>
    </row>
    <row r="209" spans="1:19" ht="18" customHeight="1" x14ac:dyDescent="0.25">
      <c r="A209" s="7" t="s">
        <v>43</v>
      </c>
      <c r="B209" s="8">
        <v>1</v>
      </c>
      <c r="C209" s="9">
        <v>397</v>
      </c>
      <c r="D209" s="29">
        <f>C209+IF(INDEX('Справочник по %'!B:B,(MATCH(A209,'Справочник по %'!A:A,0)))="кол-во",B209*INDEX('Справочник по %'!C:C,(MATCH(A209,'Справочник по %'!A:A,0))),ОТЧЕТ!C209*INDEX('Справочник по %'!C:C,(MATCH(A209,'Справочник по %'!A:A,0))))/100</f>
        <v>436.7</v>
      </c>
      <c r="E209" s="29">
        <f>IF(ОТЧЕТ!A209="SKU3",C209+ОТЧЕТ!C209*0.2,C209+ОТЧЕТ!C209*0.15)</f>
        <v>456.55</v>
      </c>
      <c r="F209" s="7" t="s">
        <v>641</v>
      </c>
      <c r="G209" s="7">
        <v>7732121736</v>
      </c>
      <c r="H209" s="20" t="s">
        <v>341</v>
      </c>
      <c r="I209" s="22" t="str">
        <f>INDEX('Справочник Сети'!B:B,(MATCH(G209,'Справочник Сети'!C:C,0)))</f>
        <v>Планета здоровья</v>
      </c>
      <c r="J209" s="7" t="s">
        <v>149</v>
      </c>
      <c r="K209" s="7" t="s">
        <v>642</v>
      </c>
      <c r="L209" s="7" t="s">
        <v>149</v>
      </c>
      <c r="M209" s="31">
        <v>45673</v>
      </c>
      <c r="N209" s="7" t="s">
        <v>643</v>
      </c>
      <c r="O209" s="8">
        <v>2131</v>
      </c>
      <c r="P209" s="24">
        <v>1710</v>
      </c>
      <c r="Q209" s="22">
        <f>IF(COUNTIFS(A$2:A209,A209,I$2:I209,I209)=1,1,0)</f>
        <v>0</v>
      </c>
      <c r="R209" s="22">
        <f t="shared" si="3"/>
        <v>5</v>
      </c>
      <c r="S209" s="33">
        <f>IF(COUNTIF(O$2:O209,O209)=1,R209,0)/2.5</f>
        <v>0</v>
      </c>
    </row>
    <row r="210" spans="1:19" ht="18" customHeight="1" x14ac:dyDescent="0.25">
      <c r="A210" s="7" t="s">
        <v>43</v>
      </c>
      <c r="B210" s="8">
        <v>1</v>
      </c>
      <c r="C210" s="9">
        <v>311.5</v>
      </c>
      <c r="D210" s="29">
        <f>C210+IF(INDEX('Справочник по %'!B:B,(MATCH(A210,'Справочник по %'!A:A,0)))="кол-во",B210*INDEX('Справочник по %'!C:C,(MATCH(A210,'Справочник по %'!A:A,0))),ОТЧЕТ!C210*INDEX('Справочник по %'!C:C,(MATCH(A210,'Справочник по %'!A:A,0))))/100</f>
        <v>342.65</v>
      </c>
      <c r="E210" s="29">
        <f>IF(ОТЧЕТ!A210="SKU3",C210+ОТЧЕТ!C210*0.2,C210+ОТЧЕТ!C210*0.15)</f>
        <v>358.22500000000002</v>
      </c>
      <c r="F210" s="7" t="s">
        <v>641</v>
      </c>
      <c r="G210" s="7">
        <v>5507102175</v>
      </c>
      <c r="H210" s="20" t="s">
        <v>50</v>
      </c>
      <c r="I210" s="22" t="str">
        <f>INDEX('Справочник Сети'!B:B,(MATCH(G210,'Справочник Сети'!C:C,0)))</f>
        <v>Столички</v>
      </c>
      <c r="J210" s="7" t="s">
        <v>255</v>
      </c>
      <c r="K210" s="7" t="s">
        <v>644</v>
      </c>
      <c r="L210" s="7" t="s">
        <v>255</v>
      </c>
      <c r="M210" s="31">
        <v>45713</v>
      </c>
      <c r="N210" s="7" t="s">
        <v>645</v>
      </c>
      <c r="O210" s="8">
        <v>1455</v>
      </c>
      <c r="P210" s="24">
        <v>1712</v>
      </c>
      <c r="Q210" s="22">
        <f>IF(COUNTIFS(A$2:A210,A210,I$2:I210,I210)=1,1,0)</f>
        <v>0</v>
      </c>
      <c r="R210" s="22">
        <f t="shared" si="3"/>
        <v>4</v>
      </c>
      <c r="S210" s="33">
        <f>IF(COUNTIF(O$2:O210,O210)=1,R210,0)/2.5</f>
        <v>1.6</v>
      </c>
    </row>
    <row r="211" spans="1:19" ht="18" customHeight="1" x14ac:dyDescent="0.25">
      <c r="A211" s="7" t="s">
        <v>43</v>
      </c>
      <c r="B211" s="8">
        <v>1</v>
      </c>
      <c r="C211" s="9">
        <v>438</v>
      </c>
      <c r="D211" s="29">
        <f>C211+IF(INDEX('Справочник по %'!B:B,(MATCH(A211,'Справочник по %'!A:A,0)))="кол-во",B211*INDEX('Справочник по %'!C:C,(MATCH(A211,'Справочник по %'!A:A,0))),ОТЧЕТ!C211*INDEX('Справочник по %'!C:C,(MATCH(A211,'Справочник по %'!A:A,0))))/100</f>
        <v>481.8</v>
      </c>
      <c r="E211" s="29">
        <f>IF(ОТЧЕТ!A211="SKU3",C211+ОТЧЕТ!C211*0.2,C211+ОТЧЕТ!C211*0.15)</f>
        <v>503.7</v>
      </c>
      <c r="F211" s="7" t="s">
        <v>641</v>
      </c>
      <c r="G211" s="7">
        <v>9204011303</v>
      </c>
      <c r="H211" s="20" t="s">
        <v>646</v>
      </c>
      <c r="I211" s="22">
        <f>INDEX('Справочник Сети'!B:B,(MATCH(G211,'Справочник Сети'!C:C,0)))</f>
        <v>0</v>
      </c>
      <c r="J211" s="7" t="s">
        <v>239</v>
      </c>
      <c r="K211" s="7" t="s">
        <v>647</v>
      </c>
      <c r="L211" s="7" t="s">
        <v>239</v>
      </c>
      <c r="M211" s="31">
        <v>45662</v>
      </c>
      <c r="N211" s="7" t="s">
        <v>648</v>
      </c>
      <c r="O211" s="8">
        <v>733</v>
      </c>
      <c r="P211" s="24">
        <v>1713</v>
      </c>
      <c r="Q211" s="22">
        <f>IF(COUNTIFS(A$2:A211,A211,I$2:I211,I211)=1,1,0)</f>
        <v>0</v>
      </c>
      <c r="R211" s="22">
        <f t="shared" si="3"/>
        <v>1</v>
      </c>
      <c r="S211" s="33">
        <f>IF(COUNTIF(O$2:O211,O211)=1,R211,0)/2.5</f>
        <v>0.4</v>
      </c>
    </row>
    <row r="212" spans="1:19" ht="18" customHeight="1" x14ac:dyDescent="0.25">
      <c r="A212" s="7" t="s">
        <v>43</v>
      </c>
      <c r="B212" s="8">
        <v>1</v>
      </c>
      <c r="C212" s="9">
        <v>488</v>
      </c>
      <c r="D212" s="29">
        <f>C212+IF(INDEX('Справочник по %'!B:B,(MATCH(A212,'Справочник по %'!A:A,0)))="кол-во",B212*INDEX('Справочник по %'!C:C,(MATCH(A212,'Справочник по %'!A:A,0))),ОТЧЕТ!C212*INDEX('Справочник по %'!C:C,(MATCH(A212,'Справочник по %'!A:A,0))))/100</f>
        <v>536.79999999999995</v>
      </c>
      <c r="E212" s="29">
        <f>IF(ОТЧЕТ!A212="SKU3",C212+ОТЧЕТ!C212*0.2,C212+ОТЧЕТ!C212*0.15)</f>
        <v>561.20000000000005</v>
      </c>
      <c r="F212" s="7" t="s">
        <v>641</v>
      </c>
      <c r="G212" s="7">
        <v>7714844316</v>
      </c>
      <c r="H212" s="20" t="s">
        <v>50</v>
      </c>
      <c r="I212" s="22" t="str">
        <f>INDEX('Справочник Сети'!B:B,(MATCH(G212,'Справочник Сети'!C:C,0)))</f>
        <v>Планета здоровья</v>
      </c>
      <c r="J212" s="7" t="s">
        <v>504</v>
      </c>
      <c r="K212" s="7" t="s">
        <v>47</v>
      </c>
      <c r="L212" s="7" t="s">
        <v>504</v>
      </c>
      <c r="M212" s="31">
        <v>45690</v>
      </c>
      <c r="N212" s="7" t="s">
        <v>649</v>
      </c>
      <c r="O212" s="8">
        <v>1048</v>
      </c>
      <c r="P212" s="24">
        <v>1714</v>
      </c>
      <c r="Q212" s="22">
        <f>IF(COUNTIFS(A$2:A212,A212,I$2:I212,I212)=1,1,0)</f>
        <v>0</v>
      </c>
      <c r="R212" s="22">
        <f t="shared" si="3"/>
        <v>5</v>
      </c>
      <c r="S212" s="33">
        <f>IF(COUNTIF(O$2:O212,O212)=1,R212,0)/2.5</f>
        <v>2</v>
      </c>
    </row>
    <row r="213" spans="1:19" ht="18" customHeight="1" x14ac:dyDescent="0.25">
      <c r="A213" s="7" t="s">
        <v>43</v>
      </c>
      <c r="B213" s="8">
        <v>1</v>
      </c>
      <c r="C213" s="9">
        <v>487</v>
      </c>
      <c r="D213" s="29">
        <f>C213+IF(INDEX('Справочник по %'!B:B,(MATCH(A213,'Справочник по %'!A:A,0)))="кол-во",B213*INDEX('Справочник по %'!C:C,(MATCH(A213,'Справочник по %'!A:A,0))),ОТЧЕТ!C213*INDEX('Справочник по %'!C:C,(MATCH(A213,'Справочник по %'!A:A,0))))/100</f>
        <v>535.70000000000005</v>
      </c>
      <c r="E213" s="29">
        <f>IF(ОТЧЕТ!A213="SKU3",C213+ОТЧЕТ!C213*0.2,C213+ОТЧЕТ!C213*0.15)</f>
        <v>560.04999999999995</v>
      </c>
      <c r="F213" s="7" t="s">
        <v>641</v>
      </c>
      <c r="G213" s="7">
        <v>4720031507</v>
      </c>
      <c r="H213" s="20" t="s">
        <v>650</v>
      </c>
      <c r="I213" s="22" t="str">
        <f>INDEX('Справочник Сети'!B:B,(MATCH(G213,'Справочник Сети'!C:C,0)))</f>
        <v>Ригла</v>
      </c>
      <c r="J213" s="7" t="s">
        <v>83</v>
      </c>
      <c r="K213" s="7" t="s">
        <v>651</v>
      </c>
      <c r="L213" s="7" t="s">
        <v>83</v>
      </c>
      <c r="M213" s="31">
        <v>45715</v>
      </c>
      <c r="N213" s="7" t="s">
        <v>652</v>
      </c>
      <c r="O213" s="8">
        <v>461</v>
      </c>
      <c r="P213" s="24">
        <v>1715</v>
      </c>
      <c r="Q213" s="22">
        <f>IF(COUNTIFS(A$2:A213,A213,I$2:I213,I213)=1,1,0)</f>
        <v>0</v>
      </c>
      <c r="R213" s="22">
        <f t="shared" si="3"/>
        <v>4</v>
      </c>
      <c r="S213" s="33">
        <f>IF(COUNTIF(O$2:O213,O213)=1,R213,0)/2.5</f>
        <v>1.6</v>
      </c>
    </row>
    <row r="214" spans="1:19" ht="18" customHeight="1" x14ac:dyDescent="0.25">
      <c r="A214" s="7" t="s">
        <v>43</v>
      </c>
      <c r="B214" s="8">
        <v>1</v>
      </c>
      <c r="C214" s="9">
        <v>425.94</v>
      </c>
      <c r="D214" s="29">
        <f>C214+IF(INDEX('Справочник по %'!B:B,(MATCH(A214,'Справочник по %'!A:A,0)))="кол-во",B214*INDEX('Справочник по %'!C:C,(MATCH(A214,'Справочник по %'!A:A,0))),ОТЧЕТ!C214*INDEX('Справочник по %'!C:C,(MATCH(A214,'Справочник по %'!A:A,0))))/100</f>
        <v>468.53399999999999</v>
      </c>
      <c r="E214" s="29">
        <f>IF(ОТЧЕТ!A214="SKU3",C214+ОТЧЕТ!C214*0.2,C214+ОТЧЕТ!C214*0.15)</f>
        <v>489.83100000000002</v>
      </c>
      <c r="F214" s="7" t="s">
        <v>653</v>
      </c>
      <c r="G214" s="7">
        <v>9203002578</v>
      </c>
      <c r="H214" s="20" t="s">
        <v>654</v>
      </c>
      <c r="I214" s="22">
        <f>INDEX('Справочник Сети'!B:B,(MATCH(G214,'Справочник Сети'!C:C,0)))</f>
        <v>0</v>
      </c>
      <c r="J214" s="7" t="s">
        <v>239</v>
      </c>
      <c r="K214" s="7" t="s">
        <v>655</v>
      </c>
      <c r="L214" s="7" t="s">
        <v>239</v>
      </c>
      <c r="M214" s="31">
        <v>45662</v>
      </c>
      <c r="N214" s="7" t="s">
        <v>656</v>
      </c>
      <c r="O214" s="8">
        <v>3131</v>
      </c>
      <c r="P214" s="24">
        <v>1718</v>
      </c>
      <c r="Q214" s="22">
        <f>IF(COUNTIFS(A$2:A214,A214,I$2:I214,I214)=1,1,0)</f>
        <v>0</v>
      </c>
      <c r="R214" s="22">
        <f t="shared" si="3"/>
        <v>1</v>
      </c>
      <c r="S214" s="33">
        <f>IF(COUNTIF(O$2:O214,O214)=1,R214,0)/2.5</f>
        <v>0.4</v>
      </c>
    </row>
    <row r="215" spans="1:19" ht="18" customHeight="1" x14ac:dyDescent="0.25">
      <c r="A215" s="7" t="s">
        <v>43</v>
      </c>
      <c r="B215" s="8">
        <v>1</v>
      </c>
      <c r="C215" s="9">
        <v>448</v>
      </c>
      <c r="D215" s="29">
        <f>C215+IF(INDEX('Справочник по %'!B:B,(MATCH(A215,'Справочник по %'!A:A,0)))="кол-во",B215*INDEX('Справочник по %'!C:C,(MATCH(A215,'Справочник по %'!A:A,0))),ОТЧЕТ!C215*INDEX('Справочник по %'!C:C,(MATCH(A215,'Справочник по %'!A:A,0))))/100</f>
        <v>492.8</v>
      </c>
      <c r="E215" s="29">
        <f>IF(ОТЧЕТ!A215="SKU3",C215+ОТЧЕТ!C215*0.2,C215+ОТЧЕТ!C215*0.15)</f>
        <v>515.20000000000005</v>
      </c>
      <c r="F215" s="7" t="s">
        <v>657</v>
      </c>
      <c r="G215" s="7">
        <v>5903114664</v>
      </c>
      <c r="H215" s="20" t="s">
        <v>658</v>
      </c>
      <c r="I215" s="22" t="str">
        <f>INDEX('Справочник Сети'!B:B,(MATCH(G215,'Справочник Сети'!C:C,0)))</f>
        <v>Нео-фарм</v>
      </c>
      <c r="J215" s="7" t="s">
        <v>40</v>
      </c>
      <c r="K215" s="7" t="s">
        <v>231</v>
      </c>
      <c r="L215" s="7" t="s">
        <v>40</v>
      </c>
      <c r="M215" s="31">
        <v>45712</v>
      </c>
      <c r="N215" s="7" t="s">
        <v>659</v>
      </c>
      <c r="O215" s="8">
        <v>1246</v>
      </c>
      <c r="P215" s="24">
        <v>1724</v>
      </c>
      <c r="Q215" s="22">
        <f>IF(COUNTIFS(A$2:A215,A215,I$2:I215,I215)=1,1,0)</f>
        <v>0</v>
      </c>
      <c r="R215" s="22">
        <f t="shared" si="3"/>
        <v>1</v>
      </c>
      <c r="S215" s="33">
        <f>IF(COUNTIF(O$2:O215,O215)=1,R215,0)/2.5</f>
        <v>0.4</v>
      </c>
    </row>
    <row r="216" spans="1:19" ht="18" customHeight="1" x14ac:dyDescent="0.25">
      <c r="A216" s="7" t="s">
        <v>43</v>
      </c>
      <c r="B216" s="8">
        <v>1</v>
      </c>
      <c r="C216" s="9">
        <v>506</v>
      </c>
      <c r="D216" s="29">
        <f>C216+IF(INDEX('Справочник по %'!B:B,(MATCH(A216,'Справочник по %'!A:A,0)))="кол-во",B216*INDEX('Справочник по %'!C:C,(MATCH(A216,'Справочник по %'!A:A,0))),ОТЧЕТ!C216*INDEX('Справочник по %'!C:C,(MATCH(A216,'Справочник по %'!A:A,0))))/100</f>
        <v>556.6</v>
      </c>
      <c r="E216" s="29">
        <f>IF(ОТЧЕТ!A216="SKU3",C216+ОТЧЕТ!C216*0.2,C216+ОТЧЕТ!C216*0.15)</f>
        <v>581.9</v>
      </c>
      <c r="F216" s="7" t="s">
        <v>660</v>
      </c>
      <c r="G216" s="7">
        <v>5259121749</v>
      </c>
      <c r="H216" s="20" t="s">
        <v>50</v>
      </c>
      <c r="I216" s="22">
        <f>INDEX('Справочник Сети'!B:B,(MATCH(G216,'Справочник Сети'!C:C,0)))</f>
        <v>0</v>
      </c>
      <c r="J216" s="7" t="s">
        <v>92</v>
      </c>
      <c r="K216" s="7" t="s">
        <v>661</v>
      </c>
      <c r="L216" s="7" t="s">
        <v>92</v>
      </c>
      <c r="M216" s="31">
        <v>45714</v>
      </c>
      <c r="N216" s="7" t="s">
        <v>662</v>
      </c>
      <c r="O216" s="8">
        <v>2202</v>
      </c>
      <c r="P216" s="24">
        <v>1730</v>
      </c>
      <c r="Q216" s="22">
        <f>IF(COUNTIFS(A$2:A216,A216,I$2:I216,I216)=1,1,0)</f>
        <v>0</v>
      </c>
      <c r="R216" s="22">
        <f t="shared" si="3"/>
        <v>1</v>
      </c>
      <c r="S216" s="33">
        <f>IF(COUNTIF(O$2:O216,O216)=1,R216,0)/2.5</f>
        <v>0.4</v>
      </c>
    </row>
    <row r="217" spans="1:19" ht="18" customHeight="1" x14ac:dyDescent="0.25">
      <c r="A217" s="7" t="s">
        <v>43</v>
      </c>
      <c r="B217" s="8">
        <v>1</v>
      </c>
      <c r="C217" s="9">
        <v>427.48</v>
      </c>
      <c r="D217" s="29">
        <f>C217+IF(INDEX('Справочник по %'!B:B,(MATCH(A217,'Справочник по %'!A:A,0)))="кол-во",B217*INDEX('Справочник по %'!C:C,(MATCH(A217,'Справочник по %'!A:A,0))),ОТЧЕТ!C217*INDEX('Справочник по %'!C:C,(MATCH(A217,'Справочник по %'!A:A,0))))/100</f>
        <v>470.22800000000001</v>
      </c>
      <c r="E217" s="29">
        <f>IF(ОТЧЕТ!A217="SKU3",C217+ОТЧЕТ!C217*0.2,C217+ОТЧЕТ!C217*0.15)</f>
        <v>491.60200000000003</v>
      </c>
      <c r="F217" s="7" t="s">
        <v>660</v>
      </c>
      <c r="G217" s="7">
        <v>5404151808</v>
      </c>
      <c r="H217" s="20" t="s">
        <v>64</v>
      </c>
      <c r="I217" s="22">
        <f>INDEX('Справочник Сети'!B:B,(MATCH(G217,'Справочник Сети'!C:C,0)))</f>
        <v>0</v>
      </c>
      <c r="J217" s="7" t="s">
        <v>92</v>
      </c>
      <c r="K217" s="7" t="s">
        <v>663</v>
      </c>
      <c r="L217" s="7" t="s">
        <v>92</v>
      </c>
      <c r="M217" s="31">
        <v>45714</v>
      </c>
      <c r="N217" s="7" t="s">
        <v>664</v>
      </c>
      <c r="O217" s="8">
        <v>1873</v>
      </c>
      <c r="P217" s="24">
        <v>1732</v>
      </c>
      <c r="Q217" s="22">
        <f>IF(COUNTIFS(A$2:A217,A217,I$2:I217,I217)=1,1,0)</f>
        <v>0</v>
      </c>
      <c r="R217" s="22">
        <f t="shared" si="3"/>
        <v>1</v>
      </c>
      <c r="S217" s="33">
        <f>IF(COUNTIF(O$2:O217,O217)=1,R217,0)/2.5</f>
        <v>0.4</v>
      </c>
    </row>
    <row r="218" spans="1:19" ht="18" customHeight="1" x14ac:dyDescent="0.25">
      <c r="A218" s="7" t="s">
        <v>43</v>
      </c>
      <c r="B218" s="8">
        <v>1</v>
      </c>
      <c r="C218" s="9">
        <v>399</v>
      </c>
      <c r="D218" s="29">
        <f>C218+IF(INDEX('Справочник по %'!B:B,(MATCH(A218,'Справочник по %'!A:A,0)))="кол-во",B218*INDEX('Справочник по %'!C:C,(MATCH(A218,'Справочник по %'!A:A,0))),ОТЧЕТ!C218*INDEX('Справочник по %'!C:C,(MATCH(A218,'Справочник по %'!A:A,0))))/100</f>
        <v>438.9</v>
      </c>
      <c r="E218" s="29">
        <f>IF(ОТЧЕТ!A218="SKU3",C218+ОТЧЕТ!C218*0.2,C218+ОТЧЕТ!C218*0.15)</f>
        <v>458.85</v>
      </c>
      <c r="F218" s="7" t="s">
        <v>665</v>
      </c>
      <c r="G218" s="7">
        <v>2227005590</v>
      </c>
      <c r="H218" s="20" t="s">
        <v>666</v>
      </c>
      <c r="I218" s="22" t="str">
        <f>INDEX('Справочник Сети'!B:B,(MATCH(G218,'Справочник Сети'!C:C,0)))</f>
        <v>Нео-фарм</v>
      </c>
      <c r="J218" s="7" t="s">
        <v>372</v>
      </c>
      <c r="K218" s="7" t="s">
        <v>667</v>
      </c>
      <c r="L218" s="7" t="s">
        <v>372</v>
      </c>
      <c r="M218" s="31">
        <v>45730</v>
      </c>
      <c r="N218" s="7" t="s">
        <v>668</v>
      </c>
      <c r="O218" s="8">
        <v>579</v>
      </c>
      <c r="P218" s="24">
        <v>1738</v>
      </c>
      <c r="Q218" s="22">
        <f>IF(COUNTIFS(A$2:A218,A218,I$2:I218,I218)=1,1,0)</f>
        <v>0</v>
      </c>
      <c r="R218" s="22">
        <f t="shared" si="3"/>
        <v>2</v>
      </c>
      <c r="S218" s="33">
        <f>IF(COUNTIF(O$2:O218,O218)=1,R218,0)/2.5</f>
        <v>0.8</v>
      </c>
    </row>
    <row r="219" spans="1:19" ht="18" customHeight="1" x14ac:dyDescent="0.25">
      <c r="A219" s="7" t="s">
        <v>43</v>
      </c>
      <c r="B219" s="8">
        <v>1</v>
      </c>
      <c r="C219" s="9">
        <v>379</v>
      </c>
      <c r="D219" s="29">
        <f>C219+IF(INDEX('Справочник по %'!B:B,(MATCH(A219,'Справочник по %'!A:A,0)))="кол-во",B219*INDEX('Справочник по %'!C:C,(MATCH(A219,'Справочник по %'!A:A,0))),ОТЧЕТ!C219*INDEX('Справочник по %'!C:C,(MATCH(A219,'Справочник по %'!A:A,0))))/100</f>
        <v>416.9</v>
      </c>
      <c r="E219" s="29">
        <f>IF(ОТЧЕТ!A219="SKU3",C219+ОТЧЕТ!C219*0.2,C219+ОТЧЕТ!C219*0.15)</f>
        <v>435.85</v>
      </c>
      <c r="F219" s="7" t="s">
        <v>669</v>
      </c>
      <c r="G219" s="7">
        <v>7706795062</v>
      </c>
      <c r="H219" s="20" t="s">
        <v>670</v>
      </c>
      <c r="I219" s="22" t="str">
        <f>INDEX('Справочник Сети'!B:B,(MATCH(G219,'Справочник Сети'!C:C,0)))</f>
        <v>Планета здоровья</v>
      </c>
      <c r="J219" s="7" t="s">
        <v>87</v>
      </c>
      <c r="K219" s="7" t="s">
        <v>400</v>
      </c>
      <c r="L219" s="7" t="s">
        <v>116</v>
      </c>
      <c r="M219" s="31">
        <v>45692</v>
      </c>
      <c r="N219" s="7" t="s">
        <v>671</v>
      </c>
      <c r="O219" s="8">
        <v>262</v>
      </c>
      <c r="P219" s="24">
        <v>1739</v>
      </c>
      <c r="Q219" s="22">
        <f>IF(COUNTIFS(A$2:A219,A219,I$2:I219,I219)=1,1,0)</f>
        <v>0</v>
      </c>
      <c r="R219" s="22">
        <f t="shared" si="3"/>
        <v>5</v>
      </c>
      <c r="S219" s="33">
        <f>IF(COUNTIF(O$2:O219,O219)=1,R219,0)/2.5</f>
        <v>2</v>
      </c>
    </row>
    <row r="220" spans="1:19" ht="18" customHeight="1" x14ac:dyDescent="0.25">
      <c r="A220" s="7" t="s">
        <v>37</v>
      </c>
      <c r="B220" s="8">
        <v>1</v>
      </c>
      <c r="C220" s="9">
        <v>680</v>
      </c>
      <c r="D220" s="29">
        <f>C220+IF(INDEX('Справочник по %'!B:B,(MATCH(A220,'Справочник по %'!A:A,0)))="кол-во",B220*INDEX('Справочник по %'!C:C,(MATCH(A220,'Справочник по %'!A:A,0))),ОТЧЕТ!C220*INDEX('Справочник по %'!C:C,(MATCH(A220,'Справочник по %'!A:A,0))))/100</f>
        <v>680.2</v>
      </c>
      <c r="E220" s="29">
        <f>IF(ОТЧЕТ!A220="SKU3",C220+ОТЧЕТ!C220*0.2,C220+ОТЧЕТ!C220*0.15)</f>
        <v>782</v>
      </c>
      <c r="F220" s="7" t="s">
        <v>672</v>
      </c>
      <c r="G220" s="7">
        <v>4702057044</v>
      </c>
      <c r="H220" s="20" t="s">
        <v>50</v>
      </c>
      <c r="I220" s="22" t="str">
        <f>INDEX('Справочник Сети'!B:B,(MATCH(G220,'Справочник Сети'!C:C,0)))</f>
        <v>Ригла</v>
      </c>
      <c r="J220" s="7" t="s">
        <v>83</v>
      </c>
      <c r="K220" s="7" t="s">
        <v>627</v>
      </c>
      <c r="L220" s="7" t="s">
        <v>83</v>
      </c>
      <c r="M220" s="31">
        <v>45715</v>
      </c>
      <c r="N220" s="7" t="s">
        <v>673</v>
      </c>
      <c r="O220" s="8">
        <v>2455</v>
      </c>
      <c r="P220" s="24">
        <v>1741</v>
      </c>
      <c r="Q220" s="22">
        <f>IF(COUNTIFS(A$2:A220,A220,I$2:I220,I220)=1,1,0)</f>
        <v>0</v>
      </c>
      <c r="R220" s="22">
        <f t="shared" si="3"/>
        <v>4</v>
      </c>
      <c r="S220" s="33">
        <f>IF(COUNTIF(O$2:O220,O220)=1,R220,0)/2.5</f>
        <v>1.6</v>
      </c>
    </row>
    <row r="221" spans="1:19" ht="18" customHeight="1" x14ac:dyDescent="0.25">
      <c r="A221" s="7" t="s">
        <v>43</v>
      </c>
      <c r="B221" s="8">
        <v>1</v>
      </c>
      <c r="C221" s="9">
        <v>502</v>
      </c>
      <c r="D221" s="29">
        <f>C221+IF(INDEX('Справочник по %'!B:B,(MATCH(A221,'Справочник по %'!A:A,0)))="кол-во",B221*INDEX('Справочник по %'!C:C,(MATCH(A221,'Справочник по %'!A:A,0))),ОТЧЕТ!C221*INDEX('Справочник по %'!C:C,(MATCH(A221,'Справочник по %'!A:A,0))))/100</f>
        <v>552.20000000000005</v>
      </c>
      <c r="E221" s="29">
        <f>IF(ОТЧЕТ!A221="SKU3",C221+ОТЧЕТ!C221*0.2,C221+ОТЧЕТ!C221*0.15)</f>
        <v>577.29999999999995</v>
      </c>
      <c r="F221" s="7" t="s">
        <v>674</v>
      </c>
      <c r="G221" s="7">
        <v>4702057044</v>
      </c>
      <c r="H221" s="20" t="s">
        <v>50</v>
      </c>
      <c r="I221" s="22" t="str">
        <f>INDEX('Справочник Сети'!B:B,(MATCH(G221,'Справочник Сети'!C:C,0)))</f>
        <v>Ригла</v>
      </c>
      <c r="J221" s="7" t="s">
        <v>83</v>
      </c>
      <c r="K221" s="7" t="s">
        <v>675</v>
      </c>
      <c r="L221" s="7" t="s">
        <v>83</v>
      </c>
      <c r="M221" s="31">
        <v>45715</v>
      </c>
      <c r="N221" s="7" t="s">
        <v>676</v>
      </c>
      <c r="O221" s="8">
        <v>2455</v>
      </c>
      <c r="P221" s="24">
        <v>1742</v>
      </c>
      <c r="Q221" s="22">
        <f>IF(COUNTIFS(A$2:A221,A221,I$2:I221,I221)=1,1,0)</f>
        <v>0</v>
      </c>
      <c r="R221" s="22">
        <f t="shared" si="3"/>
        <v>4</v>
      </c>
      <c r="S221" s="33">
        <f>IF(COUNTIF(O$2:O221,O221)=1,R221,0)/2.5</f>
        <v>0</v>
      </c>
    </row>
    <row r="222" spans="1:19" ht="18" customHeight="1" x14ac:dyDescent="0.25">
      <c r="A222" s="7" t="s">
        <v>43</v>
      </c>
      <c r="B222" s="8">
        <v>1</v>
      </c>
      <c r="C222" s="9">
        <v>380</v>
      </c>
      <c r="D222" s="29">
        <f>C222+IF(INDEX('Справочник по %'!B:B,(MATCH(A222,'Справочник по %'!A:A,0)))="кол-во",B222*INDEX('Справочник по %'!C:C,(MATCH(A222,'Справочник по %'!A:A,0))),ОТЧЕТ!C222*INDEX('Справочник по %'!C:C,(MATCH(A222,'Справочник по %'!A:A,0))))/100</f>
        <v>418</v>
      </c>
      <c r="E222" s="29">
        <f>IF(ОТЧЕТ!A222="SKU3",C222+ОТЧЕТ!C222*0.2,C222+ОТЧЕТ!C222*0.15)</f>
        <v>437</v>
      </c>
      <c r="F222" s="7" t="s">
        <v>677</v>
      </c>
      <c r="G222" s="7">
        <v>3123296586</v>
      </c>
      <c r="H222" s="20" t="s">
        <v>50</v>
      </c>
      <c r="I222" s="22" t="str">
        <f>INDEX('Справочник Сети'!B:B,(MATCH(G222,'Справочник Сети'!C:C,0)))</f>
        <v>Столички</v>
      </c>
      <c r="J222" s="7" t="s">
        <v>193</v>
      </c>
      <c r="K222" s="7" t="s">
        <v>678</v>
      </c>
      <c r="L222" s="7" t="s">
        <v>193</v>
      </c>
      <c r="M222" s="31">
        <v>45718</v>
      </c>
      <c r="N222" s="7" t="s">
        <v>679</v>
      </c>
      <c r="O222" s="8">
        <v>3050</v>
      </c>
      <c r="P222" s="24">
        <v>1745</v>
      </c>
      <c r="Q222" s="22">
        <f>IF(COUNTIFS(A$2:A222,A222,I$2:I222,I222)=1,1,0)</f>
        <v>0</v>
      </c>
      <c r="R222" s="22">
        <f t="shared" si="3"/>
        <v>10</v>
      </c>
      <c r="S222" s="33">
        <f>IF(COUNTIF(O$2:O222,O222)=1,R222,0)/2.5</f>
        <v>0</v>
      </c>
    </row>
    <row r="223" spans="1:19" ht="18" customHeight="1" x14ac:dyDescent="0.25">
      <c r="A223" s="7" t="s">
        <v>43</v>
      </c>
      <c r="B223" s="8">
        <v>1</v>
      </c>
      <c r="C223" s="9">
        <v>488</v>
      </c>
      <c r="D223" s="29">
        <f>C223+IF(INDEX('Справочник по %'!B:B,(MATCH(A223,'Справочник по %'!A:A,0)))="кол-во",B223*INDEX('Справочник по %'!C:C,(MATCH(A223,'Справочник по %'!A:A,0))),ОТЧЕТ!C223*INDEX('Справочник по %'!C:C,(MATCH(A223,'Справочник по %'!A:A,0))))/100</f>
        <v>536.79999999999995</v>
      </c>
      <c r="E223" s="29">
        <f>IF(ОТЧЕТ!A223="SKU3",C223+ОТЧЕТ!C223*0.2,C223+ОТЧЕТ!C223*0.15)</f>
        <v>561.20000000000005</v>
      </c>
      <c r="F223" s="7" t="s">
        <v>680</v>
      </c>
      <c r="G223" s="7">
        <v>7807231471</v>
      </c>
      <c r="H223" s="20" t="s">
        <v>91</v>
      </c>
      <c r="I223" s="22">
        <f>INDEX('Справочник Сети'!B:B,(MATCH(G223,'Справочник Сети'!C:C,0)))</f>
        <v>0</v>
      </c>
      <c r="J223" s="7" t="s">
        <v>121</v>
      </c>
      <c r="K223" s="7" t="s">
        <v>678</v>
      </c>
      <c r="L223" s="7" t="s">
        <v>353</v>
      </c>
      <c r="M223" s="31">
        <v>45672</v>
      </c>
      <c r="N223" s="7" t="s">
        <v>681</v>
      </c>
      <c r="O223" s="8">
        <v>2022</v>
      </c>
      <c r="P223" s="24">
        <v>1746</v>
      </c>
      <c r="Q223" s="22">
        <f>IF(COUNTIFS(A$2:A223,A223,I$2:I223,I223)=1,1,0)</f>
        <v>0</v>
      </c>
      <c r="R223" s="22">
        <f t="shared" si="3"/>
        <v>3</v>
      </c>
      <c r="S223" s="33">
        <f>IF(COUNTIF(O$2:O223,O223)=1,R223,0)/2.5</f>
        <v>0</v>
      </c>
    </row>
    <row r="224" spans="1:19" ht="18" customHeight="1" x14ac:dyDescent="0.25">
      <c r="A224" s="7" t="s">
        <v>37</v>
      </c>
      <c r="B224" s="8">
        <v>1</v>
      </c>
      <c r="C224" s="9">
        <v>595</v>
      </c>
      <c r="D224" s="29">
        <f>C224+IF(INDEX('Справочник по %'!B:B,(MATCH(A224,'Справочник по %'!A:A,0)))="кол-во",B224*INDEX('Справочник по %'!C:C,(MATCH(A224,'Справочник по %'!A:A,0))),ОТЧЕТ!C224*INDEX('Справочник по %'!C:C,(MATCH(A224,'Справочник по %'!A:A,0))))/100</f>
        <v>595.20000000000005</v>
      </c>
      <c r="E224" s="29">
        <f>IF(ОТЧЕТ!A224="SKU3",C224+ОТЧЕТ!C224*0.2,C224+ОТЧЕТ!C224*0.15)</f>
        <v>684.25</v>
      </c>
      <c r="F224" s="7" t="s">
        <v>682</v>
      </c>
      <c r="G224" s="7">
        <v>6164078092</v>
      </c>
      <c r="H224" s="20" t="s">
        <v>683</v>
      </c>
      <c r="I224" s="22" t="str">
        <f>INDEX('Справочник Сети'!B:B,(MATCH(G224,'Справочник Сети'!C:C,0)))</f>
        <v>Ригла</v>
      </c>
      <c r="J224" s="7" t="s">
        <v>520</v>
      </c>
      <c r="K224" s="7" t="s">
        <v>684</v>
      </c>
      <c r="L224" s="7" t="s">
        <v>520</v>
      </c>
      <c r="M224" s="31">
        <v>45697</v>
      </c>
      <c r="N224" s="7" t="s">
        <v>685</v>
      </c>
      <c r="O224" s="8">
        <v>406</v>
      </c>
      <c r="P224" s="24">
        <v>1749</v>
      </c>
      <c r="Q224" s="22">
        <f>IF(COUNTIFS(A$2:A224,A224,I$2:I224,I224)=1,1,0)</f>
        <v>0</v>
      </c>
      <c r="R224" s="22">
        <f t="shared" si="3"/>
        <v>1</v>
      </c>
      <c r="S224" s="33">
        <f>IF(COUNTIF(O$2:O224,O224)=1,R224,0)/2.5</f>
        <v>0.4</v>
      </c>
    </row>
    <row r="225" spans="1:19" ht="18" customHeight="1" x14ac:dyDescent="0.25">
      <c r="A225" s="7" t="s">
        <v>37</v>
      </c>
      <c r="B225" s="8">
        <v>1</v>
      </c>
      <c r="C225" s="9">
        <v>557</v>
      </c>
      <c r="D225" s="29">
        <f>C225+IF(INDEX('Справочник по %'!B:B,(MATCH(A225,'Справочник по %'!A:A,0)))="кол-во",B225*INDEX('Справочник по %'!C:C,(MATCH(A225,'Справочник по %'!A:A,0))),ОТЧЕТ!C225*INDEX('Справочник по %'!C:C,(MATCH(A225,'Справочник по %'!A:A,0))))/100</f>
        <v>557.20000000000005</v>
      </c>
      <c r="E225" s="29">
        <f>IF(ОТЧЕТ!A225="SKU3",C225+ОТЧЕТ!C225*0.2,C225+ОТЧЕТ!C225*0.15)</f>
        <v>640.54999999999995</v>
      </c>
      <c r="F225" s="7" t="s">
        <v>686</v>
      </c>
      <c r="G225" s="7">
        <v>7706795062</v>
      </c>
      <c r="H225" s="20" t="s">
        <v>687</v>
      </c>
      <c r="I225" s="22" t="str">
        <f>INDEX('Справочник Сети'!B:B,(MATCH(G225,'Справочник Сети'!C:C,0)))</f>
        <v>Планета здоровья</v>
      </c>
      <c r="J225" s="7" t="s">
        <v>87</v>
      </c>
      <c r="K225" s="7" t="s">
        <v>688</v>
      </c>
      <c r="L225" s="7" t="s">
        <v>87</v>
      </c>
      <c r="M225" s="31">
        <v>45691</v>
      </c>
      <c r="N225" s="7" t="s">
        <v>689</v>
      </c>
      <c r="O225" s="8">
        <v>1811</v>
      </c>
      <c r="P225" s="24">
        <v>1750</v>
      </c>
      <c r="Q225" s="22">
        <f>IF(COUNTIFS(A$2:A225,A225,I$2:I225,I225)=1,1,0)</f>
        <v>0</v>
      </c>
      <c r="R225" s="22">
        <f t="shared" si="3"/>
        <v>1</v>
      </c>
      <c r="S225" s="33">
        <f>IF(COUNTIF(O$2:O225,O225)=1,R225,0)/2.5</f>
        <v>0.4</v>
      </c>
    </row>
    <row r="226" spans="1:19" ht="18" customHeight="1" x14ac:dyDescent="0.25">
      <c r="A226" s="7" t="s">
        <v>43</v>
      </c>
      <c r="B226" s="8">
        <v>1</v>
      </c>
      <c r="C226" s="9">
        <v>377</v>
      </c>
      <c r="D226" s="29">
        <f>C226+IF(INDEX('Справочник по %'!B:B,(MATCH(A226,'Справочник по %'!A:A,0)))="кол-во",B226*INDEX('Справочник по %'!C:C,(MATCH(A226,'Справочник по %'!A:A,0))),ОТЧЕТ!C226*INDEX('Справочник по %'!C:C,(MATCH(A226,'Справочник по %'!A:A,0))))/100</f>
        <v>414.7</v>
      </c>
      <c r="E226" s="29">
        <f>IF(ОТЧЕТ!A226="SKU3",C226+ОТЧЕТ!C226*0.2,C226+ОТЧЕТ!C226*0.15)</f>
        <v>433.55</v>
      </c>
      <c r="F226" s="7" t="s">
        <v>690</v>
      </c>
      <c r="G226" s="7">
        <v>6722022100</v>
      </c>
      <c r="H226" s="20" t="s">
        <v>50</v>
      </c>
      <c r="I226" s="22">
        <f>INDEX('Справочник Сети'!B:B,(MATCH(G226,'Справочник Сети'!C:C,0)))</f>
        <v>0</v>
      </c>
      <c r="J226" s="7" t="s">
        <v>106</v>
      </c>
      <c r="K226" s="7" t="s">
        <v>691</v>
      </c>
      <c r="L226" s="7" t="s">
        <v>106</v>
      </c>
      <c r="M226" s="31">
        <v>45694</v>
      </c>
      <c r="N226" s="7" t="s">
        <v>692</v>
      </c>
      <c r="O226" s="8">
        <v>1700</v>
      </c>
      <c r="P226" s="24">
        <v>1751</v>
      </c>
      <c r="Q226" s="22">
        <f>IF(COUNTIFS(A$2:A226,A226,I$2:I226,I226)=1,1,0)</f>
        <v>0</v>
      </c>
      <c r="R226" s="22">
        <f t="shared" si="3"/>
        <v>5</v>
      </c>
      <c r="S226" s="33">
        <f>IF(COUNTIF(O$2:O226,O226)=1,R226,0)/2.5</f>
        <v>2</v>
      </c>
    </row>
    <row r="227" spans="1:19" ht="18" customHeight="1" x14ac:dyDescent="0.25">
      <c r="A227" s="7" t="s">
        <v>37</v>
      </c>
      <c r="B227" s="8">
        <v>1</v>
      </c>
      <c r="C227" s="9">
        <v>693</v>
      </c>
      <c r="D227" s="29">
        <f>C227+IF(INDEX('Справочник по %'!B:B,(MATCH(A227,'Справочник по %'!A:A,0)))="кол-во",B227*INDEX('Справочник по %'!C:C,(MATCH(A227,'Справочник по %'!A:A,0))),ОТЧЕТ!C227*INDEX('Справочник по %'!C:C,(MATCH(A227,'Справочник по %'!A:A,0))))/100</f>
        <v>693.2</v>
      </c>
      <c r="E227" s="29">
        <f>IF(ОТЧЕТ!A227="SKU3",C227+ОТЧЕТ!C227*0.2,C227+ОТЧЕТ!C227*0.15)</f>
        <v>796.95</v>
      </c>
      <c r="F227" s="7" t="s">
        <v>690</v>
      </c>
      <c r="G227" s="7">
        <v>4702057044</v>
      </c>
      <c r="H227" s="20" t="s">
        <v>50</v>
      </c>
      <c r="I227" s="22" t="str">
        <f>INDEX('Справочник Сети'!B:B,(MATCH(G227,'Справочник Сети'!C:C,0)))</f>
        <v>Ригла</v>
      </c>
      <c r="J227" s="7" t="s">
        <v>83</v>
      </c>
      <c r="K227" s="7" t="s">
        <v>693</v>
      </c>
      <c r="L227" s="7" t="s">
        <v>83</v>
      </c>
      <c r="M227" s="31">
        <v>45715</v>
      </c>
      <c r="N227" s="7" t="s">
        <v>694</v>
      </c>
      <c r="O227" s="8">
        <v>2455</v>
      </c>
      <c r="P227" s="24">
        <v>1756</v>
      </c>
      <c r="Q227" s="22">
        <f>IF(COUNTIFS(A$2:A227,A227,I$2:I227,I227)=1,1,0)</f>
        <v>0</v>
      </c>
      <c r="R227" s="22">
        <f t="shared" si="3"/>
        <v>4</v>
      </c>
      <c r="S227" s="33">
        <f>IF(COUNTIF(O$2:O227,O227)=1,R227,0)/2.5</f>
        <v>0</v>
      </c>
    </row>
    <row r="228" spans="1:19" ht="18" customHeight="1" x14ac:dyDescent="0.25">
      <c r="A228" s="7" t="s">
        <v>37</v>
      </c>
      <c r="B228" s="8">
        <v>1</v>
      </c>
      <c r="C228" s="9">
        <v>682.6</v>
      </c>
      <c r="D228" s="29">
        <f>C228+IF(INDEX('Справочник по %'!B:B,(MATCH(A228,'Справочник по %'!A:A,0)))="кол-во",B228*INDEX('Справочник по %'!C:C,(MATCH(A228,'Справочник по %'!A:A,0))),ОТЧЕТ!C228*INDEX('Справочник по %'!C:C,(MATCH(A228,'Справочник по %'!A:A,0))))/100</f>
        <v>682.80000000000007</v>
      </c>
      <c r="E228" s="29">
        <f>IF(ОТЧЕТ!A228="SKU3",C228+ОТЧЕТ!C228*0.2,C228+ОТЧЕТ!C228*0.15)</f>
        <v>784.99</v>
      </c>
      <c r="F228" s="7" t="s">
        <v>690</v>
      </c>
      <c r="G228" s="7">
        <v>5050136454</v>
      </c>
      <c r="H228" s="20" t="s">
        <v>50</v>
      </c>
      <c r="I228" s="22" t="str">
        <f>INDEX('Справочник Сети'!B:B,(MATCH(G228,'Справочник Сети'!C:C,0)))</f>
        <v>Нео-фарм</v>
      </c>
      <c r="J228" s="7" t="s">
        <v>92</v>
      </c>
      <c r="K228" s="7" t="s">
        <v>691</v>
      </c>
      <c r="L228" s="7" t="s">
        <v>92</v>
      </c>
      <c r="M228" s="31">
        <v>45714</v>
      </c>
      <c r="N228" s="7" t="s">
        <v>695</v>
      </c>
      <c r="O228" s="8">
        <v>1499</v>
      </c>
      <c r="P228" s="24">
        <v>1757</v>
      </c>
      <c r="Q228" s="22">
        <f>IF(COUNTIFS(A$2:A228,A228,I$2:I228,I228)=1,1,0)</f>
        <v>0</v>
      </c>
      <c r="R228" s="22">
        <f t="shared" si="3"/>
        <v>14</v>
      </c>
      <c r="S228" s="33">
        <f>IF(COUNTIF(O$2:O228,O228)=1,R228,0)/2.5</f>
        <v>5.6</v>
      </c>
    </row>
    <row r="229" spans="1:19" ht="18" customHeight="1" x14ac:dyDescent="0.25">
      <c r="A229" s="7" t="s">
        <v>43</v>
      </c>
      <c r="B229" s="8">
        <v>1</v>
      </c>
      <c r="C229" s="9">
        <v>483</v>
      </c>
      <c r="D229" s="29">
        <f>C229+IF(INDEX('Справочник по %'!B:B,(MATCH(A229,'Справочник по %'!A:A,0)))="кол-во",B229*INDEX('Справочник по %'!C:C,(MATCH(A229,'Справочник по %'!A:A,0))),ОТЧЕТ!C229*INDEX('Справочник по %'!C:C,(MATCH(A229,'Справочник по %'!A:A,0))))/100</f>
        <v>531.29999999999995</v>
      </c>
      <c r="E229" s="29">
        <f>IF(ОТЧЕТ!A229="SKU3",C229+ОТЧЕТ!C229*0.2,C229+ОТЧЕТ!C229*0.15)</f>
        <v>555.45000000000005</v>
      </c>
      <c r="F229" s="7" t="s">
        <v>696</v>
      </c>
      <c r="G229" s="7">
        <v>2315191306</v>
      </c>
      <c r="H229" s="20" t="s">
        <v>697</v>
      </c>
      <c r="I229" s="22">
        <f>INDEX('Справочник Сети'!B:B,(MATCH(G229,'Справочник Сети'!C:C,0)))</f>
        <v>0</v>
      </c>
      <c r="J229" s="7" t="s">
        <v>70</v>
      </c>
      <c r="K229" s="7" t="s">
        <v>290</v>
      </c>
      <c r="L229" s="7" t="s">
        <v>70</v>
      </c>
      <c r="M229" s="31">
        <v>45728</v>
      </c>
      <c r="N229" s="7" t="s">
        <v>698</v>
      </c>
      <c r="O229" s="8">
        <v>1330</v>
      </c>
      <c r="P229" s="24">
        <v>1759</v>
      </c>
      <c r="Q229" s="22">
        <f>IF(COUNTIFS(A$2:A229,A229,I$2:I229,I229)=1,1,0)</f>
        <v>0</v>
      </c>
      <c r="R229" s="22">
        <f t="shared" si="3"/>
        <v>1</v>
      </c>
      <c r="S229" s="33">
        <f>IF(COUNTIF(O$2:O229,O229)=1,R229,0)/2.5</f>
        <v>0.4</v>
      </c>
    </row>
    <row r="230" spans="1:19" ht="18" customHeight="1" x14ac:dyDescent="0.25">
      <c r="A230" s="7" t="s">
        <v>43</v>
      </c>
      <c r="B230" s="8">
        <v>1</v>
      </c>
      <c r="C230" s="9">
        <v>456</v>
      </c>
      <c r="D230" s="29">
        <f>C230+IF(INDEX('Справочник по %'!B:B,(MATCH(A230,'Справочник по %'!A:A,0)))="кол-во",B230*INDEX('Справочник по %'!C:C,(MATCH(A230,'Справочник по %'!A:A,0))),ОТЧЕТ!C230*INDEX('Справочник по %'!C:C,(MATCH(A230,'Справочник по %'!A:A,0))))/100</f>
        <v>501.6</v>
      </c>
      <c r="E230" s="29">
        <f>IF(ОТЧЕТ!A230="SKU3",C230+ОТЧЕТ!C230*0.2,C230+ОТЧЕТ!C230*0.15)</f>
        <v>524.4</v>
      </c>
      <c r="F230" s="7" t="s">
        <v>699</v>
      </c>
      <c r="G230" s="7">
        <v>7810468745</v>
      </c>
      <c r="H230" s="20" t="s">
        <v>700</v>
      </c>
      <c r="I230" s="22" t="str">
        <f>INDEX('Справочник Сети'!B:B,(MATCH(G230,'Справочник Сети'!C:C,0)))</f>
        <v>Столички</v>
      </c>
      <c r="J230" s="7" t="s">
        <v>121</v>
      </c>
      <c r="K230" s="7" t="s">
        <v>701</v>
      </c>
      <c r="L230" s="7" t="s">
        <v>353</v>
      </c>
      <c r="M230" s="31">
        <v>45672</v>
      </c>
      <c r="N230" s="7" t="s">
        <v>702</v>
      </c>
      <c r="O230" s="8">
        <v>1730</v>
      </c>
      <c r="P230" s="24">
        <v>1761</v>
      </c>
      <c r="Q230" s="22">
        <f>IF(COUNTIFS(A$2:A230,A230,I$2:I230,I230)=1,1,0)</f>
        <v>0</v>
      </c>
      <c r="R230" s="22">
        <f t="shared" si="3"/>
        <v>1</v>
      </c>
      <c r="S230" s="33">
        <f>IF(COUNTIF(O$2:O230,O230)=1,R230,0)/2.5</f>
        <v>0.4</v>
      </c>
    </row>
    <row r="231" spans="1:19" ht="18" customHeight="1" x14ac:dyDescent="0.25">
      <c r="A231" s="7" t="s">
        <v>43</v>
      </c>
      <c r="B231" s="8">
        <v>1</v>
      </c>
      <c r="C231" s="9">
        <v>405</v>
      </c>
      <c r="D231" s="29">
        <f>C231+IF(INDEX('Справочник по %'!B:B,(MATCH(A231,'Справочник по %'!A:A,0)))="кол-во",B231*INDEX('Справочник по %'!C:C,(MATCH(A231,'Справочник по %'!A:A,0))),ОТЧЕТ!C231*INDEX('Справочник по %'!C:C,(MATCH(A231,'Справочник по %'!A:A,0))))/100</f>
        <v>445.5</v>
      </c>
      <c r="E231" s="29">
        <f>IF(ОТЧЕТ!A231="SKU3",C231+ОТЧЕТ!C231*0.2,C231+ОТЧЕТ!C231*0.15)</f>
        <v>465.75</v>
      </c>
      <c r="F231" s="7" t="s">
        <v>703</v>
      </c>
      <c r="G231" s="7">
        <v>910906054486</v>
      </c>
      <c r="H231" s="20" t="s">
        <v>50</v>
      </c>
      <c r="I231" s="22" t="str">
        <f>INDEX('Справочник Сети'!B:B,(MATCH(G231,'Справочник Сети'!C:C,0)))</f>
        <v>Ригла</v>
      </c>
      <c r="J231" s="7" t="s">
        <v>322</v>
      </c>
      <c r="K231" s="7" t="s">
        <v>704</v>
      </c>
      <c r="L231" s="7" t="s">
        <v>322</v>
      </c>
      <c r="M231" s="31">
        <v>45658</v>
      </c>
      <c r="N231" s="7" t="s">
        <v>705</v>
      </c>
      <c r="O231" s="8">
        <v>1359</v>
      </c>
      <c r="P231" s="24">
        <v>1770</v>
      </c>
      <c r="Q231" s="22">
        <f>IF(COUNTIFS(A$2:A231,A231,I$2:I231,I231)=1,1,0)</f>
        <v>0</v>
      </c>
      <c r="R231" s="22">
        <f t="shared" si="3"/>
        <v>5</v>
      </c>
      <c r="S231" s="33">
        <f>IF(COUNTIF(O$2:O231,O231)=1,R231,0)/2.5</f>
        <v>2</v>
      </c>
    </row>
    <row r="232" spans="1:19" ht="18" customHeight="1" x14ac:dyDescent="0.25">
      <c r="A232" s="7" t="s">
        <v>43</v>
      </c>
      <c r="B232" s="8">
        <v>1</v>
      </c>
      <c r="C232" s="9">
        <v>448</v>
      </c>
      <c r="D232" s="29">
        <f>C232+IF(INDEX('Справочник по %'!B:B,(MATCH(A232,'Справочник по %'!A:A,0)))="кол-во",B232*INDEX('Справочник по %'!C:C,(MATCH(A232,'Справочник по %'!A:A,0))),ОТЧЕТ!C232*INDEX('Справочник по %'!C:C,(MATCH(A232,'Справочник по %'!A:A,0))))/100</f>
        <v>492.8</v>
      </c>
      <c r="E232" s="29">
        <f>IF(ОТЧЕТ!A232="SKU3",C232+ОТЧЕТ!C232*0.2,C232+ОТЧЕТ!C232*0.15)</f>
        <v>515.20000000000005</v>
      </c>
      <c r="F232" s="7" t="s">
        <v>706</v>
      </c>
      <c r="G232" s="7">
        <v>326537584</v>
      </c>
      <c r="H232" s="20" t="s">
        <v>50</v>
      </c>
      <c r="I232" s="22" t="str">
        <f>INDEX('Справочник Сети'!B:B,(MATCH(G232,'Справочник Сети'!C:C,0)))</f>
        <v>Планета здоровья</v>
      </c>
      <c r="J232" s="7" t="s">
        <v>362</v>
      </c>
      <c r="K232" s="7" t="s">
        <v>707</v>
      </c>
      <c r="L232" s="7" t="s">
        <v>362</v>
      </c>
      <c r="M232" s="31">
        <v>45732</v>
      </c>
      <c r="N232" s="7" t="s">
        <v>708</v>
      </c>
      <c r="O232" s="8">
        <v>714</v>
      </c>
      <c r="P232" s="24">
        <v>1773</v>
      </c>
      <c r="Q232" s="22">
        <f>IF(COUNTIFS(A$2:A232,A232,I$2:I232,I232)=1,1,0)</f>
        <v>0</v>
      </c>
      <c r="R232" s="22">
        <f t="shared" si="3"/>
        <v>6</v>
      </c>
      <c r="S232" s="33">
        <f>IF(COUNTIF(O$2:O232,O232)=1,R232,0)/2.5</f>
        <v>2.4</v>
      </c>
    </row>
    <row r="233" spans="1:19" ht="18" customHeight="1" x14ac:dyDescent="0.25">
      <c r="A233" s="7" t="s">
        <v>43</v>
      </c>
      <c r="B233" s="8">
        <v>1</v>
      </c>
      <c r="C233" s="9">
        <v>439</v>
      </c>
      <c r="D233" s="29">
        <f>C233+IF(INDEX('Справочник по %'!B:B,(MATCH(A233,'Справочник по %'!A:A,0)))="кол-во",B233*INDEX('Справочник по %'!C:C,(MATCH(A233,'Справочник по %'!A:A,0))),ОТЧЕТ!C233*INDEX('Справочник по %'!C:C,(MATCH(A233,'Справочник по %'!A:A,0))))/100</f>
        <v>482.9</v>
      </c>
      <c r="E233" s="29">
        <f>IF(ОТЧЕТ!A233="SKU3",C233+ОТЧЕТ!C233*0.2,C233+ОТЧЕТ!C233*0.15)</f>
        <v>504.85</v>
      </c>
      <c r="F233" s="7" t="s">
        <v>709</v>
      </c>
      <c r="G233" s="7">
        <v>7705947629</v>
      </c>
      <c r="H233" s="20" t="s">
        <v>50</v>
      </c>
      <c r="I233" s="22" t="str">
        <f>INDEX('Справочник Сети'!B:B,(MATCH(G233,'Справочник Сети'!C:C,0)))</f>
        <v>36,6</v>
      </c>
      <c r="J233" s="7" t="s">
        <v>104</v>
      </c>
      <c r="K233" s="7" t="s">
        <v>710</v>
      </c>
      <c r="L233" s="7" t="s">
        <v>104</v>
      </c>
      <c r="M233" s="31">
        <v>45693</v>
      </c>
      <c r="N233" s="7" t="s">
        <v>711</v>
      </c>
      <c r="O233" s="8">
        <v>1486</v>
      </c>
      <c r="P233" s="24">
        <v>1774</v>
      </c>
      <c r="Q233" s="22">
        <f>IF(COUNTIFS(A$2:A233,A233,I$2:I233,I233)=1,1,0)</f>
        <v>0</v>
      </c>
      <c r="R233" s="22">
        <f t="shared" si="3"/>
        <v>1</v>
      </c>
      <c r="S233" s="33">
        <f>IF(COUNTIF(O$2:O233,O233)=1,R233,0)/2.5</f>
        <v>0.4</v>
      </c>
    </row>
    <row r="234" spans="1:19" ht="18" customHeight="1" x14ac:dyDescent="0.25">
      <c r="A234" s="7" t="s">
        <v>43</v>
      </c>
      <c r="B234" s="8">
        <v>1</v>
      </c>
      <c r="C234" s="9">
        <v>397</v>
      </c>
      <c r="D234" s="29">
        <f>C234+IF(INDEX('Справочник по %'!B:B,(MATCH(A234,'Справочник по %'!A:A,0)))="кол-во",B234*INDEX('Справочник по %'!C:C,(MATCH(A234,'Справочник по %'!A:A,0))),ОТЧЕТ!C234*INDEX('Справочник по %'!C:C,(MATCH(A234,'Справочник по %'!A:A,0))))/100</f>
        <v>436.7</v>
      </c>
      <c r="E234" s="29">
        <f>IF(ОТЧЕТ!A234="SKU3",C234+ОТЧЕТ!C234*0.2,C234+ОТЧЕТ!C234*0.15)</f>
        <v>456.55</v>
      </c>
      <c r="F234" s="7" t="s">
        <v>712</v>
      </c>
      <c r="G234" s="7">
        <v>7732121736</v>
      </c>
      <c r="H234" s="20" t="s">
        <v>713</v>
      </c>
      <c r="I234" s="22" t="str">
        <f>INDEX('Справочник Сети'!B:B,(MATCH(G234,'Справочник Сети'!C:C,0)))</f>
        <v>Планета здоровья</v>
      </c>
      <c r="J234" s="7" t="s">
        <v>149</v>
      </c>
      <c r="K234" s="7" t="s">
        <v>714</v>
      </c>
      <c r="L234" s="7" t="s">
        <v>149</v>
      </c>
      <c r="M234" s="31">
        <v>45673</v>
      </c>
      <c r="N234" s="7" t="s">
        <v>715</v>
      </c>
      <c r="O234" s="8">
        <v>1457</v>
      </c>
      <c r="P234" s="24">
        <v>1777</v>
      </c>
      <c r="Q234" s="22">
        <f>IF(COUNTIFS(A$2:A234,A234,I$2:I234,I234)=1,1,0)</f>
        <v>0</v>
      </c>
      <c r="R234" s="22">
        <f t="shared" si="3"/>
        <v>1</v>
      </c>
      <c r="S234" s="33">
        <f>IF(COUNTIF(O$2:O234,O234)=1,R234,0)/2.5</f>
        <v>0.4</v>
      </c>
    </row>
    <row r="235" spans="1:19" ht="18" customHeight="1" x14ac:dyDescent="0.25">
      <c r="A235" s="7" t="s">
        <v>43</v>
      </c>
      <c r="B235" s="8">
        <v>1</v>
      </c>
      <c r="C235" s="9">
        <v>312.45</v>
      </c>
      <c r="D235" s="29">
        <f>C235+IF(INDEX('Справочник по %'!B:B,(MATCH(A235,'Справочник по %'!A:A,0)))="кол-во",B235*INDEX('Справочник по %'!C:C,(MATCH(A235,'Справочник по %'!A:A,0))),ОТЧЕТ!C235*INDEX('Справочник по %'!C:C,(MATCH(A235,'Справочник по %'!A:A,0))))/100</f>
        <v>343.69499999999999</v>
      </c>
      <c r="E235" s="29">
        <f>IF(ОТЧЕТ!A235="SKU3",C235+ОТЧЕТ!C235*0.2,C235+ОТЧЕТ!C235*0.15)</f>
        <v>359.3175</v>
      </c>
      <c r="F235" s="7" t="s">
        <v>712</v>
      </c>
      <c r="G235" s="7">
        <v>7716997445</v>
      </c>
      <c r="H235" s="20" t="s">
        <v>167</v>
      </c>
      <c r="I235" s="22" t="str">
        <f>INDEX('Справочник Сети'!B:B,(MATCH(G235,'Справочник Сети'!C:C,0)))</f>
        <v>Столички</v>
      </c>
      <c r="J235" s="7" t="s">
        <v>168</v>
      </c>
      <c r="K235" s="7" t="s">
        <v>701</v>
      </c>
      <c r="L235" s="7" t="s">
        <v>168</v>
      </c>
      <c r="M235" s="31">
        <v>45676</v>
      </c>
      <c r="N235" s="7" t="s">
        <v>716</v>
      </c>
      <c r="O235" s="8">
        <v>133</v>
      </c>
      <c r="P235" s="24">
        <v>1780</v>
      </c>
      <c r="Q235" s="22">
        <f>IF(COUNTIFS(A$2:A235,A235,I$2:I235,I235)=1,1,0)</f>
        <v>0</v>
      </c>
      <c r="R235" s="22">
        <f t="shared" si="3"/>
        <v>14</v>
      </c>
      <c r="S235" s="33">
        <f>IF(COUNTIF(O$2:O235,O235)=1,R235,0)/2.5</f>
        <v>0</v>
      </c>
    </row>
    <row r="236" spans="1:19" ht="18" customHeight="1" x14ac:dyDescent="0.25">
      <c r="A236" s="7" t="s">
        <v>37</v>
      </c>
      <c r="B236" s="8">
        <v>1</v>
      </c>
      <c r="C236" s="9">
        <v>567.29999999999995</v>
      </c>
      <c r="D236" s="29">
        <f>C236+IF(INDEX('Справочник по %'!B:B,(MATCH(A236,'Справочник по %'!A:A,0)))="кол-во",B236*INDEX('Справочник по %'!C:C,(MATCH(A236,'Справочник по %'!A:A,0))),ОТЧЕТ!C236*INDEX('Справочник по %'!C:C,(MATCH(A236,'Справочник по %'!A:A,0))))/100</f>
        <v>567.5</v>
      </c>
      <c r="E236" s="29">
        <f>IF(ОТЧЕТ!A236="SKU3",C236+ОТЧЕТ!C236*0.2,C236+ОТЧЕТ!C236*0.15)</f>
        <v>652.39499999999998</v>
      </c>
      <c r="F236" s="7" t="s">
        <v>717</v>
      </c>
      <c r="G236" s="7">
        <v>550700455672</v>
      </c>
      <c r="H236" s="20" t="s">
        <v>50</v>
      </c>
      <c r="I236" s="22">
        <f>INDEX('Справочник Сети'!B:B,(MATCH(G236,'Справочник Сети'!C:C,0)))</f>
        <v>0</v>
      </c>
      <c r="J236" s="7" t="s">
        <v>251</v>
      </c>
      <c r="K236" s="7" t="s">
        <v>52</v>
      </c>
      <c r="L236" s="7" t="s">
        <v>251</v>
      </c>
      <c r="M236" s="31">
        <v>45659</v>
      </c>
      <c r="N236" s="7" t="s">
        <v>718</v>
      </c>
      <c r="O236" s="8">
        <v>3393</v>
      </c>
      <c r="P236" s="24">
        <v>1781</v>
      </c>
      <c r="Q236" s="22">
        <f>IF(COUNTIFS(A$2:A236,A236,I$2:I236,I236)=1,1,0)</f>
        <v>0</v>
      </c>
      <c r="R236" s="22">
        <f t="shared" si="3"/>
        <v>3</v>
      </c>
      <c r="S236" s="33">
        <f>IF(COUNTIF(O$2:O236,O236)=1,R236,0)/2.5</f>
        <v>1.2</v>
      </c>
    </row>
    <row r="237" spans="1:19" ht="18" customHeight="1" x14ac:dyDescent="0.25">
      <c r="A237" s="7" t="s">
        <v>43</v>
      </c>
      <c r="B237" s="8">
        <v>1</v>
      </c>
      <c r="C237" s="9">
        <v>396</v>
      </c>
      <c r="D237" s="29">
        <f>C237+IF(INDEX('Справочник по %'!B:B,(MATCH(A237,'Справочник по %'!A:A,0)))="кол-во",B237*INDEX('Справочник по %'!C:C,(MATCH(A237,'Справочник по %'!A:A,0))),ОТЧЕТ!C237*INDEX('Справочник по %'!C:C,(MATCH(A237,'Справочник по %'!A:A,0))))/100</f>
        <v>435.6</v>
      </c>
      <c r="E237" s="29">
        <f>IF(ОТЧЕТ!A237="SKU3",C237+ОТЧЕТ!C237*0.2,C237+ОТЧЕТ!C237*0.15)</f>
        <v>455.4</v>
      </c>
      <c r="F237" s="7" t="s">
        <v>717</v>
      </c>
      <c r="G237" s="7">
        <v>5752042253</v>
      </c>
      <c r="H237" s="20" t="s">
        <v>50</v>
      </c>
      <c r="I237" s="22" t="str">
        <f>INDEX('Справочник Сети'!B:B,(MATCH(G237,'Справочник Сети'!C:C,0)))</f>
        <v>Ригла</v>
      </c>
      <c r="J237" s="7" t="s">
        <v>40</v>
      </c>
      <c r="K237" s="7" t="s">
        <v>719</v>
      </c>
      <c r="L237" s="7" t="s">
        <v>255</v>
      </c>
      <c r="M237" s="31">
        <v>45713</v>
      </c>
      <c r="N237" s="7" t="s">
        <v>720</v>
      </c>
      <c r="O237" s="8">
        <v>3584</v>
      </c>
      <c r="P237" s="24">
        <v>1782</v>
      </c>
      <c r="Q237" s="22">
        <f>IF(COUNTIFS(A$2:A237,A237,I$2:I237,I237)=1,1,0)</f>
        <v>0</v>
      </c>
      <c r="R237" s="22">
        <f t="shared" si="3"/>
        <v>5</v>
      </c>
      <c r="S237" s="33">
        <f>IF(COUNTIF(O$2:O237,O237)=1,R237,0)/2.5</f>
        <v>2</v>
      </c>
    </row>
    <row r="238" spans="1:19" ht="18" customHeight="1" x14ac:dyDescent="0.25">
      <c r="A238" s="7" t="s">
        <v>43</v>
      </c>
      <c r="B238" s="8">
        <v>1</v>
      </c>
      <c r="C238" s="9">
        <v>378</v>
      </c>
      <c r="D238" s="29">
        <f>C238+IF(INDEX('Справочник по %'!B:B,(MATCH(A238,'Справочник по %'!A:A,0)))="кол-во",B238*INDEX('Справочник по %'!C:C,(MATCH(A238,'Справочник по %'!A:A,0))),ОТЧЕТ!C238*INDEX('Справочник по %'!C:C,(MATCH(A238,'Справочник по %'!A:A,0))))/100</f>
        <v>415.8</v>
      </c>
      <c r="E238" s="29">
        <f>IF(ОТЧЕТ!A238="SKU3",C238+ОТЧЕТ!C238*0.2,C238+ОТЧЕТ!C238*0.15)</f>
        <v>434.7</v>
      </c>
      <c r="F238" s="7" t="s">
        <v>721</v>
      </c>
      <c r="G238" s="7">
        <v>5038049773</v>
      </c>
      <c r="H238" s="20" t="s">
        <v>50</v>
      </c>
      <c r="I238" s="22">
        <f>INDEX('Справочник Сети'!B:B,(MATCH(G238,'Справочник Сети'!C:C,0)))</f>
        <v>0</v>
      </c>
      <c r="J238" s="7" t="s">
        <v>92</v>
      </c>
      <c r="K238" s="7" t="s">
        <v>625</v>
      </c>
      <c r="L238" s="7" t="s">
        <v>92</v>
      </c>
      <c r="M238" s="31">
        <v>45714</v>
      </c>
      <c r="N238" s="7" t="s">
        <v>722</v>
      </c>
      <c r="O238" s="8">
        <v>3331</v>
      </c>
      <c r="P238" s="24">
        <v>1785</v>
      </c>
      <c r="Q238" s="22">
        <f>IF(COUNTIFS(A$2:A238,A238,I$2:I238,I238)=1,1,0)</f>
        <v>0</v>
      </c>
      <c r="R238" s="22">
        <f t="shared" si="3"/>
        <v>1</v>
      </c>
      <c r="S238" s="33">
        <f>IF(COUNTIF(O$2:O238,O238)=1,R238,0)/2.5</f>
        <v>0.4</v>
      </c>
    </row>
    <row r="239" spans="1:19" ht="18" customHeight="1" x14ac:dyDescent="0.25">
      <c r="A239" s="7" t="s">
        <v>43</v>
      </c>
      <c r="B239" s="8">
        <v>1</v>
      </c>
      <c r="C239" s="9">
        <v>500</v>
      </c>
      <c r="D239" s="29">
        <f>C239+IF(INDEX('Справочник по %'!B:B,(MATCH(A239,'Справочник по %'!A:A,0)))="кол-во",B239*INDEX('Справочник по %'!C:C,(MATCH(A239,'Справочник по %'!A:A,0))),ОТЧЕТ!C239*INDEX('Справочник по %'!C:C,(MATCH(A239,'Справочник по %'!A:A,0))))/100</f>
        <v>550</v>
      </c>
      <c r="E239" s="29">
        <f>IF(ОТЧЕТ!A239="SKU3",C239+ОТЧЕТ!C239*0.2,C239+ОТЧЕТ!C239*0.15)</f>
        <v>575</v>
      </c>
      <c r="F239" s="7" t="s">
        <v>721</v>
      </c>
      <c r="G239" s="7">
        <v>7841441905</v>
      </c>
      <c r="H239" s="20" t="s">
        <v>723</v>
      </c>
      <c r="I239" s="22">
        <f>INDEX('Справочник Сети'!B:B,(MATCH(G239,'Справочник Сети'!C:C,0)))</f>
        <v>0</v>
      </c>
      <c r="J239" s="7" t="s">
        <v>315</v>
      </c>
      <c r="K239" s="7" t="s">
        <v>719</v>
      </c>
      <c r="L239" s="7" t="s">
        <v>315</v>
      </c>
      <c r="M239" s="31">
        <v>45670</v>
      </c>
      <c r="N239" s="7" t="s">
        <v>724</v>
      </c>
      <c r="O239" s="8">
        <v>923</v>
      </c>
      <c r="P239" s="24">
        <v>1786</v>
      </c>
      <c r="Q239" s="22">
        <f>IF(COUNTIFS(A$2:A239,A239,I$2:I239,I239)=1,1,0)</f>
        <v>0</v>
      </c>
      <c r="R239" s="22">
        <f t="shared" si="3"/>
        <v>2</v>
      </c>
      <c r="S239" s="33">
        <f>IF(COUNTIF(O$2:O239,O239)=1,R239,0)/2.5</f>
        <v>0.8</v>
      </c>
    </row>
    <row r="240" spans="1:19" ht="18" customHeight="1" x14ac:dyDescent="0.25">
      <c r="A240" s="7" t="s">
        <v>43</v>
      </c>
      <c r="B240" s="8">
        <v>1</v>
      </c>
      <c r="C240" s="9">
        <v>399</v>
      </c>
      <c r="D240" s="29">
        <f>C240+IF(INDEX('Справочник по %'!B:B,(MATCH(A240,'Справочник по %'!A:A,0)))="кол-во",B240*INDEX('Справочник по %'!C:C,(MATCH(A240,'Справочник по %'!A:A,0))),ОТЧЕТ!C240*INDEX('Справочник по %'!C:C,(MATCH(A240,'Справочник по %'!A:A,0))))/100</f>
        <v>438.9</v>
      </c>
      <c r="E240" s="29">
        <f>IF(ОТЧЕТ!A240="SKU3",C240+ОТЧЕТ!C240*0.2,C240+ОТЧЕТ!C240*0.15)</f>
        <v>458.85</v>
      </c>
      <c r="F240" s="7" t="s">
        <v>721</v>
      </c>
      <c r="G240" s="7">
        <v>150402161852</v>
      </c>
      <c r="H240" s="20" t="s">
        <v>725</v>
      </c>
      <c r="I240" s="22">
        <f>INDEX('Справочник Сети'!B:B,(MATCH(G240,'Справочник Сети'!C:C,0)))</f>
        <v>0</v>
      </c>
      <c r="J240" s="7" t="s">
        <v>74</v>
      </c>
      <c r="K240" s="7" t="s">
        <v>726</v>
      </c>
      <c r="L240" s="7" t="s">
        <v>74</v>
      </c>
      <c r="M240" s="31">
        <v>45661</v>
      </c>
      <c r="N240" s="7" t="s">
        <v>727</v>
      </c>
      <c r="O240" s="8">
        <v>682</v>
      </c>
      <c r="P240" s="24">
        <v>1787</v>
      </c>
      <c r="Q240" s="22">
        <f>IF(COUNTIFS(A$2:A240,A240,I$2:I240,I240)=1,1,0)</f>
        <v>0</v>
      </c>
      <c r="R240" s="22">
        <f t="shared" si="3"/>
        <v>3</v>
      </c>
      <c r="S240" s="33">
        <f>IF(COUNTIF(O$2:O240,O240)=1,R240,0)/2.5</f>
        <v>1.2</v>
      </c>
    </row>
    <row r="241" spans="1:19" ht="18" customHeight="1" x14ac:dyDescent="0.25">
      <c r="A241" s="7" t="s">
        <v>43</v>
      </c>
      <c r="B241" s="8">
        <v>1</v>
      </c>
      <c r="C241" s="9">
        <v>388</v>
      </c>
      <c r="D241" s="29">
        <f>C241+IF(INDEX('Справочник по %'!B:B,(MATCH(A241,'Справочник по %'!A:A,0)))="кол-во",B241*INDEX('Справочник по %'!C:C,(MATCH(A241,'Справочник по %'!A:A,0))),ОТЧЕТ!C241*INDEX('Справочник по %'!C:C,(MATCH(A241,'Справочник по %'!A:A,0))))/100</f>
        <v>426.8</v>
      </c>
      <c r="E241" s="29">
        <f>IF(ОТЧЕТ!A241="SKU3",C241+ОТЧЕТ!C241*0.2,C241+ОТЧЕТ!C241*0.15)</f>
        <v>446.2</v>
      </c>
      <c r="F241" s="7" t="s">
        <v>721</v>
      </c>
      <c r="G241" s="7">
        <v>150402161852</v>
      </c>
      <c r="H241" s="20" t="s">
        <v>725</v>
      </c>
      <c r="I241" s="22">
        <f>INDEX('Справочник Сети'!B:B,(MATCH(G241,'Справочник Сети'!C:C,0)))</f>
        <v>0</v>
      </c>
      <c r="J241" s="7" t="s">
        <v>74</v>
      </c>
      <c r="K241" s="7" t="s">
        <v>726</v>
      </c>
      <c r="L241" s="7" t="s">
        <v>74</v>
      </c>
      <c r="M241" s="31">
        <v>45661</v>
      </c>
      <c r="N241" s="7" t="s">
        <v>727</v>
      </c>
      <c r="O241" s="8">
        <v>682</v>
      </c>
      <c r="P241" s="24">
        <v>1787</v>
      </c>
      <c r="Q241" s="22">
        <f>IF(COUNTIFS(A$2:A241,A241,I$2:I241,I241)=1,1,0)</f>
        <v>0</v>
      </c>
      <c r="R241" s="22">
        <f t="shared" si="3"/>
        <v>3</v>
      </c>
      <c r="S241" s="33">
        <f>IF(COUNTIF(O$2:O241,O241)=1,R241,0)/2.5</f>
        <v>0</v>
      </c>
    </row>
    <row r="242" spans="1:19" ht="18" customHeight="1" x14ac:dyDescent="0.25">
      <c r="A242" s="7" t="s">
        <v>43</v>
      </c>
      <c r="B242" s="8">
        <v>1</v>
      </c>
      <c r="C242" s="9">
        <v>407</v>
      </c>
      <c r="D242" s="29">
        <f>C242+IF(INDEX('Справочник по %'!B:B,(MATCH(A242,'Справочник по %'!A:A,0)))="кол-во",B242*INDEX('Справочник по %'!C:C,(MATCH(A242,'Справочник по %'!A:A,0))),ОТЧЕТ!C242*INDEX('Справочник по %'!C:C,(MATCH(A242,'Справочник по %'!A:A,0))))/100</f>
        <v>447.7</v>
      </c>
      <c r="E242" s="29">
        <f>IF(ОТЧЕТ!A242="SKU3",C242+ОТЧЕТ!C242*0.2,C242+ОТЧЕТ!C242*0.15)</f>
        <v>468.05</v>
      </c>
      <c r="F242" s="7" t="s">
        <v>728</v>
      </c>
      <c r="G242" s="7">
        <v>6166045261</v>
      </c>
      <c r="H242" s="20" t="s">
        <v>729</v>
      </c>
      <c r="I242" s="22" t="str">
        <f>INDEX('Справочник Сети'!B:B,(MATCH(G242,'Справочник Сети'!C:C,0)))</f>
        <v>Столички</v>
      </c>
      <c r="J242" s="7" t="s">
        <v>203</v>
      </c>
      <c r="K242" s="7" t="s">
        <v>726</v>
      </c>
      <c r="L242" s="7" t="s">
        <v>520</v>
      </c>
      <c r="M242" s="31">
        <v>45697</v>
      </c>
      <c r="N242" s="7" t="s">
        <v>730</v>
      </c>
      <c r="O242" s="8">
        <v>3800</v>
      </c>
      <c r="P242" s="24">
        <v>1790</v>
      </c>
      <c r="Q242" s="22">
        <f>IF(COUNTIFS(A$2:A242,A242,I$2:I242,I242)=1,1,0)</f>
        <v>0</v>
      </c>
      <c r="R242" s="22">
        <f t="shared" si="3"/>
        <v>2</v>
      </c>
      <c r="S242" s="33">
        <f>IF(COUNTIF(O$2:O242,O242)=1,R242,0)/2.5</f>
        <v>0.8</v>
      </c>
    </row>
    <row r="243" spans="1:19" ht="18" customHeight="1" x14ac:dyDescent="0.25">
      <c r="A243" s="7" t="s">
        <v>43</v>
      </c>
      <c r="B243" s="8">
        <v>1</v>
      </c>
      <c r="C243" s="9">
        <v>469.92</v>
      </c>
      <c r="D243" s="29">
        <f>C243+IF(INDEX('Справочник по %'!B:B,(MATCH(A243,'Справочник по %'!A:A,0)))="кол-во",B243*INDEX('Справочник по %'!C:C,(MATCH(A243,'Справочник по %'!A:A,0))),ОТЧЕТ!C243*INDEX('Справочник по %'!C:C,(MATCH(A243,'Справочник по %'!A:A,0))))/100</f>
        <v>516.91200000000003</v>
      </c>
      <c r="E243" s="29">
        <f>IF(ОТЧЕТ!A243="SKU3",C243+ОТЧЕТ!C243*0.2,C243+ОТЧЕТ!C243*0.15)</f>
        <v>540.40800000000002</v>
      </c>
      <c r="F243" s="7" t="s">
        <v>731</v>
      </c>
      <c r="G243" s="7">
        <v>6831013384</v>
      </c>
      <c r="H243" s="20" t="s">
        <v>50</v>
      </c>
      <c r="I243" s="22">
        <f>INDEX('Справочник Сети'!B:B,(MATCH(G243,'Справочник Сети'!C:C,0)))</f>
        <v>0</v>
      </c>
      <c r="J243" s="7" t="s">
        <v>106</v>
      </c>
      <c r="K243" s="7" t="s">
        <v>732</v>
      </c>
      <c r="L243" s="7" t="s">
        <v>106</v>
      </c>
      <c r="M243" s="31">
        <v>45694</v>
      </c>
      <c r="N243" s="7" t="s">
        <v>733</v>
      </c>
      <c r="O243" s="8">
        <v>3826</v>
      </c>
      <c r="P243" s="24">
        <v>1792</v>
      </c>
      <c r="Q243" s="22">
        <f>IF(COUNTIFS(A$2:A243,A243,I$2:I243,I243)=1,1,0)</f>
        <v>0</v>
      </c>
      <c r="R243" s="22">
        <f t="shared" si="3"/>
        <v>1</v>
      </c>
      <c r="S243" s="33">
        <f>IF(COUNTIF(O$2:O243,O243)=1,R243,0)/2.5</f>
        <v>0.4</v>
      </c>
    </row>
    <row r="244" spans="1:19" ht="18" customHeight="1" x14ac:dyDescent="0.25">
      <c r="A244" s="7" t="s">
        <v>43</v>
      </c>
      <c r="B244" s="8">
        <v>1</v>
      </c>
      <c r="C244" s="9">
        <v>360</v>
      </c>
      <c r="D244" s="29">
        <f>C244+IF(INDEX('Справочник по %'!B:B,(MATCH(A244,'Справочник по %'!A:A,0)))="кол-во",B244*INDEX('Справочник по %'!C:C,(MATCH(A244,'Справочник по %'!A:A,0))),ОТЧЕТ!C244*INDEX('Справочник по %'!C:C,(MATCH(A244,'Справочник по %'!A:A,0))))/100</f>
        <v>396</v>
      </c>
      <c r="E244" s="29">
        <f>IF(ОТЧЕТ!A244="SKU3",C244+ОТЧЕТ!C244*0.2,C244+ОТЧЕТ!C244*0.15)</f>
        <v>414</v>
      </c>
      <c r="F244" s="7" t="s">
        <v>731</v>
      </c>
      <c r="G244" s="7">
        <v>5502039191</v>
      </c>
      <c r="H244" s="20" t="s">
        <v>50</v>
      </c>
      <c r="I244" s="22" t="str">
        <f>INDEX('Справочник Сети'!B:B,(MATCH(G244,'Справочник Сети'!C:C,0)))</f>
        <v>Нео-фарм</v>
      </c>
      <c r="J244" s="7" t="s">
        <v>255</v>
      </c>
      <c r="K244" s="7" t="s">
        <v>734</v>
      </c>
      <c r="L244" s="7" t="s">
        <v>255</v>
      </c>
      <c r="M244" s="31">
        <v>45713</v>
      </c>
      <c r="N244" s="7" t="s">
        <v>735</v>
      </c>
      <c r="O244" s="8">
        <v>2721</v>
      </c>
      <c r="P244" s="24">
        <v>1794</v>
      </c>
      <c r="Q244" s="22">
        <f>IF(COUNTIFS(A$2:A244,A244,I$2:I244,I244)=1,1,0)</f>
        <v>0</v>
      </c>
      <c r="R244" s="22">
        <f t="shared" si="3"/>
        <v>1</v>
      </c>
      <c r="S244" s="33">
        <f>IF(COUNTIF(O$2:O244,O244)=1,R244,0)/2.5</f>
        <v>0.4</v>
      </c>
    </row>
    <row r="245" spans="1:19" ht="18" customHeight="1" x14ac:dyDescent="0.25">
      <c r="A245" s="7" t="s">
        <v>43</v>
      </c>
      <c r="B245" s="8">
        <v>1</v>
      </c>
      <c r="C245" s="9">
        <v>430</v>
      </c>
      <c r="D245" s="29">
        <f>C245+IF(INDEX('Справочник по %'!B:B,(MATCH(A245,'Справочник по %'!A:A,0)))="кол-во",B245*INDEX('Справочник по %'!C:C,(MATCH(A245,'Справочник по %'!A:A,0))),ОТЧЕТ!C245*INDEX('Справочник по %'!C:C,(MATCH(A245,'Справочник по %'!A:A,0))))/100</f>
        <v>473</v>
      </c>
      <c r="E245" s="29">
        <f>IF(ОТЧЕТ!A245="SKU3",C245+ОТЧЕТ!C245*0.2,C245+ОТЧЕТ!C245*0.15)</f>
        <v>494.5</v>
      </c>
      <c r="F245" s="7" t="s">
        <v>736</v>
      </c>
      <c r="G245" s="7">
        <v>9102293835</v>
      </c>
      <c r="H245" s="20" t="s">
        <v>50</v>
      </c>
      <c r="I245" s="22">
        <f>INDEX('Справочник Сети'!B:B,(MATCH(G245,'Справочник Сети'!C:C,0)))</f>
        <v>0</v>
      </c>
      <c r="J245" s="7" t="s">
        <v>737</v>
      </c>
      <c r="K245" s="7" t="s">
        <v>738</v>
      </c>
      <c r="L245" s="7" t="s">
        <v>737</v>
      </c>
      <c r="M245" s="31">
        <v>45669</v>
      </c>
      <c r="N245" s="7" t="s">
        <v>739</v>
      </c>
      <c r="O245" s="8">
        <v>2996</v>
      </c>
      <c r="P245" s="24">
        <v>1799</v>
      </c>
      <c r="Q245" s="22">
        <f>IF(COUNTIFS(A$2:A245,A245,I$2:I245,I245)=1,1,0)</f>
        <v>0</v>
      </c>
      <c r="R245" s="22">
        <f t="shared" si="3"/>
        <v>1</v>
      </c>
      <c r="S245" s="33">
        <f>IF(COUNTIF(O$2:O245,O245)=1,R245,0)/2.5</f>
        <v>0.4</v>
      </c>
    </row>
    <row r="246" spans="1:19" ht="18" customHeight="1" x14ac:dyDescent="0.25">
      <c r="A246" s="7" t="s">
        <v>37</v>
      </c>
      <c r="B246" s="8">
        <v>1</v>
      </c>
      <c r="C246" s="9">
        <v>640</v>
      </c>
      <c r="D246" s="29">
        <f>C246+IF(INDEX('Справочник по %'!B:B,(MATCH(A246,'Справочник по %'!A:A,0)))="кол-во",B246*INDEX('Справочник по %'!C:C,(MATCH(A246,'Справочник по %'!A:A,0))),ОТЧЕТ!C246*INDEX('Справочник по %'!C:C,(MATCH(A246,'Справочник по %'!A:A,0))))/100</f>
        <v>640.20000000000005</v>
      </c>
      <c r="E246" s="29">
        <f>IF(ОТЧЕТ!A246="SKU3",C246+ОТЧЕТ!C246*0.2,C246+ОТЧЕТ!C246*0.15)</f>
        <v>736</v>
      </c>
      <c r="F246" s="7" t="s">
        <v>740</v>
      </c>
      <c r="G246" s="7">
        <v>6168041590</v>
      </c>
      <c r="H246" s="20" t="s">
        <v>519</v>
      </c>
      <c r="I246" s="22">
        <f>INDEX('Справочник Сети'!B:B,(MATCH(G246,'Справочник Сети'!C:C,0)))</f>
        <v>0</v>
      </c>
      <c r="J246" s="7" t="s">
        <v>203</v>
      </c>
      <c r="K246" s="7" t="s">
        <v>589</v>
      </c>
      <c r="L246" s="7" t="s">
        <v>203</v>
      </c>
      <c r="M246" s="31">
        <v>45696</v>
      </c>
      <c r="N246" s="7" t="s">
        <v>741</v>
      </c>
      <c r="O246" s="8">
        <v>1407</v>
      </c>
      <c r="P246" s="24">
        <v>1809</v>
      </c>
      <c r="Q246" s="22">
        <f>IF(COUNTIFS(A$2:A246,A246,I$2:I246,I246)=1,1,0)</f>
        <v>0</v>
      </c>
      <c r="R246" s="22">
        <f t="shared" si="3"/>
        <v>2</v>
      </c>
      <c r="S246" s="33">
        <f>IF(COUNTIF(O$2:O246,O246)=1,R246,0)/2.5</f>
        <v>0.8</v>
      </c>
    </row>
    <row r="247" spans="1:19" ht="18" customHeight="1" x14ac:dyDescent="0.25">
      <c r="A247" s="7" t="s">
        <v>43</v>
      </c>
      <c r="B247" s="8">
        <v>1</v>
      </c>
      <c r="C247" s="9">
        <v>609</v>
      </c>
      <c r="D247" s="29">
        <f>C247+IF(INDEX('Справочник по %'!B:B,(MATCH(A247,'Справочник по %'!A:A,0)))="кол-во",B247*INDEX('Справочник по %'!C:C,(MATCH(A247,'Справочник по %'!A:A,0))),ОТЧЕТ!C247*INDEX('Справочник по %'!C:C,(MATCH(A247,'Справочник по %'!A:A,0))))/100</f>
        <v>669.9</v>
      </c>
      <c r="E247" s="29">
        <f>IF(ОТЧЕТ!A247="SKU3",C247+ОТЧЕТ!C247*0.2,C247+ОТЧЕТ!C247*0.15)</f>
        <v>700.35</v>
      </c>
      <c r="F247" s="7" t="s">
        <v>740</v>
      </c>
      <c r="G247" s="7">
        <v>7705947629</v>
      </c>
      <c r="H247" s="20" t="s">
        <v>50</v>
      </c>
      <c r="I247" s="22" t="str">
        <f>INDEX('Справочник Сети'!B:B,(MATCH(G247,'Справочник Сети'!C:C,0)))</f>
        <v>36,6</v>
      </c>
      <c r="J247" s="7" t="s">
        <v>116</v>
      </c>
      <c r="K247" s="7" t="s">
        <v>742</v>
      </c>
      <c r="L247" s="7" t="s">
        <v>104</v>
      </c>
      <c r="M247" s="31">
        <v>45693</v>
      </c>
      <c r="N247" s="7" t="s">
        <v>743</v>
      </c>
      <c r="O247" s="8">
        <v>2635</v>
      </c>
      <c r="P247" s="24">
        <v>1811</v>
      </c>
      <c r="Q247" s="22">
        <f>IF(COUNTIFS(A$2:A247,A247,I$2:I247,I247)=1,1,0)</f>
        <v>0</v>
      </c>
      <c r="R247" s="22">
        <f t="shared" si="3"/>
        <v>4</v>
      </c>
      <c r="S247" s="33">
        <f>IF(COUNTIF(O$2:O247,O247)=1,R247,0)/2.5</f>
        <v>1.6</v>
      </c>
    </row>
    <row r="248" spans="1:19" ht="18" customHeight="1" x14ac:dyDescent="0.25">
      <c r="A248" s="7" t="s">
        <v>43</v>
      </c>
      <c r="B248" s="8">
        <v>1</v>
      </c>
      <c r="C248" s="9">
        <v>609</v>
      </c>
      <c r="D248" s="29">
        <f>C248+IF(INDEX('Справочник по %'!B:B,(MATCH(A248,'Справочник по %'!A:A,0)))="кол-во",B248*INDEX('Справочник по %'!C:C,(MATCH(A248,'Справочник по %'!A:A,0))),ОТЧЕТ!C248*INDEX('Справочник по %'!C:C,(MATCH(A248,'Справочник по %'!A:A,0))))/100</f>
        <v>669.9</v>
      </c>
      <c r="E248" s="29">
        <f>IF(ОТЧЕТ!A248="SKU3",C248+ОТЧЕТ!C248*0.2,C248+ОТЧЕТ!C248*0.15)</f>
        <v>700.35</v>
      </c>
      <c r="F248" s="7" t="s">
        <v>740</v>
      </c>
      <c r="G248" s="7">
        <v>7705947629</v>
      </c>
      <c r="H248" s="20" t="s">
        <v>50</v>
      </c>
      <c r="I248" s="22" t="str">
        <f>INDEX('Справочник Сети'!B:B,(MATCH(G248,'Справочник Сети'!C:C,0)))</f>
        <v>36,6</v>
      </c>
      <c r="J248" s="7" t="s">
        <v>116</v>
      </c>
      <c r="K248" s="7" t="s">
        <v>744</v>
      </c>
      <c r="L248" s="7" t="s">
        <v>104</v>
      </c>
      <c r="M248" s="31">
        <v>45693</v>
      </c>
      <c r="N248" s="7" t="s">
        <v>745</v>
      </c>
      <c r="O248" s="8">
        <v>2635</v>
      </c>
      <c r="P248" s="24">
        <v>1812</v>
      </c>
      <c r="Q248" s="22">
        <f>IF(COUNTIFS(A$2:A248,A248,I$2:I248,I248)=1,1,0)</f>
        <v>0</v>
      </c>
      <c r="R248" s="22">
        <f t="shared" si="3"/>
        <v>4</v>
      </c>
      <c r="S248" s="33">
        <f>IF(COUNTIF(O$2:O248,O248)=1,R248,0)/2.5</f>
        <v>0</v>
      </c>
    </row>
    <row r="249" spans="1:19" ht="18" customHeight="1" x14ac:dyDescent="0.25">
      <c r="A249" s="7" t="s">
        <v>37</v>
      </c>
      <c r="B249" s="8">
        <v>1</v>
      </c>
      <c r="C249" s="9">
        <v>682.6</v>
      </c>
      <c r="D249" s="29">
        <f>C249+IF(INDEX('Справочник по %'!B:B,(MATCH(A249,'Справочник по %'!A:A,0)))="кол-во",B249*INDEX('Справочник по %'!C:C,(MATCH(A249,'Справочник по %'!A:A,0))),ОТЧЕТ!C249*INDEX('Справочник по %'!C:C,(MATCH(A249,'Справочник по %'!A:A,0))))/100</f>
        <v>682.80000000000007</v>
      </c>
      <c r="E249" s="29">
        <f>IF(ОТЧЕТ!A249="SKU3",C249+ОТЧЕТ!C249*0.2,C249+ОТЧЕТ!C249*0.15)</f>
        <v>784.99</v>
      </c>
      <c r="F249" s="7" t="s">
        <v>740</v>
      </c>
      <c r="G249" s="7">
        <v>5050136454</v>
      </c>
      <c r="H249" s="20" t="s">
        <v>50</v>
      </c>
      <c r="I249" s="22" t="str">
        <f>INDEX('Справочник Сети'!B:B,(MATCH(G249,'Справочник Сети'!C:C,0)))</f>
        <v>Нео-фарм</v>
      </c>
      <c r="J249" s="7" t="s">
        <v>92</v>
      </c>
      <c r="K249" s="7" t="s">
        <v>746</v>
      </c>
      <c r="L249" s="7" t="s">
        <v>92</v>
      </c>
      <c r="M249" s="31">
        <v>45714</v>
      </c>
      <c r="N249" s="7" t="s">
        <v>747</v>
      </c>
      <c r="O249" s="8">
        <v>1499</v>
      </c>
      <c r="P249" s="24">
        <v>1813</v>
      </c>
      <c r="Q249" s="22">
        <f>IF(COUNTIFS(A$2:A249,A249,I$2:I249,I249)=1,1,0)</f>
        <v>0</v>
      </c>
      <c r="R249" s="22">
        <f t="shared" si="3"/>
        <v>14</v>
      </c>
      <c r="S249" s="33">
        <f>IF(COUNTIF(O$2:O249,O249)=1,R249,0)/2.5</f>
        <v>0</v>
      </c>
    </row>
    <row r="250" spans="1:19" ht="18" customHeight="1" x14ac:dyDescent="0.25">
      <c r="A250" s="7" t="s">
        <v>43</v>
      </c>
      <c r="B250" s="8">
        <v>1</v>
      </c>
      <c r="C250" s="9">
        <v>381</v>
      </c>
      <c r="D250" s="29">
        <f>C250+IF(INDEX('Справочник по %'!B:B,(MATCH(A250,'Справочник по %'!A:A,0)))="кол-во",B250*INDEX('Справочник по %'!C:C,(MATCH(A250,'Справочник по %'!A:A,0))),ОТЧЕТ!C250*INDEX('Справочник по %'!C:C,(MATCH(A250,'Справочник по %'!A:A,0))))/100</f>
        <v>419.1</v>
      </c>
      <c r="E250" s="29">
        <f>IF(ОТЧЕТ!A250="SKU3",C250+ОТЧЕТ!C250*0.2,C250+ОТЧЕТ!C250*0.15)</f>
        <v>438.15</v>
      </c>
      <c r="F250" s="7" t="s">
        <v>740</v>
      </c>
      <c r="G250" s="7">
        <v>4205405125</v>
      </c>
      <c r="H250" s="20" t="s">
        <v>50</v>
      </c>
      <c r="I250" s="22">
        <f>INDEX('Справочник Сети'!B:B,(MATCH(G250,'Справочник Сети'!C:C,0)))</f>
        <v>0</v>
      </c>
      <c r="J250" s="7" t="s">
        <v>155</v>
      </c>
      <c r="K250" s="7" t="s">
        <v>748</v>
      </c>
      <c r="L250" s="7" t="s">
        <v>155</v>
      </c>
      <c r="M250" s="31">
        <v>45716</v>
      </c>
      <c r="N250" s="7" t="s">
        <v>749</v>
      </c>
      <c r="O250" s="8">
        <v>2535</v>
      </c>
      <c r="P250" s="24">
        <v>1814</v>
      </c>
      <c r="Q250" s="22">
        <f>IF(COUNTIFS(A$2:A250,A250,I$2:I250,I250)=1,1,0)</f>
        <v>0</v>
      </c>
      <c r="R250" s="22">
        <f t="shared" si="3"/>
        <v>1</v>
      </c>
      <c r="S250" s="33">
        <f>IF(COUNTIF(O$2:O250,O250)=1,R250,0)/2.5</f>
        <v>0.4</v>
      </c>
    </row>
    <row r="251" spans="1:19" ht="18" customHeight="1" x14ac:dyDescent="0.25">
      <c r="A251" s="7" t="s">
        <v>43</v>
      </c>
      <c r="B251" s="8">
        <v>1</v>
      </c>
      <c r="C251" s="9">
        <v>467</v>
      </c>
      <c r="D251" s="29">
        <f>C251+IF(INDEX('Справочник по %'!B:B,(MATCH(A251,'Справочник по %'!A:A,0)))="кол-во",B251*INDEX('Справочник по %'!C:C,(MATCH(A251,'Справочник по %'!A:A,0))),ОТЧЕТ!C251*INDEX('Справочник по %'!C:C,(MATCH(A251,'Справочник по %'!A:A,0))))/100</f>
        <v>513.70000000000005</v>
      </c>
      <c r="E251" s="29">
        <f>IF(ОТЧЕТ!A251="SKU3",C251+ОТЧЕТ!C251*0.2,C251+ОТЧЕТ!C251*0.15)</f>
        <v>537.04999999999995</v>
      </c>
      <c r="F251" s="7" t="s">
        <v>740</v>
      </c>
      <c r="G251" s="7">
        <v>3811464778</v>
      </c>
      <c r="H251" s="20" t="s">
        <v>750</v>
      </c>
      <c r="I251" s="22">
        <f>INDEX('Справочник Сети'!B:B,(MATCH(G251,'Справочник Сети'!C:C,0)))</f>
        <v>0</v>
      </c>
      <c r="J251" s="7" t="s">
        <v>155</v>
      </c>
      <c r="K251" s="7" t="s">
        <v>751</v>
      </c>
      <c r="L251" s="7" t="s">
        <v>155</v>
      </c>
      <c r="M251" s="31">
        <v>45716</v>
      </c>
      <c r="N251" s="7" t="s">
        <v>752</v>
      </c>
      <c r="O251" s="8">
        <v>223</v>
      </c>
      <c r="P251" s="24">
        <v>1816</v>
      </c>
      <c r="Q251" s="22">
        <f>IF(COUNTIFS(A$2:A251,A251,I$2:I251,I251)=1,1,0)</f>
        <v>0</v>
      </c>
      <c r="R251" s="22">
        <f t="shared" si="3"/>
        <v>3</v>
      </c>
      <c r="S251" s="33">
        <f>IF(COUNTIF(O$2:O251,O251)=1,R251,0)/2.5</f>
        <v>1.2</v>
      </c>
    </row>
    <row r="252" spans="1:19" ht="18" customHeight="1" x14ac:dyDescent="0.25">
      <c r="A252" s="7" t="s">
        <v>43</v>
      </c>
      <c r="B252" s="8">
        <v>1</v>
      </c>
      <c r="C252" s="9">
        <v>533.1</v>
      </c>
      <c r="D252" s="29">
        <f>C252+IF(INDEX('Справочник по %'!B:B,(MATCH(A252,'Справочник по %'!A:A,0)))="кол-во",B252*INDEX('Справочник по %'!C:C,(MATCH(A252,'Справочник по %'!A:A,0))),ОТЧЕТ!C252*INDEX('Справочник по %'!C:C,(MATCH(A252,'Справочник по %'!A:A,0))))/100</f>
        <v>586.41000000000008</v>
      </c>
      <c r="E252" s="29">
        <f>IF(ОТЧЕТ!A252="SKU3",C252+ОТЧЕТ!C252*0.2,C252+ОТЧЕТ!C252*0.15)</f>
        <v>613.06500000000005</v>
      </c>
      <c r="F252" s="7" t="s">
        <v>740</v>
      </c>
      <c r="G252" s="7">
        <v>7714844316</v>
      </c>
      <c r="H252" s="20" t="s">
        <v>50</v>
      </c>
      <c r="I252" s="22" t="str">
        <f>INDEX('Справочник Сети'!B:B,(MATCH(G252,'Справочник Сети'!C:C,0)))</f>
        <v>Планета здоровья</v>
      </c>
      <c r="J252" s="7" t="s">
        <v>504</v>
      </c>
      <c r="K252" s="7" t="s">
        <v>726</v>
      </c>
      <c r="L252" s="7" t="s">
        <v>504</v>
      </c>
      <c r="M252" s="31">
        <v>45690</v>
      </c>
      <c r="N252" s="7" t="s">
        <v>753</v>
      </c>
      <c r="O252" s="8">
        <v>898</v>
      </c>
      <c r="P252" s="24">
        <v>1817</v>
      </c>
      <c r="Q252" s="22">
        <f>IF(COUNTIFS(A$2:A252,A252,I$2:I252,I252)=1,1,0)</f>
        <v>0</v>
      </c>
      <c r="R252" s="22">
        <f t="shared" si="3"/>
        <v>3</v>
      </c>
      <c r="S252" s="33">
        <f>IF(COUNTIF(O$2:O252,O252)=1,R252,0)/2.5</f>
        <v>1.2</v>
      </c>
    </row>
    <row r="253" spans="1:19" ht="18" customHeight="1" x14ac:dyDescent="0.25">
      <c r="A253" s="7" t="s">
        <v>37</v>
      </c>
      <c r="B253" s="8">
        <v>1</v>
      </c>
      <c r="C253" s="9">
        <v>660</v>
      </c>
      <c r="D253" s="29">
        <f>C253+IF(INDEX('Справочник по %'!B:B,(MATCH(A253,'Справочник по %'!A:A,0)))="кол-во",B253*INDEX('Справочник по %'!C:C,(MATCH(A253,'Справочник по %'!A:A,0))),ОТЧЕТ!C253*INDEX('Справочник по %'!C:C,(MATCH(A253,'Справочник по %'!A:A,0))))/100</f>
        <v>660.2</v>
      </c>
      <c r="E253" s="29">
        <f>IF(ОТЧЕТ!A253="SKU3",C253+ОТЧЕТ!C253*0.2,C253+ОТЧЕТ!C253*0.15)</f>
        <v>759</v>
      </c>
      <c r="F253" s="7" t="s">
        <v>740</v>
      </c>
      <c r="G253" s="7">
        <v>7841441905</v>
      </c>
      <c r="H253" s="20" t="s">
        <v>723</v>
      </c>
      <c r="I253" s="22">
        <f>INDEX('Справочник Сети'!B:B,(MATCH(G253,'Справочник Сети'!C:C,0)))</f>
        <v>0</v>
      </c>
      <c r="J253" s="7" t="s">
        <v>315</v>
      </c>
      <c r="K253" s="7" t="s">
        <v>754</v>
      </c>
      <c r="L253" s="7" t="s">
        <v>315</v>
      </c>
      <c r="M253" s="31">
        <v>45670</v>
      </c>
      <c r="N253" s="7" t="s">
        <v>755</v>
      </c>
      <c r="O253" s="8">
        <v>923</v>
      </c>
      <c r="P253" s="24">
        <v>1818</v>
      </c>
      <c r="Q253" s="22">
        <f>IF(COUNTIFS(A$2:A253,A253,I$2:I253,I253)=1,1,0)</f>
        <v>0</v>
      </c>
      <c r="R253" s="22">
        <f t="shared" si="3"/>
        <v>2</v>
      </c>
      <c r="S253" s="33">
        <f>IF(COUNTIF(O$2:O253,O253)=1,R253,0)/2.5</f>
        <v>0</v>
      </c>
    </row>
    <row r="254" spans="1:19" ht="18" customHeight="1" x14ac:dyDescent="0.25">
      <c r="A254" s="7" t="s">
        <v>43</v>
      </c>
      <c r="B254" s="8">
        <v>1</v>
      </c>
      <c r="C254" s="9">
        <v>465</v>
      </c>
      <c r="D254" s="29">
        <f>C254+IF(INDEX('Справочник по %'!B:B,(MATCH(A254,'Справочник по %'!A:A,0)))="кол-во",B254*INDEX('Справочник по %'!C:C,(MATCH(A254,'Справочник по %'!A:A,0))),ОТЧЕТ!C254*INDEX('Справочник по %'!C:C,(MATCH(A254,'Справочник по %'!A:A,0))))/100</f>
        <v>511.5</v>
      </c>
      <c r="E254" s="29">
        <f>IF(ОТЧЕТ!A254="SKU3",C254+ОТЧЕТ!C254*0.2,C254+ОТЧЕТ!C254*0.15)</f>
        <v>534.75</v>
      </c>
      <c r="F254" s="7" t="s">
        <v>740</v>
      </c>
      <c r="G254" s="7">
        <v>5438110616</v>
      </c>
      <c r="H254" s="20" t="s">
        <v>756</v>
      </c>
      <c r="I254" s="22">
        <f>INDEX('Справочник Сети'!B:B,(MATCH(G254,'Справочник Сети'!C:C,0)))</f>
        <v>0</v>
      </c>
      <c r="J254" s="7" t="s">
        <v>255</v>
      </c>
      <c r="K254" s="7" t="s">
        <v>757</v>
      </c>
      <c r="L254" s="7" t="s">
        <v>255</v>
      </c>
      <c r="M254" s="31">
        <v>45713</v>
      </c>
      <c r="N254" s="7" t="s">
        <v>758</v>
      </c>
      <c r="O254" s="8">
        <v>3433</v>
      </c>
      <c r="P254" s="24">
        <v>1819</v>
      </c>
      <c r="Q254" s="22">
        <f>IF(COUNTIFS(A$2:A254,A254,I$2:I254,I254)=1,1,0)</f>
        <v>0</v>
      </c>
      <c r="R254" s="22">
        <f t="shared" si="3"/>
        <v>5</v>
      </c>
      <c r="S254" s="33">
        <f>IF(COUNTIF(O$2:O254,O254)=1,R254,0)/2.5</f>
        <v>2</v>
      </c>
    </row>
    <row r="255" spans="1:19" ht="18" customHeight="1" x14ac:dyDescent="0.25">
      <c r="A255" s="7" t="s">
        <v>43</v>
      </c>
      <c r="B255" s="8">
        <v>1</v>
      </c>
      <c r="C255" s="9">
        <v>517</v>
      </c>
      <c r="D255" s="29">
        <f>C255+IF(INDEX('Справочник по %'!B:B,(MATCH(A255,'Справочник по %'!A:A,0)))="кол-во",B255*INDEX('Справочник по %'!C:C,(MATCH(A255,'Справочник по %'!A:A,0))),ОТЧЕТ!C255*INDEX('Справочник по %'!C:C,(MATCH(A255,'Справочник по %'!A:A,0))))/100</f>
        <v>568.70000000000005</v>
      </c>
      <c r="E255" s="29">
        <f>IF(ОТЧЕТ!A255="SKU3",C255+ОТЧЕТ!C255*0.2,C255+ОТЧЕТ!C255*0.15)</f>
        <v>594.54999999999995</v>
      </c>
      <c r="F255" s="7" t="s">
        <v>740</v>
      </c>
      <c r="G255" s="7">
        <v>7705947629</v>
      </c>
      <c r="H255" s="20" t="s">
        <v>50</v>
      </c>
      <c r="I255" s="22" t="str">
        <f>INDEX('Справочник Сети'!B:B,(MATCH(G255,'Справочник Сети'!C:C,0)))</f>
        <v>36,6</v>
      </c>
      <c r="J255" s="7" t="s">
        <v>104</v>
      </c>
      <c r="K255" s="7" t="s">
        <v>759</v>
      </c>
      <c r="L255" s="7" t="s">
        <v>104</v>
      </c>
      <c r="M255" s="31">
        <v>45693</v>
      </c>
      <c r="N255" s="7" t="s">
        <v>760</v>
      </c>
      <c r="O255" s="8">
        <v>620</v>
      </c>
      <c r="P255" s="24">
        <v>1820</v>
      </c>
      <c r="Q255" s="22">
        <f>IF(COUNTIFS(A$2:A255,A255,I$2:I255,I255)=1,1,0)</f>
        <v>0</v>
      </c>
      <c r="R255" s="22">
        <f t="shared" si="3"/>
        <v>4</v>
      </c>
      <c r="S255" s="33">
        <f>IF(COUNTIF(O$2:O255,O255)=1,R255,0)/2.5</f>
        <v>1.6</v>
      </c>
    </row>
    <row r="256" spans="1:19" ht="18" customHeight="1" x14ac:dyDescent="0.25">
      <c r="A256" s="7" t="s">
        <v>43</v>
      </c>
      <c r="B256" s="8">
        <v>1</v>
      </c>
      <c r="C256" s="9">
        <v>390.4</v>
      </c>
      <c r="D256" s="29">
        <f>C256+IF(INDEX('Справочник по %'!B:B,(MATCH(A256,'Справочник по %'!A:A,0)))="кол-во",B256*INDEX('Справочник по %'!C:C,(MATCH(A256,'Справочник по %'!A:A,0))),ОТЧЕТ!C256*INDEX('Справочник по %'!C:C,(MATCH(A256,'Справочник по %'!A:A,0))))/100</f>
        <v>429.44</v>
      </c>
      <c r="E256" s="29">
        <f>IF(ОТЧЕТ!A256="SKU3",C256+ОТЧЕТ!C256*0.2,C256+ОТЧЕТ!C256*0.15)</f>
        <v>448.96</v>
      </c>
      <c r="F256" s="7" t="s">
        <v>740</v>
      </c>
      <c r="G256" s="7">
        <v>3801042576</v>
      </c>
      <c r="H256" s="20" t="s">
        <v>761</v>
      </c>
      <c r="I256" s="22" t="str">
        <f>INDEX('Справочник Сети'!B:B,(MATCH(G256,'Справочник Сети'!C:C,0)))</f>
        <v>Планета здоровья</v>
      </c>
      <c r="J256" s="7" t="s">
        <v>65</v>
      </c>
      <c r="K256" s="7" t="s">
        <v>762</v>
      </c>
      <c r="L256" s="7" t="s">
        <v>65</v>
      </c>
      <c r="M256" s="31">
        <v>45717</v>
      </c>
      <c r="N256" s="7" t="s">
        <v>763</v>
      </c>
      <c r="O256" s="8">
        <v>1061</v>
      </c>
      <c r="P256" s="24">
        <v>1823</v>
      </c>
      <c r="Q256" s="22">
        <f>IF(COUNTIFS(A$2:A256,A256,I$2:I256,I256)=1,1,0)</f>
        <v>0</v>
      </c>
      <c r="R256" s="22">
        <f t="shared" si="3"/>
        <v>4</v>
      </c>
      <c r="S256" s="33">
        <f>IF(COUNTIF(O$2:O256,O256)=1,R256,0)/2.5</f>
        <v>1.6</v>
      </c>
    </row>
    <row r="257" spans="1:19" ht="18" customHeight="1" x14ac:dyDescent="0.25">
      <c r="A257" s="7" t="s">
        <v>43</v>
      </c>
      <c r="B257" s="8">
        <v>1</v>
      </c>
      <c r="C257" s="9">
        <v>381.6</v>
      </c>
      <c r="D257" s="29">
        <f>C257+IF(INDEX('Справочник по %'!B:B,(MATCH(A257,'Справочник по %'!A:A,0)))="кол-во",B257*INDEX('Справочник по %'!C:C,(MATCH(A257,'Справочник по %'!A:A,0))),ОТЧЕТ!C257*INDEX('Справочник по %'!C:C,(MATCH(A257,'Справочник по %'!A:A,0))))/100</f>
        <v>419.76</v>
      </c>
      <c r="E257" s="29">
        <f>IF(ОТЧЕТ!A257="SKU3",C257+ОТЧЕТ!C257*0.2,C257+ОТЧЕТ!C257*0.15)</f>
        <v>438.84000000000003</v>
      </c>
      <c r="F257" s="7" t="s">
        <v>740</v>
      </c>
      <c r="G257" s="7">
        <v>5505200385</v>
      </c>
      <c r="H257" s="20" t="s">
        <v>91</v>
      </c>
      <c r="I257" s="22">
        <f>INDEX('Справочник Сети'!B:B,(MATCH(G257,'Справочник Сети'!C:C,0)))</f>
        <v>0</v>
      </c>
      <c r="J257" s="7" t="s">
        <v>255</v>
      </c>
      <c r="K257" s="7" t="s">
        <v>764</v>
      </c>
      <c r="L257" s="7" t="s">
        <v>255</v>
      </c>
      <c r="M257" s="31">
        <v>45713</v>
      </c>
      <c r="N257" s="7" t="s">
        <v>765</v>
      </c>
      <c r="O257" s="8">
        <v>3192</v>
      </c>
      <c r="P257" s="24">
        <v>1824</v>
      </c>
      <c r="Q257" s="22">
        <f>IF(COUNTIFS(A$2:A257,A257,I$2:I257,I257)=1,1,0)</f>
        <v>0</v>
      </c>
      <c r="R257" s="22">
        <f t="shared" si="3"/>
        <v>1</v>
      </c>
      <c r="S257" s="33">
        <f>IF(COUNTIF(O$2:O257,O257)=1,R257,0)/2.5</f>
        <v>0.4</v>
      </c>
    </row>
    <row r="258" spans="1:19" ht="18" customHeight="1" x14ac:dyDescent="0.25">
      <c r="A258" s="7" t="s">
        <v>43</v>
      </c>
      <c r="B258" s="8">
        <v>1</v>
      </c>
      <c r="C258" s="9">
        <v>425</v>
      </c>
      <c r="D258" s="29">
        <f>C258+IF(INDEX('Справочник по %'!B:B,(MATCH(A258,'Справочник по %'!A:A,0)))="кол-во",B258*INDEX('Справочник по %'!C:C,(MATCH(A258,'Справочник по %'!A:A,0))),ОТЧЕТ!C258*INDEX('Справочник по %'!C:C,(MATCH(A258,'Справочник по %'!A:A,0))))/100</f>
        <v>467.5</v>
      </c>
      <c r="E258" s="29">
        <f>IF(ОТЧЕТ!A258="SKU3",C258+ОТЧЕТ!C258*0.2,C258+ОТЧЕТ!C258*0.15)</f>
        <v>488.75</v>
      </c>
      <c r="F258" s="7" t="s">
        <v>740</v>
      </c>
      <c r="G258" s="7">
        <v>6679151868</v>
      </c>
      <c r="H258" s="20" t="s">
        <v>766</v>
      </c>
      <c r="I258" s="22" t="str">
        <f>INDEX('Справочник Сети'!B:B,(MATCH(G258,'Справочник Сети'!C:C,0)))</f>
        <v>36,6</v>
      </c>
      <c r="J258" s="7" t="s">
        <v>106</v>
      </c>
      <c r="K258" s="7" t="s">
        <v>767</v>
      </c>
      <c r="L258" s="7" t="s">
        <v>133</v>
      </c>
      <c r="M258" s="31">
        <v>45695</v>
      </c>
      <c r="N258" s="7" t="s">
        <v>768</v>
      </c>
      <c r="O258" s="8">
        <v>90</v>
      </c>
      <c r="P258" s="24">
        <v>1830</v>
      </c>
      <c r="Q258" s="22">
        <f>IF(COUNTIFS(A$2:A258,A258,I$2:I258,I258)=1,1,0)</f>
        <v>0</v>
      </c>
      <c r="R258" s="22">
        <f t="shared" si="3"/>
        <v>1</v>
      </c>
      <c r="S258" s="33">
        <f>IF(COUNTIF(O$2:O258,O258)=1,R258,0)/2.5</f>
        <v>0.4</v>
      </c>
    </row>
    <row r="259" spans="1:19" ht="18" customHeight="1" x14ac:dyDescent="0.25">
      <c r="A259" s="7" t="s">
        <v>43</v>
      </c>
      <c r="B259" s="8">
        <v>1</v>
      </c>
      <c r="C259" s="9">
        <v>484</v>
      </c>
      <c r="D259" s="29">
        <f>C259+IF(INDEX('Справочник по %'!B:B,(MATCH(A259,'Справочник по %'!A:A,0)))="кол-во",B259*INDEX('Справочник по %'!C:C,(MATCH(A259,'Справочник по %'!A:A,0))),ОТЧЕТ!C259*INDEX('Справочник по %'!C:C,(MATCH(A259,'Справочник по %'!A:A,0))))/100</f>
        <v>532.4</v>
      </c>
      <c r="E259" s="29">
        <f>IF(ОТЧЕТ!A259="SKU3",C259+ОТЧЕТ!C259*0.2,C259+ОТЧЕТ!C259*0.15)</f>
        <v>556.6</v>
      </c>
      <c r="F259" s="7" t="s">
        <v>740</v>
      </c>
      <c r="G259" s="7">
        <v>7724211288</v>
      </c>
      <c r="H259" s="20" t="s">
        <v>769</v>
      </c>
      <c r="I259" s="22" t="str">
        <f>INDEX('Справочник Сети'!B:B,(MATCH(G259,'Справочник Сети'!C:C,0)))</f>
        <v>Планета здоровья</v>
      </c>
      <c r="J259" s="7" t="s">
        <v>185</v>
      </c>
      <c r="K259" s="7" t="s">
        <v>770</v>
      </c>
      <c r="L259" s="7" t="s">
        <v>185</v>
      </c>
      <c r="M259" s="31">
        <v>45675</v>
      </c>
      <c r="N259" s="7" t="s">
        <v>771</v>
      </c>
      <c r="O259" s="8">
        <v>1126</v>
      </c>
      <c r="P259" s="24">
        <v>1836</v>
      </c>
      <c r="Q259" s="22">
        <f>IF(COUNTIFS(A$2:A259,A259,I$2:I259,I259)=1,1,0)</f>
        <v>0</v>
      </c>
      <c r="R259" s="22">
        <f t="shared" ref="R259:R322" si="4">COUNTIF(O:O,O259)</f>
        <v>2</v>
      </c>
      <c r="S259" s="33">
        <f>IF(COUNTIF(O$2:O259,O259)=1,R259,0)/2.5</f>
        <v>0.8</v>
      </c>
    </row>
    <row r="260" spans="1:19" ht="18" customHeight="1" x14ac:dyDescent="0.25">
      <c r="A260" s="7" t="s">
        <v>43</v>
      </c>
      <c r="B260" s="8">
        <v>1</v>
      </c>
      <c r="C260" s="9">
        <v>485</v>
      </c>
      <c r="D260" s="29">
        <f>C260+IF(INDEX('Справочник по %'!B:B,(MATCH(A260,'Справочник по %'!A:A,0)))="кол-во",B260*INDEX('Справочник по %'!C:C,(MATCH(A260,'Справочник по %'!A:A,0))),ОТЧЕТ!C260*INDEX('Справочник по %'!C:C,(MATCH(A260,'Справочник по %'!A:A,0))))/100</f>
        <v>533.5</v>
      </c>
      <c r="E260" s="29">
        <f>IF(ОТЧЕТ!A260="SKU3",C260+ОТЧЕТ!C260*0.2,C260+ОТЧЕТ!C260*0.15)</f>
        <v>557.75</v>
      </c>
      <c r="F260" s="7" t="s">
        <v>740</v>
      </c>
      <c r="G260" s="7">
        <v>7724211288</v>
      </c>
      <c r="H260" s="20" t="s">
        <v>769</v>
      </c>
      <c r="I260" s="22" t="str">
        <f>INDEX('Справочник Сети'!B:B,(MATCH(G260,'Справочник Сети'!C:C,0)))</f>
        <v>Планета здоровья</v>
      </c>
      <c r="J260" s="7" t="s">
        <v>185</v>
      </c>
      <c r="K260" s="7" t="s">
        <v>770</v>
      </c>
      <c r="L260" s="7" t="s">
        <v>185</v>
      </c>
      <c r="M260" s="31">
        <v>45675</v>
      </c>
      <c r="N260" s="7" t="s">
        <v>771</v>
      </c>
      <c r="O260" s="8">
        <v>1126</v>
      </c>
      <c r="P260" s="24">
        <v>1836</v>
      </c>
      <c r="Q260" s="22">
        <f>IF(COUNTIFS(A$2:A260,A260,I$2:I260,I260)=1,1,0)</f>
        <v>0</v>
      </c>
      <c r="R260" s="22">
        <f t="shared" si="4"/>
        <v>2</v>
      </c>
      <c r="S260" s="33">
        <f>IF(COUNTIF(O$2:O260,O260)=1,R260,0)/2.5</f>
        <v>0</v>
      </c>
    </row>
    <row r="261" spans="1:19" ht="18" customHeight="1" x14ac:dyDescent="0.25">
      <c r="A261" s="7" t="s">
        <v>43</v>
      </c>
      <c r="B261" s="8">
        <v>1</v>
      </c>
      <c r="C261" s="9">
        <v>407.7</v>
      </c>
      <c r="D261" s="29">
        <f>C261+IF(INDEX('Справочник по %'!B:B,(MATCH(A261,'Справочник по %'!A:A,0)))="кол-во",B261*INDEX('Справочник по %'!C:C,(MATCH(A261,'Справочник по %'!A:A,0))),ОТЧЕТ!C261*INDEX('Справочник по %'!C:C,(MATCH(A261,'Справочник по %'!A:A,0))))/100</f>
        <v>448.46999999999997</v>
      </c>
      <c r="E261" s="29">
        <f>IF(ОТЧЕТ!A261="SKU3",C261+ОТЧЕТ!C261*0.2,C261+ОТЧЕТ!C261*0.15)</f>
        <v>468.85499999999996</v>
      </c>
      <c r="F261" s="7" t="s">
        <v>772</v>
      </c>
      <c r="G261" s="7">
        <v>920100174061</v>
      </c>
      <c r="H261" s="20" t="s">
        <v>773</v>
      </c>
      <c r="I261" s="22">
        <f>INDEX('Справочник Сети'!B:B,(MATCH(G261,'Справочник Сети'!C:C,0)))</f>
        <v>0</v>
      </c>
      <c r="J261" s="7" t="s">
        <v>322</v>
      </c>
      <c r="K261" s="7" t="s">
        <v>774</v>
      </c>
      <c r="L261" s="7" t="s">
        <v>322</v>
      </c>
      <c r="M261" s="31">
        <v>45658</v>
      </c>
      <c r="N261" s="7" t="s">
        <v>775</v>
      </c>
      <c r="O261" s="8">
        <v>1676</v>
      </c>
      <c r="P261" s="24">
        <v>1842</v>
      </c>
      <c r="Q261" s="22">
        <f>IF(COUNTIFS(A$2:A261,A261,I$2:I261,I261)=1,1,0)</f>
        <v>0</v>
      </c>
      <c r="R261" s="22">
        <f t="shared" si="4"/>
        <v>1</v>
      </c>
      <c r="S261" s="33">
        <f>IF(COUNTIF(O$2:O261,O261)=1,R261,0)/2.5</f>
        <v>0.4</v>
      </c>
    </row>
    <row r="262" spans="1:19" ht="18" customHeight="1" x14ac:dyDescent="0.25">
      <c r="A262" s="7" t="s">
        <v>43</v>
      </c>
      <c r="B262" s="8">
        <v>1</v>
      </c>
      <c r="C262" s="9">
        <v>417.6</v>
      </c>
      <c r="D262" s="29">
        <f>C262+IF(INDEX('Справочник по %'!B:B,(MATCH(A262,'Справочник по %'!A:A,0)))="кол-во",B262*INDEX('Справочник по %'!C:C,(MATCH(A262,'Справочник по %'!A:A,0))),ОТЧЕТ!C262*INDEX('Справочник по %'!C:C,(MATCH(A262,'Справочник по %'!A:A,0))))/100</f>
        <v>459.36</v>
      </c>
      <c r="E262" s="29">
        <f>IF(ОТЧЕТ!A262="SKU3",C262+ОТЧЕТ!C262*0.2,C262+ОТЧЕТ!C262*0.15)</f>
        <v>480.24</v>
      </c>
      <c r="F262" s="7" t="s">
        <v>772</v>
      </c>
      <c r="G262" s="7">
        <v>7840411560</v>
      </c>
      <c r="H262" s="20" t="s">
        <v>776</v>
      </c>
      <c r="I262" s="22" t="str">
        <f>INDEX('Справочник Сети'!B:B,(MATCH(G262,'Справочник Сети'!C:C,0)))</f>
        <v>Столички</v>
      </c>
      <c r="J262" s="7" t="s">
        <v>315</v>
      </c>
      <c r="K262" s="7" t="s">
        <v>385</v>
      </c>
      <c r="L262" s="7" t="s">
        <v>315</v>
      </c>
      <c r="M262" s="31">
        <v>45670</v>
      </c>
      <c r="N262" s="7" t="s">
        <v>777</v>
      </c>
      <c r="O262" s="8">
        <v>3280</v>
      </c>
      <c r="P262" s="24">
        <v>1843</v>
      </c>
      <c r="Q262" s="22">
        <f>IF(COUNTIFS(A$2:A262,A262,I$2:I262,I262)=1,1,0)</f>
        <v>0</v>
      </c>
      <c r="R262" s="22">
        <f t="shared" si="4"/>
        <v>2</v>
      </c>
      <c r="S262" s="33">
        <f>IF(COUNTIF(O$2:O262,O262)=1,R262,0)/2.5</f>
        <v>0.8</v>
      </c>
    </row>
    <row r="263" spans="1:19" ht="18" customHeight="1" x14ac:dyDescent="0.25">
      <c r="A263" s="7" t="s">
        <v>37</v>
      </c>
      <c r="B263" s="8">
        <v>1</v>
      </c>
      <c r="C263" s="9">
        <v>535</v>
      </c>
      <c r="D263" s="29">
        <f>C263+IF(INDEX('Справочник по %'!B:B,(MATCH(A263,'Справочник по %'!A:A,0)))="кол-во",B263*INDEX('Справочник по %'!C:C,(MATCH(A263,'Справочник по %'!A:A,0))),ОТЧЕТ!C263*INDEX('Справочник по %'!C:C,(MATCH(A263,'Справочник по %'!A:A,0))))/100</f>
        <v>535.20000000000005</v>
      </c>
      <c r="E263" s="29">
        <f>IF(ОТЧЕТ!A263="SKU3",C263+ОТЧЕТ!C263*0.2,C263+ОТЧЕТ!C263*0.15)</f>
        <v>615.25</v>
      </c>
      <c r="F263" s="7" t="s">
        <v>772</v>
      </c>
      <c r="G263" s="7">
        <v>7731334851</v>
      </c>
      <c r="H263" s="20" t="s">
        <v>778</v>
      </c>
      <c r="I263" s="22" t="str">
        <f>INDEX('Справочник Сети'!B:B,(MATCH(G263,'Справочник Сети'!C:C,0)))</f>
        <v>Планета здоровья</v>
      </c>
      <c r="J263" s="7" t="s">
        <v>142</v>
      </c>
      <c r="K263" s="7" t="s">
        <v>779</v>
      </c>
      <c r="L263" s="7" t="s">
        <v>142</v>
      </c>
      <c r="M263" s="31">
        <v>45674</v>
      </c>
      <c r="N263" s="7" t="s">
        <v>780</v>
      </c>
      <c r="O263" s="8">
        <v>987</v>
      </c>
      <c r="P263" s="24">
        <v>1845</v>
      </c>
      <c r="Q263" s="22">
        <f>IF(COUNTIFS(A$2:A263,A263,I$2:I263,I263)=1,1,0)</f>
        <v>0</v>
      </c>
      <c r="R263" s="22">
        <f t="shared" si="4"/>
        <v>1</v>
      </c>
      <c r="S263" s="33">
        <f>IF(COUNTIF(O$2:O263,O263)=1,R263,0)/2.5</f>
        <v>0.4</v>
      </c>
    </row>
    <row r="264" spans="1:19" ht="18" customHeight="1" x14ac:dyDescent="0.25">
      <c r="A264" s="7" t="s">
        <v>43</v>
      </c>
      <c r="B264" s="8">
        <v>1</v>
      </c>
      <c r="C264" s="9">
        <v>385.9</v>
      </c>
      <c r="D264" s="29">
        <f>C264+IF(INDEX('Справочник по %'!B:B,(MATCH(A264,'Справочник по %'!A:A,0)))="кол-во",B264*INDEX('Справочник по %'!C:C,(MATCH(A264,'Справочник по %'!A:A,0))),ОТЧЕТ!C264*INDEX('Справочник по %'!C:C,(MATCH(A264,'Справочник по %'!A:A,0))))/100</f>
        <v>424.49</v>
      </c>
      <c r="E264" s="29">
        <f>IF(ОТЧЕТ!A264="SKU3",C264+ОТЧЕТ!C264*0.2,C264+ОТЧЕТ!C264*0.15)</f>
        <v>443.78499999999997</v>
      </c>
      <c r="F264" s="7" t="s">
        <v>772</v>
      </c>
      <c r="G264" s="7">
        <v>3801042576</v>
      </c>
      <c r="H264" s="20" t="s">
        <v>50</v>
      </c>
      <c r="I264" s="22" t="str">
        <f>INDEX('Справочник Сети'!B:B,(MATCH(G264,'Справочник Сети'!C:C,0)))</f>
        <v>Планета здоровья</v>
      </c>
      <c r="J264" s="7" t="s">
        <v>65</v>
      </c>
      <c r="K264" s="7" t="s">
        <v>781</v>
      </c>
      <c r="L264" s="7" t="s">
        <v>65</v>
      </c>
      <c r="M264" s="31">
        <v>45717</v>
      </c>
      <c r="N264" s="7" t="s">
        <v>782</v>
      </c>
      <c r="O264" s="8">
        <v>3272</v>
      </c>
      <c r="P264" s="24">
        <v>1851</v>
      </c>
      <c r="Q264" s="22">
        <f>IF(COUNTIFS(A$2:A264,A264,I$2:I264,I264)=1,1,0)</f>
        <v>0</v>
      </c>
      <c r="R264" s="22">
        <f t="shared" si="4"/>
        <v>2</v>
      </c>
      <c r="S264" s="33">
        <f>IF(COUNTIF(O$2:O264,O264)=1,R264,0)/2.5</f>
        <v>0.8</v>
      </c>
    </row>
    <row r="265" spans="1:19" ht="18" customHeight="1" x14ac:dyDescent="0.25">
      <c r="A265" s="7" t="s">
        <v>43</v>
      </c>
      <c r="B265" s="8">
        <v>1</v>
      </c>
      <c r="C265" s="9">
        <v>355.64</v>
      </c>
      <c r="D265" s="29">
        <f>C265+IF(INDEX('Справочник по %'!B:B,(MATCH(A265,'Справочник по %'!A:A,0)))="кол-во",B265*INDEX('Справочник по %'!C:C,(MATCH(A265,'Справочник по %'!A:A,0))),ОТЧЕТ!C265*INDEX('Справочник по %'!C:C,(MATCH(A265,'Справочник по %'!A:A,0))))/100</f>
        <v>391.20399999999995</v>
      </c>
      <c r="E265" s="29">
        <f>IF(ОТЧЕТ!A265="SKU3",C265+ОТЧЕТ!C265*0.2,C265+ОТЧЕТ!C265*0.15)</f>
        <v>408.98599999999999</v>
      </c>
      <c r="F265" s="7" t="s">
        <v>783</v>
      </c>
      <c r="G265" s="7">
        <v>5507102175</v>
      </c>
      <c r="H265" s="20" t="s">
        <v>50</v>
      </c>
      <c r="I265" s="22" t="str">
        <f>INDEX('Справочник Сети'!B:B,(MATCH(G265,'Справочник Сети'!C:C,0)))</f>
        <v>Столички</v>
      </c>
      <c r="J265" s="7" t="s">
        <v>255</v>
      </c>
      <c r="K265" s="7" t="s">
        <v>784</v>
      </c>
      <c r="L265" s="7" t="s">
        <v>255</v>
      </c>
      <c r="M265" s="31">
        <v>45713</v>
      </c>
      <c r="N265" s="7" t="s">
        <v>785</v>
      </c>
      <c r="O265" s="8">
        <v>449</v>
      </c>
      <c r="P265" s="24">
        <v>1857</v>
      </c>
      <c r="Q265" s="22">
        <f>IF(COUNTIFS(A$2:A265,A265,I$2:I265,I265)=1,1,0)</f>
        <v>0</v>
      </c>
      <c r="R265" s="22">
        <f t="shared" si="4"/>
        <v>5</v>
      </c>
      <c r="S265" s="33">
        <f>IF(COUNTIF(O$2:O265,O265)=1,R265,0)/2.5</f>
        <v>0</v>
      </c>
    </row>
    <row r="266" spans="1:19" ht="18" customHeight="1" x14ac:dyDescent="0.25">
      <c r="A266" s="7" t="s">
        <v>43</v>
      </c>
      <c r="B266" s="8">
        <v>1</v>
      </c>
      <c r="C266" s="9">
        <v>387</v>
      </c>
      <c r="D266" s="29">
        <f>C266+IF(INDEX('Справочник по %'!B:B,(MATCH(A266,'Справочник по %'!A:A,0)))="кол-во",B266*INDEX('Справочник по %'!C:C,(MATCH(A266,'Справочник по %'!A:A,0))),ОТЧЕТ!C266*INDEX('Справочник по %'!C:C,(MATCH(A266,'Справочник по %'!A:A,0))))/100</f>
        <v>425.7</v>
      </c>
      <c r="E266" s="29">
        <f>IF(ОТЧЕТ!A266="SKU3",C266+ОТЧЕТ!C266*0.2,C266+ОТЧЕТ!C266*0.15)</f>
        <v>445.05</v>
      </c>
      <c r="F266" s="7" t="s">
        <v>786</v>
      </c>
      <c r="G266" s="7">
        <v>5038049773</v>
      </c>
      <c r="H266" s="20" t="s">
        <v>700</v>
      </c>
      <c r="I266" s="22">
        <f>INDEX('Справочник Сети'!B:B,(MATCH(G266,'Справочник Сети'!C:C,0)))</f>
        <v>0</v>
      </c>
      <c r="J266" s="7" t="s">
        <v>92</v>
      </c>
      <c r="K266" s="7" t="s">
        <v>704</v>
      </c>
      <c r="L266" s="7" t="s">
        <v>92</v>
      </c>
      <c r="M266" s="31">
        <v>45714</v>
      </c>
      <c r="N266" s="7" t="s">
        <v>787</v>
      </c>
      <c r="O266" s="8">
        <v>1723</v>
      </c>
      <c r="P266" s="24">
        <v>1862</v>
      </c>
      <c r="Q266" s="22">
        <f>IF(COUNTIFS(A$2:A266,A266,I$2:I266,I266)=1,1,0)</f>
        <v>0</v>
      </c>
      <c r="R266" s="22">
        <f t="shared" si="4"/>
        <v>1</v>
      </c>
      <c r="S266" s="33">
        <f>IF(COUNTIF(O$2:O266,O266)=1,R266,0)/2.5</f>
        <v>0.4</v>
      </c>
    </row>
    <row r="267" spans="1:19" ht="18" customHeight="1" x14ac:dyDescent="0.25">
      <c r="A267" s="7" t="s">
        <v>43</v>
      </c>
      <c r="B267" s="8">
        <v>1</v>
      </c>
      <c r="C267" s="9">
        <v>594</v>
      </c>
      <c r="D267" s="29">
        <f>C267+IF(INDEX('Справочник по %'!B:B,(MATCH(A267,'Справочник по %'!A:A,0)))="кол-во",B267*INDEX('Справочник по %'!C:C,(MATCH(A267,'Справочник по %'!A:A,0))),ОТЧЕТ!C267*INDEX('Справочник по %'!C:C,(MATCH(A267,'Справочник по %'!A:A,0))))/100</f>
        <v>653.4</v>
      </c>
      <c r="E267" s="29">
        <f>IF(ОТЧЕТ!A267="SKU3",C267+ОТЧЕТ!C267*0.2,C267+ОТЧЕТ!C267*0.15)</f>
        <v>683.1</v>
      </c>
      <c r="F267" s="7" t="s">
        <v>786</v>
      </c>
      <c r="G267" s="7">
        <v>7714844316</v>
      </c>
      <c r="H267" s="20" t="s">
        <v>50</v>
      </c>
      <c r="I267" s="22" t="str">
        <f>INDEX('Справочник Сети'!B:B,(MATCH(G267,'Справочник Сети'!C:C,0)))</f>
        <v>Планета здоровья</v>
      </c>
      <c r="J267" s="7" t="s">
        <v>504</v>
      </c>
      <c r="K267" s="7" t="s">
        <v>788</v>
      </c>
      <c r="L267" s="7" t="s">
        <v>504</v>
      </c>
      <c r="M267" s="31">
        <v>45690</v>
      </c>
      <c r="N267" s="7" t="s">
        <v>789</v>
      </c>
      <c r="O267" s="8">
        <v>2496</v>
      </c>
      <c r="P267" s="24">
        <v>1863</v>
      </c>
      <c r="Q267" s="22">
        <f>IF(COUNTIFS(A$2:A267,A267,I$2:I267,I267)=1,1,0)</f>
        <v>0</v>
      </c>
      <c r="R267" s="22">
        <f t="shared" si="4"/>
        <v>6</v>
      </c>
      <c r="S267" s="33">
        <f>IF(COUNTIF(O$2:O267,O267)=1,R267,0)/2.5</f>
        <v>0</v>
      </c>
    </row>
    <row r="268" spans="1:19" ht="18" customHeight="1" x14ac:dyDescent="0.25">
      <c r="A268" s="7" t="s">
        <v>37</v>
      </c>
      <c r="B268" s="8">
        <v>1</v>
      </c>
      <c r="C268" s="9">
        <v>704</v>
      </c>
      <c r="D268" s="29">
        <f>C268+IF(INDEX('Справочник по %'!B:B,(MATCH(A268,'Справочник по %'!A:A,0)))="кол-во",B268*INDEX('Справочник по %'!C:C,(MATCH(A268,'Справочник по %'!A:A,0))),ОТЧЕТ!C268*INDEX('Справочник по %'!C:C,(MATCH(A268,'Справочник по %'!A:A,0))))/100</f>
        <v>704.2</v>
      </c>
      <c r="E268" s="29">
        <f>IF(ОТЧЕТ!A268="SKU3",C268+ОТЧЕТ!C268*0.2,C268+ОТЧЕТ!C268*0.15)</f>
        <v>809.6</v>
      </c>
      <c r="F268" s="7" t="s">
        <v>786</v>
      </c>
      <c r="G268" s="7">
        <v>1001054160</v>
      </c>
      <c r="H268" s="20" t="s">
        <v>50</v>
      </c>
      <c r="I268" s="22" t="str">
        <f>INDEX('Справочник Сети'!B:B,(MATCH(G268,'Справочник Сети'!C:C,0)))</f>
        <v>Ригла</v>
      </c>
      <c r="J268" s="7" t="s">
        <v>362</v>
      </c>
      <c r="K268" s="7" t="s">
        <v>790</v>
      </c>
      <c r="L268" s="7" t="s">
        <v>362</v>
      </c>
      <c r="M268" s="31">
        <v>45732</v>
      </c>
      <c r="N268" s="7" t="s">
        <v>791</v>
      </c>
      <c r="O268" s="8">
        <v>1499</v>
      </c>
      <c r="P268" s="24">
        <v>1864</v>
      </c>
      <c r="Q268" s="22">
        <f>IF(COUNTIFS(A$2:A268,A268,I$2:I268,I268)=1,1,0)</f>
        <v>0</v>
      </c>
      <c r="R268" s="22">
        <f t="shared" si="4"/>
        <v>14</v>
      </c>
      <c r="S268" s="33">
        <f>IF(COUNTIF(O$2:O268,O268)=1,R268,0)/2.5</f>
        <v>0</v>
      </c>
    </row>
    <row r="269" spans="1:19" ht="18" customHeight="1" x14ac:dyDescent="0.25">
      <c r="A269" s="7" t="s">
        <v>43</v>
      </c>
      <c r="B269" s="8">
        <v>1</v>
      </c>
      <c r="C269" s="9">
        <v>455</v>
      </c>
      <c r="D269" s="29">
        <f>C269+IF(INDEX('Справочник по %'!B:B,(MATCH(A269,'Справочник по %'!A:A,0)))="кол-во",B269*INDEX('Справочник по %'!C:C,(MATCH(A269,'Справочник по %'!A:A,0))),ОТЧЕТ!C269*INDEX('Справочник по %'!C:C,(MATCH(A269,'Справочник по %'!A:A,0))))/100</f>
        <v>500.5</v>
      </c>
      <c r="E269" s="29">
        <f>IF(ОТЧЕТ!A269="SKU3",C269+ОТЧЕТ!C269*0.2,C269+ОТЧЕТ!C269*0.15)</f>
        <v>523.25</v>
      </c>
      <c r="F269" s="7" t="s">
        <v>786</v>
      </c>
      <c r="G269" s="7">
        <v>2311278771</v>
      </c>
      <c r="H269" s="20" t="s">
        <v>792</v>
      </c>
      <c r="I269" s="22">
        <f>INDEX('Справочник Сети'!B:B,(MATCH(G269,'Справочник Сети'!C:C,0)))</f>
        <v>0</v>
      </c>
      <c r="J269" s="7" t="s">
        <v>70</v>
      </c>
      <c r="K269" s="7" t="s">
        <v>651</v>
      </c>
      <c r="L269" s="7" t="s">
        <v>70</v>
      </c>
      <c r="M269" s="31">
        <v>45728</v>
      </c>
      <c r="N269" s="7" t="s">
        <v>793</v>
      </c>
      <c r="O269" s="8">
        <v>49</v>
      </c>
      <c r="P269" s="24">
        <v>1865</v>
      </c>
      <c r="Q269" s="22">
        <f>IF(COUNTIFS(A$2:A269,A269,I$2:I269,I269)=1,1,0)</f>
        <v>0</v>
      </c>
      <c r="R269" s="22">
        <f t="shared" si="4"/>
        <v>2</v>
      </c>
      <c r="S269" s="33">
        <f>IF(COUNTIF(O$2:O269,O269)=1,R269,0)/2.5</f>
        <v>0.8</v>
      </c>
    </row>
    <row r="270" spans="1:19" ht="18" customHeight="1" x14ac:dyDescent="0.25">
      <c r="A270" s="7" t="s">
        <v>37</v>
      </c>
      <c r="B270" s="8">
        <v>1</v>
      </c>
      <c r="C270" s="9">
        <v>544</v>
      </c>
      <c r="D270" s="29">
        <f>C270+IF(INDEX('Справочник по %'!B:B,(MATCH(A270,'Справочник по %'!A:A,0)))="кол-во",B270*INDEX('Справочник по %'!C:C,(MATCH(A270,'Справочник по %'!A:A,0))),ОТЧЕТ!C270*INDEX('Справочник по %'!C:C,(MATCH(A270,'Справочник по %'!A:A,0))))/100</f>
        <v>544.20000000000005</v>
      </c>
      <c r="E270" s="29">
        <f>IF(ОТЧЕТ!A270="SKU3",C270+ОТЧЕТ!C270*0.2,C270+ОТЧЕТ!C270*0.15)</f>
        <v>625.6</v>
      </c>
      <c r="F270" s="7" t="s">
        <v>794</v>
      </c>
      <c r="G270" s="7">
        <v>7732121736</v>
      </c>
      <c r="H270" s="20" t="s">
        <v>795</v>
      </c>
      <c r="I270" s="22" t="str">
        <f>INDEX('Справочник Сети'!B:B,(MATCH(G270,'Справочник Сети'!C:C,0)))</f>
        <v>Планета здоровья</v>
      </c>
      <c r="J270" s="7" t="s">
        <v>149</v>
      </c>
      <c r="K270" s="7" t="s">
        <v>162</v>
      </c>
      <c r="L270" s="7" t="s">
        <v>149</v>
      </c>
      <c r="M270" s="31">
        <v>45673</v>
      </c>
      <c r="N270" s="7" t="s">
        <v>796</v>
      </c>
      <c r="O270" s="8">
        <v>1142</v>
      </c>
      <c r="P270" s="24">
        <v>1868</v>
      </c>
      <c r="Q270" s="22">
        <f>IF(COUNTIFS(A$2:A270,A270,I$2:I270,I270)=1,1,0)</f>
        <v>0</v>
      </c>
      <c r="R270" s="22">
        <f t="shared" si="4"/>
        <v>1</v>
      </c>
      <c r="S270" s="33">
        <f>IF(COUNTIF(O$2:O270,O270)=1,R270,0)/2.5</f>
        <v>0.4</v>
      </c>
    </row>
    <row r="271" spans="1:19" ht="18" customHeight="1" x14ac:dyDescent="0.25">
      <c r="A271" s="7" t="s">
        <v>37</v>
      </c>
      <c r="B271" s="8">
        <v>1</v>
      </c>
      <c r="C271" s="9">
        <v>650</v>
      </c>
      <c r="D271" s="29">
        <f>C271+IF(INDEX('Справочник по %'!B:B,(MATCH(A271,'Справочник по %'!A:A,0)))="кол-во",B271*INDEX('Справочник по %'!C:C,(MATCH(A271,'Справочник по %'!A:A,0))),ОТЧЕТ!C271*INDEX('Справочник по %'!C:C,(MATCH(A271,'Справочник по %'!A:A,0))))/100</f>
        <v>650.20000000000005</v>
      </c>
      <c r="E271" s="29">
        <f>IF(ОТЧЕТ!A271="SKU3",C271+ОТЧЕТ!C271*0.2,C271+ОТЧЕТ!C271*0.15)</f>
        <v>747.5</v>
      </c>
      <c r="F271" s="7" t="s">
        <v>797</v>
      </c>
      <c r="G271" s="7">
        <v>7825491923</v>
      </c>
      <c r="H271" s="20" t="s">
        <v>798</v>
      </c>
      <c r="I271" s="22" t="str">
        <f>INDEX('Справочник Сети'!B:B,(MATCH(G271,'Справочник Сети'!C:C,0)))</f>
        <v>Ригла</v>
      </c>
      <c r="J271" s="7" t="s">
        <v>121</v>
      </c>
      <c r="K271" s="7" t="s">
        <v>537</v>
      </c>
      <c r="L271" s="7" t="s">
        <v>121</v>
      </c>
      <c r="M271" s="31">
        <v>45671</v>
      </c>
      <c r="N271" s="7" t="s">
        <v>799</v>
      </c>
      <c r="O271" s="8">
        <v>2588</v>
      </c>
      <c r="P271" s="24">
        <v>1869</v>
      </c>
      <c r="Q271" s="22">
        <f>IF(COUNTIFS(A$2:A271,A271,I$2:I271,I271)=1,1,0)</f>
        <v>0</v>
      </c>
      <c r="R271" s="22">
        <f t="shared" si="4"/>
        <v>1</v>
      </c>
      <c r="S271" s="33">
        <f>IF(COUNTIF(O$2:O271,O271)=1,R271,0)/2.5</f>
        <v>0.4</v>
      </c>
    </row>
    <row r="272" spans="1:19" ht="18" customHeight="1" x14ac:dyDescent="0.25">
      <c r="A272" s="7" t="s">
        <v>43</v>
      </c>
      <c r="B272" s="8">
        <v>1</v>
      </c>
      <c r="C272" s="9">
        <v>439.9</v>
      </c>
      <c r="D272" s="29">
        <f>C272+IF(INDEX('Справочник по %'!B:B,(MATCH(A272,'Справочник по %'!A:A,0)))="кол-во",B272*INDEX('Справочник по %'!C:C,(MATCH(A272,'Справочник по %'!A:A,0))),ОТЧЕТ!C272*INDEX('Справочник по %'!C:C,(MATCH(A272,'Справочник по %'!A:A,0))))/100</f>
        <v>483.89</v>
      </c>
      <c r="E272" s="29">
        <f>IF(ОТЧЕТ!A272="SKU3",C272+ОТЧЕТ!C272*0.2,C272+ОТЧЕТ!C272*0.15)</f>
        <v>505.88499999999999</v>
      </c>
      <c r="F272" s="7" t="s">
        <v>797</v>
      </c>
      <c r="G272" s="7">
        <v>1831060811</v>
      </c>
      <c r="H272" s="20" t="s">
        <v>800</v>
      </c>
      <c r="I272" s="22" t="str">
        <f>INDEX('Справочник Сети'!B:B,(MATCH(G272,'Справочник Сети'!C:C,0)))</f>
        <v>Ригла</v>
      </c>
      <c r="J272" s="7" t="s">
        <v>335</v>
      </c>
      <c r="K272" s="7" t="s">
        <v>801</v>
      </c>
      <c r="L272" s="7" t="s">
        <v>335</v>
      </c>
      <c r="M272" s="31">
        <v>45731</v>
      </c>
      <c r="N272" s="7" t="s">
        <v>802</v>
      </c>
      <c r="O272" s="8">
        <v>133</v>
      </c>
      <c r="P272" s="24">
        <v>1876</v>
      </c>
      <c r="Q272" s="22">
        <f>IF(COUNTIFS(A$2:A272,A272,I$2:I272,I272)=1,1,0)</f>
        <v>0</v>
      </c>
      <c r="R272" s="22">
        <f t="shared" si="4"/>
        <v>14</v>
      </c>
      <c r="S272" s="33">
        <f>IF(COUNTIF(O$2:O272,O272)=1,R272,0)/2.5</f>
        <v>0</v>
      </c>
    </row>
    <row r="273" spans="1:19" ht="18" customHeight="1" x14ac:dyDescent="0.25">
      <c r="A273" s="7" t="s">
        <v>43</v>
      </c>
      <c r="B273" s="8">
        <v>1</v>
      </c>
      <c r="C273" s="9">
        <v>444</v>
      </c>
      <c r="D273" s="29">
        <f>C273+IF(INDEX('Справочник по %'!B:B,(MATCH(A273,'Справочник по %'!A:A,0)))="кол-во",B273*INDEX('Справочник по %'!C:C,(MATCH(A273,'Справочник по %'!A:A,0))),ОТЧЕТ!C273*INDEX('Справочник по %'!C:C,(MATCH(A273,'Справочник по %'!A:A,0))))/100</f>
        <v>488.4</v>
      </c>
      <c r="E273" s="29">
        <f>IF(ОТЧЕТ!A273="SKU3",C273+ОТЧЕТ!C273*0.2,C273+ОТЧЕТ!C273*0.15)</f>
        <v>510.6</v>
      </c>
      <c r="F273" s="7" t="s">
        <v>797</v>
      </c>
      <c r="G273" s="7">
        <v>5257110237</v>
      </c>
      <c r="H273" s="20" t="s">
        <v>69</v>
      </c>
      <c r="I273" s="22">
        <f>INDEX('Справочник Сети'!B:B,(MATCH(G273,'Справочник Сети'!C:C,0)))</f>
        <v>0</v>
      </c>
      <c r="J273" s="7" t="s">
        <v>92</v>
      </c>
      <c r="K273" s="7" t="s">
        <v>373</v>
      </c>
      <c r="L273" s="7" t="s">
        <v>92</v>
      </c>
      <c r="M273" s="31">
        <v>45714</v>
      </c>
      <c r="N273" s="7" t="s">
        <v>803</v>
      </c>
      <c r="O273" s="8">
        <v>1568</v>
      </c>
      <c r="P273" s="24">
        <v>1879</v>
      </c>
      <c r="Q273" s="22">
        <f>IF(COUNTIFS(A$2:A273,A273,I$2:I273,I273)=1,1,0)</f>
        <v>0</v>
      </c>
      <c r="R273" s="22">
        <f t="shared" si="4"/>
        <v>2</v>
      </c>
      <c r="S273" s="33">
        <f>IF(COUNTIF(O$2:O273,O273)=1,R273,0)/2.5</f>
        <v>0.8</v>
      </c>
    </row>
    <row r="274" spans="1:19" ht="18" customHeight="1" x14ac:dyDescent="0.25">
      <c r="A274" s="7" t="s">
        <v>43</v>
      </c>
      <c r="B274" s="8">
        <v>1</v>
      </c>
      <c r="C274" s="9">
        <v>380</v>
      </c>
      <c r="D274" s="29">
        <f>C274+IF(INDEX('Справочник по %'!B:B,(MATCH(A274,'Справочник по %'!A:A,0)))="кол-во",B274*INDEX('Справочник по %'!C:C,(MATCH(A274,'Справочник по %'!A:A,0))),ОТЧЕТ!C274*INDEX('Справочник по %'!C:C,(MATCH(A274,'Справочник по %'!A:A,0))))/100</f>
        <v>418</v>
      </c>
      <c r="E274" s="29">
        <f>IF(ОТЧЕТ!A274="SKU3",C274+ОТЧЕТ!C274*0.2,C274+ОТЧЕТ!C274*0.15)</f>
        <v>437</v>
      </c>
      <c r="F274" s="7" t="s">
        <v>797</v>
      </c>
      <c r="G274" s="7">
        <v>2310219170</v>
      </c>
      <c r="H274" s="20" t="s">
        <v>69</v>
      </c>
      <c r="I274" s="22" t="str">
        <f>INDEX('Справочник Сети'!B:B,(MATCH(G274,'Справочник Сети'!C:C,0)))</f>
        <v>Столички</v>
      </c>
      <c r="J274" s="7" t="s">
        <v>70</v>
      </c>
      <c r="K274" s="7" t="s">
        <v>431</v>
      </c>
      <c r="L274" s="7" t="s">
        <v>70</v>
      </c>
      <c r="M274" s="31">
        <v>45728</v>
      </c>
      <c r="N274" s="7" t="s">
        <v>804</v>
      </c>
      <c r="O274" s="8">
        <v>3798</v>
      </c>
      <c r="P274" s="24">
        <v>1880</v>
      </c>
      <c r="Q274" s="22">
        <f>IF(COUNTIFS(A$2:A274,A274,I$2:I274,I274)=1,1,0)</f>
        <v>0</v>
      </c>
      <c r="R274" s="22">
        <f t="shared" si="4"/>
        <v>3</v>
      </c>
      <c r="S274" s="33">
        <f>IF(COUNTIF(O$2:O274,O274)=1,R274,0)/2.5</f>
        <v>1.2</v>
      </c>
    </row>
    <row r="275" spans="1:19" ht="18" customHeight="1" x14ac:dyDescent="0.25">
      <c r="A275" s="7" t="s">
        <v>43</v>
      </c>
      <c r="B275" s="8">
        <v>1</v>
      </c>
      <c r="C275" s="9">
        <v>582</v>
      </c>
      <c r="D275" s="29">
        <f>C275+IF(INDEX('Справочник по %'!B:B,(MATCH(A275,'Справочник по %'!A:A,0)))="кол-во",B275*INDEX('Справочник по %'!C:C,(MATCH(A275,'Справочник по %'!A:A,0))),ОТЧЕТ!C275*INDEX('Справочник по %'!C:C,(MATCH(A275,'Справочник по %'!A:A,0))))/100</f>
        <v>640.20000000000005</v>
      </c>
      <c r="E275" s="29">
        <f>IF(ОТЧЕТ!A275="SKU3",C275+ОТЧЕТ!C275*0.2,C275+ОТЧЕТ!C275*0.15)</f>
        <v>669.3</v>
      </c>
      <c r="F275" s="7" t="s">
        <v>797</v>
      </c>
      <c r="G275" s="7">
        <v>7705947629</v>
      </c>
      <c r="H275" s="20" t="s">
        <v>50</v>
      </c>
      <c r="I275" s="22" t="str">
        <f>INDEX('Справочник Сети'!B:B,(MATCH(G275,'Справочник Сети'!C:C,0)))</f>
        <v>36,6</v>
      </c>
      <c r="J275" s="7" t="s">
        <v>116</v>
      </c>
      <c r="K275" s="7" t="s">
        <v>805</v>
      </c>
      <c r="L275" s="7" t="s">
        <v>104</v>
      </c>
      <c r="M275" s="31">
        <v>45693</v>
      </c>
      <c r="N275" s="7" t="s">
        <v>806</v>
      </c>
      <c r="O275" s="8">
        <v>2635</v>
      </c>
      <c r="P275" s="24">
        <v>1881</v>
      </c>
      <c r="Q275" s="22">
        <f>IF(COUNTIFS(A$2:A275,A275,I$2:I275,I275)=1,1,0)</f>
        <v>0</v>
      </c>
      <c r="R275" s="22">
        <f t="shared" si="4"/>
        <v>4</v>
      </c>
      <c r="S275" s="33">
        <f>IF(COUNTIF(O$2:O275,O275)=1,R275,0)/2.5</f>
        <v>0</v>
      </c>
    </row>
    <row r="276" spans="1:19" ht="18" customHeight="1" x14ac:dyDescent="0.25">
      <c r="A276" s="7" t="s">
        <v>43</v>
      </c>
      <c r="B276" s="8">
        <v>1</v>
      </c>
      <c r="C276" s="9">
        <v>413.25</v>
      </c>
      <c r="D276" s="29">
        <f>C276+IF(INDEX('Справочник по %'!B:B,(MATCH(A276,'Справочник по %'!A:A,0)))="кол-во",B276*INDEX('Справочник по %'!C:C,(MATCH(A276,'Справочник по %'!A:A,0))),ОТЧЕТ!C276*INDEX('Справочник по %'!C:C,(MATCH(A276,'Справочник по %'!A:A,0))))/100</f>
        <v>454.57499999999999</v>
      </c>
      <c r="E276" s="29">
        <f>IF(ОТЧЕТ!A276="SKU3",C276+ОТЧЕТ!C276*0.2,C276+ОТЧЕТ!C276*0.15)</f>
        <v>475.23750000000001</v>
      </c>
      <c r="F276" s="7" t="s">
        <v>797</v>
      </c>
      <c r="G276" s="7">
        <v>7722859468</v>
      </c>
      <c r="H276" s="20" t="s">
        <v>807</v>
      </c>
      <c r="I276" s="22">
        <f>INDEX('Справочник Сети'!B:B,(MATCH(G276,'Справочник Сети'!C:C,0)))</f>
        <v>0</v>
      </c>
      <c r="J276" s="7" t="s">
        <v>185</v>
      </c>
      <c r="K276" s="7" t="s">
        <v>808</v>
      </c>
      <c r="L276" s="7" t="s">
        <v>185</v>
      </c>
      <c r="M276" s="31">
        <v>45675</v>
      </c>
      <c r="N276" s="7" t="s">
        <v>809</v>
      </c>
      <c r="O276" s="8">
        <v>717</v>
      </c>
      <c r="P276" s="24">
        <v>1883</v>
      </c>
      <c r="Q276" s="22">
        <f>IF(COUNTIFS(A$2:A276,A276,I$2:I276,I276)=1,1,0)</f>
        <v>0</v>
      </c>
      <c r="R276" s="22">
        <f t="shared" si="4"/>
        <v>2</v>
      </c>
      <c r="S276" s="33">
        <f>IF(COUNTIF(O$2:O276,O276)=1,R276,0)/2.5</f>
        <v>0.8</v>
      </c>
    </row>
    <row r="277" spans="1:19" ht="18" customHeight="1" x14ac:dyDescent="0.25">
      <c r="A277" s="7" t="s">
        <v>43</v>
      </c>
      <c r="B277" s="8">
        <v>1</v>
      </c>
      <c r="C277" s="9">
        <v>383</v>
      </c>
      <c r="D277" s="29">
        <f>C277+IF(INDEX('Справочник по %'!B:B,(MATCH(A277,'Справочник по %'!A:A,0)))="кол-во",B277*INDEX('Справочник по %'!C:C,(MATCH(A277,'Справочник по %'!A:A,0))),ОТЧЕТ!C277*INDEX('Справочник по %'!C:C,(MATCH(A277,'Справочник по %'!A:A,0))))/100</f>
        <v>421.3</v>
      </c>
      <c r="E277" s="29">
        <f>IF(ОТЧЕТ!A277="SKU3",C277+ОТЧЕТ!C277*0.2,C277+ОТЧЕТ!C277*0.15)</f>
        <v>440.45</v>
      </c>
      <c r="F277" s="7" t="s">
        <v>797</v>
      </c>
      <c r="G277" s="7">
        <v>7706795062</v>
      </c>
      <c r="H277" s="20" t="s">
        <v>810</v>
      </c>
      <c r="I277" s="22" t="str">
        <f>INDEX('Справочник Сети'!B:B,(MATCH(G277,'Справочник Сети'!C:C,0)))</f>
        <v>Планета здоровья</v>
      </c>
      <c r="J277" s="7" t="s">
        <v>87</v>
      </c>
      <c r="K277" s="7" t="s">
        <v>811</v>
      </c>
      <c r="L277" s="7" t="s">
        <v>87</v>
      </c>
      <c r="M277" s="31">
        <v>45691</v>
      </c>
      <c r="N277" s="7" t="s">
        <v>812</v>
      </c>
      <c r="O277" s="8">
        <v>3340</v>
      </c>
      <c r="P277" s="24">
        <v>1884</v>
      </c>
      <c r="Q277" s="22">
        <f>IF(COUNTIFS(A$2:A277,A277,I$2:I277,I277)=1,1,0)</f>
        <v>0</v>
      </c>
      <c r="R277" s="22">
        <f t="shared" si="4"/>
        <v>3</v>
      </c>
      <c r="S277" s="33">
        <f>IF(COUNTIF(O$2:O277,O277)=1,R277,0)/2.5</f>
        <v>1.2</v>
      </c>
    </row>
    <row r="278" spans="1:19" ht="18" customHeight="1" x14ac:dyDescent="0.25">
      <c r="A278" s="7" t="s">
        <v>43</v>
      </c>
      <c r="B278" s="8">
        <v>1</v>
      </c>
      <c r="C278" s="9">
        <v>422.47</v>
      </c>
      <c r="D278" s="29">
        <f>C278+IF(INDEX('Справочник по %'!B:B,(MATCH(A278,'Справочник по %'!A:A,0)))="кол-во",B278*INDEX('Справочник по %'!C:C,(MATCH(A278,'Справочник по %'!A:A,0))),ОТЧЕТ!C278*INDEX('Справочник по %'!C:C,(MATCH(A278,'Справочник по %'!A:A,0))))/100</f>
        <v>464.71700000000004</v>
      </c>
      <c r="E278" s="29">
        <f>IF(ОТЧЕТ!A278="SKU3",C278+ОТЧЕТ!C278*0.2,C278+ОТЧЕТ!C278*0.15)</f>
        <v>485.84050000000002</v>
      </c>
      <c r="F278" s="7" t="s">
        <v>797</v>
      </c>
      <c r="G278" s="7">
        <v>3906245340</v>
      </c>
      <c r="H278" s="20" t="s">
        <v>813</v>
      </c>
      <c r="I278" s="22">
        <f>INDEX('Справочник Сети'!B:B,(MATCH(G278,'Справочник Сети'!C:C,0)))</f>
        <v>0</v>
      </c>
      <c r="J278" s="7" t="s">
        <v>155</v>
      </c>
      <c r="K278" s="7" t="s">
        <v>814</v>
      </c>
      <c r="L278" s="7" t="s">
        <v>155</v>
      </c>
      <c r="M278" s="31">
        <v>45716</v>
      </c>
      <c r="N278" s="7" t="s">
        <v>815</v>
      </c>
      <c r="O278" s="8">
        <v>2799</v>
      </c>
      <c r="P278" s="24">
        <v>1885</v>
      </c>
      <c r="Q278" s="22">
        <f>IF(COUNTIFS(A$2:A278,A278,I$2:I278,I278)=1,1,0)</f>
        <v>0</v>
      </c>
      <c r="R278" s="22">
        <f t="shared" si="4"/>
        <v>2</v>
      </c>
      <c r="S278" s="33">
        <f>IF(COUNTIF(O$2:O278,O278)=1,R278,0)/2.5</f>
        <v>0.8</v>
      </c>
    </row>
    <row r="279" spans="1:19" ht="18" customHeight="1" x14ac:dyDescent="0.25">
      <c r="A279" s="7" t="s">
        <v>43</v>
      </c>
      <c r="B279" s="8">
        <v>1</v>
      </c>
      <c r="C279" s="9">
        <v>384</v>
      </c>
      <c r="D279" s="29">
        <f>C279+IF(INDEX('Справочник по %'!B:B,(MATCH(A279,'Справочник по %'!A:A,0)))="кол-во",B279*INDEX('Справочник по %'!C:C,(MATCH(A279,'Справочник по %'!A:A,0))),ОТЧЕТ!C279*INDEX('Справочник по %'!C:C,(MATCH(A279,'Справочник по %'!A:A,0))))/100</f>
        <v>422.4</v>
      </c>
      <c r="E279" s="29">
        <f>IF(ОТЧЕТ!A279="SKU3",C279+ОТЧЕТ!C279*0.2,C279+ОТЧЕТ!C279*0.15)</f>
        <v>441.6</v>
      </c>
      <c r="F279" s="7" t="s">
        <v>797</v>
      </c>
      <c r="G279" s="7">
        <v>7706795062</v>
      </c>
      <c r="H279" s="20" t="s">
        <v>816</v>
      </c>
      <c r="I279" s="22" t="str">
        <f>INDEX('Справочник Сети'!B:B,(MATCH(G279,'Справочник Сети'!C:C,0)))</f>
        <v>Планета здоровья</v>
      </c>
      <c r="J279" s="7" t="s">
        <v>87</v>
      </c>
      <c r="K279" s="7" t="s">
        <v>817</v>
      </c>
      <c r="L279" s="7" t="s">
        <v>87</v>
      </c>
      <c r="M279" s="31">
        <v>45691</v>
      </c>
      <c r="N279" s="7" t="s">
        <v>818</v>
      </c>
      <c r="O279" s="8">
        <v>2421</v>
      </c>
      <c r="P279" s="24">
        <v>1886</v>
      </c>
      <c r="Q279" s="22">
        <f>IF(COUNTIFS(A$2:A279,A279,I$2:I279,I279)=1,1,0)</f>
        <v>0</v>
      </c>
      <c r="R279" s="22">
        <f t="shared" si="4"/>
        <v>1</v>
      </c>
      <c r="S279" s="33">
        <f>IF(COUNTIF(O$2:O279,O279)=1,R279,0)/2.5</f>
        <v>0.4</v>
      </c>
    </row>
    <row r="280" spans="1:19" ht="18" customHeight="1" x14ac:dyDescent="0.25">
      <c r="A280" s="7" t="s">
        <v>43</v>
      </c>
      <c r="B280" s="8">
        <v>1</v>
      </c>
      <c r="C280" s="9">
        <v>400.9</v>
      </c>
      <c r="D280" s="29">
        <f>C280+IF(INDEX('Справочник по %'!B:B,(MATCH(A280,'Справочник по %'!A:A,0)))="кол-во",B280*INDEX('Справочник по %'!C:C,(MATCH(A280,'Справочник по %'!A:A,0))),ОТЧЕТ!C280*INDEX('Справочник по %'!C:C,(MATCH(A280,'Справочник по %'!A:A,0))))/100</f>
        <v>440.99</v>
      </c>
      <c r="E280" s="29">
        <f>IF(ОТЧЕТ!A280="SKU3",C280+ОТЧЕТ!C280*0.2,C280+ОТЧЕТ!C280*0.15)</f>
        <v>461.03499999999997</v>
      </c>
      <c r="F280" s="7" t="s">
        <v>797</v>
      </c>
      <c r="G280" s="7">
        <v>5507102175</v>
      </c>
      <c r="H280" s="20" t="s">
        <v>50</v>
      </c>
      <c r="I280" s="22" t="str">
        <f>INDEX('Справочник Сети'!B:B,(MATCH(G280,'Справочник Сети'!C:C,0)))</f>
        <v>Столички</v>
      </c>
      <c r="J280" s="7" t="s">
        <v>255</v>
      </c>
      <c r="K280" s="7" t="s">
        <v>734</v>
      </c>
      <c r="L280" s="7" t="s">
        <v>255</v>
      </c>
      <c r="M280" s="31">
        <v>45713</v>
      </c>
      <c r="N280" s="7" t="s">
        <v>819</v>
      </c>
      <c r="O280" s="8">
        <v>1455</v>
      </c>
      <c r="P280" s="24">
        <v>1887</v>
      </c>
      <c r="Q280" s="22">
        <f>IF(COUNTIFS(A$2:A280,A280,I$2:I280,I280)=1,1,0)</f>
        <v>0</v>
      </c>
      <c r="R280" s="22">
        <f t="shared" si="4"/>
        <v>4</v>
      </c>
      <c r="S280" s="33">
        <f>IF(COUNTIF(O$2:O280,O280)=1,R280,0)/2.5</f>
        <v>0</v>
      </c>
    </row>
    <row r="281" spans="1:19" ht="18" customHeight="1" x14ac:dyDescent="0.25">
      <c r="A281" s="7" t="s">
        <v>43</v>
      </c>
      <c r="B281" s="8">
        <v>1</v>
      </c>
      <c r="C281" s="9">
        <v>396</v>
      </c>
      <c r="D281" s="29">
        <f>C281+IF(INDEX('Справочник по %'!B:B,(MATCH(A281,'Справочник по %'!A:A,0)))="кол-во",B281*INDEX('Справочник по %'!C:C,(MATCH(A281,'Справочник по %'!A:A,0))),ОТЧЕТ!C281*INDEX('Справочник по %'!C:C,(MATCH(A281,'Справочник по %'!A:A,0))))/100</f>
        <v>435.6</v>
      </c>
      <c r="E281" s="29">
        <f>IF(ОТЧЕТ!A281="SKU3",C281+ОТЧЕТ!C281*0.2,C281+ОТЧЕТ!C281*0.15)</f>
        <v>455.4</v>
      </c>
      <c r="F281" s="7" t="s">
        <v>797</v>
      </c>
      <c r="G281" s="7">
        <v>4205407651</v>
      </c>
      <c r="H281" s="20" t="s">
        <v>820</v>
      </c>
      <c r="I281" s="22">
        <f>INDEX('Справочник Сети'!B:B,(MATCH(G281,'Справочник Сети'!C:C,0)))</f>
        <v>0</v>
      </c>
      <c r="J281" s="7" t="s">
        <v>155</v>
      </c>
      <c r="K281" s="7" t="s">
        <v>821</v>
      </c>
      <c r="L281" s="7" t="s">
        <v>155</v>
      </c>
      <c r="M281" s="31">
        <v>45716</v>
      </c>
      <c r="N281" s="7" t="s">
        <v>822</v>
      </c>
      <c r="O281" s="8">
        <v>1108</v>
      </c>
      <c r="P281" s="24">
        <v>1891</v>
      </c>
      <c r="Q281" s="22">
        <f>IF(COUNTIFS(A$2:A281,A281,I$2:I281,I281)=1,1,0)</f>
        <v>0</v>
      </c>
      <c r="R281" s="22">
        <f t="shared" si="4"/>
        <v>3</v>
      </c>
      <c r="S281" s="33">
        <f>IF(COUNTIF(O$2:O281,O281)=1,R281,0)/2.5</f>
        <v>1.2</v>
      </c>
    </row>
    <row r="282" spans="1:19" ht="18" customHeight="1" x14ac:dyDescent="0.25">
      <c r="A282" s="7" t="s">
        <v>43</v>
      </c>
      <c r="B282" s="8">
        <v>1</v>
      </c>
      <c r="C282" s="9">
        <v>442</v>
      </c>
      <c r="D282" s="29">
        <f>C282+IF(INDEX('Справочник по %'!B:B,(MATCH(A282,'Справочник по %'!A:A,0)))="кол-во",B282*INDEX('Справочник по %'!C:C,(MATCH(A282,'Справочник по %'!A:A,0))),ОТЧЕТ!C282*INDEX('Справочник по %'!C:C,(MATCH(A282,'Справочник по %'!A:A,0))))/100</f>
        <v>486.2</v>
      </c>
      <c r="E282" s="29">
        <f>IF(ОТЧЕТ!A282="SKU3",C282+ОТЧЕТ!C282*0.2,C282+ОТЧЕТ!C282*0.15)</f>
        <v>508.3</v>
      </c>
      <c r="F282" s="7" t="s">
        <v>797</v>
      </c>
      <c r="G282" s="7">
        <v>5405074850</v>
      </c>
      <c r="H282" s="20" t="s">
        <v>50</v>
      </c>
      <c r="I282" s="22" t="str">
        <f>INDEX('Справочник Сети'!B:B,(MATCH(G282,'Справочник Сети'!C:C,0)))</f>
        <v>Ригла</v>
      </c>
      <c r="J282" s="7" t="s">
        <v>92</v>
      </c>
      <c r="K282" s="7" t="s">
        <v>823</v>
      </c>
      <c r="L282" s="7" t="s">
        <v>92</v>
      </c>
      <c r="M282" s="31">
        <v>45714</v>
      </c>
      <c r="N282" s="7" t="s">
        <v>824</v>
      </c>
      <c r="O282" s="8">
        <v>302</v>
      </c>
      <c r="P282" s="24">
        <v>1894</v>
      </c>
      <c r="Q282" s="22">
        <f>IF(COUNTIFS(A$2:A282,A282,I$2:I282,I282)=1,1,0)</f>
        <v>0</v>
      </c>
      <c r="R282" s="22">
        <f t="shared" si="4"/>
        <v>1</v>
      </c>
      <c r="S282" s="33">
        <f>IF(COUNTIF(O$2:O282,O282)=1,R282,0)/2.5</f>
        <v>0.4</v>
      </c>
    </row>
    <row r="283" spans="1:19" ht="18" customHeight="1" x14ac:dyDescent="0.25">
      <c r="A283" s="7" t="s">
        <v>43</v>
      </c>
      <c r="B283" s="8">
        <v>1</v>
      </c>
      <c r="C283" s="9">
        <v>405.58</v>
      </c>
      <c r="D283" s="29">
        <f>C283+IF(INDEX('Справочник по %'!B:B,(MATCH(A283,'Справочник по %'!A:A,0)))="кол-во",B283*INDEX('Справочник по %'!C:C,(MATCH(A283,'Справочник по %'!A:A,0))),ОТЧЕТ!C283*INDEX('Справочник по %'!C:C,(MATCH(A283,'Справочник по %'!A:A,0))))/100</f>
        <v>446.13799999999998</v>
      </c>
      <c r="E283" s="29">
        <f>IF(ОТЧЕТ!A283="SKU3",C283+ОТЧЕТ!C283*0.2,C283+ОТЧЕТ!C283*0.15)</f>
        <v>466.41699999999997</v>
      </c>
      <c r="F283" s="7" t="s">
        <v>797</v>
      </c>
      <c r="G283" s="7">
        <v>583500580818</v>
      </c>
      <c r="H283" s="20" t="s">
        <v>167</v>
      </c>
      <c r="I283" s="22" t="str">
        <f>INDEX('Справочник Сети'!B:B,(MATCH(G283,'Справочник Сети'!C:C,0)))</f>
        <v>Ригла</v>
      </c>
      <c r="J283" s="7" t="s">
        <v>251</v>
      </c>
      <c r="K283" s="7" t="s">
        <v>825</v>
      </c>
      <c r="L283" s="7" t="s">
        <v>251</v>
      </c>
      <c r="M283" s="31">
        <v>45659</v>
      </c>
      <c r="N283" s="7" t="s">
        <v>826</v>
      </c>
      <c r="O283" s="8">
        <v>3376</v>
      </c>
      <c r="P283" s="24">
        <v>1900</v>
      </c>
      <c r="Q283" s="22">
        <f>IF(COUNTIFS(A$2:A283,A283,I$2:I283,I283)=1,1,0)</f>
        <v>0</v>
      </c>
      <c r="R283" s="22">
        <f t="shared" si="4"/>
        <v>1</v>
      </c>
      <c r="S283" s="33">
        <f>IF(COUNTIF(O$2:O283,O283)=1,R283,0)/2.5</f>
        <v>0.4</v>
      </c>
    </row>
    <row r="284" spans="1:19" ht="18" customHeight="1" x14ac:dyDescent="0.25">
      <c r="A284" s="7" t="s">
        <v>37</v>
      </c>
      <c r="B284" s="8">
        <v>1</v>
      </c>
      <c r="C284" s="9">
        <v>628</v>
      </c>
      <c r="D284" s="29">
        <f>C284+IF(INDEX('Справочник по %'!B:B,(MATCH(A284,'Справочник по %'!A:A,0)))="кол-во",B284*INDEX('Справочник по %'!C:C,(MATCH(A284,'Справочник по %'!A:A,0))),ОТЧЕТ!C284*INDEX('Справочник по %'!C:C,(MATCH(A284,'Справочник по %'!A:A,0))))/100</f>
        <v>628.20000000000005</v>
      </c>
      <c r="E284" s="29">
        <f>IF(ОТЧЕТ!A284="SKU3",C284+ОТЧЕТ!C284*0.2,C284+ОТЧЕТ!C284*0.15)</f>
        <v>722.2</v>
      </c>
      <c r="F284" s="7" t="s">
        <v>797</v>
      </c>
      <c r="G284" s="7">
        <v>7806510994</v>
      </c>
      <c r="H284" s="20" t="s">
        <v>50</v>
      </c>
      <c r="I284" s="22" t="str">
        <f>INDEX('Справочник Сети'!B:B,(MATCH(G284,'Справочник Сети'!C:C,0)))</f>
        <v>Ригла</v>
      </c>
      <c r="J284" s="7" t="s">
        <v>353</v>
      </c>
      <c r="K284" s="7" t="s">
        <v>827</v>
      </c>
      <c r="L284" s="7" t="s">
        <v>353</v>
      </c>
      <c r="M284" s="31">
        <v>45672</v>
      </c>
      <c r="N284" s="7" t="s">
        <v>828</v>
      </c>
      <c r="O284" s="8">
        <v>1690</v>
      </c>
      <c r="P284" s="24">
        <v>1903</v>
      </c>
      <c r="Q284" s="22">
        <f>IF(COUNTIFS(A$2:A284,A284,I$2:I284,I284)=1,1,0)</f>
        <v>0</v>
      </c>
      <c r="R284" s="22">
        <f t="shared" si="4"/>
        <v>1</v>
      </c>
      <c r="S284" s="33">
        <f>IF(COUNTIF(O$2:O284,O284)=1,R284,0)/2.5</f>
        <v>0.4</v>
      </c>
    </row>
    <row r="285" spans="1:19" ht="18" customHeight="1" x14ac:dyDescent="0.25">
      <c r="A285" s="7" t="s">
        <v>43</v>
      </c>
      <c r="B285" s="8">
        <v>1</v>
      </c>
      <c r="C285" s="9">
        <v>485</v>
      </c>
      <c r="D285" s="29">
        <f>C285+IF(INDEX('Справочник по %'!B:B,(MATCH(A285,'Справочник по %'!A:A,0)))="кол-во",B285*INDEX('Справочник по %'!C:C,(MATCH(A285,'Справочник по %'!A:A,0))),ОТЧЕТ!C285*INDEX('Справочник по %'!C:C,(MATCH(A285,'Справочник по %'!A:A,0))))/100</f>
        <v>533.5</v>
      </c>
      <c r="E285" s="29">
        <f>IF(ОТЧЕТ!A285="SKU3",C285+ОТЧЕТ!C285*0.2,C285+ОТЧЕТ!C285*0.15)</f>
        <v>557.75</v>
      </c>
      <c r="F285" s="7" t="s">
        <v>797</v>
      </c>
      <c r="G285" s="7">
        <v>7719520795</v>
      </c>
      <c r="H285" s="20" t="s">
        <v>50</v>
      </c>
      <c r="I285" s="22">
        <f>INDEX('Справочник Сети'!B:B,(MATCH(G285,'Справочник Сети'!C:C,0)))</f>
        <v>0</v>
      </c>
      <c r="J285" s="7" t="s">
        <v>168</v>
      </c>
      <c r="K285" s="7" t="s">
        <v>827</v>
      </c>
      <c r="L285" s="7" t="s">
        <v>168</v>
      </c>
      <c r="M285" s="31">
        <v>45676</v>
      </c>
      <c r="N285" s="7" t="s">
        <v>829</v>
      </c>
      <c r="O285" s="8">
        <v>3333</v>
      </c>
      <c r="P285" s="24">
        <v>1904</v>
      </c>
      <c r="Q285" s="22">
        <f>IF(COUNTIFS(A$2:A285,A285,I$2:I285,I285)=1,1,0)</f>
        <v>0</v>
      </c>
      <c r="R285" s="22">
        <f t="shared" si="4"/>
        <v>1</v>
      </c>
      <c r="S285" s="33">
        <f>IF(COUNTIF(O$2:O285,O285)=1,R285,0)/2.5</f>
        <v>0.4</v>
      </c>
    </row>
    <row r="286" spans="1:19" ht="18" customHeight="1" x14ac:dyDescent="0.25">
      <c r="A286" s="7" t="s">
        <v>43</v>
      </c>
      <c r="B286" s="8">
        <v>1</v>
      </c>
      <c r="C286" s="9">
        <v>405</v>
      </c>
      <c r="D286" s="29">
        <f>C286+IF(INDEX('Справочник по %'!B:B,(MATCH(A286,'Справочник по %'!A:A,0)))="кол-во",B286*INDEX('Справочник по %'!C:C,(MATCH(A286,'Справочник по %'!A:A,0))),ОТЧЕТ!C286*INDEX('Справочник по %'!C:C,(MATCH(A286,'Справочник по %'!A:A,0))))/100</f>
        <v>445.5</v>
      </c>
      <c r="E286" s="29">
        <f>IF(ОТЧЕТ!A286="SKU3",C286+ОТЧЕТ!C286*0.2,C286+ОТЧЕТ!C286*0.15)</f>
        <v>465.75</v>
      </c>
      <c r="F286" s="7" t="s">
        <v>797</v>
      </c>
      <c r="G286" s="7">
        <v>910906054486</v>
      </c>
      <c r="H286" s="20" t="s">
        <v>50</v>
      </c>
      <c r="I286" s="22" t="str">
        <f>INDEX('Справочник Сети'!B:B,(MATCH(G286,'Справочник Сети'!C:C,0)))</f>
        <v>Ригла</v>
      </c>
      <c r="J286" s="7" t="s">
        <v>322</v>
      </c>
      <c r="K286" s="7" t="s">
        <v>830</v>
      </c>
      <c r="L286" s="7" t="s">
        <v>322</v>
      </c>
      <c r="M286" s="31">
        <v>45658</v>
      </c>
      <c r="N286" s="7" t="s">
        <v>831</v>
      </c>
      <c r="O286" s="8">
        <v>1359</v>
      </c>
      <c r="P286" s="24">
        <v>1905</v>
      </c>
      <c r="Q286" s="22">
        <f>IF(COUNTIFS(A$2:A286,A286,I$2:I286,I286)=1,1,0)</f>
        <v>0</v>
      </c>
      <c r="R286" s="22">
        <f t="shared" si="4"/>
        <v>5</v>
      </c>
      <c r="S286" s="33">
        <f>IF(COUNTIF(O$2:O286,O286)=1,R286,0)/2.5</f>
        <v>0</v>
      </c>
    </row>
    <row r="287" spans="1:19" ht="18" customHeight="1" x14ac:dyDescent="0.25">
      <c r="A287" s="7" t="s">
        <v>43</v>
      </c>
      <c r="B287" s="8">
        <v>1</v>
      </c>
      <c r="C287" s="9">
        <v>605</v>
      </c>
      <c r="D287" s="29">
        <f>C287+IF(INDEX('Справочник по %'!B:B,(MATCH(A287,'Справочник по %'!A:A,0)))="кол-во",B287*INDEX('Справочник по %'!C:C,(MATCH(A287,'Справочник по %'!A:A,0))),ОТЧЕТ!C287*INDEX('Справочник по %'!C:C,(MATCH(A287,'Справочник по %'!A:A,0))))/100</f>
        <v>665.5</v>
      </c>
      <c r="E287" s="29">
        <f>IF(ОТЧЕТ!A287="SKU3",C287+ОТЧЕТ!C287*0.2,C287+ОТЧЕТ!C287*0.15)</f>
        <v>695.75</v>
      </c>
      <c r="F287" s="7" t="s">
        <v>797</v>
      </c>
      <c r="G287" s="7">
        <v>7714844316</v>
      </c>
      <c r="H287" s="20" t="s">
        <v>50</v>
      </c>
      <c r="I287" s="22" t="str">
        <f>INDEX('Справочник Сети'!B:B,(MATCH(G287,'Справочник Сети'!C:C,0)))</f>
        <v>Планета здоровья</v>
      </c>
      <c r="J287" s="7" t="s">
        <v>504</v>
      </c>
      <c r="K287" s="7" t="s">
        <v>832</v>
      </c>
      <c r="L287" s="7" t="s">
        <v>504</v>
      </c>
      <c r="M287" s="31">
        <v>45690</v>
      </c>
      <c r="N287" s="7" t="s">
        <v>833</v>
      </c>
      <c r="O287" s="8">
        <v>868</v>
      </c>
      <c r="P287" s="24">
        <v>1906</v>
      </c>
      <c r="Q287" s="22">
        <f>IF(COUNTIFS(A$2:A287,A287,I$2:I287,I287)=1,1,0)</f>
        <v>0</v>
      </c>
      <c r="R287" s="22">
        <f t="shared" si="4"/>
        <v>12</v>
      </c>
      <c r="S287" s="33">
        <f>IF(COUNTIF(O$2:O287,O287)=1,R287,0)/2.5</f>
        <v>4.8</v>
      </c>
    </row>
    <row r="288" spans="1:19" ht="18" customHeight="1" x14ac:dyDescent="0.25">
      <c r="A288" s="7" t="s">
        <v>43</v>
      </c>
      <c r="B288" s="8">
        <v>1</v>
      </c>
      <c r="C288" s="9">
        <v>467.03</v>
      </c>
      <c r="D288" s="29">
        <f>C288+IF(INDEX('Справочник по %'!B:B,(MATCH(A288,'Справочник по %'!A:A,0)))="кол-во",B288*INDEX('Справочник по %'!C:C,(MATCH(A288,'Справочник по %'!A:A,0))),ОТЧЕТ!C288*INDEX('Справочник по %'!C:C,(MATCH(A288,'Справочник по %'!A:A,0))))/100</f>
        <v>513.73299999999995</v>
      </c>
      <c r="E288" s="29">
        <f>IF(ОТЧЕТ!A288="SKU3",C288+ОТЧЕТ!C288*0.2,C288+ОТЧЕТ!C288*0.15)</f>
        <v>537.08449999999993</v>
      </c>
      <c r="F288" s="7" t="s">
        <v>797</v>
      </c>
      <c r="G288" s="7">
        <v>4025044367</v>
      </c>
      <c r="H288" s="20" t="s">
        <v>50</v>
      </c>
      <c r="I288" s="22" t="str">
        <f>INDEX('Справочник Сети'!B:B,(MATCH(G288,'Справочник Сети'!C:C,0)))</f>
        <v>Ригла</v>
      </c>
      <c r="J288" s="7" t="s">
        <v>155</v>
      </c>
      <c r="K288" s="7" t="s">
        <v>834</v>
      </c>
      <c r="L288" s="7" t="s">
        <v>155</v>
      </c>
      <c r="M288" s="31">
        <v>45716</v>
      </c>
      <c r="N288" s="7" t="s">
        <v>835</v>
      </c>
      <c r="O288" s="8">
        <v>1529</v>
      </c>
      <c r="P288" s="24">
        <v>1910</v>
      </c>
      <c r="Q288" s="22">
        <f>IF(COUNTIFS(A$2:A288,A288,I$2:I288,I288)=1,1,0)</f>
        <v>0</v>
      </c>
      <c r="R288" s="22">
        <f t="shared" si="4"/>
        <v>1</v>
      </c>
      <c r="S288" s="33">
        <f>IF(COUNTIF(O$2:O288,O288)=1,R288,0)/2.5</f>
        <v>0.4</v>
      </c>
    </row>
    <row r="289" spans="1:19" ht="18" customHeight="1" x14ac:dyDescent="0.25">
      <c r="A289" s="7" t="s">
        <v>43</v>
      </c>
      <c r="B289" s="8">
        <v>1</v>
      </c>
      <c r="C289" s="9">
        <v>378.74</v>
      </c>
      <c r="D289" s="29">
        <f>C289+IF(INDEX('Справочник по %'!B:B,(MATCH(A289,'Справочник по %'!A:A,0)))="кол-во",B289*INDEX('Справочник по %'!C:C,(MATCH(A289,'Справочник по %'!A:A,0))),ОТЧЕТ!C289*INDEX('Справочник по %'!C:C,(MATCH(A289,'Справочник по %'!A:A,0))))/100</f>
        <v>416.61400000000003</v>
      </c>
      <c r="E289" s="29">
        <f>IF(ОТЧЕТ!A289="SKU3",C289+ОТЧЕТ!C289*0.2,C289+ОТЧЕТ!C289*0.15)</f>
        <v>435.55099999999999</v>
      </c>
      <c r="F289" s="7" t="s">
        <v>836</v>
      </c>
      <c r="G289" s="7">
        <v>7732121736</v>
      </c>
      <c r="H289" s="20" t="s">
        <v>341</v>
      </c>
      <c r="I289" s="22" t="str">
        <f>INDEX('Справочник Сети'!B:B,(MATCH(G289,'Справочник Сети'!C:C,0)))</f>
        <v>Планета здоровья</v>
      </c>
      <c r="J289" s="7" t="s">
        <v>149</v>
      </c>
      <c r="K289" s="7" t="s">
        <v>246</v>
      </c>
      <c r="L289" s="7" t="s">
        <v>149</v>
      </c>
      <c r="M289" s="31">
        <v>45673</v>
      </c>
      <c r="N289" s="7" t="s">
        <v>837</v>
      </c>
      <c r="O289" s="8">
        <v>2131</v>
      </c>
      <c r="P289" s="24">
        <v>2200</v>
      </c>
      <c r="Q289" s="22">
        <f>IF(COUNTIFS(A$2:A289,A289,I$2:I289,I289)=1,1,0)</f>
        <v>0</v>
      </c>
      <c r="R289" s="22">
        <f t="shared" si="4"/>
        <v>5</v>
      </c>
      <c r="S289" s="33">
        <f>IF(COUNTIF(O$2:O289,O289)=1,R289,0)/2.5</f>
        <v>0</v>
      </c>
    </row>
    <row r="290" spans="1:19" ht="18" customHeight="1" x14ac:dyDescent="0.25">
      <c r="A290" s="7" t="s">
        <v>37</v>
      </c>
      <c r="B290" s="8">
        <v>1</v>
      </c>
      <c r="C290" s="9">
        <v>564</v>
      </c>
      <c r="D290" s="29">
        <f>C290+IF(INDEX('Справочник по %'!B:B,(MATCH(A290,'Справочник по %'!A:A,0)))="кол-во",B290*INDEX('Справочник по %'!C:C,(MATCH(A290,'Справочник по %'!A:A,0))),ОТЧЕТ!C290*INDEX('Справочник по %'!C:C,(MATCH(A290,'Справочник по %'!A:A,0))))/100</f>
        <v>564.20000000000005</v>
      </c>
      <c r="E290" s="29">
        <f>IF(ОТЧЕТ!A290="SKU3",C290+ОТЧЕТ!C290*0.2,C290+ОТЧЕТ!C290*0.15)</f>
        <v>648.6</v>
      </c>
      <c r="F290" s="7" t="s">
        <v>838</v>
      </c>
      <c r="G290" s="7">
        <v>7706795062</v>
      </c>
      <c r="H290" s="20" t="s">
        <v>487</v>
      </c>
      <c r="I290" s="22" t="str">
        <f>INDEX('Справочник Сети'!B:B,(MATCH(G290,'Справочник Сети'!C:C,0)))</f>
        <v>Планета здоровья</v>
      </c>
      <c r="J290" s="7" t="s">
        <v>87</v>
      </c>
      <c r="K290" s="7" t="s">
        <v>839</v>
      </c>
      <c r="L290" s="7" t="s">
        <v>87</v>
      </c>
      <c r="M290" s="31">
        <v>45691</v>
      </c>
      <c r="N290" s="7" t="s">
        <v>840</v>
      </c>
      <c r="O290" s="8">
        <v>1553</v>
      </c>
      <c r="P290" s="24">
        <v>2205</v>
      </c>
      <c r="Q290" s="22">
        <f>IF(COUNTIFS(A$2:A290,A290,I$2:I290,I290)=1,1,0)</f>
        <v>0</v>
      </c>
      <c r="R290" s="22">
        <f t="shared" si="4"/>
        <v>5</v>
      </c>
      <c r="S290" s="33">
        <f>IF(COUNTIF(O$2:O290,O290)=1,R290,0)/2.5</f>
        <v>0</v>
      </c>
    </row>
    <row r="291" spans="1:19" ht="18" customHeight="1" x14ac:dyDescent="0.25">
      <c r="A291" s="7" t="s">
        <v>43</v>
      </c>
      <c r="B291" s="8">
        <v>1</v>
      </c>
      <c r="C291" s="9">
        <v>393</v>
      </c>
      <c r="D291" s="29">
        <f>C291+IF(INDEX('Справочник по %'!B:B,(MATCH(A291,'Справочник по %'!A:A,0)))="кол-во",B291*INDEX('Справочник по %'!C:C,(MATCH(A291,'Справочник по %'!A:A,0))),ОТЧЕТ!C291*INDEX('Справочник по %'!C:C,(MATCH(A291,'Справочник по %'!A:A,0))))/100</f>
        <v>432.3</v>
      </c>
      <c r="E291" s="29">
        <f>IF(ОТЧЕТ!A291="SKU3",C291+ОТЧЕТ!C291*0.2,C291+ОТЧЕТ!C291*0.15)</f>
        <v>451.95</v>
      </c>
      <c r="F291" s="7" t="s">
        <v>838</v>
      </c>
      <c r="G291" s="7">
        <v>7731334851</v>
      </c>
      <c r="H291" s="20" t="s">
        <v>841</v>
      </c>
      <c r="I291" s="22" t="str">
        <f>INDEX('Справочник Сети'!B:B,(MATCH(G291,'Справочник Сети'!C:C,0)))</f>
        <v>Планета здоровья</v>
      </c>
      <c r="J291" s="7" t="s">
        <v>142</v>
      </c>
      <c r="K291" s="7" t="s">
        <v>842</v>
      </c>
      <c r="L291" s="7" t="s">
        <v>142</v>
      </c>
      <c r="M291" s="31">
        <v>45674</v>
      </c>
      <c r="N291" s="7" t="s">
        <v>843</v>
      </c>
      <c r="O291" s="8">
        <v>1361</v>
      </c>
      <c r="P291" s="24">
        <v>2209</v>
      </c>
      <c r="Q291" s="22">
        <f>IF(COUNTIFS(A$2:A291,A291,I$2:I291,I291)=1,1,0)</f>
        <v>0</v>
      </c>
      <c r="R291" s="22">
        <f t="shared" si="4"/>
        <v>4</v>
      </c>
      <c r="S291" s="33">
        <f>IF(COUNTIF(O$2:O291,O291)=1,R291,0)/2.5</f>
        <v>1.6</v>
      </c>
    </row>
    <row r="292" spans="1:19" ht="18" customHeight="1" x14ac:dyDescent="0.25">
      <c r="A292" s="7" t="s">
        <v>43</v>
      </c>
      <c r="B292" s="8">
        <v>1</v>
      </c>
      <c r="C292" s="9">
        <v>672</v>
      </c>
      <c r="D292" s="29">
        <f>C292+IF(INDEX('Справочник по %'!B:B,(MATCH(A292,'Справочник по %'!A:A,0)))="кол-во",B292*INDEX('Справочник по %'!C:C,(MATCH(A292,'Справочник по %'!A:A,0))),ОТЧЕТ!C292*INDEX('Справочник по %'!C:C,(MATCH(A292,'Справочник по %'!A:A,0))))/100</f>
        <v>739.2</v>
      </c>
      <c r="E292" s="29">
        <f>IF(ОТЧЕТ!A292="SKU3",C292+ОТЧЕТ!C292*0.2,C292+ОТЧЕТ!C292*0.15)</f>
        <v>772.8</v>
      </c>
      <c r="F292" s="7" t="s">
        <v>844</v>
      </c>
      <c r="G292" s="7">
        <v>7705947629</v>
      </c>
      <c r="H292" s="20" t="s">
        <v>50</v>
      </c>
      <c r="I292" s="22" t="str">
        <f>INDEX('Справочник Сети'!B:B,(MATCH(G292,'Справочник Сети'!C:C,0)))</f>
        <v>36,6</v>
      </c>
      <c r="J292" s="7" t="s">
        <v>104</v>
      </c>
      <c r="K292" s="7" t="s">
        <v>845</v>
      </c>
      <c r="L292" s="7" t="s">
        <v>104</v>
      </c>
      <c r="M292" s="31">
        <v>45693</v>
      </c>
      <c r="N292" s="7" t="s">
        <v>846</v>
      </c>
      <c r="O292" s="8">
        <v>773</v>
      </c>
      <c r="P292" s="24">
        <v>2215</v>
      </c>
      <c r="Q292" s="22">
        <f>IF(COUNTIFS(A$2:A292,A292,I$2:I292,I292)=1,1,0)</f>
        <v>0</v>
      </c>
      <c r="R292" s="22">
        <f t="shared" si="4"/>
        <v>4</v>
      </c>
      <c r="S292" s="33">
        <f>IF(COUNTIF(O$2:O292,O292)=1,R292,0)/2.5</f>
        <v>0</v>
      </c>
    </row>
    <row r="293" spans="1:19" ht="18" customHeight="1" x14ac:dyDescent="0.25">
      <c r="A293" s="7" t="s">
        <v>43</v>
      </c>
      <c r="B293" s="8">
        <v>1</v>
      </c>
      <c r="C293" s="9">
        <v>380</v>
      </c>
      <c r="D293" s="29">
        <f>C293+IF(INDEX('Справочник по %'!B:B,(MATCH(A293,'Справочник по %'!A:A,0)))="кол-во",B293*INDEX('Справочник по %'!C:C,(MATCH(A293,'Справочник по %'!A:A,0))),ОТЧЕТ!C293*INDEX('Справочник по %'!C:C,(MATCH(A293,'Справочник по %'!A:A,0))))/100</f>
        <v>418</v>
      </c>
      <c r="E293" s="29">
        <f>IF(ОТЧЕТ!A293="SKU3",C293+ОТЧЕТ!C293*0.2,C293+ОТЧЕТ!C293*0.15)</f>
        <v>437</v>
      </c>
      <c r="F293" s="7" t="s">
        <v>847</v>
      </c>
      <c r="G293" s="7">
        <v>3123296586</v>
      </c>
      <c r="H293" s="20" t="s">
        <v>50</v>
      </c>
      <c r="I293" s="22" t="str">
        <f>INDEX('Справочник Сети'!B:B,(MATCH(G293,'Справочник Сети'!C:C,0)))</f>
        <v>Столички</v>
      </c>
      <c r="J293" s="7" t="s">
        <v>193</v>
      </c>
      <c r="K293" s="7" t="s">
        <v>436</v>
      </c>
      <c r="L293" s="7" t="s">
        <v>193</v>
      </c>
      <c r="M293" s="31">
        <v>45718</v>
      </c>
      <c r="N293" s="7" t="s">
        <v>848</v>
      </c>
      <c r="O293" s="8">
        <v>3050</v>
      </c>
      <c r="P293" s="24">
        <v>2216</v>
      </c>
      <c r="Q293" s="22">
        <f>IF(COUNTIFS(A$2:A293,A293,I$2:I293,I293)=1,1,0)</f>
        <v>0</v>
      </c>
      <c r="R293" s="22">
        <f t="shared" si="4"/>
        <v>10</v>
      </c>
      <c r="S293" s="33">
        <f>IF(COUNTIF(O$2:O293,O293)=1,R293,0)/2.5</f>
        <v>0</v>
      </c>
    </row>
    <row r="294" spans="1:19" ht="18" customHeight="1" x14ac:dyDescent="0.25">
      <c r="A294" s="7" t="s">
        <v>43</v>
      </c>
      <c r="B294" s="8">
        <v>1</v>
      </c>
      <c r="C294" s="9">
        <v>360</v>
      </c>
      <c r="D294" s="29">
        <f>C294+IF(INDEX('Справочник по %'!B:B,(MATCH(A294,'Справочник по %'!A:A,0)))="кол-во",B294*INDEX('Справочник по %'!C:C,(MATCH(A294,'Справочник по %'!A:A,0))),ОТЧЕТ!C294*INDEX('Справочник по %'!C:C,(MATCH(A294,'Справочник по %'!A:A,0))))/100</f>
        <v>396</v>
      </c>
      <c r="E294" s="29">
        <f>IF(ОТЧЕТ!A294="SKU3",C294+ОТЧЕТ!C294*0.2,C294+ОТЧЕТ!C294*0.15)</f>
        <v>414</v>
      </c>
      <c r="F294" s="7" t="s">
        <v>847</v>
      </c>
      <c r="G294" s="7">
        <v>7732121736</v>
      </c>
      <c r="H294" s="20" t="s">
        <v>849</v>
      </c>
      <c r="I294" s="22" t="str">
        <f>INDEX('Справочник Сети'!B:B,(MATCH(G294,'Справочник Сети'!C:C,0)))</f>
        <v>Планета здоровья</v>
      </c>
      <c r="J294" s="7" t="s">
        <v>149</v>
      </c>
      <c r="K294" s="7" t="s">
        <v>850</v>
      </c>
      <c r="L294" s="7" t="s">
        <v>149</v>
      </c>
      <c r="M294" s="31">
        <v>45673</v>
      </c>
      <c r="N294" s="7" t="s">
        <v>851</v>
      </c>
      <c r="O294" s="8">
        <v>2072</v>
      </c>
      <c r="P294" s="24">
        <v>2217</v>
      </c>
      <c r="Q294" s="22">
        <f>IF(COUNTIFS(A$2:A294,A294,I$2:I294,I294)=1,1,0)</f>
        <v>0</v>
      </c>
      <c r="R294" s="22">
        <f t="shared" si="4"/>
        <v>1</v>
      </c>
      <c r="S294" s="33">
        <f>IF(COUNTIF(O$2:O294,O294)=1,R294,0)/2.5</f>
        <v>0.4</v>
      </c>
    </row>
    <row r="295" spans="1:19" ht="18" customHeight="1" x14ac:dyDescent="0.25">
      <c r="A295" s="7" t="s">
        <v>43</v>
      </c>
      <c r="B295" s="8">
        <v>1</v>
      </c>
      <c r="C295" s="9">
        <v>441.5</v>
      </c>
      <c r="D295" s="29">
        <f>C295+IF(INDEX('Справочник по %'!B:B,(MATCH(A295,'Справочник по %'!A:A,0)))="кол-во",B295*INDEX('Справочник по %'!C:C,(MATCH(A295,'Справочник по %'!A:A,0))),ОТЧЕТ!C295*INDEX('Справочник по %'!C:C,(MATCH(A295,'Справочник по %'!A:A,0))))/100</f>
        <v>485.65</v>
      </c>
      <c r="E295" s="29">
        <f>IF(ОТЧЕТ!A295="SKU3",C295+ОТЧЕТ!C295*0.2,C295+ОТЧЕТ!C295*0.15)</f>
        <v>507.72500000000002</v>
      </c>
      <c r="F295" s="7" t="s">
        <v>847</v>
      </c>
      <c r="G295" s="7">
        <v>6162056128</v>
      </c>
      <c r="H295" s="20" t="s">
        <v>852</v>
      </c>
      <c r="I295" s="22">
        <f>INDEX('Справочник Сети'!B:B,(MATCH(G295,'Справочник Сети'!C:C,0)))</f>
        <v>0</v>
      </c>
      <c r="J295" s="7" t="s">
        <v>520</v>
      </c>
      <c r="K295" s="7" t="s">
        <v>613</v>
      </c>
      <c r="L295" s="7" t="s">
        <v>520</v>
      </c>
      <c r="M295" s="31">
        <v>45697</v>
      </c>
      <c r="N295" s="7" t="s">
        <v>853</v>
      </c>
      <c r="O295" s="8">
        <v>1976</v>
      </c>
      <c r="P295" s="24">
        <v>2219</v>
      </c>
      <c r="Q295" s="22">
        <f>IF(COUNTIFS(A$2:A295,A295,I$2:I295,I295)=1,1,0)</f>
        <v>0</v>
      </c>
      <c r="R295" s="22">
        <f t="shared" si="4"/>
        <v>4</v>
      </c>
      <c r="S295" s="33">
        <f>IF(COUNTIF(O$2:O295,O295)=1,R295,0)/2.5</f>
        <v>1.6</v>
      </c>
    </row>
    <row r="296" spans="1:19" ht="18" customHeight="1" x14ac:dyDescent="0.25">
      <c r="A296" s="7" t="s">
        <v>43</v>
      </c>
      <c r="B296" s="8">
        <v>1</v>
      </c>
      <c r="C296" s="9">
        <v>391.5</v>
      </c>
      <c r="D296" s="29">
        <f>C296+IF(INDEX('Справочник по %'!B:B,(MATCH(A296,'Справочник по %'!A:A,0)))="кол-во",B296*INDEX('Справочник по %'!C:C,(MATCH(A296,'Справочник по %'!A:A,0))),ОТЧЕТ!C296*INDEX('Справочник по %'!C:C,(MATCH(A296,'Справочник по %'!A:A,0))))/100</f>
        <v>430.65</v>
      </c>
      <c r="E296" s="29">
        <f>IF(ОТЧЕТ!A296="SKU3",C296+ОТЧЕТ!C296*0.2,C296+ОТЧЕТ!C296*0.15)</f>
        <v>450.22500000000002</v>
      </c>
      <c r="F296" s="7" t="s">
        <v>854</v>
      </c>
      <c r="G296" s="7">
        <v>5507102175</v>
      </c>
      <c r="H296" s="20" t="s">
        <v>50</v>
      </c>
      <c r="I296" s="22" t="str">
        <f>INDEX('Справочник Сети'!B:B,(MATCH(G296,'Справочник Сети'!C:C,0)))</f>
        <v>Столички</v>
      </c>
      <c r="J296" s="7" t="s">
        <v>255</v>
      </c>
      <c r="K296" s="7" t="s">
        <v>855</v>
      </c>
      <c r="L296" s="7" t="s">
        <v>255</v>
      </c>
      <c r="M296" s="31">
        <v>45713</v>
      </c>
      <c r="N296" s="7" t="s">
        <v>856</v>
      </c>
      <c r="O296" s="8">
        <v>1900</v>
      </c>
      <c r="P296" s="24">
        <v>2223</v>
      </c>
      <c r="Q296" s="22">
        <f>IF(COUNTIFS(A$2:A296,A296,I$2:I296,I296)=1,1,0)</f>
        <v>0</v>
      </c>
      <c r="R296" s="22">
        <f t="shared" si="4"/>
        <v>3</v>
      </c>
      <c r="S296" s="33">
        <f>IF(COUNTIF(O$2:O296,O296)=1,R296,0)/2.5</f>
        <v>0</v>
      </c>
    </row>
    <row r="297" spans="1:19" ht="18" customHeight="1" x14ac:dyDescent="0.25">
      <c r="A297" s="7" t="s">
        <v>43</v>
      </c>
      <c r="B297" s="8">
        <v>1</v>
      </c>
      <c r="C297" s="9">
        <v>414</v>
      </c>
      <c r="D297" s="29">
        <f>C297+IF(INDEX('Справочник по %'!B:B,(MATCH(A297,'Справочник по %'!A:A,0)))="кол-во",B297*INDEX('Справочник по %'!C:C,(MATCH(A297,'Справочник по %'!A:A,0))),ОТЧЕТ!C297*INDEX('Справочник по %'!C:C,(MATCH(A297,'Справочник по %'!A:A,0))))/100</f>
        <v>455.4</v>
      </c>
      <c r="E297" s="29">
        <f>IF(ОТЧЕТ!A297="SKU3",C297+ОТЧЕТ!C297*0.2,C297+ОТЧЕТ!C297*0.15)</f>
        <v>476.1</v>
      </c>
      <c r="F297" s="7" t="s">
        <v>854</v>
      </c>
      <c r="G297" s="7">
        <v>463224663217</v>
      </c>
      <c r="H297" s="20" t="s">
        <v>857</v>
      </c>
      <c r="I297" s="22">
        <f>INDEX('Справочник Сети'!B:B,(MATCH(G297,'Справочник Сети'!C:C,0)))</f>
        <v>0</v>
      </c>
      <c r="J297" s="7" t="s">
        <v>110</v>
      </c>
      <c r="K297" s="7" t="s">
        <v>858</v>
      </c>
      <c r="L297" s="7" t="s">
        <v>110</v>
      </c>
      <c r="M297" s="31">
        <v>45660</v>
      </c>
      <c r="N297" s="7" t="s">
        <v>859</v>
      </c>
      <c r="O297" s="8">
        <v>311</v>
      </c>
      <c r="P297" s="24">
        <v>2232</v>
      </c>
      <c r="Q297" s="22">
        <f>IF(COUNTIFS(A$2:A297,A297,I$2:I297,I297)=1,1,0)</f>
        <v>0</v>
      </c>
      <c r="R297" s="22">
        <f t="shared" si="4"/>
        <v>1</v>
      </c>
      <c r="S297" s="33">
        <f>IF(COUNTIF(O$2:O297,O297)=1,R297,0)/2.5</f>
        <v>0.4</v>
      </c>
    </row>
    <row r="298" spans="1:19" ht="18" customHeight="1" x14ac:dyDescent="0.25">
      <c r="A298" s="7" t="s">
        <v>43</v>
      </c>
      <c r="B298" s="8">
        <v>1</v>
      </c>
      <c r="C298" s="9">
        <v>454</v>
      </c>
      <c r="D298" s="29">
        <f>C298+IF(INDEX('Справочник по %'!B:B,(MATCH(A298,'Справочник по %'!A:A,0)))="кол-во",B298*INDEX('Справочник по %'!C:C,(MATCH(A298,'Справочник по %'!A:A,0))),ОТЧЕТ!C298*INDEX('Справочник по %'!C:C,(MATCH(A298,'Справочник по %'!A:A,0))))/100</f>
        <v>499.4</v>
      </c>
      <c r="E298" s="29">
        <f>IF(ОТЧЕТ!A298="SKU3",C298+ОТЧЕТ!C298*0.2,C298+ОТЧЕТ!C298*0.15)</f>
        <v>522.1</v>
      </c>
      <c r="F298" s="7" t="s">
        <v>854</v>
      </c>
      <c r="G298" s="7">
        <v>7840411560</v>
      </c>
      <c r="H298" s="20" t="s">
        <v>860</v>
      </c>
      <c r="I298" s="22" t="str">
        <f>INDEX('Справочник Сети'!B:B,(MATCH(G298,'Справочник Сети'!C:C,0)))</f>
        <v>Столички</v>
      </c>
      <c r="J298" s="7" t="s">
        <v>315</v>
      </c>
      <c r="K298" s="7" t="s">
        <v>861</v>
      </c>
      <c r="L298" s="7" t="s">
        <v>315</v>
      </c>
      <c r="M298" s="31">
        <v>45670</v>
      </c>
      <c r="N298" s="7" t="s">
        <v>862</v>
      </c>
      <c r="O298" s="8">
        <v>1784</v>
      </c>
      <c r="P298" s="24">
        <v>2233</v>
      </c>
      <c r="Q298" s="22">
        <f>IF(COUNTIFS(A$2:A298,A298,I$2:I298,I298)=1,1,0)</f>
        <v>0</v>
      </c>
      <c r="R298" s="22">
        <f t="shared" si="4"/>
        <v>1</v>
      </c>
      <c r="S298" s="33">
        <f>IF(COUNTIF(O$2:O298,O298)=1,R298,0)/2.5</f>
        <v>0.4</v>
      </c>
    </row>
    <row r="299" spans="1:19" ht="18" customHeight="1" x14ac:dyDescent="0.25">
      <c r="A299" s="7" t="s">
        <v>43</v>
      </c>
      <c r="B299" s="8">
        <v>1</v>
      </c>
      <c r="C299" s="9">
        <v>452</v>
      </c>
      <c r="D299" s="29">
        <f>C299+IF(INDEX('Справочник по %'!B:B,(MATCH(A299,'Справочник по %'!A:A,0)))="кол-во",B299*INDEX('Справочник по %'!C:C,(MATCH(A299,'Справочник по %'!A:A,0))),ОТЧЕТ!C299*INDEX('Справочник по %'!C:C,(MATCH(A299,'Справочник по %'!A:A,0))))/100</f>
        <v>497.2</v>
      </c>
      <c r="E299" s="29">
        <f>IF(ОТЧЕТ!A299="SKU3",C299+ОТЧЕТ!C299*0.2,C299+ОТЧЕТ!C299*0.15)</f>
        <v>519.79999999999995</v>
      </c>
      <c r="F299" s="7" t="s">
        <v>854</v>
      </c>
      <c r="G299" s="7">
        <v>3665012499</v>
      </c>
      <c r="H299" s="20" t="s">
        <v>91</v>
      </c>
      <c r="I299" s="22" t="str">
        <f>INDEX('Справочник Сети'!B:B,(MATCH(G299,'Справочник Сети'!C:C,0)))</f>
        <v>36,6</v>
      </c>
      <c r="J299" s="7" t="s">
        <v>65</v>
      </c>
      <c r="K299" s="7" t="s">
        <v>863</v>
      </c>
      <c r="L299" s="7" t="s">
        <v>65</v>
      </c>
      <c r="M299" s="31">
        <v>45717</v>
      </c>
      <c r="N299" s="7" t="s">
        <v>864</v>
      </c>
      <c r="O299" s="8">
        <v>1979</v>
      </c>
      <c r="P299" s="24">
        <v>2235</v>
      </c>
      <c r="Q299" s="22">
        <f>IF(COUNTIFS(A$2:A299,A299,I$2:I299,I299)=1,1,0)</f>
        <v>0</v>
      </c>
      <c r="R299" s="22">
        <f t="shared" si="4"/>
        <v>3</v>
      </c>
      <c r="S299" s="33">
        <f>IF(COUNTIF(O$2:O299,O299)=1,R299,0)/2.5</f>
        <v>1.2</v>
      </c>
    </row>
    <row r="300" spans="1:19" ht="18" customHeight="1" x14ac:dyDescent="0.25">
      <c r="A300" s="7" t="s">
        <v>43</v>
      </c>
      <c r="B300" s="8">
        <v>1</v>
      </c>
      <c r="C300" s="9">
        <v>387</v>
      </c>
      <c r="D300" s="29">
        <f>C300+IF(INDEX('Справочник по %'!B:B,(MATCH(A300,'Справочник по %'!A:A,0)))="кол-во",B300*INDEX('Справочник по %'!C:C,(MATCH(A300,'Справочник по %'!A:A,0))),ОТЧЕТ!C300*INDEX('Справочник по %'!C:C,(MATCH(A300,'Справочник по %'!A:A,0))))/100</f>
        <v>425.7</v>
      </c>
      <c r="E300" s="29">
        <f>IF(ОТЧЕТ!A300="SKU3",C300+ОТЧЕТ!C300*0.2,C300+ОТЧЕТ!C300*0.15)</f>
        <v>445.05</v>
      </c>
      <c r="F300" s="7" t="s">
        <v>854</v>
      </c>
      <c r="G300" s="7">
        <v>7731334851</v>
      </c>
      <c r="H300" s="20" t="s">
        <v>865</v>
      </c>
      <c r="I300" s="22" t="str">
        <f>INDEX('Справочник Сети'!B:B,(MATCH(G300,'Справочник Сети'!C:C,0)))</f>
        <v>Планета здоровья</v>
      </c>
      <c r="J300" s="7" t="s">
        <v>142</v>
      </c>
      <c r="K300" s="7" t="s">
        <v>866</v>
      </c>
      <c r="L300" s="7" t="s">
        <v>142</v>
      </c>
      <c r="M300" s="31">
        <v>45674</v>
      </c>
      <c r="N300" s="7" t="s">
        <v>867</v>
      </c>
      <c r="O300" s="8">
        <v>658</v>
      </c>
      <c r="P300" s="24">
        <v>2237</v>
      </c>
      <c r="Q300" s="22">
        <f>IF(COUNTIFS(A$2:A300,A300,I$2:I300,I300)=1,1,0)</f>
        <v>0</v>
      </c>
      <c r="R300" s="22">
        <f t="shared" si="4"/>
        <v>3</v>
      </c>
      <c r="S300" s="33">
        <f>IF(COUNTIF(O$2:O300,O300)=1,R300,0)/2.5</f>
        <v>1.2</v>
      </c>
    </row>
    <row r="301" spans="1:19" ht="18" customHeight="1" x14ac:dyDescent="0.25">
      <c r="A301" s="7" t="s">
        <v>43</v>
      </c>
      <c r="B301" s="8">
        <v>1</v>
      </c>
      <c r="C301" s="9">
        <v>430</v>
      </c>
      <c r="D301" s="29">
        <f>C301+IF(INDEX('Справочник по %'!B:B,(MATCH(A301,'Справочник по %'!A:A,0)))="кол-во",B301*INDEX('Справочник по %'!C:C,(MATCH(A301,'Справочник по %'!A:A,0))),ОТЧЕТ!C301*INDEX('Справочник по %'!C:C,(MATCH(A301,'Справочник по %'!A:A,0))))/100</f>
        <v>473</v>
      </c>
      <c r="E301" s="29">
        <f>IF(ОТЧЕТ!A301="SKU3",C301+ОТЧЕТ!C301*0.2,C301+ОТЧЕТ!C301*0.15)</f>
        <v>494.5</v>
      </c>
      <c r="F301" s="7" t="s">
        <v>854</v>
      </c>
      <c r="G301" s="7">
        <v>9102213935</v>
      </c>
      <c r="H301" s="20" t="s">
        <v>868</v>
      </c>
      <c r="I301" s="22" t="str">
        <f>INDEX('Справочник Сети'!B:B,(MATCH(G301,'Справочник Сети'!C:C,0)))</f>
        <v>Ригла</v>
      </c>
      <c r="J301" s="7" t="s">
        <v>315</v>
      </c>
      <c r="K301" s="7" t="s">
        <v>869</v>
      </c>
      <c r="L301" s="7" t="s">
        <v>315</v>
      </c>
      <c r="M301" s="31">
        <v>45670</v>
      </c>
      <c r="N301" s="7" t="s">
        <v>870</v>
      </c>
      <c r="O301" s="8">
        <v>550</v>
      </c>
      <c r="P301" s="24">
        <v>2240</v>
      </c>
      <c r="Q301" s="22">
        <f>IF(COUNTIFS(A$2:A301,A301,I$2:I301,I301)=1,1,0)</f>
        <v>0</v>
      </c>
      <c r="R301" s="22">
        <f t="shared" si="4"/>
        <v>3</v>
      </c>
      <c r="S301" s="33">
        <f>IF(COUNTIF(O$2:O301,O301)=1,R301,0)/2.5</f>
        <v>1.2</v>
      </c>
    </row>
    <row r="302" spans="1:19" ht="18" customHeight="1" x14ac:dyDescent="0.25">
      <c r="A302" s="7" t="s">
        <v>43</v>
      </c>
      <c r="B302" s="8">
        <v>1</v>
      </c>
      <c r="C302" s="9">
        <v>445.9</v>
      </c>
      <c r="D302" s="29">
        <f>C302+IF(INDEX('Справочник по %'!B:B,(MATCH(A302,'Справочник по %'!A:A,0)))="кол-во",B302*INDEX('Справочник по %'!C:C,(MATCH(A302,'Справочник по %'!A:A,0))),ОТЧЕТ!C302*INDEX('Справочник по %'!C:C,(MATCH(A302,'Справочник по %'!A:A,0))))/100</f>
        <v>490.49</v>
      </c>
      <c r="E302" s="29">
        <f>IF(ОТЧЕТ!A302="SKU3",C302+ОТЧЕТ!C302*0.2,C302+ОТЧЕТ!C302*0.15)</f>
        <v>512.78499999999997</v>
      </c>
      <c r="F302" s="7" t="s">
        <v>871</v>
      </c>
      <c r="G302" s="7">
        <v>1841015198</v>
      </c>
      <c r="H302" s="20" t="s">
        <v>872</v>
      </c>
      <c r="I302" s="22" t="str">
        <f>INDEX('Справочник Сети'!B:B,(MATCH(G302,'Справочник Сети'!C:C,0)))</f>
        <v>Столички</v>
      </c>
      <c r="J302" s="7" t="s">
        <v>372</v>
      </c>
      <c r="K302" s="7" t="s">
        <v>873</v>
      </c>
      <c r="L302" s="7" t="s">
        <v>335</v>
      </c>
      <c r="M302" s="31">
        <v>45731</v>
      </c>
      <c r="N302" s="7" t="s">
        <v>874</v>
      </c>
      <c r="O302" s="8">
        <v>1109</v>
      </c>
      <c r="P302" s="24">
        <v>2243</v>
      </c>
      <c r="Q302" s="22">
        <f>IF(COUNTIFS(A$2:A302,A302,I$2:I302,I302)=1,1,0)</f>
        <v>0</v>
      </c>
      <c r="R302" s="22">
        <f t="shared" si="4"/>
        <v>1</v>
      </c>
      <c r="S302" s="33">
        <f>IF(COUNTIF(O$2:O302,O302)=1,R302,0)/2.5</f>
        <v>0.4</v>
      </c>
    </row>
    <row r="303" spans="1:19" ht="18" customHeight="1" x14ac:dyDescent="0.25">
      <c r="A303" s="7" t="s">
        <v>43</v>
      </c>
      <c r="B303" s="8">
        <v>1</v>
      </c>
      <c r="C303" s="9">
        <v>405.98</v>
      </c>
      <c r="D303" s="29">
        <f>C303+IF(INDEX('Справочник по %'!B:B,(MATCH(A303,'Справочник по %'!A:A,0)))="кол-во",B303*INDEX('Справочник по %'!C:C,(MATCH(A303,'Справочник по %'!A:A,0))),ОТЧЕТ!C303*INDEX('Справочник по %'!C:C,(MATCH(A303,'Справочник по %'!A:A,0))))/100</f>
        <v>446.57800000000003</v>
      </c>
      <c r="E303" s="29">
        <f>IF(ОТЧЕТ!A303="SKU3",C303+ОТЧЕТ!C303*0.2,C303+ОТЧЕТ!C303*0.15)</f>
        <v>466.87700000000001</v>
      </c>
      <c r="F303" s="7" t="s">
        <v>875</v>
      </c>
      <c r="G303" s="7">
        <v>6164202134</v>
      </c>
      <c r="H303" s="20" t="s">
        <v>876</v>
      </c>
      <c r="I303" s="22" t="str">
        <f>INDEX('Справочник Сети'!B:B,(MATCH(G303,'Справочник Сети'!C:C,0)))</f>
        <v>Столички</v>
      </c>
      <c r="J303" s="7" t="s">
        <v>520</v>
      </c>
      <c r="K303" s="7" t="s">
        <v>877</v>
      </c>
      <c r="L303" s="7" t="s">
        <v>520</v>
      </c>
      <c r="M303" s="31">
        <v>45697</v>
      </c>
      <c r="N303" s="7" t="s">
        <v>878</v>
      </c>
      <c r="O303" s="8">
        <v>1983</v>
      </c>
      <c r="P303" s="24">
        <v>2248</v>
      </c>
      <c r="Q303" s="22">
        <f>IF(COUNTIFS(A$2:A303,A303,I$2:I303,I303)=1,1,0)</f>
        <v>0</v>
      </c>
      <c r="R303" s="22">
        <f t="shared" si="4"/>
        <v>1</v>
      </c>
      <c r="S303" s="33">
        <f>IF(COUNTIF(O$2:O303,O303)=1,R303,0)/2.5</f>
        <v>0.4</v>
      </c>
    </row>
    <row r="304" spans="1:19" ht="18" customHeight="1" x14ac:dyDescent="0.25">
      <c r="A304" s="7" t="s">
        <v>37</v>
      </c>
      <c r="B304" s="8">
        <v>1</v>
      </c>
      <c r="C304" s="9">
        <v>545</v>
      </c>
      <c r="D304" s="29">
        <f>C304+IF(INDEX('Справочник по %'!B:B,(MATCH(A304,'Справочник по %'!A:A,0)))="кол-во",B304*INDEX('Справочник по %'!C:C,(MATCH(A304,'Справочник по %'!A:A,0))),ОТЧЕТ!C304*INDEX('Справочник по %'!C:C,(MATCH(A304,'Справочник по %'!A:A,0))))/100</f>
        <v>545.20000000000005</v>
      </c>
      <c r="E304" s="29">
        <f>IF(ОТЧЕТ!A304="SKU3",C304+ОТЧЕТ!C304*0.2,C304+ОТЧЕТ!C304*0.15)</f>
        <v>626.75</v>
      </c>
      <c r="F304" s="7" t="s">
        <v>879</v>
      </c>
      <c r="G304" s="7">
        <v>7706795062</v>
      </c>
      <c r="H304" s="20" t="s">
        <v>880</v>
      </c>
      <c r="I304" s="22" t="str">
        <f>INDEX('Справочник Сети'!B:B,(MATCH(G304,'Справочник Сети'!C:C,0)))</f>
        <v>Планета здоровья</v>
      </c>
      <c r="J304" s="7" t="s">
        <v>87</v>
      </c>
      <c r="K304" s="7" t="s">
        <v>881</v>
      </c>
      <c r="L304" s="7" t="s">
        <v>87</v>
      </c>
      <c r="M304" s="31">
        <v>45691</v>
      </c>
      <c r="N304" s="7" t="s">
        <v>882</v>
      </c>
      <c r="O304" s="8">
        <v>3195</v>
      </c>
      <c r="P304" s="24">
        <v>2249</v>
      </c>
      <c r="Q304" s="22">
        <f>IF(COUNTIFS(A$2:A304,A304,I$2:I304,I304)=1,1,0)</f>
        <v>0</v>
      </c>
      <c r="R304" s="22">
        <f t="shared" si="4"/>
        <v>1</v>
      </c>
      <c r="S304" s="33">
        <f>IF(COUNTIF(O$2:O304,O304)=1,R304,0)/2.5</f>
        <v>0.4</v>
      </c>
    </row>
    <row r="305" spans="1:19" ht="18" customHeight="1" x14ac:dyDescent="0.25">
      <c r="A305" s="7" t="s">
        <v>43</v>
      </c>
      <c r="B305" s="8">
        <v>1</v>
      </c>
      <c r="C305" s="9">
        <v>672</v>
      </c>
      <c r="D305" s="29">
        <f>C305+IF(INDEX('Справочник по %'!B:B,(MATCH(A305,'Справочник по %'!A:A,0)))="кол-во",B305*INDEX('Справочник по %'!C:C,(MATCH(A305,'Справочник по %'!A:A,0))),ОТЧЕТ!C305*INDEX('Справочник по %'!C:C,(MATCH(A305,'Справочник по %'!A:A,0))))/100</f>
        <v>739.2</v>
      </c>
      <c r="E305" s="29">
        <f>IF(ОТЧЕТ!A305="SKU3",C305+ОТЧЕТ!C305*0.2,C305+ОТЧЕТ!C305*0.15)</f>
        <v>772.8</v>
      </c>
      <c r="F305" s="7" t="s">
        <v>883</v>
      </c>
      <c r="G305" s="7">
        <v>7705947629</v>
      </c>
      <c r="H305" s="20" t="s">
        <v>50</v>
      </c>
      <c r="I305" s="22" t="str">
        <f>INDEX('Справочник Сети'!B:B,(MATCH(G305,'Справочник Сети'!C:C,0)))</f>
        <v>36,6</v>
      </c>
      <c r="J305" s="7" t="s">
        <v>104</v>
      </c>
      <c r="K305" s="7" t="s">
        <v>884</v>
      </c>
      <c r="L305" s="7" t="s">
        <v>104</v>
      </c>
      <c r="M305" s="31">
        <v>45693</v>
      </c>
      <c r="N305" s="7" t="s">
        <v>885</v>
      </c>
      <c r="O305" s="8">
        <v>372</v>
      </c>
      <c r="P305" s="24">
        <v>2253</v>
      </c>
      <c r="Q305" s="22">
        <f>IF(COUNTIFS(A$2:A305,A305,I$2:I305,I305)=1,1,0)</f>
        <v>0</v>
      </c>
      <c r="R305" s="22">
        <f t="shared" si="4"/>
        <v>13</v>
      </c>
      <c r="S305" s="33">
        <f>IF(COUNTIF(O$2:O305,O305)=1,R305,0)/2.5</f>
        <v>0</v>
      </c>
    </row>
    <row r="306" spans="1:19" ht="18" customHeight="1" x14ac:dyDescent="0.25">
      <c r="A306" s="7" t="s">
        <v>43</v>
      </c>
      <c r="B306" s="8">
        <v>1</v>
      </c>
      <c r="C306" s="9">
        <v>672</v>
      </c>
      <c r="D306" s="29">
        <f>C306+IF(INDEX('Справочник по %'!B:B,(MATCH(A306,'Справочник по %'!A:A,0)))="кол-во",B306*INDEX('Справочник по %'!C:C,(MATCH(A306,'Справочник по %'!A:A,0))),ОТЧЕТ!C306*INDEX('Справочник по %'!C:C,(MATCH(A306,'Справочник по %'!A:A,0))))/100</f>
        <v>739.2</v>
      </c>
      <c r="E306" s="29">
        <f>IF(ОТЧЕТ!A306="SKU3",C306+ОТЧЕТ!C306*0.2,C306+ОТЧЕТ!C306*0.15)</f>
        <v>772.8</v>
      </c>
      <c r="F306" s="7" t="s">
        <v>883</v>
      </c>
      <c r="G306" s="7">
        <v>7705947629</v>
      </c>
      <c r="H306" s="20" t="s">
        <v>50</v>
      </c>
      <c r="I306" s="22" t="str">
        <f>INDEX('Справочник Сети'!B:B,(MATCH(G306,'Справочник Сети'!C:C,0)))</f>
        <v>36,6</v>
      </c>
      <c r="J306" s="7" t="s">
        <v>104</v>
      </c>
      <c r="K306" s="7" t="s">
        <v>886</v>
      </c>
      <c r="L306" s="7" t="s">
        <v>104</v>
      </c>
      <c r="M306" s="31">
        <v>45693</v>
      </c>
      <c r="N306" s="7" t="s">
        <v>887</v>
      </c>
      <c r="O306" s="8">
        <v>372</v>
      </c>
      <c r="P306" s="24">
        <v>2254</v>
      </c>
      <c r="Q306" s="22">
        <f>IF(COUNTIFS(A$2:A306,A306,I$2:I306,I306)=1,1,0)</f>
        <v>0</v>
      </c>
      <c r="R306" s="22">
        <f t="shared" si="4"/>
        <v>13</v>
      </c>
      <c r="S306" s="33">
        <f>IF(COUNTIF(O$2:O306,O306)=1,R306,0)/2.5</f>
        <v>0</v>
      </c>
    </row>
    <row r="307" spans="1:19" ht="18" customHeight="1" x14ac:dyDescent="0.25">
      <c r="A307" s="7" t="s">
        <v>43</v>
      </c>
      <c r="B307" s="8">
        <v>1</v>
      </c>
      <c r="C307" s="9">
        <v>390</v>
      </c>
      <c r="D307" s="29">
        <f>C307+IF(INDEX('Справочник по %'!B:B,(MATCH(A307,'Справочник по %'!A:A,0)))="кол-во",B307*INDEX('Справочник по %'!C:C,(MATCH(A307,'Справочник по %'!A:A,0))),ОТЧЕТ!C307*INDEX('Справочник по %'!C:C,(MATCH(A307,'Справочник по %'!A:A,0))))/100</f>
        <v>429</v>
      </c>
      <c r="E307" s="29">
        <f>IF(ОТЧЕТ!A307="SKU3",C307+ОТЧЕТ!C307*0.2,C307+ОТЧЕТ!C307*0.15)</f>
        <v>448.5</v>
      </c>
      <c r="F307" s="7" t="s">
        <v>883</v>
      </c>
      <c r="G307" s="7">
        <v>7724211288</v>
      </c>
      <c r="H307" s="20" t="s">
        <v>888</v>
      </c>
      <c r="I307" s="22" t="str">
        <f>INDEX('Справочник Сети'!B:B,(MATCH(G307,'Справочник Сети'!C:C,0)))</f>
        <v>Планета здоровья</v>
      </c>
      <c r="J307" s="7" t="s">
        <v>185</v>
      </c>
      <c r="K307" s="7" t="s">
        <v>889</v>
      </c>
      <c r="L307" s="7" t="s">
        <v>185</v>
      </c>
      <c r="M307" s="31">
        <v>45675</v>
      </c>
      <c r="N307" s="7" t="s">
        <v>890</v>
      </c>
      <c r="O307" s="8">
        <v>3323</v>
      </c>
      <c r="P307" s="24">
        <v>2256</v>
      </c>
      <c r="Q307" s="22">
        <f>IF(COUNTIFS(A$2:A307,A307,I$2:I307,I307)=1,1,0)</f>
        <v>0</v>
      </c>
      <c r="R307" s="22">
        <f t="shared" si="4"/>
        <v>1</v>
      </c>
      <c r="S307" s="33">
        <f>IF(COUNTIF(O$2:O307,O307)=1,R307,0)/2.5</f>
        <v>0.4</v>
      </c>
    </row>
    <row r="308" spans="1:19" ht="18" customHeight="1" x14ac:dyDescent="0.25">
      <c r="A308" s="7" t="s">
        <v>43</v>
      </c>
      <c r="B308" s="8">
        <v>1</v>
      </c>
      <c r="C308" s="9">
        <v>425</v>
      </c>
      <c r="D308" s="29">
        <f>C308+IF(INDEX('Справочник по %'!B:B,(MATCH(A308,'Справочник по %'!A:A,0)))="кол-во",B308*INDEX('Справочник по %'!C:C,(MATCH(A308,'Справочник по %'!A:A,0))),ОТЧЕТ!C308*INDEX('Справочник по %'!C:C,(MATCH(A308,'Справочник по %'!A:A,0))))/100</f>
        <v>467.5</v>
      </c>
      <c r="E308" s="29">
        <f>IF(ОТЧЕТ!A308="SKU3",C308+ОТЧЕТ!C308*0.2,C308+ОТЧЕТ!C308*0.15)</f>
        <v>488.75</v>
      </c>
      <c r="F308" s="7" t="s">
        <v>883</v>
      </c>
      <c r="G308" s="7">
        <v>7827008961</v>
      </c>
      <c r="H308" s="20" t="s">
        <v>50</v>
      </c>
      <c r="I308" s="22" t="str">
        <f>INDEX('Справочник Сети'!B:B,(MATCH(G308,'Справочник Сети'!C:C,0)))</f>
        <v>Планета здоровья</v>
      </c>
      <c r="J308" s="7" t="s">
        <v>121</v>
      </c>
      <c r="K308" s="7" t="s">
        <v>891</v>
      </c>
      <c r="L308" s="7" t="s">
        <v>121</v>
      </c>
      <c r="M308" s="31">
        <v>45671</v>
      </c>
      <c r="N308" s="7" t="s">
        <v>892</v>
      </c>
      <c r="O308" s="8">
        <v>2625</v>
      </c>
      <c r="P308" s="24">
        <v>2257</v>
      </c>
      <c r="Q308" s="22">
        <f>IF(COUNTIFS(A$2:A308,A308,I$2:I308,I308)=1,1,0)</f>
        <v>0</v>
      </c>
      <c r="R308" s="22">
        <f t="shared" si="4"/>
        <v>1</v>
      </c>
      <c r="S308" s="33">
        <f>IF(COUNTIF(O$2:O308,O308)=1,R308,0)/2.5</f>
        <v>0.4</v>
      </c>
    </row>
    <row r="309" spans="1:19" ht="18" customHeight="1" x14ac:dyDescent="0.25">
      <c r="A309" s="7" t="s">
        <v>43</v>
      </c>
      <c r="B309" s="8">
        <v>1</v>
      </c>
      <c r="C309" s="9">
        <v>672</v>
      </c>
      <c r="D309" s="29">
        <f>C309+IF(INDEX('Справочник по %'!B:B,(MATCH(A309,'Справочник по %'!A:A,0)))="кол-во",B309*INDEX('Справочник по %'!C:C,(MATCH(A309,'Справочник по %'!A:A,0))),ОТЧЕТ!C309*INDEX('Справочник по %'!C:C,(MATCH(A309,'Справочник по %'!A:A,0))))/100</f>
        <v>739.2</v>
      </c>
      <c r="E309" s="29">
        <f>IF(ОТЧЕТ!A309="SKU3",C309+ОТЧЕТ!C309*0.2,C309+ОТЧЕТ!C309*0.15)</f>
        <v>772.8</v>
      </c>
      <c r="F309" s="7" t="s">
        <v>883</v>
      </c>
      <c r="G309" s="7">
        <v>7705947629</v>
      </c>
      <c r="H309" s="20" t="s">
        <v>50</v>
      </c>
      <c r="I309" s="22" t="str">
        <f>INDEX('Справочник Сети'!B:B,(MATCH(G309,'Справочник Сети'!C:C,0)))</f>
        <v>36,6</v>
      </c>
      <c r="J309" s="7" t="s">
        <v>104</v>
      </c>
      <c r="K309" s="7" t="s">
        <v>893</v>
      </c>
      <c r="L309" s="7" t="s">
        <v>104</v>
      </c>
      <c r="M309" s="31">
        <v>45693</v>
      </c>
      <c r="N309" s="7" t="s">
        <v>894</v>
      </c>
      <c r="O309" s="8">
        <v>372</v>
      </c>
      <c r="P309" s="24">
        <v>2259</v>
      </c>
      <c r="Q309" s="22">
        <f>IF(COUNTIFS(A$2:A309,A309,I$2:I309,I309)=1,1,0)</f>
        <v>0</v>
      </c>
      <c r="R309" s="22">
        <f t="shared" si="4"/>
        <v>13</v>
      </c>
      <c r="S309" s="33">
        <f>IF(COUNTIF(O$2:O309,O309)=1,R309,0)/2.5</f>
        <v>0</v>
      </c>
    </row>
    <row r="310" spans="1:19" ht="18" customHeight="1" x14ac:dyDescent="0.25">
      <c r="A310" s="7" t="s">
        <v>43</v>
      </c>
      <c r="B310" s="8">
        <v>1</v>
      </c>
      <c r="C310" s="9">
        <v>367</v>
      </c>
      <c r="D310" s="29">
        <f>C310+IF(INDEX('Справочник по %'!B:B,(MATCH(A310,'Справочник по %'!A:A,0)))="кол-во",B310*INDEX('Справочник по %'!C:C,(MATCH(A310,'Справочник по %'!A:A,0))),ОТЧЕТ!C310*INDEX('Справочник по %'!C:C,(MATCH(A310,'Справочник по %'!A:A,0))))/100</f>
        <v>403.7</v>
      </c>
      <c r="E310" s="29">
        <f>IF(ОТЧЕТ!A310="SKU3",C310+ОТЧЕТ!C310*0.2,C310+ОТЧЕТ!C310*0.15)</f>
        <v>422.05</v>
      </c>
      <c r="F310" s="7" t="s">
        <v>895</v>
      </c>
      <c r="G310" s="7">
        <v>5907998608</v>
      </c>
      <c r="H310" s="20" t="s">
        <v>511</v>
      </c>
      <c r="I310" s="22" t="str">
        <f>INDEX('Справочник Сети'!B:B,(MATCH(G310,'Справочник Сети'!C:C,0)))</f>
        <v>Планета здоровья</v>
      </c>
      <c r="J310" s="7" t="s">
        <v>512</v>
      </c>
      <c r="K310" s="7" t="s">
        <v>896</v>
      </c>
      <c r="L310" s="7" t="s">
        <v>513</v>
      </c>
      <c r="M310" s="31">
        <v>45701</v>
      </c>
      <c r="N310" s="7" t="s">
        <v>897</v>
      </c>
      <c r="O310" s="8">
        <v>1253</v>
      </c>
      <c r="P310" s="24">
        <v>2277</v>
      </c>
      <c r="Q310" s="22">
        <f>IF(COUNTIFS(A$2:A310,A310,I$2:I310,I310)=1,1,0)</f>
        <v>0</v>
      </c>
      <c r="R310" s="22">
        <f t="shared" si="4"/>
        <v>8</v>
      </c>
      <c r="S310" s="33">
        <f>IF(COUNTIF(O$2:O310,O310)=1,R310,0)/2.5</f>
        <v>0</v>
      </c>
    </row>
    <row r="311" spans="1:19" ht="18" customHeight="1" x14ac:dyDescent="0.25">
      <c r="A311" s="7" t="s">
        <v>43</v>
      </c>
      <c r="B311" s="8">
        <v>1</v>
      </c>
      <c r="C311" s="9">
        <v>397</v>
      </c>
      <c r="D311" s="29">
        <f>C311+IF(INDEX('Справочник по %'!B:B,(MATCH(A311,'Справочник по %'!A:A,0)))="кол-во",B311*INDEX('Справочник по %'!C:C,(MATCH(A311,'Справочник по %'!A:A,0))),ОТЧЕТ!C311*INDEX('Справочник по %'!C:C,(MATCH(A311,'Справочник по %'!A:A,0))))/100</f>
        <v>436.7</v>
      </c>
      <c r="E311" s="29">
        <f>IF(ОТЧЕТ!A311="SKU3",C311+ОТЧЕТ!C311*0.2,C311+ОТЧЕТ!C311*0.15)</f>
        <v>456.55</v>
      </c>
      <c r="F311" s="7" t="s">
        <v>898</v>
      </c>
      <c r="G311" s="7">
        <v>4710012294</v>
      </c>
      <c r="H311" s="20" t="s">
        <v>50</v>
      </c>
      <c r="I311" s="22" t="str">
        <f>INDEX('Справочник Сети'!B:B,(MATCH(G311,'Справочник Сети'!C:C,0)))</f>
        <v>Планета здоровья</v>
      </c>
      <c r="J311" s="7" t="s">
        <v>83</v>
      </c>
      <c r="K311" s="7" t="s">
        <v>899</v>
      </c>
      <c r="L311" s="7" t="s">
        <v>83</v>
      </c>
      <c r="M311" s="31">
        <v>45715</v>
      </c>
      <c r="N311" s="7" t="s">
        <v>900</v>
      </c>
      <c r="O311" s="8">
        <v>955</v>
      </c>
      <c r="P311" s="24">
        <v>2286</v>
      </c>
      <c r="Q311" s="22">
        <f>IF(COUNTIFS(A$2:A311,A311,I$2:I311,I311)=1,1,0)</f>
        <v>0</v>
      </c>
      <c r="R311" s="22">
        <f t="shared" si="4"/>
        <v>2</v>
      </c>
      <c r="S311" s="33">
        <f>IF(COUNTIF(O$2:O311,O311)=1,R311,0)/2.5</f>
        <v>0.8</v>
      </c>
    </row>
    <row r="312" spans="1:19" ht="18" customHeight="1" x14ac:dyDescent="0.25">
      <c r="A312" s="7" t="s">
        <v>43</v>
      </c>
      <c r="B312" s="8">
        <v>1</v>
      </c>
      <c r="C312" s="9">
        <v>399</v>
      </c>
      <c r="D312" s="29">
        <f>C312+IF(INDEX('Справочник по %'!B:B,(MATCH(A312,'Справочник по %'!A:A,0)))="кол-во",B312*INDEX('Справочник по %'!C:C,(MATCH(A312,'Справочник по %'!A:A,0))),ОТЧЕТ!C312*INDEX('Справочник по %'!C:C,(MATCH(A312,'Справочник по %'!A:A,0))))/100</f>
        <v>438.9</v>
      </c>
      <c r="E312" s="29">
        <f>IF(ОТЧЕТ!A312="SKU3",C312+ОТЧЕТ!C312*0.2,C312+ОТЧЕТ!C312*0.15)</f>
        <v>458.85</v>
      </c>
      <c r="F312" s="7" t="s">
        <v>901</v>
      </c>
      <c r="G312" s="7">
        <v>7716997445</v>
      </c>
      <c r="H312" s="20" t="s">
        <v>167</v>
      </c>
      <c r="I312" s="22" t="str">
        <f>INDEX('Справочник Сети'!B:B,(MATCH(G312,'Справочник Сети'!C:C,0)))</f>
        <v>Столички</v>
      </c>
      <c r="J312" s="7" t="s">
        <v>168</v>
      </c>
      <c r="K312" s="7" t="s">
        <v>902</v>
      </c>
      <c r="L312" s="7" t="s">
        <v>168</v>
      </c>
      <c r="M312" s="31">
        <v>45676</v>
      </c>
      <c r="N312" s="7" t="s">
        <v>903</v>
      </c>
      <c r="O312" s="8">
        <v>133</v>
      </c>
      <c r="P312" s="24">
        <v>2291</v>
      </c>
      <c r="Q312" s="22">
        <f>IF(COUNTIFS(A$2:A312,A312,I$2:I312,I312)=1,1,0)</f>
        <v>0</v>
      </c>
      <c r="R312" s="22">
        <f t="shared" si="4"/>
        <v>14</v>
      </c>
      <c r="S312" s="33">
        <f>IF(COUNTIF(O$2:O312,O312)=1,R312,0)/2.5</f>
        <v>0</v>
      </c>
    </row>
    <row r="313" spans="1:19" ht="18" customHeight="1" x14ac:dyDescent="0.25">
      <c r="A313" s="7" t="s">
        <v>37</v>
      </c>
      <c r="B313" s="8">
        <v>1</v>
      </c>
      <c r="C313" s="9">
        <v>528</v>
      </c>
      <c r="D313" s="29">
        <f>C313+IF(INDEX('Справочник по %'!B:B,(MATCH(A313,'Справочник по %'!A:A,0)))="кол-во",B313*INDEX('Справочник по %'!C:C,(MATCH(A313,'Справочник по %'!A:A,0))),ОТЧЕТ!C313*INDEX('Справочник по %'!C:C,(MATCH(A313,'Справочник по %'!A:A,0))))/100</f>
        <v>528.20000000000005</v>
      </c>
      <c r="E313" s="29">
        <f>IF(ОТЧЕТ!A313="SKU3",C313+ОТЧЕТ!C313*0.2,C313+ОТЧЕТ!C313*0.15)</f>
        <v>607.20000000000005</v>
      </c>
      <c r="F313" s="7" t="s">
        <v>904</v>
      </c>
      <c r="G313" s="7">
        <v>400101204548</v>
      </c>
      <c r="H313" s="20" t="s">
        <v>91</v>
      </c>
      <c r="I313" s="22">
        <f>INDEX('Справочник Сети'!B:B,(MATCH(G313,'Справочник Сети'!C:C,0)))</f>
        <v>0</v>
      </c>
      <c r="J313" s="7" t="s">
        <v>110</v>
      </c>
      <c r="K313" s="7" t="s">
        <v>905</v>
      </c>
      <c r="L313" s="7" t="s">
        <v>110</v>
      </c>
      <c r="M313" s="31">
        <v>45660</v>
      </c>
      <c r="N313" s="7" t="s">
        <v>906</v>
      </c>
      <c r="O313" s="8">
        <v>834</v>
      </c>
      <c r="P313" s="24">
        <v>2292</v>
      </c>
      <c r="Q313" s="22">
        <f>IF(COUNTIFS(A$2:A313,A313,I$2:I313,I313)=1,1,0)</f>
        <v>0</v>
      </c>
      <c r="R313" s="22">
        <f t="shared" si="4"/>
        <v>1</v>
      </c>
      <c r="S313" s="33">
        <f>IF(COUNTIF(O$2:O313,O313)=1,R313,0)/2.5</f>
        <v>0.4</v>
      </c>
    </row>
    <row r="314" spans="1:19" ht="18" customHeight="1" x14ac:dyDescent="0.25">
      <c r="A314" s="7" t="s">
        <v>43</v>
      </c>
      <c r="B314" s="8">
        <v>1</v>
      </c>
      <c r="C314" s="9">
        <v>427</v>
      </c>
      <c r="D314" s="29">
        <f>C314+IF(INDEX('Справочник по %'!B:B,(MATCH(A314,'Справочник по %'!A:A,0)))="кол-во",B314*INDEX('Справочник по %'!C:C,(MATCH(A314,'Справочник по %'!A:A,0))),ОТЧЕТ!C314*INDEX('Справочник по %'!C:C,(MATCH(A314,'Справочник по %'!A:A,0))))/100</f>
        <v>469.7</v>
      </c>
      <c r="E314" s="29">
        <f>IF(ОТЧЕТ!A314="SKU3",C314+ОТЧЕТ!C314*0.2,C314+ОТЧЕТ!C314*0.15)</f>
        <v>491.05</v>
      </c>
      <c r="F314" s="7" t="s">
        <v>907</v>
      </c>
      <c r="G314" s="7">
        <v>7714844316</v>
      </c>
      <c r="H314" s="20" t="s">
        <v>50</v>
      </c>
      <c r="I314" s="22" t="str">
        <f>INDEX('Справочник Сети'!B:B,(MATCH(G314,'Справочник Сети'!C:C,0)))</f>
        <v>Планета здоровья</v>
      </c>
      <c r="J314" s="7" t="s">
        <v>504</v>
      </c>
      <c r="K314" s="7" t="s">
        <v>908</v>
      </c>
      <c r="L314" s="7" t="s">
        <v>504</v>
      </c>
      <c r="M314" s="31">
        <v>45690</v>
      </c>
      <c r="N314" s="7" t="s">
        <v>909</v>
      </c>
      <c r="O314" s="8">
        <v>838</v>
      </c>
      <c r="P314" s="24">
        <v>2298</v>
      </c>
      <c r="Q314" s="22">
        <f>IF(COUNTIFS(A$2:A314,A314,I$2:I314,I314)=1,1,0)</f>
        <v>0</v>
      </c>
      <c r="R314" s="22">
        <f t="shared" si="4"/>
        <v>1</v>
      </c>
      <c r="S314" s="33">
        <f>IF(COUNTIF(O$2:O314,O314)=1,R314,0)/2.5</f>
        <v>0.4</v>
      </c>
    </row>
    <row r="315" spans="1:19" ht="18" customHeight="1" x14ac:dyDescent="0.25">
      <c r="A315" s="7" t="s">
        <v>37</v>
      </c>
      <c r="B315" s="8">
        <v>1</v>
      </c>
      <c r="C315" s="9">
        <v>660</v>
      </c>
      <c r="D315" s="29">
        <f>C315+IF(INDEX('Справочник по %'!B:B,(MATCH(A315,'Справочник по %'!A:A,0)))="кол-во",B315*INDEX('Справочник по %'!C:C,(MATCH(A315,'Справочник по %'!A:A,0))),ОТЧЕТ!C315*INDEX('Справочник по %'!C:C,(MATCH(A315,'Справочник по %'!A:A,0))))/100</f>
        <v>660.2</v>
      </c>
      <c r="E315" s="29">
        <f>IF(ОТЧЕТ!A315="SKU3",C315+ОТЧЕТ!C315*0.2,C315+ОТЧЕТ!C315*0.15)</f>
        <v>759</v>
      </c>
      <c r="F315" s="7" t="s">
        <v>907</v>
      </c>
      <c r="G315" s="7">
        <v>9103070398</v>
      </c>
      <c r="H315" s="20" t="s">
        <v>50</v>
      </c>
      <c r="I315" s="22">
        <f>INDEX('Справочник Сети'!B:B,(MATCH(G315,'Справочник Сети'!C:C,0)))</f>
        <v>0</v>
      </c>
      <c r="J315" s="7" t="s">
        <v>737</v>
      </c>
      <c r="K315" s="7" t="s">
        <v>910</v>
      </c>
      <c r="L315" s="7" t="s">
        <v>737</v>
      </c>
      <c r="M315" s="31">
        <v>45669</v>
      </c>
      <c r="N315" s="7" t="s">
        <v>911</v>
      </c>
      <c r="O315" s="8">
        <v>3436</v>
      </c>
      <c r="P315" s="24">
        <v>2299</v>
      </c>
      <c r="Q315" s="22">
        <f>IF(COUNTIFS(A$2:A315,A315,I$2:I315,I315)=1,1,0)</f>
        <v>0</v>
      </c>
      <c r="R315" s="22">
        <f t="shared" si="4"/>
        <v>3</v>
      </c>
      <c r="S315" s="33">
        <f>IF(COUNTIF(O$2:O315,O315)=1,R315,0)/2.5</f>
        <v>1.2</v>
      </c>
    </row>
    <row r="316" spans="1:19" ht="18" customHeight="1" x14ac:dyDescent="0.25">
      <c r="A316" s="7" t="s">
        <v>43</v>
      </c>
      <c r="B316" s="8">
        <v>1</v>
      </c>
      <c r="C316" s="9">
        <v>400.86</v>
      </c>
      <c r="D316" s="29">
        <f>C316+IF(INDEX('Справочник по %'!B:B,(MATCH(A316,'Справочник по %'!A:A,0)))="кол-во",B316*INDEX('Справочник по %'!C:C,(MATCH(A316,'Справочник по %'!A:A,0))),ОТЧЕТ!C316*INDEX('Справочник по %'!C:C,(MATCH(A316,'Справочник по %'!A:A,0))))/100</f>
        <v>440.94600000000003</v>
      </c>
      <c r="E316" s="29">
        <f>IF(ОТЧЕТ!A316="SKU3",C316+ОТЧЕТ!C316*0.2,C316+ОТЧЕТ!C316*0.15)</f>
        <v>460.98900000000003</v>
      </c>
      <c r="F316" s="7" t="s">
        <v>912</v>
      </c>
      <c r="G316" s="7">
        <v>5507102175</v>
      </c>
      <c r="H316" s="20" t="s">
        <v>50</v>
      </c>
      <c r="I316" s="22" t="str">
        <f>INDEX('Справочник Сети'!B:B,(MATCH(G316,'Справочник Сети'!C:C,0)))</f>
        <v>Столички</v>
      </c>
      <c r="J316" s="7" t="s">
        <v>255</v>
      </c>
      <c r="K316" s="7" t="s">
        <v>913</v>
      </c>
      <c r="L316" s="7" t="s">
        <v>255</v>
      </c>
      <c r="M316" s="31">
        <v>45713</v>
      </c>
      <c r="N316" s="7" t="s">
        <v>914</v>
      </c>
      <c r="O316" s="8">
        <v>1900</v>
      </c>
      <c r="P316" s="24">
        <v>2304</v>
      </c>
      <c r="Q316" s="22">
        <f>IF(COUNTIFS(A$2:A316,A316,I$2:I316,I316)=1,1,0)</f>
        <v>0</v>
      </c>
      <c r="R316" s="22">
        <f t="shared" si="4"/>
        <v>3</v>
      </c>
      <c r="S316" s="33">
        <f>IF(COUNTIF(O$2:O316,O316)=1,R316,0)/2.5</f>
        <v>0</v>
      </c>
    </row>
    <row r="317" spans="1:19" ht="18" customHeight="1" x14ac:dyDescent="0.25">
      <c r="A317" s="7" t="s">
        <v>43</v>
      </c>
      <c r="B317" s="8">
        <v>1</v>
      </c>
      <c r="C317" s="9">
        <v>430.4</v>
      </c>
      <c r="D317" s="29">
        <f>C317+IF(INDEX('Справочник по %'!B:B,(MATCH(A317,'Справочник по %'!A:A,0)))="кол-во",B317*INDEX('Справочник по %'!C:C,(MATCH(A317,'Справочник по %'!A:A,0))),ОТЧЕТ!C317*INDEX('Справочник по %'!C:C,(MATCH(A317,'Справочник по %'!A:A,0))))/100</f>
        <v>473.44</v>
      </c>
      <c r="E317" s="29">
        <f>IF(ОТЧЕТ!A317="SKU3",C317+ОТЧЕТ!C317*0.2,C317+ОТЧЕТ!C317*0.15)</f>
        <v>494.96</v>
      </c>
      <c r="F317" s="7" t="s">
        <v>915</v>
      </c>
      <c r="G317" s="7">
        <v>2539096225</v>
      </c>
      <c r="H317" s="20" t="s">
        <v>916</v>
      </c>
      <c r="I317" s="22" t="str">
        <f>INDEX('Справочник Сети'!B:B,(MATCH(G317,'Справочник Сети'!C:C,0)))</f>
        <v>36,6</v>
      </c>
      <c r="J317" s="7" t="s">
        <v>46</v>
      </c>
      <c r="K317" s="7" t="s">
        <v>917</v>
      </c>
      <c r="L317" s="7" t="s">
        <v>46</v>
      </c>
      <c r="M317" s="31">
        <v>45726</v>
      </c>
      <c r="N317" s="7" t="s">
        <v>918</v>
      </c>
      <c r="O317" s="8">
        <v>2406</v>
      </c>
      <c r="P317" s="24">
        <v>2306</v>
      </c>
      <c r="Q317" s="22">
        <f>IF(COUNTIFS(A$2:A317,A317,I$2:I317,I317)=1,1,0)</f>
        <v>0</v>
      </c>
      <c r="R317" s="22">
        <f t="shared" si="4"/>
        <v>1</v>
      </c>
      <c r="S317" s="33">
        <f>IF(COUNTIF(O$2:O317,O317)=1,R317,0)/2.5</f>
        <v>0.4</v>
      </c>
    </row>
    <row r="318" spans="1:19" ht="18" customHeight="1" x14ac:dyDescent="0.25">
      <c r="A318" s="7" t="s">
        <v>37</v>
      </c>
      <c r="B318" s="8">
        <v>1</v>
      </c>
      <c r="C318" s="9">
        <v>700</v>
      </c>
      <c r="D318" s="29">
        <f>C318+IF(INDEX('Справочник по %'!B:B,(MATCH(A318,'Справочник по %'!A:A,0)))="кол-во",B318*INDEX('Справочник по %'!C:C,(MATCH(A318,'Справочник по %'!A:A,0))),ОТЧЕТ!C318*INDEX('Справочник по %'!C:C,(MATCH(A318,'Справочник по %'!A:A,0))))/100</f>
        <v>700.2</v>
      </c>
      <c r="E318" s="29">
        <f>IF(ОТЧЕТ!A318="SKU3",C318+ОТЧЕТ!C318*0.2,C318+ОТЧЕТ!C318*0.15)</f>
        <v>805</v>
      </c>
      <c r="F318" s="7" t="s">
        <v>919</v>
      </c>
      <c r="G318" s="7">
        <v>7814139847</v>
      </c>
      <c r="H318" s="20" t="s">
        <v>50</v>
      </c>
      <c r="I318" s="22" t="str">
        <f>INDEX('Справочник Сети'!B:B,(MATCH(G318,'Справочник Сети'!C:C,0)))</f>
        <v>Планета здоровья</v>
      </c>
      <c r="J318" s="7" t="s">
        <v>121</v>
      </c>
      <c r="K318" s="7" t="s">
        <v>920</v>
      </c>
      <c r="L318" s="7" t="s">
        <v>121</v>
      </c>
      <c r="M318" s="31">
        <v>45671</v>
      </c>
      <c r="N318" s="7" t="s">
        <v>921</v>
      </c>
      <c r="O318" s="8">
        <v>2865</v>
      </c>
      <c r="P318" s="24">
        <v>2309</v>
      </c>
      <c r="Q318" s="22">
        <f>IF(COUNTIFS(A$2:A318,A318,I$2:I318,I318)=1,1,0)</f>
        <v>0</v>
      </c>
      <c r="R318" s="22">
        <f t="shared" si="4"/>
        <v>7</v>
      </c>
      <c r="S318" s="33">
        <f>IF(COUNTIF(O$2:O318,O318)=1,R318,0)/2.5</f>
        <v>0</v>
      </c>
    </row>
    <row r="319" spans="1:19" ht="18" customHeight="1" x14ac:dyDescent="0.25">
      <c r="A319" s="7" t="s">
        <v>43</v>
      </c>
      <c r="B319" s="8">
        <v>1</v>
      </c>
      <c r="C319" s="9">
        <v>478</v>
      </c>
      <c r="D319" s="29">
        <f>C319+IF(INDEX('Справочник по %'!B:B,(MATCH(A319,'Справочник по %'!A:A,0)))="кол-во",B319*INDEX('Справочник по %'!C:C,(MATCH(A319,'Справочник по %'!A:A,0))),ОТЧЕТ!C319*INDEX('Справочник по %'!C:C,(MATCH(A319,'Справочник по %'!A:A,0))))/100</f>
        <v>525.79999999999995</v>
      </c>
      <c r="E319" s="29">
        <f>IF(ОТЧЕТ!A319="SKU3",C319+ОТЧЕТ!C319*0.2,C319+ОТЧЕТ!C319*0.15)</f>
        <v>549.70000000000005</v>
      </c>
      <c r="F319" s="7" t="s">
        <v>922</v>
      </c>
      <c r="G319" s="7">
        <v>550704589807</v>
      </c>
      <c r="H319" s="20" t="s">
        <v>50</v>
      </c>
      <c r="I319" s="22" t="str">
        <f>INDEX('Справочник Сети'!B:B,(MATCH(G319,'Справочник Сети'!C:C,0)))</f>
        <v>Столички</v>
      </c>
      <c r="J319" s="7" t="s">
        <v>251</v>
      </c>
      <c r="K319" s="7" t="s">
        <v>212</v>
      </c>
      <c r="L319" s="7" t="s">
        <v>251</v>
      </c>
      <c r="M319" s="31">
        <v>45659</v>
      </c>
      <c r="N319" s="7" t="s">
        <v>923</v>
      </c>
      <c r="O319" s="8">
        <v>2029</v>
      </c>
      <c r="P319" s="24">
        <v>2310</v>
      </c>
      <c r="Q319" s="22">
        <f>IF(COUNTIFS(A$2:A319,A319,I$2:I319,I319)=1,1,0)</f>
        <v>0</v>
      </c>
      <c r="R319" s="22">
        <f t="shared" si="4"/>
        <v>2</v>
      </c>
      <c r="S319" s="33">
        <f>IF(COUNTIF(O$2:O319,O319)=1,R319,0)/2.5</f>
        <v>0.8</v>
      </c>
    </row>
    <row r="320" spans="1:19" ht="18" customHeight="1" x14ac:dyDescent="0.25">
      <c r="A320" s="7" t="s">
        <v>43</v>
      </c>
      <c r="B320" s="8">
        <v>1</v>
      </c>
      <c r="C320" s="9">
        <v>478</v>
      </c>
      <c r="D320" s="29">
        <f>C320+IF(INDEX('Справочник по %'!B:B,(MATCH(A320,'Справочник по %'!A:A,0)))="кол-во",B320*INDEX('Справочник по %'!C:C,(MATCH(A320,'Справочник по %'!A:A,0))),ОТЧЕТ!C320*INDEX('Справочник по %'!C:C,(MATCH(A320,'Справочник по %'!A:A,0))))/100</f>
        <v>525.79999999999995</v>
      </c>
      <c r="E320" s="29">
        <f>IF(ОТЧЕТ!A320="SKU3",C320+ОТЧЕТ!C320*0.2,C320+ОТЧЕТ!C320*0.15)</f>
        <v>549.70000000000005</v>
      </c>
      <c r="F320" s="7" t="s">
        <v>922</v>
      </c>
      <c r="G320" s="7">
        <v>550704589807</v>
      </c>
      <c r="H320" s="20" t="s">
        <v>50</v>
      </c>
      <c r="I320" s="22" t="str">
        <f>INDEX('Справочник Сети'!B:B,(MATCH(G320,'Справочник Сети'!C:C,0)))</f>
        <v>Столички</v>
      </c>
      <c r="J320" s="7" t="s">
        <v>251</v>
      </c>
      <c r="K320" s="7" t="s">
        <v>212</v>
      </c>
      <c r="L320" s="7" t="s">
        <v>251</v>
      </c>
      <c r="M320" s="31">
        <v>45659</v>
      </c>
      <c r="N320" s="7" t="s">
        <v>923</v>
      </c>
      <c r="O320" s="8">
        <v>2029</v>
      </c>
      <c r="P320" s="24">
        <v>2310</v>
      </c>
      <c r="Q320" s="22">
        <f>IF(COUNTIFS(A$2:A320,A320,I$2:I320,I320)=1,1,0)</f>
        <v>0</v>
      </c>
      <c r="R320" s="22">
        <f t="shared" si="4"/>
        <v>2</v>
      </c>
      <c r="S320" s="33">
        <f>IF(COUNTIF(O$2:O320,O320)=1,R320,0)/2.5</f>
        <v>0</v>
      </c>
    </row>
    <row r="321" spans="1:19" ht="18" customHeight="1" x14ac:dyDescent="0.25">
      <c r="A321" s="7" t="s">
        <v>43</v>
      </c>
      <c r="B321" s="8">
        <v>1</v>
      </c>
      <c r="C321" s="9">
        <v>457</v>
      </c>
      <c r="D321" s="29">
        <f>C321+IF(INDEX('Справочник по %'!B:B,(MATCH(A321,'Справочник по %'!A:A,0)))="кол-во",B321*INDEX('Справочник по %'!C:C,(MATCH(A321,'Справочник по %'!A:A,0))),ОТЧЕТ!C321*INDEX('Справочник по %'!C:C,(MATCH(A321,'Справочник по %'!A:A,0))))/100</f>
        <v>502.7</v>
      </c>
      <c r="E321" s="29">
        <f>IF(ОТЧЕТ!A321="SKU3",C321+ОТЧЕТ!C321*0.2,C321+ОТЧЕТ!C321*0.15)</f>
        <v>525.54999999999995</v>
      </c>
      <c r="F321" s="7" t="s">
        <v>924</v>
      </c>
      <c r="G321" s="7">
        <v>326537584</v>
      </c>
      <c r="H321" s="20" t="s">
        <v>64</v>
      </c>
      <c r="I321" s="22" t="str">
        <f>INDEX('Справочник Сети'!B:B,(MATCH(G321,'Справочник Сети'!C:C,0)))</f>
        <v>Планета здоровья</v>
      </c>
      <c r="J321" s="7" t="s">
        <v>362</v>
      </c>
      <c r="K321" s="7" t="s">
        <v>925</v>
      </c>
      <c r="L321" s="7" t="s">
        <v>362</v>
      </c>
      <c r="M321" s="31">
        <v>45732</v>
      </c>
      <c r="N321" s="7" t="s">
        <v>926</v>
      </c>
      <c r="O321" s="8">
        <v>2495</v>
      </c>
      <c r="P321" s="24">
        <v>2641</v>
      </c>
      <c r="Q321" s="22">
        <f>IF(COUNTIFS(A$2:A321,A321,I$2:I321,I321)=1,1,0)</f>
        <v>0</v>
      </c>
      <c r="R321" s="22">
        <f t="shared" si="4"/>
        <v>1</v>
      </c>
      <c r="S321" s="33">
        <f>IF(COUNTIF(O$2:O321,O321)=1,R321,0)/2.5</f>
        <v>0.4</v>
      </c>
    </row>
    <row r="322" spans="1:19" ht="18" customHeight="1" x14ac:dyDescent="0.25">
      <c r="A322" s="7" t="s">
        <v>43</v>
      </c>
      <c r="B322" s="8">
        <v>1</v>
      </c>
      <c r="C322" s="9">
        <v>367</v>
      </c>
      <c r="D322" s="29">
        <f>C322+IF(INDEX('Справочник по %'!B:B,(MATCH(A322,'Справочник по %'!A:A,0)))="кол-во",B322*INDEX('Справочник по %'!C:C,(MATCH(A322,'Справочник по %'!A:A,0))),ОТЧЕТ!C322*INDEX('Справочник по %'!C:C,(MATCH(A322,'Справочник по %'!A:A,0))))/100</f>
        <v>403.7</v>
      </c>
      <c r="E322" s="29">
        <f>IF(ОТЧЕТ!A322="SKU3",C322+ОТЧЕТ!C322*0.2,C322+ОТЧЕТ!C322*0.15)</f>
        <v>422.05</v>
      </c>
      <c r="F322" s="7" t="s">
        <v>924</v>
      </c>
      <c r="G322" s="7">
        <v>7706795062</v>
      </c>
      <c r="H322" s="20" t="s">
        <v>927</v>
      </c>
      <c r="I322" s="22" t="str">
        <f>INDEX('Справочник Сети'!B:B,(MATCH(G322,'Справочник Сети'!C:C,0)))</f>
        <v>Планета здоровья</v>
      </c>
      <c r="J322" s="7" t="s">
        <v>87</v>
      </c>
      <c r="K322" s="7" t="s">
        <v>928</v>
      </c>
      <c r="L322" s="7" t="s">
        <v>87</v>
      </c>
      <c r="M322" s="31">
        <v>45691</v>
      </c>
      <c r="N322" s="7" t="s">
        <v>929</v>
      </c>
      <c r="O322" s="8">
        <v>1796</v>
      </c>
      <c r="P322" s="24">
        <v>2644</v>
      </c>
      <c r="Q322" s="22">
        <f>IF(COUNTIFS(A$2:A322,A322,I$2:I322,I322)=1,1,0)</f>
        <v>0</v>
      </c>
      <c r="R322" s="22">
        <f t="shared" si="4"/>
        <v>8</v>
      </c>
      <c r="S322" s="33">
        <f>IF(COUNTIF(O$2:O322,O322)=1,R322,0)/2.5</f>
        <v>0</v>
      </c>
    </row>
    <row r="323" spans="1:19" ht="18" customHeight="1" x14ac:dyDescent="0.25">
      <c r="A323" s="7" t="s">
        <v>43</v>
      </c>
      <c r="B323" s="8">
        <v>1</v>
      </c>
      <c r="C323" s="9">
        <v>400.86</v>
      </c>
      <c r="D323" s="29">
        <f>C323+IF(INDEX('Справочник по %'!B:B,(MATCH(A323,'Справочник по %'!A:A,0)))="кол-во",B323*INDEX('Справочник по %'!C:C,(MATCH(A323,'Справочник по %'!A:A,0))),ОТЧЕТ!C323*INDEX('Справочник по %'!C:C,(MATCH(A323,'Справочник по %'!A:A,0))))/100</f>
        <v>440.94600000000003</v>
      </c>
      <c r="E323" s="29">
        <f>IF(ОТЧЕТ!A323="SKU3",C323+ОТЧЕТ!C323*0.2,C323+ОТЧЕТ!C323*0.15)</f>
        <v>460.98900000000003</v>
      </c>
      <c r="F323" s="7" t="s">
        <v>924</v>
      </c>
      <c r="G323" s="7">
        <v>5507102175</v>
      </c>
      <c r="H323" s="20" t="s">
        <v>50</v>
      </c>
      <c r="I323" s="22" t="str">
        <f>INDEX('Справочник Сети'!B:B,(MATCH(G323,'Справочник Сети'!C:C,0)))</f>
        <v>Столички</v>
      </c>
      <c r="J323" s="7" t="s">
        <v>255</v>
      </c>
      <c r="K323" s="7" t="s">
        <v>642</v>
      </c>
      <c r="L323" s="7" t="s">
        <v>255</v>
      </c>
      <c r="M323" s="31">
        <v>45713</v>
      </c>
      <c r="N323" s="7" t="s">
        <v>930</v>
      </c>
      <c r="O323" s="8">
        <v>1455</v>
      </c>
      <c r="P323" s="24">
        <v>2645</v>
      </c>
      <c r="Q323" s="22">
        <f>IF(COUNTIFS(A$2:A323,A323,I$2:I323,I323)=1,1,0)</f>
        <v>0</v>
      </c>
      <c r="R323" s="22">
        <f t="shared" ref="R323:R386" si="5">COUNTIF(O:O,O323)</f>
        <v>4</v>
      </c>
      <c r="S323" s="33">
        <f>IF(COUNTIF(O$2:O323,O323)=1,R323,0)/2.5</f>
        <v>0</v>
      </c>
    </row>
    <row r="324" spans="1:19" ht="18" customHeight="1" x14ac:dyDescent="0.25">
      <c r="A324" s="7" t="s">
        <v>43</v>
      </c>
      <c r="B324" s="8">
        <v>1</v>
      </c>
      <c r="C324" s="9">
        <v>417.94</v>
      </c>
      <c r="D324" s="29">
        <f>C324+IF(INDEX('Справочник по %'!B:B,(MATCH(A324,'Справочник по %'!A:A,0)))="кол-во",B324*INDEX('Справочник по %'!C:C,(MATCH(A324,'Справочник по %'!A:A,0))),ОТЧЕТ!C324*INDEX('Справочник по %'!C:C,(MATCH(A324,'Справочник по %'!A:A,0))))/100</f>
        <v>459.73399999999998</v>
      </c>
      <c r="E324" s="29">
        <f>IF(ОТЧЕТ!A324="SKU3",C324+ОТЧЕТ!C324*0.2,C324+ОТЧЕТ!C324*0.15)</f>
        <v>480.63099999999997</v>
      </c>
      <c r="F324" s="7" t="s">
        <v>931</v>
      </c>
      <c r="G324" s="7">
        <v>263213243536</v>
      </c>
      <c r="H324" s="20" t="s">
        <v>932</v>
      </c>
      <c r="I324" s="22">
        <f>INDEX('Справочник Сети'!B:B,(MATCH(G324,'Справочник Сети'!C:C,0)))</f>
        <v>0</v>
      </c>
      <c r="J324" s="7" t="s">
        <v>110</v>
      </c>
      <c r="K324" s="7" t="s">
        <v>411</v>
      </c>
      <c r="L324" s="7" t="s">
        <v>110</v>
      </c>
      <c r="M324" s="31">
        <v>45660</v>
      </c>
      <c r="N324" s="7" t="s">
        <v>933</v>
      </c>
      <c r="O324" s="8">
        <v>2439</v>
      </c>
      <c r="P324" s="24">
        <v>2647</v>
      </c>
      <c r="Q324" s="22">
        <f>IF(COUNTIFS(A$2:A324,A324,I$2:I324,I324)=1,1,0)</f>
        <v>0</v>
      </c>
      <c r="R324" s="22">
        <f t="shared" si="5"/>
        <v>1</v>
      </c>
      <c r="S324" s="33">
        <f>IF(COUNTIF(O$2:O324,O324)=1,R324,0)/2.5</f>
        <v>0.4</v>
      </c>
    </row>
    <row r="325" spans="1:19" ht="18" customHeight="1" x14ac:dyDescent="0.25">
      <c r="A325" s="7" t="s">
        <v>43</v>
      </c>
      <c r="B325" s="8">
        <v>1</v>
      </c>
      <c r="C325" s="9">
        <v>498</v>
      </c>
      <c r="D325" s="29">
        <f>C325+IF(INDEX('Справочник по %'!B:B,(MATCH(A325,'Справочник по %'!A:A,0)))="кол-во",B325*INDEX('Справочник по %'!C:C,(MATCH(A325,'Справочник по %'!A:A,0))),ОТЧЕТ!C325*INDEX('Справочник по %'!C:C,(MATCH(A325,'Справочник по %'!A:A,0))))/100</f>
        <v>547.79999999999995</v>
      </c>
      <c r="E325" s="29">
        <f>IF(ОТЧЕТ!A325="SKU3",C325+ОТЧЕТ!C325*0.2,C325+ОТЧЕТ!C325*0.15)</f>
        <v>572.70000000000005</v>
      </c>
      <c r="F325" s="7" t="s">
        <v>934</v>
      </c>
      <c r="G325" s="7">
        <v>7705947629</v>
      </c>
      <c r="H325" s="20" t="s">
        <v>50</v>
      </c>
      <c r="I325" s="22" t="str">
        <f>INDEX('Справочник Сети'!B:B,(MATCH(G325,'Справочник Сети'!C:C,0)))</f>
        <v>36,6</v>
      </c>
      <c r="J325" s="7" t="s">
        <v>116</v>
      </c>
      <c r="K325" s="7" t="s">
        <v>935</v>
      </c>
      <c r="L325" s="7" t="s">
        <v>116</v>
      </c>
      <c r="M325" s="31">
        <v>45692</v>
      </c>
      <c r="N325" s="7" t="s">
        <v>936</v>
      </c>
      <c r="O325" s="8">
        <v>3756</v>
      </c>
      <c r="P325" s="24">
        <v>2649</v>
      </c>
      <c r="Q325" s="22">
        <f>IF(COUNTIFS(A$2:A325,A325,I$2:I325,I325)=1,1,0)</f>
        <v>0</v>
      </c>
      <c r="R325" s="22">
        <f t="shared" si="5"/>
        <v>4</v>
      </c>
      <c r="S325" s="33">
        <f>IF(COUNTIF(O$2:O325,O325)=1,R325,0)/2.5</f>
        <v>1.6</v>
      </c>
    </row>
    <row r="326" spans="1:19" ht="18" customHeight="1" x14ac:dyDescent="0.25">
      <c r="A326" s="7" t="s">
        <v>43</v>
      </c>
      <c r="B326" s="8">
        <v>1</v>
      </c>
      <c r="C326" s="9">
        <v>351</v>
      </c>
      <c r="D326" s="29">
        <f>C326+IF(INDEX('Справочник по %'!B:B,(MATCH(A326,'Справочник по %'!A:A,0)))="кол-во",B326*INDEX('Справочник по %'!C:C,(MATCH(A326,'Справочник по %'!A:A,0))),ОТЧЕТ!C326*INDEX('Справочник по %'!C:C,(MATCH(A326,'Справочник по %'!A:A,0))))/100</f>
        <v>386.1</v>
      </c>
      <c r="E326" s="29">
        <f>IF(ОТЧЕТ!A326="SKU3",C326+ОТЧЕТ!C326*0.2,C326+ОТЧЕТ!C326*0.15)</f>
        <v>403.65</v>
      </c>
      <c r="F326" s="7" t="s">
        <v>937</v>
      </c>
      <c r="G326" s="7">
        <v>2227005590</v>
      </c>
      <c r="H326" s="20" t="s">
        <v>666</v>
      </c>
      <c r="I326" s="22" t="str">
        <f>INDEX('Справочник Сети'!B:B,(MATCH(G326,'Справочник Сети'!C:C,0)))</f>
        <v>Нео-фарм</v>
      </c>
      <c r="J326" s="7" t="s">
        <v>372</v>
      </c>
      <c r="K326" s="7" t="s">
        <v>757</v>
      </c>
      <c r="L326" s="7" t="s">
        <v>372</v>
      </c>
      <c r="M326" s="31">
        <v>45730</v>
      </c>
      <c r="N326" s="7" t="s">
        <v>938</v>
      </c>
      <c r="O326" s="8">
        <v>579</v>
      </c>
      <c r="P326" s="24">
        <v>2650</v>
      </c>
      <c r="Q326" s="22">
        <f>IF(COUNTIFS(A$2:A326,A326,I$2:I326,I326)=1,1,0)</f>
        <v>0</v>
      </c>
      <c r="R326" s="22">
        <f t="shared" si="5"/>
        <v>2</v>
      </c>
      <c r="S326" s="33">
        <f>IF(COUNTIF(O$2:O326,O326)=1,R326,0)/2.5</f>
        <v>0</v>
      </c>
    </row>
    <row r="327" spans="1:19" ht="18" customHeight="1" x14ac:dyDescent="0.25">
      <c r="A327" s="7" t="s">
        <v>37</v>
      </c>
      <c r="B327" s="8">
        <v>1</v>
      </c>
      <c r="C327" s="9">
        <v>592.66999999999996</v>
      </c>
      <c r="D327" s="29">
        <f>C327+IF(INDEX('Справочник по %'!B:B,(MATCH(A327,'Справочник по %'!A:A,0)))="кол-во",B327*INDEX('Справочник по %'!C:C,(MATCH(A327,'Справочник по %'!A:A,0))),ОТЧЕТ!C327*INDEX('Справочник по %'!C:C,(MATCH(A327,'Справочник по %'!A:A,0))))/100</f>
        <v>592.87</v>
      </c>
      <c r="E327" s="29">
        <f>IF(ОТЧЕТ!A327="SKU3",C327+ОТЧЕТ!C327*0.2,C327+ОТЧЕТ!C327*0.15)</f>
        <v>681.57049999999992</v>
      </c>
      <c r="F327" s="7" t="s">
        <v>937</v>
      </c>
      <c r="G327" s="7">
        <v>2225198434</v>
      </c>
      <c r="H327" s="20" t="s">
        <v>91</v>
      </c>
      <c r="I327" s="22">
        <f>INDEX('Справочник Сети'!B:B,(MATCH(G327,'Справочник Сети'!C:C,0)))</f>
        <v>0</v>
      </c>
      <c r="J327" s="7" t="s">
        <v>372</v>
      </c>
      <c r="K327" s="7" t="s">
        <v>759</v>
      </c>
      <c r="L327" s="7" t="s">
        <v>372</v>
      </c>
      <c r="M327" s="31">
        <v>45730</v>
      </c>
      <c r="N327" s="7" t="s">
        <v>939</v>
      </c>
      <c r="O327" s="8">
        <v>188</v>
      </c>
      <c r="P327" s="24">
        <v>2652</v>
      </c>
      <c r="Q327" s="22">
        <f>IF(COUNTIFS(A$2:A327,A327,I$2:I327,I327)=1,1,0)</f>
        <v>0</v>
      </c>
      <c r="R327" s="22">
        <f t="shared" si="5"/>
        <v>5</v>
      </c>
      <c r="S327" s="33">
        <f>IF(COUNTIF(O$2:O327,O327)=1,R327,0)/2.5</f>
        <v>2</v>
      </c>
    </row>
    <row r="328" spans="1:19" ht="18" customHeight="1" x14ac:dyDescent="0.25">
      <c r="A328" s="7" t="s">
        <v>43</v>
      </c>
      <c r="B328" s="8">
        <v>1</v>
      </c>
      <c r="C328" s="9">
        <v>430.4</v>
      </c>
      <c r="D328" s="29">
        <f>C328+IF(INDEX('Справочник по %'!B:B,(MATCH(A328,'Справочник по %'!A:A,0)))="кол-во",B328*INDEX('Справочник по %'!C:C,(MATCH(A328,'Справочник по %'!A:A,0))),ОТЧЕТ!C328*INDEX('Справочник по %'!C:C,(MATCH(A328,'Справочник по %'!A:A,0))))/100</f>
        <v>473.44</v>
      </c>
      <c r="E328" s="29">
        <f>IF(ОТЧЕТ!A328="SKU3",C328+ОТЧЕТ!C328*0.2,C328+ОТЧЕТ!C328*0.15)</f>
        <v>494.96</v>
      </c>
      <c r="F328" s="7" t="s">
        <v>940</v>
      </c>
      <c r="G328" s="7">
        <v>2543009225</v>
      </c>
      <c r="H328" s="20" t="s">
        <v>941</v>
      </c>
      <c r="I328" s="22" t="str">
        <f>INDEX('Справочник Сети'!B:B,(MATCH(G328,'Справочник Сети'!C:C,0)))</f>
        <v>Нео-фарм</v>
      </c>
      <c r="J328" s="7" t="s">
        <v>46</v>
      </c>
      <c r="K328" s="7" t="s">
        <v>942</v>
      </c>
      <c r="L328" s="7" t="s">
        <v>46</v>
      </c>
      <c r="M328" s="31">
        <v>45726</v>
      </c>
      <c r="N328" s="7" t="s">
        <v>943</v>
      </c>
      <c r="O328" s="8">
        <v>2518</v>
      </c>
      <c r="P328" s="24">
        <v>2661</v>
      </c>
      <c r="Q328" s="22">
        <f>IF(COUNTIFS(A$2:A328,A328,I$2:I328,I328)=1,1,0)</f>
        <v>0</v>
      </c>
      <c r="R328" s="22">
        <f t="shared" si="5"/>
        <v>6</v>
      </c>
      <c r="S328" s="33">
        <f>IF(COUNTIF(O$2:O328,O328)=1,R328,0)/2.5</f>
        <v>2.4</v>
      </c>
    </row>
    <row r="329" spans="1:19" ht="18" customHeight="1" x14ac:dyDescent="0.25">
      <c r="A329" s="7" t="s">
        <v>43</v>
      </c>
      <c r="B329" s="8">
        <v>1</v>
      </c>
      <c r="C329" s="9">
        <v>430.4</v>
      </c>
      <c r="D329" s="29">
        <f>C329+IF(INDEX('Справочник по %'!B:B,(MATCH(A329,'Справочник по %'!A:A,0)))="кол-во",B329*INDEX('Справочник по %'!C:C,(MATCH(A329,'Справочник по %'!A:A,0))),ОТЧЕТ!C329*INDEX('Справочник по %'!C:C,(MATCH(A329,'Справочник по %'!A:A,0))))/100</f>
        <v>473.44</v>
      </c>
      <c r="E329" s="29">
        <f>IF(ОТЧЕТ!A329="SKU3",C329+ОТЧЕТ!C329*0.2,C329+ОТЧЕТ!C329*0.15)</f>
        <v>494.96</v>
      </c>
      <c r="F329" s="7" t="s">
        <v>944</v>
      </c>
      <c r="G329" s="7">
        <v>2543009225</v>
      </c>
      <c r="H329" s="20" t="s">
        <v>941</v>
      </c>
      <c r="I329" s="22" t="str">
        <f>INDEX('Справочник Сети'!B:B,(MATCH(G329,'Справочник Сети'!C:C,0)))</f>
        <v>Нео-фарм</v>
      </c>
      <c r="J329" s="7" t="s">
        <v>46</v>
      </c>
      <c r="K329" s="7" t="s">
        <v>905</v>
      </c>
      <c r="L329" s="7" t="s">
        <v>46</v>
      </c>
      <c r="M329" s="31">
        <v>45726</v>
      </c>
      <c r="N329" s="7" t="s">
        <v>945</v>
      </c>
      <c r="O329" s="8">
        <v>2518</v>
      </c>
      <c r="P329" s="24">
        <v>2662</v>
      </c>
      <c r="Q329" s="22">
        <f>IF(COUNTIFS(A$2:A329,A329,I$2:I329,I329)=1,1,0)</f>
        <v>0</v>
      </c>
      <c r="R329" s="22">
        <f t="shared" si="5"/>
        <v>6</v>
      </c>
      <c r="S329" s="33">
        <f>IF(COUNTIF(O$2:O329,O329)=1,R329,0)/2.5</f>
        <v>0</v>
      </c>
    </row>
    <row r="330" spans="1:19" ht="18" customHeight="1" x14ac:dyDescent="0.25">
      <c r="A330" s="7" t="s">
        <v>43</v>
      </c>
      <c r="B330" s="8">
        <v>1</v>
      </c>
      <c r="C330" s="9">
        <v>394</v>
      </c>
      <c r="D330" s="29">
        <f>C330+IF(INDEX('Справочник по %'!B:B,(MATCH(A330,'Справочник по %'!A:A,0)))="кол-во",B330*INDEX('Справочник по %'!C:C,(MATCH(A330,'Справочник по %'!A:A,0))),ОТЧЕТ!C330*INDEX('Справочник по %'!C:C,(MATCH(A330,'Справочник по %'!A:A,0))))/100</f>
        <v>433.4</v>
      </c>
      <c r="E330" s="29">
        <f>IF(ОТЧЕТ!A330="SKU3",C330+ОТЧЕТ!C330*0.2,C330+ОТЧЕТ!C330*0.15)</f>
        <v>453.1</v>
      </c>
      <c r="F330" s="7" t="s">
        <v>944</v>
      </c>
      <c r="G330" s="7">
        <v>3606002925</v>
      </c>
      <c r="H330" s="20" t="s">
        <v>946</v>
      </c>
      <c r="I330" s="22">
        <f>INDEX('Справочник Сети'!B:B,(MATCH(G330,'Справочник Сети'!C:C,0)))</f>
        <v>0</v>
      </c>
      <c r="J330" s="7" t="s">
        <v>65</v>
      </c>
      <c r="K330" s="7" t="s">
        <v>947</v>
      </c>
      <c r="L330" s="7" t="s">
        <v>65</v>
      </c>
      <c r="M330" s="31">
        <v>45717</v>
      </c>
      <c r="N330" s="7" t="s">
        <v>948</v>
      </c>
      <c r="O330" s="8">
        <v>29</v>
      </c>
      <c r="P330" s="24">
        <v>2664</v>
      </c>
      <c r="Q330" s="22">
        <f>IF(COUNTIFS(A$2:A330,A330,I$2:I330,I330)=1,1,0)</f>
        <v>0</v>
      </c>
      <c r="R330" s="22">
        <f t="shared" si="5"/>
        <v>2</v>
      </c>
      <c r="S330" s="33">
        <f>IF(COUNTIF(O$2:O330,O330)=1,R330,0)/2.5</f>
        <v>0.8</v>
      </c>
    </row>
    <row r="331" spans="1:19" ht="18" customHeight="1" x14ac:dyDescent="0.25">
      <c r="A331" s="7" t="s">
        <v>37</v>
      </c>
      <c r="B331" s="8">
        <v>1</v>
      </c>
      <c r="C331" s="9">
        <v>541</v>
      </c>
      <c r="D331" s="29">
        <f>C331+IF(INDEX('Справочник по %'!B:B,(MATCH(A331,'Справочник по %'!A:A,0)))="кол-во",B331*INDEX('Справочник по %'!C:C,(MATCH(A331,'Справочник по %'!A:A,0))),ОТЧЕТ!C331*INDEX('Справочник по %'!C:C,(MATCH(A331,'Справочник по %'!A:A,0))))/100</f>
        <v>541.20000000000005</v>
      </c>
      <c r="E331" s="29">
        <f>IF(ОТЧЕТ!A331="SKU3",C331+ОТЧЕТ!C331*0.2,C331+ОТЧЕТ!C331*0.15)</f>
        <v>622.15</v>
      </c>
      <c r="F331" s="7" t="s">
        <v>944</v>
      </c>
      <c r="G331" s="7">
        <v>7706795062</v>
      </c>
      <c r="H331" s="20" t="s">
        <v>810</v>
      </c>
      <c r="I331" s="22" t="str">
        <f>INDEX('Справочник Сети'!B:B,(MATCH(G331,'Справочник Сети'!C:C,0)))</f>
        <v>Планета здоровья</v>
      </c>
      <c r="J331" s="7" t="s">
        <v>87</v>
      </c>
      <c r="K331" s="7" t="s">
        <v>949</v>
      </c>
      <c r="L331" s="7" t="s">
        <v>87</v>
      </c>
      <c r="M331" s="31">
        <v>45691</v>
      </c>
      <c r="N331" s="7" t="s">
        <v>950</v>
      </c>
      <c r="O331" s="8">
        <v>3340</v>
      </c>
      <c r="P331" s="24">
        <v>2665</v>
      </c>
      <c r="Q331" s="22">
        <f>IF(COUNTIFS(A$2:A331,A331,I$2:I331,I331)=1,1,0)</f>
        <v>0</v>
      </c>
      <c r="R331" s="22">
        <f t="shared" si="5"/>
        <v>3</v>
      </c>
      <c r="S331" s="33">
        <f>IF(COUNTIF(O$2:O331,O331)=1,R331,0)/2.5</f>
        <v>0</v>
      </c>
    </row>
    <row r="332" spans="1:19" ht="18" customHeight="1" x14ac:dyDescent="0.25">
      <c r="A332" s="7" t="s">
        <v>37</v>
      </c>
      <c r="B332" s="8">
        <v>1</v>
      </c>
      <c r="C332" s="9">
        <v>685</v>
      </c>
      <c r="D332" s="29">
        <f>C332+IF(INDEX('Справочник по %'!B:B,(MATCH(A332,'Справочник по %'!A:A,0)))="кол-во",B332*INDEX('Справочник по %'!C:C,(MATCH(A332,'Справочник по %'!A:A,0))),ОТЧЕТ!C332*INDEX('Справочник по %'!C:C,(MATCH(A332,'Справочник по %'!A:A,0))))/100</f>
        <v>685.2</v>
      </c>
      <c r="E332" s="29">
        <f>IF(ОТЧЕТ!A332="SKU3",C332+ОТЧЕТ!C332*0.2,C332+ОТЧЕТ!C332*0.15)</f>
        <v>787.75</v>
      </c>
      <c r="F332" s="7" t="s">
        <v>944</v>
      </c>
      <c r="G332" s="7">
        <v>773401016776</v>
      </c>
      <c r="H332" s="20" t="s">
        <v>951</v>
      </c>
      <c r="I332" s="22">
        <f>INDEX('Справочник Сети'!B:B,(MATCH(G332,'Справочник Сети'!C:C,0)))</f>
        <v>0</v>
      </c>
      <c r="J332" s="7" t="s">
        <v>322</v>
      </c>
      <c r="K332" s="7" t="s">
        <v>949</v>
      </c>
      <c r="L332" s="7" t="s">
        <v>322</v>
      </c>
      <c r="M332" s="31">
        <v>45658</v>
      </c>
      <c r="N332" s="7" t="s">
        <v>952</v>
      </c>
      <c r="O332" s="8">
        <v>394</v>
      </c>
      <c r="P332" s="24">
        <v>2666</v>
      </c>
      <c r="Q332" s="22">
        <f>IF(COUNTIFS(A$2:A332,A332,I$2:I332,I332)=1,1,0)</f>
        <v>0</v>
      </c>
      <c r="R332" s="22">
        <f t="shared" si="5"/>
        <v>1</v>
      </c>
      <c r="S332" s="33">
        <f>IF(COUNTIF(O$2:O332,O332)=1,R332,0)/2.5</f>
        <v>0.4</v>
      </c>
    </row>
    <row r="333" spans="1:19" ht="18" customHeight="1" x14ac:dyDescent="0.25">
      <c r="A333" s="7" t="s">
        <v>43</v>
      </c>
      <c r="B333" s="8">
        <v>1</v>
      </c>
      <c r="C333" s="9">
        <v>406.77</v>
      </c>
      <c r="D333" s="29">
        <f>C333+IF(INDEX('Справочник по %'!B:B,(MATCH(A333,'Справочник по %'!A:A,0)))="кол-во",B333*INDEX('Справочник по %'!C:C,(MATCH(A333,'Справочник по %'!A:A,0))),ОТЧЕТ!C333*INDEX('Справочник по %'!C:C,(MATCH(A333,'Справочник по %'!A:A,0))))/100</f>
        <v>447.447</v>
      </c>
      <c r="E333" s="29">
        <f>IF(ОТЧЕТ!A333="SKU3",C333+ОТЧЕТ!C333*0.2,C333+ОТЧЕТ!C333*0.15)</f>
        <v>467.78549999999996</v>
      </c>
      <c r="F333" s="7" t="s">
        <v>953</v>
      </c>
      <c r="G333" s="7">
        <v>9102037849</v>
      </c>
      <c r="H333" s="20" t="s">
        <v>954</v>
      </c>
      <c r="I333" s="22">
        <f>INDEX('Справочник Сети'!B:B,(MATCH(G333,'Справочник Сети'!C:C,0)))</f>
        <v>0</v>
      </c>
      <c r="J333" s="7" t="s">
        <v>315</v>
      </c>
      <c r="K333" s="7" t="s">
        <v>947</v>
      </c>
      <c r="L333" s="7" t="s">
        <v>315</v>
      </c>
      <c r="M333" s="31">
        <v>45670</v>
      </c>
      <c r="N333" s="7" t="s">
        <v>955</v>
      </c>
      <c r="O333" s="8">
        <v>575</v>
      </c>
      <c r="P333" s="24">
        <v>2667</v>
      </c>
      <c r="Q333" s="22">
        <f>IF(COUNTIFS(A$2:A333,A333,I$2:I333,I333)=1,1,0)</f>
        <v>0</v>
      </c>
      <c r="R333" s="22">
        <f t="shared" si="5"/>
        <v>1</v>
      </c>
      <c r="S333" s="33">
        <f>IF(COUNTIF(O$2:O333,O333)=1,R333,0)/2.5</f>
        <v>0.4</v>
      </c>
    </row>
    <row r="334" spans="1:19" ht="18" customHeight="1" x14ac:dyDescent="0.25">
      <c r="A334" s="7" t="s">
        <v>37</v>
      </c>
      <c r="B334" s="8">
        <v>1</v>
      </c>
      <c r="C334" s="9">
        <v>555</v>
      </c>
      <c r="D334" s="29">
        <f>C334+IF(INDEX('Справочник по %'!B:B,(MATCH(A334,'Справочник по %'!A:A,0)))="кол-во",B334*INDEX('Справочник по %'!C:C,(MATCH(A334,'Справочник по %'!A:A,0))),ОТЧЕТ!C334*INDEX('Справочник по %'!C:C,(MATCH(A334,'Справочник по %'!A:A,0))))/100</f>
        <v>555.20000000000005</v>
      </c>
      <c r="E334" s="29">
        <f>IF(ОТЧЕТ!A334="SKU3",C334+ОТЧЕТ!C334*0.2,C334+ОТЧЕТ!C334*0.15)</f>
        <v>638.25</v>
      </c>
      <c r="F334" s="7" t="s">
        <v>956</v>
      </c>
      <c r="G334" s="7">
        <v>7706795062</v>
      </c>
      <c r="H334" s="20" t="s">
        <v>327</v>
      </c>
      <c r="I334" s="22" t="str">
        <f>INDEX('Справочник Сети'!B:B,(MATCH(G334,'Справочник Сети'!C:C,0)))</f>
        <v>Планета здоровья</v>
      </c>
      <c r="J334" s="7" t="s">
        <v>87</v>
      </c>
      <c r="K334" s="7" t="s">
        <v>957</v>
      </c>
      <c r="L334" s="7" t="s">
        <v>87</v>
      </c>
      <c r="M334" s="31">
        <v>45691</v>
      </c>
      <c r="N334" s="7" t="s">
        <v>958</v>
      </c>
      <c r="O334" s="8">
        <v>1640</v>
      </c>
      <c r="P334" s="24">
        <v>2669</v>
      </c>
      <c r="Q334" s="22">
        <f>IF(COUNTIFS(A$2:A334,A334,I$2:I334,I334)=1,1,0)</f>
        <v>0</v>
      </c>
      <c r="R334" s="22">
        <f t="shared" si="5"/>
        <v>4</v>
      </c>
      <c r="S334" s="33">
        <f>IF(COUNTIF(O$2:O334,O334)=1,R334,0)/2.5</f>
        <v>1.6</v>
      </c>
    </row>
    <row r="335" spans="1:19" ht="18" customHeight="1" x14ac:dyDescent="0.25">
      <c r="A335" s="7" t="s">
        <v>37</v>
      </c>
      <c r="B335" s="8">
        <v>1</v>
      </c>
      <c r="C335" s="9">
        <v>579</v>
      </c>
      <c r="D335" s="29">
        <f>C335+IF(INDEX('Справочник по %'!B:B,(MATCH(A335,'Справочник по %'!A:A,0)))="кол-во",B335*INDEX('Справочник по %'!C:C,(MATCH(A335,'Справочник по %'!A:A,0))),ОТЧЕТ!C335*INDEX('Справочник по %'!C:C,(MATCH(A335,'Справочник по %'!A:A,0))))/100</f>
        <v>579.20000000000005</v>
      </c>
      <c r="E335" s="29">
        <f>IF(ОТЧЕТ!A335="SKU3",C335+ОТЧЕТ!C335*0.2,C335+ОТЧЕТ!C335*0.15)</f>
        <v>665.85</v>
      </c>
      <c r="F335" s="7" t="s">
        <v>956</v>
      </c>
      <c r="G335" s="7">
        <v>150402161852</v>
      </c>
      <c r="H335" s="20" t="s">
        <v>725</v>
      </c>
      <c r="I335" s="22">
        <f>INDEX('Справочник Сети'!B:B,(MATCH(G335,'Справочник Сети'!C:C,0)))</f>
        <v>0</v>
      </c>
      <c r="J335" s="7" t="s">
        <v>74</v>
      </c>
      <c r="K335" s="7" t="s">
        <v>959</v>
      </c>
      <c r="L335" s="7" t="s">
        <v>74</v>
      </c>
      <c r="M335" s="31">
        <v>45661</v>
      </c>
      <c r="N335" s="7" t="s">
        <v>960</v>
      </c>
      <c r="O335" s="8">
        <v>3721</v>
      </c>
      <c r="P335" s="24">
        <v>2671</v>
      </c>
      <c r="Q335" s="22">
        <f>IF(COUNTIFS(A$2:A335,A335,I$2:I335,I335)=1,1,0)</f>
        <v>0</v>
      </c>
      <c r="R335" s="22">
        <f t="shared" si="5"/>
        <v>3</v>
      </c>
      <c r="S335" s="33">
        <f>IF(COUNTIF(O$2:O335,O335)=1,R335,0)/2.5</f>
        <v>1.2</v>
      </c>
    </row>
    <row r="336" spans="1:19" ht="18" customHeight="1" x14ac:dyDescent="0.25">
      <c r="A336" s="7" t="s">
        <v>43</v>
      </c>
      <c r="B336" s="8">
        <v>1</v>
      </c>
      <c r="C336" s="9">
        <v>449</v>
      </c>
      <c r="D336" s="29">
        <f>C336+IF(INDEX('Справочник по %'!B:B,(MATCH(A336,'Справочник по %'!A:A,0)))="кол-во",B336*INDEX('Справочник по %'!C:C,(MATCH(A336,'Справочник по %'!A:A,0))),ОТЧЕТ!C336*INDEX('Справочник по %'!C:C,(MATCH(A336,'Справочник по %'!A:A,0))))/100</f>
        <v>493.9</v>
      </c>
      <c r="E336" s="29">
        <f>IF(ОТЧЕТ!A336="SKU3",C336+ОТЧЕТ!C336*0.2,C336+ОТЧЕТ!C336*0.15)</f>
        <v>516.35</v>
      </c>
      <c r="F336" s="7" t="s">
        <v>956</v>
      </c>
      <c r="G336" s="7">
        <v>3665012499</v>
      </c>
      <c r="H336" s="20" t="s">
        <v>91</v>
      </c>
      <c r="I336" s="22" t="str">
        <f>INDEX('Справочник Сети'!B:B,(MATCH(G336,'Справочник Сети'!C:C,0)))</f>
        <v>36,6</v>
      </c>
      <c r="J336" s="7" t="s">
        <v>65</v>
      </c>
      <c r="K336" s="7" t="s">
        <v>961</v>
      </c>
      <c r="L336" s="7" t="s">
        <v>65</v>
      </c>
      <c r="M336" s="31">
        <v>45717</v>
      </c>
      <c r="N336" s="7" t="s">
        <v>962</v>
      </c>
      <c r="O336" s="8">
        <v>1979</v>
      </c>
      <c r="P336" s="24">
        <v>2674</v>
      </c>
      <c r="Q336" s="22">
        <f>IF(COUNTIFS(A$2:A336,A336,I$2:I336,I336)=1,1,0)</f>
        <v>0</v>
      </c>
      <c r="R336" s="22">
        <f t="shared" si="5"/>
        <v>3</v>
      </c>
      <c r="S336" s="33">
        <f>IF(COUNTIF(O$2:O336,O336)=1,R336,0)/2.5</f>
        <v>0</v>
      </c>
    </row>
    <row r="337" spans="1:19" ht="18" customHeight="1" x14ac:dyDescent="0.25">
      <c r="A337" s="7" t="s">
        <v>43</v>
      </c>
      <c r="B337" s="8">
        <v>1</v>
      </c>
      <c r="C337" s="9">
        <v>640</v>
      </c>
      <c r="D337" s="29">
        <f>C337+IF(INDEX('Справочник по %'!B:B,(MATCH(A337,'Справочник по %'!A:A,0)))="кол-во",B337*INDEX('Справочник по %'!C:C,(MATCH(A337,'Справочник по %'!A:A,0))),ОТЧЕТ!C337*INDEX('Справочник по %'!C:C,(MATCH(A337,'Справочник по %'!A:A,0))))/100</f>
        <v>704</v>
      </c>
      <c r="E337" s="29">
        <f>IF(ОТЧЕТ!A337="SKU3",C337+ОТЧЕТ!C337*0.2,C337+ОТЧЕТ!C337*0.15)</f>
        <v>736</v>
      </c>
      <c r="F337" s="7" t="s">
        <v>956</v>
      </c>
      <c r="G337" s="7">
        <v>7705947629</v>
      </c>
      <c r="H337" s="20" t="s">
        <v>50</v>
      </c>
      <c r="I337" s="22" t="str">
        <f>INDEX('Справочник Сети'!B:B,(MATCH(G337,'Справочник Сети'!C:C,0)))</f>
        <v>36,6</v>
      </c>
      <c r="J337" s="7" t="s">
        <v>104</v>
      </c>
      <c r="K337" s="7" t="s">
        <v>963</v>
      </c>
      <c r="L337" s="7" t="s">
        <v>104</v>
      </c>
      <c r="M337" s="31">
        <v>45693</v>
      </c>
      <c r="N337" s="7" t="s">
        <v>964</v>
      </c>
      <c r="O337" s="8">
        <v>620</v>
      </c>
      <c r="P337" s="24">
        <v>2677</v>
      </c>
      <c r="Q337" s="22">
        <f>IF(COUNTIFS(A$2:A337,A337,I$2:I337,I337)=1,1,0)</f>
        <v>0</v>
      </c>
      <c r="R337" s="22">
        <f t="shared" si="5"/>
        <v>4</v>
      </c>
      <c r="S337" s="33">
        <f>IF(COUNTIF(O$2:O337,O337)=1,R337,0)/2.5</f>
        <v>0</v>
      </c>
    </row>
    <row r="338" spans="1:19" ht="18" customHeight="1" x14ac:dyDescent="0.25">
      <c r="A338" s="7" t="s">
        <v>43</v>
      </c>
      <c r="B338" s="8">
        <v>1</v>
      </c>
      <c r="C338" s="9">
        <v>463</v>
      </c>
      <c r="D338" s="29">
        <f>C338+IF(INDEX('Справочник по %'!B:B,(MATCH(A338,'Справочник по %'!A:A,0)))="кол-во",B338*INDEX('Справочник по %'!C:C,(MATCH(A338,'Справочник по %'!A:A,0))),ОТЧЕТ!C338*INDEX('Справочник по %'!C:C,(MATCH(A338,'Справочник по %'!A:A,0))))/100</f>
        <v>509.3</v>
      </c>
      <c r="E338" s="29">
        <f>IF(ОТЧЕТ!A338="SKU3",C338+ОТЧЕТ!C338*0.2,C338+ОТЧЕТ!C338*0.15)</f>
        <v>532.45000000000005</v>
      </c>
      <c r="F338" s="7" t="s">
        <v>956</v>
      </c>
      <c r="G338" s="7">
        <v>6162056110</v>
      </c>
      <c r="H338" s="20" t="s">
        <v>965</v>
      </c>
      <c r="I338" s="22">
        <f>INDEX('Справочник Сети'!B:B,(MATCH(G338,'Справочник Сети'!C:C,0)))</f>
        <v>0</v>
      </c>
      <c r="J338" s="7" t="s">
        <v>520</v>
      </c>
      <c r="K338" s="7" t="s">
        <v>966</v>
      </c>
      <c r="L338" s="7" t="s">
        <v>520</v>
      </c>
      <c r="M338" s="31">
        <v>45697</v>
      </c>
      <c r="N338" s="7" t="s">
        <v>967</v>
      </c>
      <c r="O338" s="8">
        <v>1572</v>
      </c>
      <c r="P338" s="24">
        <v>2680</v>
      </c>
      <c r="Q338" s="22">
        <f>IF(COUNTIFS(A$2:A338,A338,I$2:I338,I338)=1,1,0)</f>
        <v>0</v>
      </c>
      <c r="R338" s="22">
        <f t="shared" si="5"/>
        <v>4</v>
      </c>
      <c r="S338" s="33">
        <f>IF(COUNTIF(O$2:O338,O338)=1,R338,0)/2.5</f>
        <v>1.6</v>
      </c>
    </row>
    <row r="339" spans="1:19" ht="18" customHeight="1" x14ac:dyDescent="0.25">
      <c r="A339" s="7" t="s">
        <v>43</v>
      </c>
      <c r="B339" s="8">
        <v>1</v>
      </c>
      <c r="C339" s="9">
        <v>419.04</v>
      </c>
      <c r="D339" s="29">
        <f>C339+IF(INDEX('Справочник по %'!B:B,(MATCH(A339,'Справочник по %'!A:A,0)))="кол-во",B339*INDEX('Справочник по %'!C:C,(MATCH(A339,'Справочник по %'!A:A,0))),ОТЧЕТ!C339*INDEX('Справочник по %'!C:C,(MATCH(A339,'Справочник по %'!A:A,0))))/100</f>
        <v>460.94400000000002</v>
      </c>
      <c r="E339" s="29">
        <f>IF(ОТЧЕТ!A339="SKU3",C339+ОТЧЕТ!C339*0.2,C339+ОТЧЕТ!C339*0.15)</f>
        <v>481.89600000000002</v>
      </c>
      <c r="F339" s="7" t="s">
        <v>968</v>
      </c>
      <c r="G339" s="7">
        <v>2465327355</v>
      </c>
      <c r="H339" s="20" t="s">
        <v>50</v>
      </c>
      <c r="I339" s="22" t="str">
        <f>INDEX('Справочник Сети'!B:B,(MATCH(G339,'Справочник Сети'!C:C,0)))</f>
        <v>Планета здоровья</v>
      </c>
      <c r="J339" s="7" t="s">
        <v>96</v>
      </c>
      <c r="K339" s="7" t="s">
        <v>969</v>
      </c>
      <c r="L339" s="7" t="s">
        <v>96</v>
      </c>
      <c r="M339" s="31">
        <v>45727</v>
      </c>
      <c r="N339" s="7" t="s">
        <v>970</v>
      </c>
      <c r="O339" s="8">
        <v>3069</v>
      </c>
      <c r="P339" s="24">
        <v>2687</v>
      </c>
      <c r="Q339" s="22">
        <f>IF(COUNTIFS(A$2:A339,A339,I$2:I339,I339)=1,1,0)</f>
        <v>0</v>
      </c>
      <c r="R339" s="22">
        <f t="shared" si="5"/>
        <v>4</v>
      </c>
      <c r="S339" s="33">
        <f>IF(COUNTIF(O$2:O339,O339)=1,R339,0)/2.5</f>
        <v>1.6</v>
      </c>
    </row>
    <row r="340" spans="1:19" ht="18" customHeight="1" x14ac:dyDescent="0.25">
      <c r="A340" s="7" t="s">
        <v>43</v>
      </c>
      <c r="B340" s="8">
        <v>1</v>
      </c>
      <c r="C340" s="9">
        <v>420</v>
      </c>
      <c r="D340" s="29">
        <f>C340+IF(INDEX('Справочник по %'!B:B,(MATCH(A340,'Справочник по %'!A:A,0)))="кол-во",B340*INDEX('Справочник по %'!C:C,(MATCH(A340,'Справочник по %'!A:A,0))),ОТЧЕТ!C340*INDEX('Справочник по %'!C:C,(MATCH(A340,'Справочник по %'!A:A,0))))/100</f>
        <v>462</v>
      </c>
      <c r="E340" s="29">
        <f>IF(ОТЧЕТ!A340="SKU3",C340+ОТЧЕТ!C340*0.2,C340+ОТЧЕТ!C340*0.15)</f>
        <v>483</v>
      </c>
      <c r="F340" s="7" t="s">
        <v>968</v>
      </c>
      <c r="G340" s="7">
        <v>2225105670</v>
      </c>
      <c r="H340" s="20" t="s">
        <v>69</v>
      </c>
      <c r="I340" s="22" t="str">
        <f>INDEX('Справочник Сети'!B:B,(MATCH(G340,'Справочник Сети'!C:C,0)))</f>
        <v>Столички</v>
      </c>
      <c r="J340" s="7" t="s">
        <v>372</v>
      </c>
      <c r="K340" s="7" t="s">
        <v>971</v>
      </c>
      <c r="L340" s="7" t="s">
        <v>372</v>
      </c>
      <c r="M340" s="31">
        <v>45730</v>
      </c>
      <c r="N340" s="7" t="s">
        <v>972</v>
      </c>
      <c r="O340" s="8">
        <v>2345</v>
      </c>
      <c r="P340" s="24">
        <v>2688</v>
      </c>
      <c r="Q340" s="22">
        <f>IF(COUNTIFS(A$2:A340,A340,I$2:I340,I340)=1,1,0)</f>
        <v>0</v>
      </c>
      <c r="R340" s="22">
        <f t="shared" si="5"/>
        <v>5</v>
      </c>
      <c r="S340" s="33">
        <f>IF(COUNTIF(O$2:O340,O340)=1,R340,0)/2.5</f>
        <v>2</v>
      </c>
    </row>
    <row r="341" spans="1:19" ht="18" customHeight="1" x14ac:dyDescent="0.25">
      <c r="A341" s="7" t="s">
        <v>43</v>
      </c>
      <c r="B341" s="8">
        <v>1</v>
      </c>
      <c r="C341" s="9">
        <v>445</v>
      </c>
      <c r="D341" s="29">
        <f>C341+IF(INDEX('Справочник по %'!B:B,(MATCH(A341,'Справочник по %'!A:A,0)))="кол-во",B341*INDEX('Справочник по %'!C:C,(MATCH(A341,'Справочник по %'!A:A,0))),ОТЧЕТ!C341*INDEX('Справочник по %'!C:C,(MATCH(A341,'Справочник по %'!A:A,0))))/100</f>
        <v>489.5</v>
      </c>
      <c r="E341" s="29">
        <f>IF(ОТЧЕТ!A341="SKU3",C341+ОТЧЕТ!C341*0.2,C341+ОТЧЕТ!C341*0.15)</f>
        <v>511.75</v>
      </c>
      <c r="F341" s="7" t="s">
        <v>973</v>
      </c>
      <c r="G341" s="7">
        <v>326537584</v>
      </c>
      <c r="H341" s="20" t="s">
        <v>459</v>
      </c>
      <c r="I341" s="22" t="str">
        <f>INDEX('Справочник Сети'!B:B,(MATCH(G341,'Справочник Сети'!C:C,0)))</f>
        <v>Планета здоровья</v>
      </c>
      <c r="J341" s="7" t="s">
        <v>362</v>
      </c>
      <c r="K341" s="7" t="s">
        <v>66</v>
      </c>
      <c r="L341" s="7" t="s">
        <v>362</v>
      </c>
      <c r="M341" s="31">
        <v>45732</v>
      </c>
      <c r="N341" s="7" t="s">
        <v>974</v>
      </c>
      <c r="O341" s="8">
        <v>820</v>
      </c>
      <c r="P341" s="24">
        <v>2695</v>
      </c>
      <c r="Q341" s="22">
        <f>IF(COUNTIFS(A$2:A341,A341,I$2:I341,I341)=1,1,0)</f>
        <v>0</v>
      </c>
      <c r="R341" s="22">
        <f t="shared" si="5"/>
        <v>4</v>
      </c>
      <c r="S341" s="33">
        <f>IF(COUNTIF(O$2:O341,O341)=1,R341,0)/2.5</f>
        <v>1.6</v>
      </c>
    </row>
    <row r="342" spans="1:19" ht="18" customHeight="1" x14ac:dyDescent="0.25">
      <c r="A342" s="7" t="s">
        <v>43</v>
      </c>
      <c r="B342" s="8">
        <v>1</v>
      </c>
      <c r="C342" s="9">
        <v>400.5</v>
      </c>
      <c r="D342" s="29">
        <f>C342+IF(INDEX('Справочник по %'!B:B,(MATCH(A342,'Справочник по %'!A:A,0)))="кол-во",B342*INDEX('Справочник по %'!C:C,(MATCH(A342,'Справочник по %'!A:A,0))),ОТЧЕТ!C342*INDEX('Справочник по %'!C:C,(MATCH(A342,'Справочник по %'!A:A,0))))/100</f>
        <v>440.55</v>
      </c>
      <c r="E342" s="29">
        <f>IF(ОТЧЕТ!A342="SKU3",C342+ОТЧЕТ!C342*0.2,C342+ОТЧЕТ!C342*0.15)</f>
        <v>460.57499999999999</v>
      </c>
      <c r="F342" s="7" t="s">
        <v>973</v>
      </c>
      <c r="G342" s="7">
        <v>5507102175</v>
      </c>
      <c r="H342" s="20" t="s">
        <v>91</v>
      </c>
      <c r="I342" s="22" t="str">
        <f>INDEX('Справочник Сети'!B:B,(MATCH(G342,'Справочник Сети'!C:C,0)))</f>
        <v>Столички</v>
      </c>
      <c r="J342" s="7" t="s">
        <v>255</v>
      </c>
      <c r="K342" s="7" t="s">
        <v>746</v>
      </c>
      <c r="L342" s="7" t="s">
        <v>255</v>
      </c>
      <c r="M342" s="31">
        <v>45713</v>
      </c>
      <c r="N342" s="7" t="s">
        <v>975</v>
      </c>
      <c r="O342" s="8">
        <v>2912</v>
      </c>
      <c r="P342" s="24">
        <v>2700</v>
      </c>
      <c r="Q342" s="22">
        <f>IF(COUNTIFS(A$2:A342,A342,I$2:I342,I342)=1,1,0)</f>
        <v>0</v>
      </c>
      <c r="R342" s="22">
        <f t="shared" si="5"/>
        <v>3</v>
      </c>
      <c r="S342" s="33">
        <f>IF(COUNTIF(O$2:O342,O342)=1,R342,0)/2.5</f>
        <v>1.2</v>
      </c>
    </row>
    <row r="343" spans="1:19" ht="18" customHeight="1" x14ac:dyDescent="0.25">
      <c r="A343" s="7" t="s">
        <v>43</v>
      </c>
      <c r="B343" s="8">
        <v>1</v>
      </c>
      <c r="C343" s="9">
        <v>399</v>
      </c>
      <c r="D343" s="29">
        <f>C343+IF(INDEX('Справочник по %'!B:B,(MATCH(A343,'Справочник по %'!A:A,0)))="кол-во",B343*INDEX('Справочник по %'!C:C,(MATCH(A343,'Справочник по %'!A:A,0))),ОТЧЕТ!C343*INDEX('Справочник по %'!C:C,(MATCH(A343,'Справочник по %'!A:A,0))))/100</f>
        <v>438.9</v>
      </c>
      <c r="E343" s="29">
        <f>IF(ОТЧЕТ!A343="SKU3",C343+ОТЧЕТ!C343*0.2,C343+ОТЧЕТ!C343*0.15)</f>
        <v>458.85</v>
      </c>
      <c r="F343" s="7" t="s">
        <v>973</v>
      </c>
      <c r="G343" s="7">
        <v>3123296586</v>
      </c>
      <c r="H343" s="20" t="s">
        <v>192</v>
      </c>
      <c r="I343" s="22" t="str">
        <f>INDEX('Справочник Сети'!B:B,(MATCH(G343,'Справочник Сети'!C:C,0)))</f>
        <v>Столички</v>
      </c>
      <c r="J343" s="7" t="s">
        <v>193</v>
      </c>
      <c r="K343" s="7" t="s">
        <v>976</v>
      </c>
      <c r="L343" s="7" t="s">
        <v>193</v>
      </c>
      <c r="M343" s="31">
        <v>45718</v>
      </c>
      <c r="N343" s="7" t="s">
        <v>977</v>
      </c>
      <c r="O343" s="8">
        <v>3050</v>
      </c>
      <c r="P343" s="24">
        <v>2701</v>
      </c>
      <c r="Q343" s="22">
        <f>IF(COUNTIFS(A$2:A343,A343,I$2:I343,I343)=1,1,0)</f>
        <v>0</v>
      </c>
      <c r="R343" s="22">
        <f t="shared" si="5"/>
        <v>10</v>
      </c>
      <c r="S343" s="33">
        <f>IF(COUNTIF(O$2:O343,O343)=1,R343,0)/2.5</f>
        <v>0</v>
      </c>
    </row>
    <row r="344" spans="1:19" ht="18" customHeight="1" x14ac:dyDescent="0.25">
      <c r="A344" s="7" t="s">
        <v>43</v>
      </c>
      <c r="B344" s="8">
        <v>1</v>
      </c>
      <c r="C344" s="9">
        <v>378</v>
      </c>
      <c r="D344" s="29">
        <f>C344+IF(INDEX('Справочник по %'!B:B,(MATCH(A344,'Справочник по %'!A:A,0)))="кол-во",B344*INDEX('Справочник по %'!C:C,(MATCH(A344,'Справочник по %'!A:A,0))),ОТЧЕТ!C344*INDEX('Справочник по %'!C:C,(MATCH(A344,'Справочник по %'!A:A,0))))/100</f>
        <v>415.8</v>
      </c>
      <c r="E344" s="29">
        <f>IF(ОТЧЕТ!A344="SKU3",C344+ОТЧЕТ!C344*0.2,C344+ОТЧЕТ!C344*0.15)</f>
        <v>434.7</v>
      </c>
      <c r="F344" s="7" t="s">
        <v>973</v>
      </c>
      <c r="G344" s="7">
        <v>6453164914</v>
      </c>
      <c r="H344" s="20" t="s">
        <v>50</v>
      </c>
      <c r="I344" s="22">
        <f>INDEX('Справочник Сети'!B:B,(MATCH(G344,'Справочник Сети'!C:C,0)))</f>
        <v>0</v>
      </c>
      <c r="J344" s="7" t="s">
        <v>133</v>
      </c>
      <c r="K344" s="7" t="s">
        <v>525</v>
      </c>
      <c r="L344" s="7" t="s">
        <v>133</v>
      </c>
      <c r="M344" s="31">
        <v>45695</v>
      </c>
      <c r="N344" s="7" t="s">
        <v>978</v>
      </c>
      <c r="O344" s="8">
        <v>11499</v>
      </c>
      <c r="P344" s="24">
        <v>2703</v>
      </c>
      <c r="Q344" s="22">
        <f>IF(COUNTIFS(A$2:A344,A344,I$2:I344,I344)=1,1,0)</f>
        <v>0</v>
      </c>
      <c r="R344" s="22">
        <f t="shared" si="5"/>
        <v>1</v>
      </c>
      <c r="S344" s="33">
        <f>IF(COUNTIF(O$2:O344,O344)=1,R344,0)/2.5</f>
        <v>0.4</v>
      </c>
    </row>
    <row r="345" spans="1:19" ht="18" customHeight="1" x14ac:dyDescent="0.25">
      <c r="A345" s="7" t="s">
        <v>37</v>
      </c>
      <c r="B345" s="8">
        <v>1</v>
      </c>
      <c r="C345" s="9">
        <v>640</v>
      </c>
      <c r="D345" s="29">
        <f>C345+IF(INDEX('Справочник по %'!B:B,(MATCH(A345,'Справочник по %'!A:A,0)))="кол-во",B345*INDEX('Справочник по %'!C:C,(MATCH(A345,'Справочник по %'!A:A,0))),ОТЧЕТ!C345*INDEX('Справочник по %'!C:C,(MATCH(A345,'Справочник по %'!A:A,0))))/100</f>
        <v>640.20000000000005</v>
      </c>
      <c r="E345" s="29">
        <f>IF(ОТЧЕТ!A345="SKU3",C345+ОТЧЕТ!C345*0.2,C345+ОТЧЕТ!C345*0.15)</f>
        <v>736</v>
      </c>
      <c r="F345" s="7" t="s">
        <v>979</v>
      </c>
      <c r="G345" s="7">
        <v>5907998608</v>
      </c>
      <c r="H345" s="20" t="s">
        <v>39</v>
      </c>
      <c r="I345" s="22" t="str">
        <f>INDEX('Справочник Сети'!B:B,(MATCH(G345,'Справочник Сети'!C:C,0)))</f>
        <v>Планета здоровья</v>
      </c>
      <c r="J345" s="7" t="s">
        <v>520</v>
      </c>
      <c r="K345" s="7" t="s">
        <v>980</v>
      </c>
      <c r="L345" s="7" t="s">
        <v>520</v>
      </c>
      <c r="M345" s="31">
        <v>45697</v>
      </c>
      <c r="N345" s="7" t="s">
        <v>981</v>
      </c>
      <c r="O345" s="8">
        <v>2626</v>
      </c>
      <c r="P345" s="24">
        <v>2708</v>
      </c>
      <c r="Q345" s="22">
        <f>IF(COUNTIFS(A$2:A345,A345,I$2:I345,I345)=1,1,0)</f>
        <v>0</v>
      </c>
      <c r="R345" s="22">
        <f t="shared" si="5"/>
        <v>1</v>
      </c>
      <c r="S345" s="33">
        <f>IF(COUNTIF(O$2:O345,O345)=1,R345,0)/2.5</f>
        <v>0.4</v>
      </c>
    </row>
    <row r="346" spans="1:19" ht="18" customHeight="1" x14ac:dyDescent="0.25">
      <c r="A346" s="7" t="s">
        <v>43</v>
      </c>
      <c r="B346" s="8">
        <v>1</v>
      </c>
      <c r="C346" s="9">
        <v>374</v>
      </c>
      <c r="D346" s="29">
        <f>C346+IF(INDEX('Справочник по %'!B:B,(MATCH(A346,'Справочник по %'!A:A,0)))="кол-во",B346*INDEX('Справочник по %'!C:C,(MATCH(A346,'Справочник по %'!A:A,0))),ОТЧЕТ!C346*INDEX('Справочник по %'!C:C,(MATCH(A346,'Справочник по %'!A:A,0))))/100</f>
        <v>411.4</v>
      </c>
      <c r="E346" s="29">
        <f>IF(ОТЧЕТ!A346="SKU3",C346+ОТЧЕТ!C346*0.2,C346+ОТЧЕТ!C346*0.15)</f>
        <v>430.1</v>
      </c>
      <c r="F346" s="7" t="s">
        <v>979</v>
      </c>
      <c r="G346" s="7">
        <v>7706795062</v>
      </c>
      <c r="H346" s="20" t="s">
        <v>982</v>
      </c>
      <c r="I346" s="22" t="str">
        <f>INDEX('Справочник Сети'!B:B,(MATCH(G346,'Справочник Сети'!C:C,0)))</f>
        <v>Планета здоровья</v>
      </c>
      <c r="J346" s="7" t="s">
        <v>87</v>
      </c>
      <c r="K346" s="7" t="s">
        <v>983</v>
      </c>
      <c r="L346" s="7" t="s">
        <v>87</v>
      </c>
      <c r="M346" s="31">
        <v>45691</v>
      </c>
      <c r="N346" s="7" t="s">
        <v>984</v>
      </c>
      <c r="O346" s="8">
        <v>3270</v>
      </c>
      <c r="P346" s="24">
        <v>2710</v>
      </c>
      <c r="Q346" s="22">
        <f>IF(COUNTIFS(A$2:A346,A346,I$2:I346,I346)=1,1,0)</f>
        <v>0</v>
      </c>
      <c r="R346" s="22">
        <f t="shared" si="5"/>
        <v>2</v>
      </c>
      <c r="S346" s="33">
        <f>IF(COUNTIF(O$2:O346,O346)=1,R346,0)/2.5</f>
        <v>0.8</v>
      </c>
    </row>
    <row r="347" spans="1:19" ht="18" customHeight="1" x14ac:dyDescent="0.25">
      <c r="A347" s="7" t="s">
        <v>43</v>
      </c>
      <c r="B347" s="8">
        <v>1</v>
      </c>
      <c r="C347" s="9">
        <v>440</v>
      </c>
      <c r="D347" s="29">
        <f>C347+IF(INDEX('Справочник по %'!B:B,(MATCH(A347,'Справочник по %'!A:A,0)))="кол-во",B347*INDEX('Справочник по %'!C:C,(MATCH(A347,'Справочник по %'!A:A,0))),ОТЧЕТ!C347*INDEX('Справочник по %'!C:C,(MATCH(A347,'Справочник по %'!A:A,0))))/100</f>
        <v>484</v>
      </c>
      <c r="E347" s="29">
        <f>IF(ОТЧЕТ!A347="SKU3",C347+ОТЧЕТ!C347*0.2,C347+ОТЧЕТ!C347*0.15)</f>
        <v>506</v>
      </c>
      <c r="F347" s="7" t="s">
        <v>985</v>
      </c>
      <c r="G347" s="7">
        <v>132807141277</v>
      </c>
      <c r="H347" s="20" t="s">
        <v>50</v>
      </c>
      <c r="I347" s="22">
        <f>INDEX('Справочник Сети'!B:B,(MATCH(G347,'Справочник Сети'!C:C,0)))</f>
        <v>0</v>
      </c>
      <c r="J347" s="7" t="s">
        <v>74</v>
      </c>
      <c r="K347" s="7" t="s">
        <v>986</v>
      </c>
      <c r="L347" s="7" t="s">
        <v>74</v>
      </c>
      <c r="M347" s="31">
        <v>45661</v>
      </c>
      <c r="N347" s="7" t="s">
        <v>987</v>
      </c>
      <c r="O347" s="8">
        <v>2404</v>
      </c>
      <c r="P347" s="24">
        <v>2712</v>
      </c>
      <c r="Q347" s="22">
        <f>IF(COUNTIFS(A$2:A347,A347,I$2:I347,I347)=1,1,0)</f>
        <v>0</v>
      </c>
      <c r="R347" s="22">
        <f t="shared" si="5"/>
        <v>1</v>
      </c>
      <c r="S347" s="33">
        <f>IF(COUNTIF(O$2:O347,O347)=1,R347,0)/2.5</f>
        <v>0.4</v>
      </c>
    </row>
    <row r="348" spans="1:19" ht="18" customHeight="1" x14ac:dyDescent="0.25">
      <c r="A348" s="7" t="s">
        <v>37</v>
      </c>
      <c r="B348" s="8">
        <v>1</v>
      </c>
      <c r="C348" s="9">
        <v>693</v>
      </c>
      <c r="D348" s="29">
        <f>C348+IF(INDEX('Справочник по %'!B:B,(MATCH(A348,'Справочник по %'!A:A,0)))="кол-во",B348*INDEX('Справочник по %'!C:C,(MATCH(A348,'Справочник по %'!A:A,0))),ОТЧЕТ!C348*INDEX('Справочник по %'!C:C,(MATCH(A348,'Справочник по %'!A:A,0))))/100</f>
        <v>693.2</v>
      </c>
      <c r="E348" s="29">
        <f>IF(ОТЧЕТ!A348="SKU3",C348+ОТЧЕТ!C348*0.2,C348+ОТЧЕТ!C348*0.15)</f>
        <v>796.95</v>
      </c>
      <c r="F348" s="7" t="s">
        <v>985</v>
      </c>
      <c r="G348" s="7">
        <v>4702057044</v>
      </c>
      <c r="H348" s="20" t="s">
        <v>50</v>
      </c>
      <c r="I348" s="22" t="str">
        <f>INDEX('Справочник Сети'!B:B,(MATCH(G348,'Справочник Сети'!C:C,0)))</f>
        <v>Ригла</v>
      </c>
      <c r="J348" s="7" t="s">
        <v>83</v>
      </c>
      <c r="K348" s="7" t="s">
        <v>961</v>
      </c>
      <c r="L348" s="7" t="s">
        <v>83</v>
      </c>
      <c r="M348" s="31">
        <v>45715</v>
      </c>
      <c r="N348" s="7" t="s">
        <v>988</v>
      </c>
      <c r="O348" s="8">
        <v>2455</v>
      </c>
      <c r="P348" s="24">
        <v>2713</v>
      </c>
      <c r="Q348" s="22">
        <f>IF(COUNTIFS(A$2:A348,A348,I$2:I348,I348)=1,1,0)</f>
        <v>0</v>
      </c>
      <c r="R348" s="22">
        <f t="shared" si="5"/>
        <v>4</v>
      </c>
      <c r="S348" s="33">
        <f>IF(COUNTIF(O$2:O348,O348)=1,R348,0)/2.5</f>
        <v>0</v>
      </c>
    </row>
    <row r="349" spans="1:19" ht="18" customHeight="1" x14ac:dyDescent="0.25">
      <c r="A349" s="7" t="s">
        <v>43</v>
      </c>
      <c r="B349" s="8">
        <v>1</v>
      </c>
      <c r="C349" s="9">
        <v>405</v>
      </c>
      <c r="D349" s="29">
        <f>C349+IF(INDEX('Справочник по %'!B:B,(MATCH(A349,'Справочник по %'!A:A,0)))="кол-во",B349*INDEX('Справочник по %'!C:C,(MATCH(A349,'Справочник по %'!A:A,0))),ОТЧЕТ!C349*INDEX('Справочник по %'!C:C,(MATCH(A349,'Справочник по %'!A:A,0))))/100</f>
        <v>445.5</v>
      </c>
      <c r="E349" s="29">
        <f>IF(ОТЧЕТ!A349="SKU3",C349+ОТЧЕТ!C349*0.2,C349+ОТЧЕТ!C349*0.15)</f>
        <v>465.75</v>
      </c>
      <c r="F349" s="7" t="s">
        <v>989</v>
      </c>
      <c r="G349" s="7">
        <v>2310219170</v>
      </c>
      <c r="H349" s="20" t="s">
        <v>69</v>
      </c>
      <c r="I349" s="22" t="str">
        <f>INDEX('Справочник Сети'!B:B,(MATCH(G349,'Справочник Сети'!C:C,0)))</f>
        <v>Столички</v>
      </c>
      <c r="J349" s="7" t="s">
        <v>70</v>
      </c>
      <c r="K349" s="7" t="s">
        <v>976</v>
      </c>
      <c r="L349" s="7" t="s">
        <v>70</v>
      </c>
      <c r="M349" s="31">
        <v>45728</v>
      </c>
      <c r="N349" s="7" t="s">
        <v>990</v>
      </c>
      <c r="O349" s="8">
        <v>1128</v>
      </c>
      <c r="P349" s="24">
        <v>2717</v>
      </c>
      <c r="Q349" s="22">
        <f>IF(COUNTIFS(A$2:A349,A349,I$2:I349,I349)=1,1,0)</f>
        <v>0</v>
      </c>
      <c r="R349" s="22">
        <f t="shared" si="5"/>
        <v>2</v>
      </c>
      <c r="S349" s="33">
        <f>IF(COUNTIF(O$2:O349,O349)=1,R349,0)/2.5</f>
        <v>0.8</v>
      </c>
    </row>
    <row r="350" spans="1:19" ht="18" customHeight="1" x14ac:dyDescent="0.25">
      <c r="A350" s="7" t="s">
        <v>37</v>
      </c>
      <c r="B350" s="8">
        <v>1</v>
      </c>
      <c r="C350" s="9">
        <v>635</v>
      </c>
      <c r="D350" s="29">
        <f>C350+IF(INDEX('Справочник по %'!B:B,(MATCH(A350,'Справочник по %'!A:A,0)))="кол-во",B350*INDEX('Справочник по %'!C:C,(MATCH(A350,'Справочник по %'!A:A,0))),ОТЧЕТ!C350*INDEX('Справочник по %'!C:C,(MATCH(A350,'Справочник по %'!A:A,0))))/100</f>
        <v>635.20000000000005</v>
      </c>
      <c r="E350" s="29">
        <f>IF(ОТЧЕТ!A350="SKU3",C350+ОТЧЕТ!C350*0.2,C350+ОТЧЕТ!C350*0.15)</f>
        <v>730.25</v>
      </c>
      <c r="F350" s="7" t="s">
        <v>989</v>
      </c>
      <c r="G350" s="7">
        <v>6673189456</v>
      </c>
      <c r="H350" s="20" t="s">
        <v>132</v>
      </c>
      <c r="I350" s="22" t="str">
        <f>INDEX('Справочник Сети'!B:B,(MATCH(G350,'Справочник Сети'!C:C,0)))</f>
        <v>Столички</v>
      </c>
      <c r="J350" s="7" t="s">
        <v>133</v>
      </c>
      <c r="K350" s="7" t="s">
        <v>991</v>
      </c>
      <c r="L350" s="7" t="s">
        <v>133</v>
      </c>
      <c r="M350" s="31">
        <v>45695</v>
      </c>
      <c r="N350" s="7" t="s">
        <v>992</v>
      </c>
      <c r="O350" s="8">
        <v>231</v>
      </c>
      <c r="P350" s="24">
        <v>2718</v>
      </c>
      <c r="Q350" s="22">
        <f>IF(COUNTIFS(A$2:A350,A350,I$2:I350,I350)=1,1,0)</f>
        <v>0</v>
      </c>
      <c r="R350" s="22">
        <f t="shared" si="5"/>
        <v>1</v>
      </c>
      <c r="S350" s="33">
        <f>IF(COUNTIF(O$2:O350,O350)=1,R350,0)/2.5</f>
        <v>0.4</v>
      </c>
    </row>
    <row r="351" spans="1:19" ht="18" customHeight="1" x14ac:dyDescent="0.25">
      <c r="A351" s="7" t="s">
        <v>43</v>
      </c>
      <c r="B351" s="8">
        <v>1</v>
      </c>
      <c r="C351" s="9">
        <v>385.9</v>
      </c>
      <c r="D351" s="29">
        <f>C351+IF(INDEX('Справочник по %'!B:B,(MATCH(A351,'Справочник по %'!A:A,0)))="кол-во",B351*INDEX('Справочник по %'!C:C,(MATCH(A351,'Справочник по %'!A:A,0))),ОТЧЕТ!C351*INDEX('Справочник по %'!C:C,(MATCH(A351,'Справочник по %'!A:A,0))))/100</f>
        <v>424.49</v>
      </c>
      <c r="E351" s="29">
        <f>IF(ОТЧЕТ!A351="SKU3",C351+ОТЧЕТ!C351*0.2,C351+ОТЧЕТ!C351*0.15)</f>
        <v>443.78499999999997</v>
      </c>
      <c r="F351" s="7" t="s">
        <v>989</v>
      </c>
      <c r="G351" s="7">
        <v>3801042576</v>
      </c>
      <c r="H351" s="20" t="s">
        <v>993</v>
      </c>
      <c r="I351" s="22" t="str">
        <f>INDEX('Справочник Сети'!B:B,(MATCH(G351,'Справочник Сети'!C:C,0)))</f>
        <v>Планета здоровья</v>
      </c>
      <c r="J351" s="7" t="s">
        <v>65</v>
      </c>
      <c r="K351" s="7" t="s">
        <v>719</v>
      </c>
      <c r="L351" s="7" t="s">
        <v>65</v>
      </c>
      <c r="M351" s="31">
        <v>45717</v>
      </c>
      <c r="N351" s="7" t="s">
        <v>994</v>
      </c>
      <c r="O351" s="8">
        <v>64</v>
      </c>
      <c r="P351" s="24">
        <v>2719</v>
      </c>
      <c r="Q351" s="22">
        <f>IF(COUNTIFS(A$2:A351,A351,I$2:I351,I351)=1,1,0)</f>
        <v>0</v>
      </c>
      <c r="R351" s="22">
        <f t="shared" si="5"/>
        <v>1</v>
      </c>
      <c r="S351" s="33">
        <f>IF(COUNTIF(O$2:O351,O351)=1,R351,0)/2.5</f>
        <v>0.4</v>
      </c>
    </row>
    <row r="352" spans="1:19" ht="18" customHeight="1" x14ac:dyDescent="0.25">
      <c r="A352" s="7" t="s">
        <v>43</v>
      </c>
      <c r="B352" s="8">
        <v>1</v>
      </c>
      <c r="C352" s="9">
        <v>465</v>
      </c>
      <c r="D352" s="29">
        <f>C352+IF(INDEX('Справочник по %'!B:B,(MATCH(A352,'Справочник по %'!A:A,0)))="кол-во",B352*INDEX('Справочник по %'!C:C,(MATCH(A352,'Справочник по %'!A:A,0))),ОТЧЕТ!C352*INDEX('Справочник по %'!C:C,(MATCH(A352,'Справочник по %'!A:A,0))))/100</f>
        <v>511.5</v>
      </c>
      <c r="E352" s="29">
        <f>IF(ОТЧЕТ!A352="SKU3",C352+ОТЧЕТ!C352*0.2,C352+ОТЧЕТ!C352*0.15)</f>
        <v>534.75</v>
      </c>
      <c r="F352" s="7" t="s">
        <v>995</v>
      </c>
      <c r="G352" s="7">
        <v>5438110616</v>
      </c>
      <c r="H352" s="20" t="s">
        <v>756</v>
      </c>
      <c r="I352" s="22">
        <f>INDEX('Справочник Сети'!B:B,(MATCH(G352,'Справочник Сети'!C:C,0)))</f>
        <v>0</v>
      </c>
      <c r="J352" s="7" t="s">
        <v>255</v>
      </c>
      <c r="K352" s="7" t="s">
        <v>996</v>
      </c>
      <c r="L352" s="7" t="s">
        <v>255</v>
      </c>
      <c r="M352" s="31">
        <v>45713</v>
      </c>
      <c r="N352" s="7" t="s">
        <v>997</v>
      </c>
      <c r="O352" s="8">
        <v>3433</v>
      </c>
      <c r="P352" s="24">
        <v>2725</v>
      </c>
      <c r="Q352" s="22">
        <f>IF(COUNTIFS(A$2:A352,A352,I$2:I352,I352)=1,1,0)</f>
        <v>0</v>
      </c>
      <c r="R352" s="22">
        <f t="shared" si="5"/>
        <v>5</v>
      </c>
      <c r="S352" s="33">
        <f>IF(COUNTIF(O$2:O352,O352)=1,R352,0)/2.5</f>
        <v>0</v>
      </c>
    </row>
    <row r="353" spans="1:19" ht="18" customHeight="1" x14ac:dyDescent="0.25">
      <c r="A353" s="7" t="s">
        <v>43</v>
      </c>
      <c r="B353" s="8">
        <v>1</v>
      </c>
      <c r="C353" s="9">
        <v>427</v>
      </c>
      <c r="D353" s="29">
        <f>C353+IF(INDEX('Справочник по %'!B:B,(MATCH(A353,'Справочник по %'!A:A,0)))="кол-во",B353*INDEX('Справочник по %'!C:C,(MATCH(A353,'Справочник по %'!A:A,0))),ОТЧЕТ!C353*INDEX('Справочник по %'!C:C,(MATCH(A353,'Справочник по %'!A:A,0))))/100</f>
        <v>469.7</v>
      </c>
      <c r="E353" s="29">
        <f>IF(ОТЧЕТ!A353="SKU3",C353+ОТЧЕТ!C353*0.2,C353+ОТЧЕТ!C353*0.15)</f>
        <v>491.05</v>
      </c>
      <c r="F353" s="7" t="s">
        <v>998</v>
      </c>
      <c r="G353" s="7">
        <v>7706795062</v>
      </c>
      <c r="H353" s="20" t="s">
        <v>999</v>
      </c>
      <c r="I353" s="22" t="str">
        <f>INDEX('Справочник Сети'!B:B,(MATCH(G353,'Справочник Сети'!C:C,0)))</f>
        <v>Планета здоровья</v>
      </c>
      <c r="J353" s="7" t="s">
        <v>87</v>
      </c>
      <c r="K353" s="7" t="s">
        <v>1000</v>
      </c>
      <c r="L353" s="7" t="s">
        <v>87</v>
      </c>
      <c r="M353" s="31">
        <v>45691</v>
      </c>
      <c r="N353" s="7" t="s">
        <v>1001</v>
      </c>
      <c r="O353" s="8">
        <v>2807</v>
      </c>
      <c r="P353" s="24">
        <v>2730</v>
      </c>
      <c r="Q353" s="22">
        <f>IF(COUNTIFS(A$2:A353,A353,I$2:I353,I353)=1,1,0)</f>
        <v>0</v>
      </c>
      <c r="R353" s="22">
        <f t="shared" si="5"/>
        <v>1</v>
      </c>
      <c r="S353" s="33">
        <f>IF(COUNTIF(O$2:O353,O353)=1,R353,0)/2.5</f>
        <v>0.4</v>
      </c>
    </row>
    <row r="354" spans="1:19" ht="18" customHeight="1" x14ac:dyDescent="0.25">
      <c r="A354" s="7" t="s">
        <v>43</v>
      </c>
      <c r="B354" s="8">
        <v>1</v>
      </c>
      <c r="C354" s="9">
        <v>405</v>
      </c>
      <c r="D354" s="29">
        <f>C354+IF(INDEX('Справочник по %'!B:B,(MATCH(A354,'Справочник по %'!A:A,0)))="кол-во",B354*INDEX('Справочник по %'!C:C,(MATCH(A354,'Справочник по %'!A:A,0))),ОТЧЕТ!C354*INDEX('Справочник по %'!C:C,(MATCH(A354,'Справочник по %'!A:A,0))))/100</f>
        <v>445.5</v>
      </c>
      <c r="E354" s="29">
        <f>IF(ОТЧЕТ!A354="SKU3",C354+ОТЧЕТ!C354*0.2,C354+ОТЧЕТ!C354*0.15)</f>
        <v>465.75</v>
      </c>
      <c r="F354" s="7" t="s">
        <v>998</v>
      </c>
      <c r="G354" s="7">
        <v>6166127355</v>
      </c>
      <c r="H354" s="20" t="s">
        <v>1002</v>
      </c>
      <c r="I354" s="22">
        <f>INDEX('Справочник Сети'!B:B,(MATCH(G354,'Справочник Сети'!C:C,0)))</f>
        <v>0</v>
      </c>
      <c r="J354" s="7" t="s">
        <v>203</v>
      </c>
      <c r="K354" s="7" t="s">
        <v>1003</v>
      </c>
      <c r="L354" s="7" t="s">
        <v>203</v>
      </c>
      <c r="M354" s="31">
        <v>45696</v>
      </c>
      <c r="N354" s="7" t="s">
        <v>1004</v>
      </c>
      <c r="O354" s="8">
        <v>886</v>
      </c>
      <c r="P354" s="24">
        <v>2731</v>
      </c>
      <c r="Q354" s="22">
        <f>IF(COUNTIFS(A$2:A354,A354,I$2:I354,I354)=1,1,0)</f>
        <v>0</v>
      </c>
      <c r="R354" s="22">
        <f t="shared" si="5"/>
        <v>4</v>
      </c>
      <c r="S354" s="33">
        <f>IF(COUNTIF(O$2:O354,O354)=1,R354,0)/2.5</f>
        <v>1.6</v>
      </c>
    </row>
    <row r="355" spans="1:19" ht="18" customHeight="1" x14ac:dyDescent="0.25">
      <c r="A355" s="7" t="s">
        <v>37</v>
      </c>
      <c r="B355" s="8">
        <v>1</v>
      </c>
      <c r="C355" s="9">
        <v>615</v>
      </c>
      <c r="D355" s="29">
        <f>C355+IF(INDEX('Справочник по %'!B:B,(MATCH(A355,'Справочник по %'!A:A,0)))="кол-во",B355*INDEX('Справочник по %'!C:C,(MATCH(A355,'Справочник по %'!A:A,0))),ОТЧЕТ!C355*INDEX('Справочник по %'!C:C,(MATCH(A355,'Справочник по %'!A:A,0))))/100</f>
        <v>615.20000000000005</v>
      </c>
      <c r="E355" s="29">
        <f>IF(ОТЧЕТ!A355="SKU3",C355+ОТЧЕТ!C355*0.2,C355+ОТЧЕТ!C355*0.15)</f>
        <v>707.25</v>
      </c>
      <c r="F355" s="7" t="s">
        <v>998</v>
      </c>
      <c r="G355" s="7">
        <v>5401957526</v>
      </c>
      <c r="H355" s="20" t="s">
        <v>167</v>
      </c>
      <c r="I355" s="22">
        <f>INDEX('Справочник Сети'!B:B,(MATCH(G355,'Справочник Сети'!C:C,0)))</f>
        <v>0</v>
      </c>
      <c r="J355" s="7" t="s">
        <v>92</v>
      </c>
      <c r="K355" s="7" t="s">
        <v>1005</v>
      </c>
      <c r="L355" s="7" t="s">
        <v>92</v>
      </c>
      <c r="M355" s="31">
        <v>45714</v>
      </c>
      <c r="N355" s="7" t="s">
        <v>1006</v>
      </c>
      <c r="O355" s="8">
        <v>1184</v>
      </c>
      <c r="P355" s="24">
        <v>2733</v>
      </c>
      <c r="Q355" s="22">
        <f>IF(COUNTIFS(A$2:A355,A355,I$2:I355,I355)=1,1,0)</f>
        <v>0</v>
      </c>
      <c r="R355" s="22">
        <f t="shared" si="5"/>
        <v>1</v>
      </c>
      <c r="S355" s="33">
        <f>IF(COUNTIF(O$2:O355,O355)=1,R355,0)/2.5</f>
        <v>0.4</v>
      </c>
    </row>
    <row r="356" spans="1:19" ht="18" customHeight="1" x14ac:dyDescent="0.25">
      <c r="A356" s="7" t="s">
        <v>43</v>
      </c>
      <c r="B356" s="8">
        <v>1</v>
      </c>
      <c r="C356" s="9">
        <v>365</v>
      </c>
      <c r="D356" s="29">
        <f>C356+IF(INDEX('Справочник по %'!B:B,(MATCH(A356,'Справочник по %'!A:A,0)))="кол-во",B356*INDEX('Справочник по %'!C:C,(MATCH(A356,'Справочник по %'!A:A,0))),ОТЧЕТ!C356*INDEX('Справочник по %'!C:C,(MATCH(A356,'Справочник по %'!A:A,0))))/100</f>
        <v>401.5</v>
      </c>
      <c r="E356" s="29">
        <f>IF(ОТЧЕТ!A356="SKU3",C356+ОТЧЕТ!C356*0.2,C356+ОТЧЕТ!C356*0.15)</f>
        <v>419.75</v>
      </c>
      <c r="F356" s="7" t="s">
        <v>998</v>
      </c>
      <c r="G356" s="7">
        <v>7706795062</v>
      </c>
      <c r="H356" s="20" t="s">
        <v>1007</v>
      </c>
      <c r="I356" s="22" t="str">
        <f>INDEX('Справочник Сети'!B:B,(MATCH(G356,'Справочник Сети'!C:C,0)))</f>
        <v>Планета здоровья</v>
      </c>
      <c r="J356" s="7" t="s">
        <v>87</v>
      </c>
      <c r="K356" s="7" t="s">
        <v>505</v>
      </c>
      <c r="L356" s="7" t="s">
        <v>87</v>
      </c>
      <c r="M356" s="31">
        <v>45691</v>
      </c>
      <c r="N356" s="7" t="s">
        <v>1008</v>
      </c>
      <c r="O356" s="8">
        <v>1842</v>
      </c>
      <c r="P356" s="24">
        <v>2734</v>
      </c>
      <c r="Q356" s="22">
        <f>IF(COUNTIFS(A$2:A356,A356,I$2:I356,I356)=1,1,0)</f>
        <v>0</v>
      </c>
      <c r="R356" s="22">
        <f t="shared" si="5"/>
        <v>1</v>
      </c>
      <c r="S356" s="33">
        <f>IF(COUNTIF(O$2:O356,O356)=1,R356,0)/2.5</f>
        <v>0.4</v>
      </c>
    </row>
    <row r="357" spans="1:19" ht="18" customHeight="1" x14ac:dyDescent="0.25">
      <c r="A357" s="7" t="s">
        <v>43</v>
      </c>
      <c r="B357" s="8">
        <v>1</v>
      </c>
      <c r="C357" s="9">
        <v>419.9</v>
      </c>
      <c r="D357" s="29">
        <f>C357+IF(INDEX('Справочник по %'!B:B,(MATCH(A357,'Справочник по %'!A:A,0)))="кол-во",B357*INDEX('Справочник по %'!C:C,(MATCH(A357,'Справочник по %'!A:A,0))),ОТЧЕТ!C357*INDEX('Справочник по %'!C:C,(MATCH(A357,'Справочник по %'!A:A,0))))/100</f>
        <v>461.89</v>
      </c>
      <c r="E357" s="29">
        <f>IF(ОТЧЕТ!A357="SKU3",C357+ОТЧЕТ!C357*0.2,C357+ОТЧЕТ!C357*0.15)</f>
        <v>482.88499999999999</v>
      </c>
      <c r="F357" s="7" t="s">
        <v>998</v>
      </c>
      <c r="G357" s="7">
        <v>7204146152</v>
      </c>
      <c r="H357" s="20" t="s">
        <v>1009</v>
      </c>
      <c r="I357" s="22" t="str">
        <f>INDEX('Справочник Сети'!B:B,(MATCH(G357,'Справочник Сети'!C:C,0)))</f>
        <v>36,6</v>
      </c>
      <c r="J357" s="7" t="s">
        <v>104</v>
      </c>
      <c r="K357" s="7" t="s">
        <v>1010</v>
      </c>
      <c r="L357" s="7" t="s">
        <v>106</v>
      </c>
      <c r="M357" s="31">
        <v>45694</v>
      </c>
      <c r="N357" s="7" t="s">
        <v>1011</v>
      </c>
      <c r="O357" s="8">
        <v>836</v>
      </c>
      <c r="P357" s="24">
        <v>2735</v>
      </c>
      <c r="Q357" s="22">
        <f>IF(COUNTIFS(A$2:A357,A357,I$2:I357,I357)=1,1,0)</f>
        <v>0</v>
      </c>
      <c r="R357" s="22">
        <f t="shared" si="5"/>
        <v>11</v>
      </c>
      <c r="S357" s="33">
        <f>IF(COUNTIF(O$2:O357,O357)=1,R357,0)/2.5</f>
        <v>4.4000000000000004</v>
      </c>
    </row>
    <row r="358" spans="1:19" ht="18" customHeight="1" x14ac:dyDescent="0.25">
      <c r="A358" s="7" t="s">
        <v>43</v>
      </c>
      <c r="B358" s="8">
        <v>1</v>
      </c>
      <c r="C358" s="9">
        <v>330</v>
      </c>
      <c r="D358" s="29">
        <f>C358+IF(INDEX('Справочник по %'!B:B,(MATCH(A358,'Справочник по %'!A:A,0)))="кол-во",B358*INDEX('Справочник по %'!C:C,(MATCH(A358,'Справочник по %'!A:A,0))),ОТЧЕТ!C358*INDEX('Справочник по %'!C:C,(MATCH(A358,'Справочник по %'!A:A,0))))/100</f>
        <v>363</v>
      </c>
      <c r="E358" s="29">
        <f>IF(ОТЧЕТ!A358="SKU3",C358+ОТЧЕТ!C358*0.2,C358+ОТЧЕТ!C358*0.15)</f>
        <v>379.5</v>
      </c>
      <c r="F358" s="7" t="s">
        <v>998</v>
      </c>
      <c r="G358" s="7">
        <v>2311237253</v>
      </c>
      <c r="H358" s="20" t="s">
        <v>50</v>
      </c>
      <c r="I358" s="22">
        <f>INDEX('Справочник Сети'!B:B,(MATCH(G358,'Справочник Сети'!C:C,0)))</f>
        <v>0</v>
      </c>
      <c r="J358" s="7" t="s">
        <v>70</v>
      </c>
      <c r="K358" s="7" t="s">
        <v>189</v>
      </c>
      <c r="L358" s="7" t="s">
        <v>70</v>
      </c>
      <c r="M358" s="31">
        <v>45728</v>
      </c>
      <c r="N358" s="7" t="s">
        <v>1012</v>
      </c>
      <c r="O358" s="8">
        <v>3450</v>
      </c>
      <c r="P358" s="24">
        <v>2737</v>
      </c>
      <c r="Q358" s="22">
        <f>IF(COUNTIFS(A$2:A358,A358,I$2:I358,I358)=1,1,0)</f>
        <v>0</v>
      </c>
      <c r="R358" s="22">
        <f t="shared" si="5"/>
        <v>1</v>
      </c>
      <c r="S358" s="33">
        <f>IF(COUNTIF(O$2:O358,O358)=1,R358,0)/2.5</f>
        <v>0.4</v>
      </c>
    </row>
    <row r="359" spans="1:19" ht="18" customHeight="1" x14ac:dyDescent="0.25">
      <c r="A359" s="7" t="s">
        <v>43</v>
      </c>
      <c r="B359" s="8">
        <v>1</v>
      </c>
      <c r="C359" s="9">
        <v>385</v>
      </c>
      <c r="D359" s="29">
        <f>C359+IF(INDEX('Справочник по %'!B:B,(MATCH(A359,'Справочник по %'!A:A,0)))="кол-во",B359*INDEX('Справочник по %'!C:C,(MATCH(A359,'Справочник по %'!A:A,0))),ОТЧЕТ!C359*INDEX('Справочник по %'!C:C,(MATCH(A359,'Справочник по %'!A:A,0))))/100</f>
        <v>423.5</v>
      </c>
      <c r="E359" s="29">
        <f>IF(ОТЧЕТ!A359="SKU3",C359+ОТЧЕТ!C359*0.2,C359+ОТЧЕТ!C359*0.15)</f>
        <v>442.75</v>
      </c>
      <c r="F359" s="7" t="s">
        <v>1013</v>
      </c>
      <c r="G359" s="7">
        <v>3123296586</v>
      </c>
      <c r="H359" s="20" t="s">
        <v>192</v>
      </c>
      <c r="I359" s="22" t="str">
        <f>INDEX('Справочник Сети'!B:B,(MATCH(G359,'Справочник Сети'!C:C,0)))</f>
        <v>Столички</v>
      </c>
      <c r="J359" s="7" t="s">
        <v>193</v>
      </c>
      <c r="K359" s="7" t="s">
        <v>1014</v>
      </c>
      <c r="L359" s="7" t="s">
        <v>193</v>
      </c>
      <c r="M359" s="31">
        <v>45718</v>
      </c>
      <c r="N359" s="7" t="s">
        <v>1015</v>
      </c>
      <c r="O359" s="8">
        <v>3050</v>
      </c>
      <c r="P359" s="24">
        <v>2752</v>
      </c>
      <c r="Q359" s="22">
        <f>IF(COUNTIFS(A$2:A359,A359,I$2:I359,I359)=1,1,0)</f>
        <v>0</v>
      </c>
      <c r="R359" s="22">
        <f t="shared" si="5"/>
        <v>10</v>
      </c>
      <c r="S359" s="33">
        <f>IF(COUNTIF(O$2:O359,O359)=1,R359,0)/2.5</f>
        <v>0</v>
      </c>
    </row>
    <row r="360" spans="1:19" ht="18" customHeight="1" x14ac:dyDescent="0.25">
      <c r="A360" s="7" t="s">
        <v>43</v>
      </c>
      <c r="B360" s="8">
        <v>1</v>
      </c>
      <c r="C360" s="9">
        <v>417.5</v>
      </c>
      <c r="D360" s="29">
        <f>C360+IF(INDEX('Справочник по %'!B:B,(MATCH(A360,'Справочник по %'!A:A,0)))="кол-во",B360*INDEX('Справочник по %'!C:C,(MATCH(A360,'Справочник по %'!A:A,0))),ОТЧЕТ!C360*INDEX('Справочник по %'!C:C,(MATCH(A360,'Справочник по %'!A:A,0))))/100</f>
        <v>459.25</v>
      </c>
      <c r="E360" s="29">
        <f>IF(ОТЧЕТ!A360="SKU3",C360+ОТЧЕТ!C360*0.2,C360+ОТЧЕТ!C360*0.15)</f>
        <v>480.125</v>
      </c>
      <c r="F360" s="7" t="s">
        <v>1016</v>
      </c>
      <c r="G360" s="7">
        <v>9102031685</v>
      </c>
      <c r="H360" s="20" t="s">
        <v>50</v>
      </c>
      <c r="I360" s="22">
        <f>INDEX('Справочник Сети'!B:B,(MATCH(G360,'Справочник Сети'!C:C,0)))</f>
        <v>0</v>
      </c>
      <c r="J360" s="7" t="s">
        <v>315</v>
      </c>
      <c r="K360" s="7" t="s">
        <v>1014</v>
      </c>
      <c r="L360" s="7" t="s">
        <v>315</v>
      </c>
      <c r="M360" s="31">
        <v>45670</v>
      </c>
      <c r="N360" s="7" t="s">
        <v>1017</v>
      </c>
      <c r="O360" s="8">
        <v>3649</v>
      </c>
      <c r="P360" s="24">
        <v>2754</v>
      </c>
      <c r="Q360" s="22">
        <f>IF(COUNTIFS(A$2:A360,A360,I$2:I360,I360)=1,1,0)</f>
        <v>0</v>
      </c>
      <c r="R360" s="22">
        <f t="shared" si="5"/>
        <v>1</v>
      </c>
      <c r="S360" s="33">
        <f>IF(COUNTIF(O$2:O360,O360)=1,R360,0)/2.5</f>
        <v>0.4</v>
      </c>
    </row>
    <row r="361" spans="1:19" ht="18" customHeight="1" x14ac:dyDescent="0.25">
      <c r="A361" s="7" t="s">
        <v>43</v>
      </c>
      <c r="B361" s="8">
        <v>1</v>
      </c>
      <c r="C361" s="9">
        <v>391</v>
      </c>
      <c r="D361" s="29">
        <f>C361+IF(INDEX('Справочник по %'!B:B,(MATCH(A361,'Справочник по %'!A:A,0)))="кол-во",B361*INDEX('Справочник по %'!C:C,(MATCH(A361,'Справочник по %'!A:A,0))),ОТЧЕТ!C361*INDEX('Справочник по %'!C:C,(MATCH(A361,'Справочник по %'!A:A,0))))/100</f>
        <v>430.1</v>
      </c>
      <c r="E361" s="29">
        <f>IF(ОТЧЕТ!A361="SKU3",C361+ОТЧЕТ!C361*0.2,C361+ОТЧЕТ!C361*0.15)</f>
        <v>449.65</v>
      </c>
      <c r="F361" s="7" t="s">
        <v>1018</v>
      </c>
      <c r="G361" s="7">
        <v>7731334851</v>
      </c>
      <c r="H361" s="20" t="s">
        <v>1019</v>
      </c>
      <c r="I361" s="22" t="str">
        <f>INDEX('Справочник Сети'!B:B,(MATCH(G361,'Справочник Сети'!C:C,0)))</f>
        <v>Планета здоровья</v>
      </c>
      <c r="J361" s="7" t="s">
        <v>142</v>
      </c>
      <c r="K361" s="7" t="s">
        <v>1020</v>
      </c>
      <c r="L361" s="7" t="s">
        <v>142</v>
      </c>
      <c r="M361" s="31">
        <v>45674</v>
      </c>
      <c r="N361" s="7" t="s">
        <v>1021</v>
      </c>
      <c r="O361" s="8">
        <v>2442</v>
      </c>
      <c r="P361" s="24">
        <v>2755</v>
      </c>
      <c r="Q361" s="22">
        <f>IF(COUNTIFS(A$2:A361,A361,I$2:I361,I361)=1,1,0)</f>
        <v>0</v>
      </c>
      <c r="R361" s="22">
        <f t="shared" si="5"/>
        <v>2</v>
      </c>
      <c r="S361" s="33">
        <f>IF(COUNTIF(O$2:O361,O361)=1,R361,0)/2.5</f>
        <v>0.8</v>
      </c>
    </row>
    <row r="362" spans="1:19" ht="18" customHeight="1" x14ac:dyDescent="0.25">
      <c r="A362" s="7" t="s">
        <v>43</v>
      </c>
      <c r="B362" s="8">
        <v>1</v>
      </c>
      <c r="C362" s="9">
        <v>416</v>
      </c>
      <c r="D362" s="29">
        <f>C362+IF(INDEX('Справочник по %'!B:B,(MATCH(A362,'Справочник по %'!A:A,0)))="кол-во",B362*INDEX('Справочник по %'!C:C,(MATCH(A362,'Справочник по %'!A:A,0))),ОТЧЕТ!C362*INDEX('Справочник по %'!C:C,(MATCH(A362,'Справочник по %'!A:A,0))))/100</f>
        <v>457.6</v>
      </c>
      <c r="E362" s="29">
        <f>IF(ОТЧЕТ!A362="SKU3",C362+ОТЧЕТ!C362*0.2,C362+ОТЧЕТ!C362*0.15)</f>
        <v>478.4</v>
      </c>
      <c r="F362" s="7" t="s">
        <v>1018</v>
      </c>
      <c r="G362" s="7">
        <v>6164078092</v>
      </c>
      <c r="H362" s="20" t="s">
        <v>519</v>
      </c>
      <c r="I362" s="22" t="str">
        <f>INDEX('Справочник Сети'!B:B,(MATCH(G362,'Справочник Сети'!C:C,0)))</f>
        <v>Ригла</v>
      </c>
      <c r="J362" s="7" t="s">
        <v>520</v>
      </c>
      <c r="K362" s="7" t="s">
        <v>1022</v>
      </c>
      <c r="L362" s="7" t="s">
        <v>520</v>
      </c>
      <c r="M362" s="31">
        <v>45697</v>
      </c>
      <c r="N362" s="7" t="s">
        <v>1023</v>
      </c>
      <c r="O362" s="8">
        <v>1733</v>
      </c>
      <c r="P362" s="24">
        <v>2756</v>
      </c>
      <c r="Q362" s="22">
        <f>IF(COUNTIFS(A$2:A362,A362,I$2:I362,I362)=1,1,0)</f>
        <v>0</v>
      </c>
      <c r="R362" s="22">
        <f t="shared" si="5"/>
        <v>2</v>
      </c>
      <c r="S362" s="33">
        <f>IF(COUNTIF(O$2:O362,O362)=1,R362,0)/2.5</f>
        <v>0.8</v>
      </c>
    </row>
    <row r="363" spans="1:19" ht="18" customHeight="1" x14ac:dyDescent="0.25">
      <c r="A363" s="7" t="s">
        <v>37</v>
      </c>
      <c r="B363" s="8">
        <v>1</v>
      </c>
      <c r="C363" s="9">
        <v>468.85</v>
      </c>
      <c r="D363" s="29">
        <f>C363+IF(INDEX('Справочник по %'!B:B,(MATCH(A363,'Справочник по %'!A:A,0)))="кол-во",B363*INDEX('Справочник по %'!C:C,(MATCH(A363,'Справочник по %'!A:A,0))),ОТЧЕТ!C363*INDEX('Справочник по %'!C:C,(MATCH(A363,'Справочник по %'!A:A,0))))/100</f>
        <v>469.05</v>
      </c>
      <c r="E363" s="29">
        <f>IF(ОТЧЕТ!A363="SKU3",C363+ОТЧЕТ!C363*0.2,C363+ОТЧЕТ!C363*0.15)</f>
        <v>539.17750000000001</v>
      </c>
      <c r="F363" s="7" t="s">
        <v>1024</v>
      </c>
      <c r="G363" s="7">
        <v>5902003880</v>
      </c>
      <c r="H363" s="20" t="s">
        <v>39</v>
      </c>
      <c r="I363" s="22" t="str">
        <f>INDEX('Справочник Сети'!B:B,(MATCH(G363,'Справочник Сети'!C:C,0)))</f>
        <v>Ригла</v>
      </c>
      <c r="J363" s="7" t="s">
        <v>40</v>
      </c>
      <c r="K363" s="7" t="s">
        <v>757</v>
      </c>
      <c r="L363" s="7" t="s">
        <v>40</v>
      </c>
      <c r="M363" s="31">
        <v>45712</v>
      </c>
      <c r="N363" s="7" t="s">
        <v>1025</v>
      </c>
      <c r="O363" s="8">
        <v>2774</v>
      </c>
      <c r="P363" s="24">
        <v>2758</v>
      </c>
      <c r="Q363" s="22">
        <f>IF(COUNTIFS(A$2:A363,A363,I$2:I363,I363)=1,1,0)</f>
        <v>0</v>
      </c>
      <c r="R363" s="22">
        <f t="shared" si="5"/>
        <v>1</v>
      </c>
      <c r="S363" s="33">
        <f>IF(COUNTIF(O$2:O363,O363)=1,R363,0)/2.5</f>
        <v>0.4</v>
      </c>
    </row>
    <row r="364" spans="1:19" ht="18" customHeight="1" x14ac:dyDescent="0.25">
      <c r="A364" s="7" t="s">
        <v>43</v>
      </c>
      <c r="B364" s="8">
        <v>1</v>
      </c>
      <c r="C364" s="9">
        <v>570</v>
      </c>
      <c r="D364" s="29">
        <f>C364+IF(INDEX('Справочник по %'!B:B,(MATCH(A364,'Справочник по %'!A:A,0)))="кол-во",B364*INDEX('Справочник по %'!C:C,(MATCH(A364,'Справочник по %'!A:A,0))),ОТЧЕТ!C364*INDEX('Справочник по %'!C:C,(MATCH(A364,'Справочник по %'!A:A,0))))/100</f>
        <v>627</v>
      </c>
      <c r="E364" s="29">
        <f>IF(ОТЧЕТ!A364="SKU3",C364+ОТЧЕТ!C364*0.2,C364+ОТЧЕТ!C364*0.15)</f>
        <v>655.5</v>
      </c>
      <c r="F364" s="7" t="s">
        <v>1026</v>
      </c>
      <c r="G364" s="7">
        <v>5405072034</v>
      </c>
      <c r="H364" s="20" t="s">
        <v>1027</v>
      </c>
      <c r="I364" s="22" t="str">
        <f>INDEX('Справочник Сети'!B:B,(MATCH(G364,'Справочник Сети'!C:C,0)))</f>
        <v>Нео-фарм</v>
      </c>
      <c r="J364" s="7" t="s">
        <v>92</v>
      </c>
      <c r="K364" s="7" t="s">
        <v>1028</v>
      </c>
      <c r="L364" s="7" t="s">
        <v>92</v>
      </c>
      <c r="M364" s="31">
        <v>45714</v>
      </c>
      <c r="N364" s="7" t="s">
        <v>1029</v>
      </c>
      <c r="O364" s="8">
        <v>3070</v>
      </c>
      <c r="P364" s="24">
        <v>2765</v>
      </c>
      <c r="Q364" s="22">
        <f>IF(COUNTIFS(A$2:A364,A364,I$2:I364,I364)=1,1,0)</f>
        <v>0</v>
      </c>
      <c r="R364" s="22">
        <f t="shared" si="5"/>
        <v>1</v>
      </c>
      <c r="S364" s="33">
        <f>IF(COUNTIF(O$2:O364,O364)=1,R364,0)/2.5</f>
        <v>0.4</v>
      </c>
    </row>
    <row r="365" spans="1:19" ht="18" customHeight="1" x14ac:dyDescent="0.25">
      <c r="A365" s="7" t="s">
        <v>43</v>
      </c>
      <c r="B365" s="8">
        <v>1</v>
      </c>
      <c r="C365" s="9">
        <v>472.1</v>
      </c>
      <c r="D365" s="29">
        <f>C365+IF(INDEX('Справочник по %'!B:B,(MATCH(A365,'Справочник по %'!A:A,0)))="кол-во",B365*INDEX('Справочник по %'!C:C,(MATCH(A365,'Справочник по %'!A:A,0))),ОТЧЕТ!C365*INDEX('Справочник по %'!C:C,(MATCH(A365,'Справочник по %'!A:A,0))))/100</f>
        <v>519.31000000000006</v>
      </c>
      <c r="E365" s="29">
        <f>IF(ОТЧЕТ!A365="SKU3",C365+ОТЧЕТ!C365*0.2,C365+ОТЧЕТ!C365*0.15)</f>
        <v>542.91499999999996</v>
      </c>
      <c r="F365" s="7" t="s">
        <v>1026</v>
      </c>
      <c r="G365" s="7">
        <v>5050136454</v>
      </c>
      <c r="H365" s="20" t="s">
        <v>50</v>
      </c>
      <c r="I365" s="22" t="str">
        <f>INDEX('Справочник Сети'!B:B,(MATCH(G365,'Справочник Сети'!C:C,0)))</f>
        <v>Нео-фарм</v>
      </c>
      <c r="J365" s="7" t="s">
        <v>92</v>
      </c>
      <c r="K365" s="7" t="s">
        <v>1030</v>
      </c>
      <c r="L365" s="7" t="s">
        <v>92</v>
      </c>
      <c r="M365" s="31">
        <v>45714</v>
      </c>
      <c r="N365" s="7" t="s">
        <v>1031</v>
      </c>
      <c r="O365" s="8">
        <v>1499</v>
      </c>
      <c r="P365" s="24">
        <v>2766</v>
      </c>
      <c r="Q365" s="22">
        <f>IF(COUNTIFS(A$2:A365,A365,I$2:I365,I365)=1,1,0)</f>
        <v>0</v>
      </c>
      <c r="R365" s="22">
        <f t="shared" si="5"/>
        <v>14</v>
      </c>
      <c r="S365" s="33">
        <f>IF(COUNTIF(O$2:O365,O365)=1,R365,0)/2.5</f>
        <v>0</v>
      </c>
    </row>
    <row r="366" spans="1:19" ht="18" customHeight="1" x14ac:dyDescent="0.25">
      <c r="A366" s="7" t="s">
        <v>43</v>
      </c>
      <c r="B366" s="8">
        <v>1</v>
      </c>
      <c r="C366" s="9">
        <v>400.82</v>
      </c>
      <c r="D366" s="29">
        <f>C366+IF(INDEX('Справочник по %'!B:B,(MATCH(A366,'Справочник по %'!A:A,0)))="кол-во",B366*INDEX('Справочник по %'!C:C,(MATCH(A366,'Справочник по %'!A:A,0))),ОТЧЕТ!C366*INDEX('Справочник по %'!C:C,(MATCH(A366,'Справочник по %'!A:A,0))))/100</f>
        <v>440.90199999999999</v>
      </c>
      <c r="E366" s="29">
        <f>IF(ОТЧЕТ!A366="SKU3",C366+ОТЧЕТ!C366*0.2,C366+ОТЧЕТ!C366*0.15)</f>
        <v>460.94299999999998</v>
      </c>
      <c r="F366" s="7" t="s">
        <v>1026</v>
      </c>
      <c r="G366" s="7">
        <v>5507102175</v>
      </c>
      <c r="H366" s="20" t="s">
        <v>50</v>
      </c>
      <c r="I366" s="22" t="str">
        <f>INDEX('Справочник Сети'!B:B,(MATCH(G366,'Справочник Сети'!C:C,0)))</f>
        <v>Столички</v>
      </c>
      <c r="J366" s="7" t="s">
        <v>255</v>
      </c>
      <c r="K366" s="7" t="s">
        <v>537</v>
      </c>
      <c r="L366" s="7" t="s">
        <v>255</v>
      </c>
      <c r="M366" s="31">
        <v>45713</v>
      </c>
      <c r="N366" s="7" t="s">
        <v>1032</v>
      </c>
      <c r="O366" s="8">
        <v>449</v>
      </c>
      <c r="P366" s="24">
        <v>2768</v>
      </c>
      <c r="Q366" s="22">
        <f>IF(COUNTIFS(A$2:A366,A366,I$2:I366,I366)=1,1,0)</f>
        <v>0</v>
      </c>
      <c r="R366" s="22">
        <f t="shared" si="5"/>
        <v>5</v>
      </c>
      <c r="S366" s="33">
        <f>IF(COUNTIF(O$2:O366,O366)=1,R366,0)/2.5</f>
        <v>0</v>
      </c>
    </row>
    <row r="367" spans="1:19" ht="18" customHeight="1" x14ac:dyDescent="0.25">
      <c r="A367" s="7" t="s">
        <v>43</v>
      </c>
      <c r="B367" s="8">
        <v>1</v>
      </c>
      <c r="C367" s="9">
        <v>335</v>
      </c>
      <c r="D367" s="29">
        <f>C367+IF(INDEX('Справочник по %'!B:B,(MATCH(A367,'Справочник по %'!A:A,0)))="кол-во",B367*INDEX('Справочник по %'!C:C,(MATCH(A367,'Справочник по %'!A:A,0))),ОТЧЕТ!C367*INDEX('Справочник по %'!C:C,(MATCH(A367,'Справочник по %'!A:A,0))))/100</f>
        <v>368.5</v>
      </c>
      <c r="E367" s="29">
        <f>IF(ОТЧЕТ!A367="SKU3",C367+ОТЧЕТ!C367*0.2,C367+ОТЧЕТ!C367*0.15)</f>
        <v>385.25</v>
      </c>
      <c r="F367" s="7" t="s">
        <v>1026</v>
      </c>
      <c r="G367" s="7">
        <v>2310174811</v>
      </c>
      <c r="H367" s="20" t="s">
        <v>50</v>
      </c>
      <c r="I367" s="22" t="str">
        <f>INDEX('Справочник Сети'!B:B,(MATCH(G367,'Справочник Сети'!C:C,0)))</f>
        <v>Нео-фарм</v>
      </c>
      <c r="J367" s="7" t="s">
        <v>57</v>
      </c>
      <c r="K367" s="7" t="s">
        <v>1033</v>
      </c>
      <c r="L367" s="7" t="s">
        <v>57</v>
      </c>
      <c r="M367" s="31">
        <v>45729</v>
      </c>
      <c r="N367" s="7" t="s">
        <v>1034</v>
      </c>
      <c r="O367" s="8">
        <v>1066</v>
      </c>
      <c r="P367" s="24">
        <v>2770</v>
      </c>
      <c r="Q367" s="22">
        <f>IF(COUNTIFS(A$2:A367,A367,I$2:I367,I367)=1,1,0)</f>
        <v>0</v>
      </c>
      <c r="R367" s="22">
        <f t="shared" si="5"/>
        <v>4</v>
      </c>
      <c r="S367" s="33">
        <f>IF(COUNTIF(O$2:O367,O367)=1,R367,0)/2.5</f>
        <v>1.6</v>
      </c>
    </row>
    <row r="368" spans="1:19" ht="18" customHeight="1" x14ac:dyDescent="0.25">
      <c r="A368" s="7" t="s">
        <v>43</v>
      </c>
      <c r="B368" s="8">
        <v>1</v>
      </c>
      <c r="C368" s="9">
        <v>395</v>
      </c>
      <c r="D368" s="29">
        <f>C368+IF(INDEX('Справочник по %'!B:B,(MATCH(A368,'Справочник по %'!A:A,0)))="кол-во",B368*INDEX('Справочник по %'!C:C,(MATCH(A368,'Справочник по %'!A:A,0))),ОТЧЕТ!C368*INDEX('Справочник по %'!C:C,(MATCH(A368,'Справочник по %'!A:A,0))))/100</f>
        <v>434.5</v>
      </c>
      <c r="E368" s="29">
        <f>IF(ОТЧЕТ!A368="SKU3",C368+ОТЧЕТ!C368*0.2,C368+ОТЧЕТ!C368*0.15)</f>
        <v>454.25</v>
      </c>
      <c r="F368" s="7" t="s">
        <v>1026</v>
      </c>
      <c r="G368" s="7">
        <v>7732121736</v>
      </c>
      <c r="H368" s="20" t="s">
        <v>1035</v>
      </c>
      <c r="I368" s="22" t="str">
        <f>INDEX('Справочник Сети'!B:B,(MATCH(G368,'Справочник Сети'!C:C,0)))</f>
        <v>Планета здоровья</v>
      </c>
      <c r="J368" s="7" t="s">
        <v>149</v>
      </c>
      <c r="K368" s="7" t="s">
        <v>1036</v>
      </c>
      <c r="L368" s="7" t="s">
        <v>149</v>
      </c>
      <c r="M368" s="31">
        <v>45673</v>
      </c>
      <c r="N368" s="7" t="s">
        <v>1037</v>
      </c>
      <c r="O368" s="8">
        <v>1091</v>
      </c>
      <c r="P368" s="24">
        <v>2771</v>
      </c>
      <c r="Q368" s="22">
        <f>IF(COUNTIFS(A$2:A368,A368,I$2:I368,I368)=1,1,0)</f>
        <v>0</v>
      </c>
      <c r="R368" s="22">
        <f t="shared" si="5"/>
        <v>5</v>
      </c>
      <c r="S368" s="33">
        <f>IF(COUNTIF(O$2:O368,O368)=1,R368,0)/2.5</f>
        <v>2</v>
      </c>
    </row>
    <row r="369" spans="1:19" ht="18" customHeight="1" x14ac:dyDescent="0.25">
      <c r="A369" s="7" t="s">
        <v>43</v>
      </c>
      <c r="B369" s="8">
        <v>1</v>
      </c>
      <c r="C369" s="9">
        <v>436</v>
      </c>
      <c r="D369" s="29">
        <f>C369+IF(INDEX('Справочник по %'!B:B,(MATCH(A369,'Справочник по %'!A:A,0)))="кол-во",B369*INDEX('Справочник по %'!C:C,(MATCH(A369,'Справочник по %'!A:A,0))),ОТЧЕТ!C369*INDEX('Справочник по %'!C:C,(MATCH(A369,'Справочник по %'!A:A,0))))/100</f>
        <v>479.6</v>
      </c>
      <c r="E369" s="29">
        <f>IF(ОТЧЕТ!A369="SKU3",C369+ОТЧЕТ!C369*0.2,C369+ОТЧЕТ!C369*0.15)</f>
        <v>501.4</v>
      </c>
      <c r="F369" s="7" t="s">
        <v>1038</v>
      </c>
      <c r="G369" s="7">
        <v>6679109841</v>
      </c>
      <c r="H369" s="20" t="s">
        <v>1039</v>
      </c>
      <c r="I369" s="22">
        <f>INDEX('Справочник Сети'!B:B,(MATCH(G369,'Справочник Сети'!C:C,0)))</f>
        <v>0</v>
      </c>
      <c r="J369" s="7" t="s">
        <v>106</v>
      </c>
      <c r="K369" s="7" t="s">
        <v>764</v>
      </c>
      <c r="L369" s="7" t="s">
        <v>133</v>
      </c>
      <c r="M369" s="31">
        <v>45695</v>
      </c>
      <c r="N369" s="7" t="s">
        <v>1040</v>
      </c>
      <c r="O369" s="8">
        <v>1145</v>
      </c>
      <c r="P369" s="24">
        <v>2778</v>
      </c>
      <c r="Q369" s="22">
        <f>IF(COUNTIFS(A$2:A369,A369,I$2:I369,I369)=1,1,0)</f>
        <v>0</v>
      </c>
      <c r="R369" s="22">
        <f t="shared" si="5"/>
        <v>2</v>
      </c>
      <c r="S369" s="33">
        <f>IF(COUNTIF(O$2:O369,O369)=1,R369,0)/2.5</f>
        <v>0.8</v>
      </c>
    </row>
    <row r="370" spans="1:19" ht="18" customHeight="1" x14ac:dyDescent="0.25">
      <c r="A370" s="7" t="s">
        <v>37</v>
      </c>
      <c r="B370" s="8">
        <v>1</v>
      </c>
      <c r="C370" s="9">
        <v>689</v>
      </c>
      <c r="D370" s="29">
        <f>C370+IF(INDEX('Справочник по %'!B:B,(MATCH(A370,'Справочник по %'!A:A,0)))="кол-во",B370*INDEX('Справочник по %'!C:C,(MATCH(A370,'Справочник по %'!A:A,0))),ОТЧЕТ!C370*INDEX('Справочник по %'!C:C,(MATCH(A370,'Справочник по %'!A:A,0))))/100</f>
        <v>689.2</v>
      </c>
      <c r="E370" s="29">
        <f>IF(ОТЧЕТ!A370="SKU3",C370+ОТЧЕТ!C370*0.2,C370+ОТЧЕТ!C370*0.15)</f>
        <v>792.35</v>
      </c>
      <c r="F370" s="7" t="s">
        <v>1041</v>
      </c>
      <c r="G370" s="7">
        <v>4202029419</v>
      </c>
      <c r="H370" s="20" t="s">
        <v>69</v>
      </c>
      <c r="I370" s="22">
        <f>INDEX('Справочник Сети'!B:B,(MATCH(G370,'Справочник Сети'!C:C,0)))</f>
        <v>0</v>
      </c>
      <c r="J370" s="7" t="s">
        <v>155</v>
      </c>
      <c r="K370" s="7" t="s">
        <v>644</v>
      </c>
      <c r="L370" s="7" t="s">
        <v>155</v>
      </c>
      <c r="M370" s="31">
        <v>45716</v>
      </c>
      <c r="N370" s="7" t="s">
        <v>1042</v>
      </c>
      <c r="O370" s="8">
        <v>266</v>
      </c>
      <c r="P370" s="24">
        <v>2782</v>
      </c>
      <c r="Q370" s="22">
        <f>IF(COUNTIFS(A$2:A370,A370,I$2:I370,I370)=1,1,0)</f>
        <v>0</v>
      </c>
      <c r="R370" s="22">
        <f t="shared" si="5"/>
        <v>3</v>
      </c>
      <c r="S370" s="33">
        <f>IF(COUNTIF(O$2:O370,O370)=1,R370,0)/2.5</f>
        <v>1.2</v>
      </c>
    </row>
    <row r="371" spans="1:19" ht="18" customHeight="1" x14ac:dyDescent="0.25">
      <c r="A371" s="7" t="s">
        <v>37</v>
      </c>
      <c r="B371" s="8">
        <v>1</v>
      </c>
      <c r="C371" s="9">
        <v>584</v>
      </c>
      <c r="D371" s="29">
        <f>C371+IF(INDEX('Справочник по %'!B:B,(MATCH(A371,'Справочник по %'!A:A,0)))="кол-во",B371*INDEX('Справочник по %'!C:C,(MATCH(A371,'Справочник по %'!A:A,0))),ОТЧЕТ!C371*INDEX('Справочник по %'!C:C,(MATCH(A371,'Справочник по %'!A:A,0))))/100</f>
        <v>584.20000000000005</v>
      </c>
      <c r="E371" s="29">
        <f>IF(ОТЧЕТ!A371="SKU3",C371+ОТЧЕТ!C371*0.2,C371+ОТЧЕТ!C371*0.15)</f>
        <v>671.6</v>
      </c>
      <c r="F371" s="7" t="s">
        <v>1041</v>
      </c>
      <c r="G371" s="7">
        <v>273908666</v>
      </c>
      <c r="H371" s="20" t="s">
        <v>1043</v>
      </c>
      <c r="I371" s="22">
        <f>INDEX('Справочник Сети'!B:B,(MATCH(G371,'Справочник Сети'!C:C,0)))</f>
        <v>0</v>
      </c>
      <c r="J371" s="7" t="s">
        <v>362</v>
      </c>
      <c r="K371" s="7" t="s">
        <v>691</v>
      </c>
      <c r="L371" s="7" t="s">
        <v>362</v>
      </c>
      <c r="M371" s="31">
        <v>45732</v>
      </c>
      <c r="N371" s="7" t="s">
        <v>1044</v>
      </c>
      <c r="O371" s="8">
        <v>1809</v>
      </c>
      <c r="P371" s="24">
        <v>2783</v>
      </c>
      <c r="Q371" s="22">
        <f>IF(COUNTIFS(A$2:A371,A371,I$2:I371,I371)=1,1,0)</f>
        <v>0</v>
      </c>
      <c r="R371" s="22">
        <f t="shared" si="5"/>
        <v>1</v>
      </c>
      <c r="S371" s="33">
        <f>IF(COUNTIF(O$2:O371,O371)=1,R371,0)/2.5</f>
        <v>0.4</v>
      </c>
    </row>
    <row r="372" spans="1:19" ht="18" customHeight="1" x14ac:dyDescent="0.25">
      <c r="A372" s="7" t="s">
        <v>43</v>
      </c>
      <c r="B372" s="8">
        <v>1</v>
      </c>
      <c r="C372" s="9">
        <v>460</v>
      </c>
      <c r="D372" s="29">
        <f>C372+IF(INDEX('Справочник по %'!B:B,(MATCH(A372,'Справочник по %'!A:A,0)))="кол-во",B372*INDEX('Справочник по %'!C:C,(MATCH(A372,'Справочник по %'!A:A,0))),ОТЧЕТ!C372*INDEX('Справочник по %'!C:C,(MATCH(A372,'Справочник по %'!A:A,0))))/100</f>
        <v>506</v>
      </c>
      <c r="E372" s="29">
        <f>IF(ОТЧЕТ!A372="SKU3",C372+ОТЧЕТ!C372*0.2,C372+ОТЧЕТ!C372*0.15)</f>
        <v>529</v>
      </c>
      <c r="F372" s="7" t="s">
        <v>1045</v>
      </c>
      <c r="G372" s="7">
        <v>910800091897</v>
      </c>
      <c r="H372" s="20" t="s">
        <v>1046</v>
      </c>
      <c r="I372" s="22">
        <f>INDEX('Справочник Сети'!B:B,(MATCH(G372,'Справочник Сети'!C:C,0)))</f>
        <v>0</v>
      </c>
      <c r="J372" s="7" t="s">
        <v>322</v>
      </c>
      <c r="K372" s="7" t="s">
        <v>41</v>
      </c>
      <c r="L372" s="7" t="s">
        <v>322</v>
      </c>
      <c r="M372" s="31">
        <v>45658</v>
      </c>
      <c r="N372" s="7" t="s">
        <v>1047</v>
      </c>
      <c r="O372" s="8">
        <v>3806</v>
      </c>
      <c r="P372" s="24">
        <v>2786</v>
      </c>
      <c r="Q372" s="22">
        <f>IF(COUNTIFS(A$2:A372,A372,I$2:I372,I372)=1,1,0)</f>
        <v>0</v>
      </c>
      <c r="R372" s="22">
        <f t="shared" si="5"/>
        <v>6</v>
      </c>
      <c r="S372" s="33">
        <f>IF(COUNTIF(O$2:O372,O372)=1,R372,0)/2.5</f>
        <v>2.4</v>
      </c>
    </row>
    <row r="373" spans="1:19" ht="18" customHeight="1" x14ac:dyDescent="0.25">
      <c r="A373" s="7" t="s">
        <v>43</v>
      </c>
      <c r="B373" s="8">
        <v>1</v>
      </c>
      <c r="C373" s="9">
        <v>446.6</v>
      </c>
      <c r="D373" s="29">
        <f>C373+IF(INDEX('Справочник по %'!B:B,(MATCH(A373,'Справочник по %'!A:A,0)))="кол-во",B373*INDEX('Справочник по %'!C:C,(MATCH(A373,'Справочник по %'!A:A,0))),ОТЧЕТ!C373*INDEX('Справочник по %'!C:C,(MATCH(A373,'Справочник по %'!A:A,0))))/100</f>
        <v>491.26</v>
      </c>
      <c r="E373" s="29">
        <f>IF(ОТЧЕТ!A373="SKU3",C373+ОТЧЕТ!C373*0.2,C373+ОТЧЕТ!C373*0.15)</f>
        <v>513.59</v>
      </c>
      <c r="F373" s="7" t="s">
        <v>1045</v>
      </c>
      <c r="G373" s="7">
        <v>5259121749</v>
      </c>
      <c r="H373" s="20" t="s">
        <v>50</v>
      </c>
      <c r="I373" s="22">
        <f>INDEX('Справочник Сети'!B:B,(MATCH(G373,'Справочник Сети'!C:C,0)))</f>
        <v>0</v>
      </c>
      <c r="J373" s="7" t="s">
        <v>92</v>
      </c>
      <c r="K373" s="7" t="s">
        <v>1048</v>
      </c>
      <c r="L373" s="7" t="s">
        <v>92</v>
      </c>
      <c r="M373" s="31">
        <v>45714</v>
      </c>
      <c r="N373" s="7" t="s">
        <v>1049</v>
      </c>
      <c r="O373" s="8">
        <v>2947</v>
      </c>
      <c r="P373" s="24">
        <v>2791</v>
      </c>
      <c r="Q373" s="22">
        <f>IF(COUNTIFS(A$2:A373,A373,I$2:I373,I373)=1,1,0)</f>
        <v>0</v>
      </c>
      <c r="R373" s="22">
        <f t="shared" si="5"/>
        <v>1</v>
      </c>
      <c r="S373" s="33">
        <f>IF(COUNTIF(O$2:O373,O373)=1,R373,0)/2.5</f>
        <v>0.4</v>
      </c>
    </row>
    <row r="374" spans="1:19" ht="18" customHeight="1" x14ac:dyDescent="0.25">
      <c r="A374" s="7" t="s">
        <v>43</v>
      </c>
      <c r="B374" s="8">
        <v>1</v>
      </c>
      <c r="C374" s="9">
        <v>479</v>
      </c>
      <c r="D374" s="29">
        <f>C374+IF(INDEX('Справочник по %'!B:B,(MATCH(A374,'Справочник по %'!A:A,0)))="кол-во",B374*INDEX('Справочник по %'!C:C,(MATCH(A374,'Справочник по %'!A:A,0))),ОТЧЕТ!C374*INDEX('Справочник по %'!C:C,(MATCH(A374,'Справочник по %'!A:A,0))))/100</f>
        <v>526.9</v>
      </c>
      <c r="E374" s="29">
        <f>IF(ОТЧЕТ!A374="SKU3",C374+ОТЧЕТ!C374*0.2,C374+ОТЧЕТ!C374*0.15)</f>
        <v>550.85</v>
      </c>
      <c r="F374" s="7" t="s">
        <v>1045</v>
      </c>
      <c r="G374" s="7">
        <v>2543102471</v>
      </c>
      <c r="H374" s="20" t="s">
        <v>1050</v>
      </c>
      <c r="I374" s="22" t="str">
        <f>INDEX('Справочник Сети'!B:B,(MATCH(G374,'Справочник Сети'!C:C,0)))</f>
        <v>Столички</v>
      </c>
      <c r="J374" s="7" t="s">
        <v>46</v>
      </c>
      <c r="K374" s="7" t="s">
        <v>1051</v>
      </c>
      <c r="L374" s="7" t="s">
        <v>46</v>
      </c>
      <c r="M374" s="31">
        <v>45726</v>
      </c>
      <c r="N374" s="7" t="s">
        <v>1052</v>
      </c>
      <c r="O374" s="8">
        <v>2770</v>
      </c>
      <c r="P374" s="24">
        <v>2792</v>
      </c>
      <c r="Q374" s="22">
        <f>IF(COUNTIFS(A$2:A374,A374,I$2:I374,I374)=1,1,0)</f>
        <v>0</v>
      </c>
      <c r="R374" s="22">
        <f t="shared" si="5"/>
        <v>3</v>
      </c>
      <c r="S374" s="33">
        <f>IF(COUNTIF(O$2:O374,O374)=1,R374,0)/2.5</f>
        <v>1.2</v>
      </c>
    </row>
    <row r="375" spans="1:19" ht="18" customHeight="1" x14ac:dyDescent="0.25">
      <c r="A375" s="7" t="s">
        <v>43</v>
      </c>
      <c r="B375" s="8">
        <v>1</v>
      </c>
      <c r="C375" s="9">
        <v>435.9</v>
      </c>
      <c r="D375" s="29">
        <f>C375+IF(INDEX('Справочник по %'!B:B,(MATCH(A375,'Справочник по %'!A:A,0)))="кол-во",B375*INDEX('Справочник по %'!C:C,(MATCH(A375,'Справочник по %'!A:A,0))),ОТЧЕТ!C375*INDEX('Справочник по %'!C:C,(MATCH(A375,'Справочник по %'!A:A,0))))/100</f>
        <v>479.49</v>
      </c>
      <c r="E375" s="29">
        <f>IF(ОТЧЕТ!A375="SKU3",C375+ОТЧЕТ!C375*0.2,C375+ОТЧЕТ!C375*0.15)</f>
        <v>501.28499999999997</v>
      </c>
      <c r="F375" s="7" t="s">
        <v>1045</v>
      </c>
      <c r="G375" s="7">
        <v>1831060811</v>
      </c>
      <c r="H375" s="20" t="s">
        <v>800</v>
      </c>
      <c r="I375" s="22" t="str">
        <f>INDEX('Справочник Сети'!B:B,(MATCH(G375,'Справочник Сети'!C:C,0)))</f>
        <v>Ригла</v>
      </c>
      <c r="J375" s="7" t="s">
        <v>335</v>
      </c>
      <c r="K375" s="7" t="s">
        <v>105</v>
      </c>
      <c r="L375" s="7" t="s">
        <v>335</v>
      </c>
      <c r="M375" s="31">
        <v>45731</v>
      </c>
      <c r="N375" s="7" t="s">
        <v>1053</v>
      </c>
      <c r="O375" s="8">
        <v>133</v>
      </c>
      <c r="P375" s="24">
        <v>2795</v>
      </c>
      <c r="Q375" s="22">
        <f>IF(COUNTIFS(A$2:A375,A375,I$2:I375,I375)=1,1,0)</f>
        <v>0</v>
      </c>
      <c r="R375" s="22">
        <f t="shared" si="5"/>
        <v>14</v>
      </c>
      <c r="S375" s="33">
        <f>IF(COUNTIF(O$2:O375,O375)=1,R375,0)/2.5</f>
        <v>0</v>
      </c>
    </row>
    <row r="376" spans="1:19" ht="18" customHeight="1" x14ac:dyDescent="0.25">
      <c r="A376" s="7" t="s">
        <v>43</v>
      </c>
      <c r="B376" s="8">
        <v>1</v>
      </c>
      <c r="C376" s="9">
        <v>425.9</v>
      </c>
      <c r="D376" s="29">
        <f>C376+IF(INDEX('Справочник по %'!B:B,(MATCH(A376,'Справочник по %'!A:A,0)))="кол-во",B376*INDEX('Справочник по %'!C:C,(MATCH(A376,'Справочник по %'!A:A,0))),ОТЧЕТ!C376*INDEX('Справочник по %'!C:C,(MATCH(A376,'Справочник по %'!A:A,0))))/100</f>
        <v>468.49</v>
      </c>
      <c r="E376" s="29">
        <f>IF(ОТЧЕТ!A376="SKU3",C376+ОТЧЕТ!C376*0.2,C376+ОТЧЕТ!C376*0.15)</f>
        <v>489.78499999999997</v>
      </c>
      <c r="F376" s="7" t="s">
        <v>1045</v>
      </c>
      <c r="G376" s="7">
        <v>1831060811</v>
      </c>
      <c r="H376" s="20" t="s">
        <v>800</v>
      </c>
      <c r="I376" s="22" t="str">
        <f>INDEX('Справочник Сети'!B:B,(MATCH(G376,'Справочник Сети'!C:C,0)))</f>
        <v>Ригла</v>
      </c>
      <c r="J376" s="7" t="s">
        <v>335</v>
      </c>
      <c r="K376" s="7" t="s">
        <v>1054</v>
      </c>
      <c r="L376" s="7" t="s">
        <v>335</v>
      </c>
      <c r="M376" s="31">
        <v>45731</v>
      </c>
      <c r="N376" s="7" t="s">
        <v>1055</v>
      </c>
      <c r="O376" s="8">
        <v>133</v>
      </c>
      <c r="P376" s="24">
        <v>2796</v>
      </c>
      <c r="Q376" s="22">
        <f>IF(COUNTIFS(A$2:A376,A376,I$2:I376,I376)=1,1,0)</f>
        <v>0</v>
      </c>
      <c r="R376" s="22">
        <f t="shared" si="5"/>
        <v>14</v>
      </c>
      <c r="S376" s="33">
        <f>IF(COUNTIF(O$2:O376,O376)=1,R376,0)/2.5</f>
        <v>0</v>
      </c>
    </row>
    <row r="377" spans="1:19" ht="18" customHeight="1" x14ac:dyDescent="0.25">
      <c r="A377" s="7" t="s">
        <v>43</v>
      </c>
      <c r="B377" s="8">
        <v>1</v>
      </c>
      <c r="C377" s="9">
        <v>362</v>
      </c>
      <c r="D377" s="29">
        <f>C377+IF(INDEX('Справочник по %'!B:B,(MATCH(A377,'Справочник по %'!A:A,0)))="кол-во",B377*INDEX('Справочник по %'!C:C,(MATCH(A377,'Справочник по %'!A:A,0))),ОТЧЕТ!C377*INDEX('Справочник по %'!C:C,(MATCH(A377,'Справочник по %'!A:A,0))))/100</f>
        <v>398.2</v>
      </c>
      <c r="E377" s="29">
        <f>IF(ОТЧЕТ!A377="SKU3",C377+ОТЧЕТ!C377*0.2,C377+ОТЧЕТ!C377*0.15)</f>
        <v>416.3</v>
      </c>
      <c r="F377" s="7" t="s">
        <v>1045</v>
      </c>
      <c r="G377" s="7">
        <v>4217178886</v>
      </c>
      <c r="H377" s="20" t="s">
        <v>1056</v>
      </c>
      <c r="I377" s="22" t="str">
        <f>INDEX('Справочник Сети'!B:B,(MATCH(G377,'Справочник Сети'!C:C,0)))</f>
        <v>Нео-фарм</v>
      </c>
      <c r="J377" s="7" t="s">
        <v>155</v>
      </c>
      <c r="K377" s="7" t="s">
        <v>328</v>
      </c>
      <c r="L377" s="7" t="s">
        <v>155</v>
      </c>
      <c r="M377" s="31">
        <v>45716</v>
      </c>
      <c r="N377" s="7" t="s">
        <v>1057</v>
      </c>
      <c r="O377" s="8">
        <v>457</v>
      </c>
      <c r="P377" s="24">
        <v>2799</v>
      </c>
      <c r="Q377" s="22">
        <f>IF(COUNTIFS(A$2:A377,A377,I$2:I377,I377)=1,1,0)</f>
        <v>0</v>
      </c>
      <c r="R377" s="22">
        <f t="shared" si="5"/>
        <v>4</v>
      </c>
      <c r="S377" s="33">
        <f>IF(COUNTIF(O$2:O377,O377)=1,R377,0)/2.5</f>
        <v>1.6</v>
      </c>
    </row>
    <row r="378" spans="1:19" ht="18" customHeight="1" x14ac:dyDescent="0.25">
      <c r="A378" s="7" t="s">
        <v>43</v>
      </c>
      <c r="B378" s="8">
        <v>1</v>
      </c>
      <c r="C378" s="9">
        <v>465</v>
      </c>
      <c r="D378" s="29">
        <f>C378+IF(INDEX('Справочник по %'!B:B,(MATCH(A378,'Справочник по %'!A:A,0)))="кол-во",B378*INDEX('Справочник по %'!C:C,(MATCH(A378,'Справочник по %'!A:A,0))),ОТЧЕТ!C378*INDEX('Справочник по %'!C:C,(MATCH(A378,'Справочник по %'!A:A,0))))/100</f>
        <v>511.5</v>
      </c>
      <c r="E378" s="29">
        <f>IF(ОТЧЕТ!A378="SKU3",C378+ОТЧЕТ!C378*0.2,C378+ОТЧЕТ!C378*0.15)</f>
        <v>534.75</v>
      </c>
      <c r="F378" s="7" t="s">
        <v>1058</v>
      </c>
      <c r="G378" s="7">
        <v>2703082561</v>
      </c>
      <c r="H378" s="20" t="s">
        <v>50</v>
      </c>
      <c r="I378" s="22" t="str">
        <f>INDEX('Справочник Сети'!B:B,(MATCH(G378,'Справочник Сети'!C:C,0)))</f>
        <v>Столички</v>
      </c>
      <c r="J378" s="7" t="s">
        <v>46</v>
      </c>
      <c r="K378" s="7" t="s">
        <v>609</v>
      </c>
      <c r="L378" s="7" t="s">
        <v>46</v>
      </c>
      <c r="M378" s="31">
        <v>45726</v>
      </c>
      <c r="N378" s="7" t="s">
        <v>1059</v>
      </c>
      <c r="O378" s="8">
        <v>2666</v>
      </c>
      <c r="P378" s="24">
        <v>2800</v>
      </c>
      <c r="Q378" s="22">
        <f>IF(COUNTIFS(A$2:A378,A378,I$2:I378,I378)=1,1,0)</f>
        <v>0</v>
      </c>
      <c r="R378" s="22">
        <f t="shared" si="5"/>
        <v>1</v>
      </c>
      <c r="S378" s="33">
        <f>IF(COUNTIF(O$2:O378,O378)=1,R378,0)/2.5</f>
        <v>0.4</v>
      </c>
    </row>
    <row r="379" spans="1:19" ht="18" customHeight="1" x14ac:dyDescent="0.25">
      <c r="A379" s="7" t="s">
        <v>37</v>
      </c>
      <c r="B379" s="8">
        <v>1</v>
      </c>
      <c r="C379" s="9">
        <v>585</v>
      </c>
      <c r="D379" s="29">
        <f>C379+IF(INDEX('Справочник по %'!B:B,(MATCH(A379,'Справочник по %'!A:A,0)))="кол-во",B379*INDEX('Справочник по %'!C:C,(MATCH(A379,'Справочник по %'!A:A,0))),ОТЧЕТ!C379*INDEX('Справочник по %'!C:C,(MATCH(A379,'Справочник по %'!A:A,0))))/100</f>
        <v>585.20000000000005</v>
      </c>
      <c r="E379" s="29">
        <f>IF(ОТЧЕТ!A379="SKU3",C379+ОТЧЕТ!C379*0.2,C379+ОТЧЕТ!C379*0.15)</f>
        <v>672.75</v>
      </c>
      <c r="F379" s="7" t="s">
        <v>1058</v>
      </c>
      <c r="G379" s="7">
        <v>3821001306</v>
      </c>
      <c r="H379" s="20" t="s">
        <v>1060</v>
      </c>
      <c r="I379" s="22">
        <f>INDEX('Справочник Сети'!B:B,(MATCH(G379,'Справочник Сети'!C:C,0)))</f>
        <v>0</v>
      </c>
      <c r="J379" s="7" t="s">
        <v>155</v>
      </c>
      <c r="K379" s="7" t="s">
        <v>1061</v>
      </c>
      <c r="L379" s="7" t="s">
        <v>155</v>
      </c>
      <c r="M379" s="31">
        <v>45716</v>
      </c>
      <c r="N379" s="7" t="s">
        <v>1062</v>
      </c>
      <c r="O379" s="8">
        <v>3709</v>
      </c>
      <c r="P379" s="24">
        <v>2801</v>
      </c>
      <c r="Q379" s="22">
        <f>IF(COUNTIFS(A$2:A379,A379,I$2:I379,I379)=1,1,0)</f>
        <v>0</v>
      </c>
      <c r="R379" s="22">
        <f t="shared" si="5"/>
        <v>5</v>
      </c>
      <c r="S379" s="33">
        <f>IF(COUNTIF(O$2:O379,O379)=1,R379,0)/2.5</f>
        <v>0</v>
      </c>
    </row>
    <row r="380" spans="1:19" ht="18" customHeight="1" x14ac:dyDescent="0.25">
      <c r="A380" s="7" t="s">
        <v>43</v>
      </c>
      <c r="B380" s="8">
        <v>1</v>
      </c>
      <c r="C380" s="9">
        <v>421</v>
      </c>
      <c r="D380" s="29">
        <f>C380+IF(INDEX('Справочник по %'!B:B,(MATCH(A380,'Справочник по %'!A:A,0)))="кол-во",B380*INDEX('Справочник по %'!C:C,(MATCH(A380,'Справочник по %'!A:A,0))),ОТЧЕТ!C380*INDEX('Справочник по %'!C:C,(MATCH(A380,'Справочник по %'!A:A,0))))/100</f>
        <v>463.1</v>
      </c>
      <c r="E380" s="29">
        <f>IF(ОТЧЕТ!A380="SKU3",C380+ОТЧЕТ!C380*0.2,C380+ОТЧЕТ!C380*0.15)</f>
        <v>484.15</v>
      </c>
      <c r="F380" s="7" t="s">
        <v>1058</v>
      </c>
      <c r="G380" s="7">
        <v>5501217490</v>
      </c>
      <c r="H380" s="20" t="s">
        <v>69</v>
      </c>
      <c r="I380" s="22">
        <f>INDEX('Справочник Сети'!B:B,(MATCH(G380,'Справочник Сети'!C:C,0)))</f>
        <v>0</v>
      </c>
      <c r="J380" s="7" t="s">
        <v>255</v>
      </c>
      <c r="K380" s="7" t="s">
        <v>1063</v>
      </c>
      <c r="L380" s="7" t="s">
        <v>255</v>
      </c>
      <c r="M380" s="31">
        <v>45713</v>
      </c>
      <c r="N380" s="7" t="s">
        <v>1064</v>
      </c>
      <c r="O380" s="8">
        <v>1916</v>
      </c>
      <c r="P380" s="24">
        <v>2803</v>
      </c>
      <c r="Q380" s="22">
        <f>IF(COUNTIFS(A$2:A380,A380,I$2:I380,I380)=1,1,0)</f>
        <v>0</v>
      </c>
      <c r="R380" s="22">
        <f t="shared" si="5"/>
        <v>6</v>
      </c>
      <c r="S380" s="33">
        <f>IF(COUNTIF(O$2:O380,O380)=1,R380,0)/2.5</f>
        <v>2.4</v>
      </c>
    </row>
    <row r="381" spans="1:19" ht="18" customHeight="1" x14ac:dyDescent="0.25">
      <c r="A381" s="7" t="s">
        <v>37</v>
      </c>
      <c r="B381" s="8">
        <v>1</v>
      </c>
      <c r="C381" s="9">
        <v>545.5</v>
      </c>
      <c r="D381" s="29">
        <f>C381+IF(INDEX('Справочник по %'!B:B,(MATCH(A381,'Справочник по %'!A:A,0)))="кол-во",B381*INDEX('Справочник по %'!C:C,(MATCH(A381,'Справочник по %'!A:A,0))),ОТЧЕТ!C381*INDEX('Справочник по %'!C:C,(MATCH(A381,'Справочник по %'!A:A,0))))/100</f>
        <v>545.70000000000005</v>
      </c>
      <c r="E381" s="29">
        <f>IF(ОТЧЕТ!A381="SKU3",C381+ОТЧЕТ!C381*0.2,C381+ОТЧЕТ!C381*0.15)</f>
        <v>627.32500000000005</v>
      </c>
      <c r="F381" s="7" t="s">
        <v>1065</v>
      </c>
      <c r="G381" s="7">
        <v>2227005590</v>
      </c>
      <c r="H381" s="20" t="s">
        <v>1066</v>
      </c>
      <c r="I381" s="22" t="str">
        <f>INDEX('Справочник Сети'!B:B,(MATCH(G381,'Справочник Сети'!C:C,0)))</f>
        <v>Нео-фарм</v>
      </c>
      <c r="J381" s="7" t="s">
        <v>372</v>
      </c>
      <c r="K381" s="7" t="s">
        <v>84</v>
      </c>
      <c r="L381" s="7" t="s">
        <v>372</v>
      </c>
      <c r="M381" s="31">
        <v>45730</v>
      </c>
      <c r="N381" s="7" t="s">
        <v>1067</v>
      </c>
      <c r="O381" s="8">
        <v>2100</v>
      </c>
      <c r="P381" s="24">
        <v>2807</v>
      </c>
      <c r="Q381" s="22">
        <f>IF(COUNTIFS(A$2:A381,A381,I$2:I381,I381)=1,1,0)</f>
        <v>0</v>
      </c>
      <c r="R381" s="22">
        <f t="shared" si="5"/>
        <v>1</v>
      </c>
      <c r="S381" s="33">
        <f>IF(COUNTIF(O$2:O381,O381)=1,R381,0)/2.5</f>
        <v>0.4</v>
      </c>
    </row>
    <row r="382" spans="1:19" ht="18" customHeight="1" x14ac:dyDescent="0.25">
      <c r="A382" s="7" t="s">
        <v>43</v>
      </c>
      <c r="B382" s="8">
        <v>1</v>
      </c>
      <c r="C382" s="9">
        <v>451</v>
      </c>
      <c r="D382" s="29">
        <f>C382+IF(INDEX('Справочник по %'!B:B,(MATCH(A382,'Справочник по %'!A:A,0)))="кол-во",B382*INDEX('Справочник по %'!C:C,(MATCH(A382,'Справочник по %'!A:A,0))),ОТЧЕТ!C382*INDEX('Справочник по %'!C:C,(MATCH(A382,'Справочник по %'!A:A,0))))/100</f>
        <v>496.1</v>
      </c>
      <c r="E382" s="29">
        <f>IF(ОТЧЕТ!A382="SKU3",C382+ОТЧЕТ!C382*0.2,C382+ОТЧЕТ!C382*0.15)</f>
        <v>518.65</v>
      </c>
      <c r="F382" s="7" t="s">
        <v>1065</v>
      </c>
      <c r="G382" s="7">
        <v>326537584</v>
      </c>
      <c r="H382" s="20" t="s">
        <v>50</v>
      </c>
      <c r="I382" s="22" t="str">
        <f>INDEX('Справочник Сети'!B:B,(MATCH(G382,'Справочник Сети'!C:C,0)))</f>
        <v>Планета здоровья</v>
      </c>
      <c r="J382" s="7" t="s">
        <v>362</v>
      </c>
      <c r="K382" s="7" t="s">
        <v>1068</v>
      </c>
      <c r="L382" s="7" t="s">
        <v>362</v>
      </c>
      <c r="M382" s="31">
        <v>45732</v>
      </c>
      <c r="N382" s="7" t="s">
        <v>1069</v>
      </c>
      <c r="O382" s="8">
        <v>714</v>
      </c>
      <c r="P382" s="24">
        <v>2808</v>
      </c>
      <c r="Q382" s="22">
        <f>IF(COUNTIFS(A$2:A382,A382,I$2:I382,I382)=1,1,0)</f>
        <v>0</v>
      </c>
      <c r="R382" s="22">
        <f t="shared" si="5"/>
        <v>6</v>
      </c>
      <c r="S382" s="33">
        <f>IF(COUNTIF(O$2:O382,O382)=1,R382,0)/2.5</f>
        <v>0</v>
      </c>
    </row>
    <row r="383" spans="1:19" ht="18" customHeight="1" x14ac:dyDescent="0.25">
      <c r="A383" s="7" t="s">
        <v>43</v>
      </c>
      <c r="B383" s="8">
        <v>1</v>
      </c>
      <c r="C383" s="9">
        <v>389</v>
      </c>
      <c r="D383" s="29">
        <f>C383+IF(INDEX('Справочник по %'!B:B,(MATCH(A383,'Справочник по %'!A:A,0)))="кол-во",B383*INDEX('Справочник по %'!C:C,(MATCH(A383,'Справочник по %'!A:A,0))),ОТЧЕТ!C383*INDEX('Справочник по %'!C:C,(MATCH(A383,'Справочник по %'!A:A,0))))/100</f>
        <v>427.9</v>
      </c>
      <c r="E383" s="29">
        <f>IF(ОТЧЕТ!A383="SKU3",C383+ОТЧЕТ!C383*0.2,C383+ОТЧЕТ!C383*0.15)</f>
        <v>447.35</v>
      </c>
      <c r="F383" s="7" t="s">
        <v>1070</v>
      </c>
      <c r="G383" s="7">
        <v>2466189073</v>
      </c>
      <c r="H383" s="20" t="s">
        <v>1071</v>
      </c>
      <c r="I383" s="22" t="str">
        <f>INDEX('Справочник Сети'!B:B,(MATCH(G383,'Справочник Сети'!C:C,0)))</f>
        <v>Нео-фарм</v>
      </c>
      <c r="J383" s="7" t="s">
        <v>96</v>
      </c>
      <c r="K383" s="7" t="s">
        <v>1072</v>
      </c>
      <c r="L383" s="7" t="s">
        <v>96</v>
      </c>
      <c r="M383" s="31">
        <v>45727</v>
      </c>
      <c r="N383" s="7" t="s">
        <v>1073</v>
      </c>
      <c r="O383" s="8">
        <v>405</v>
      </c>
      <c r="P383" s="24">
        <v>2811</v>
      </c>
      <c r="Q383" s="22">
        <f>IF(COUNTIFS(A$2:A383,A383,I$2:I383,I383)=1,1,0)</f>
        <v>0</v>
      </c>
      <c r="R383" s="22">
        <f t="shared" si="5"/>
        <v>1</v>
      </c>
      <c r="S383" s="33">
        <f>IF(COUNTIF(O$2:O383,O383)=1,R383,0)/2.5</f>
        <v>0.4</v>
      </c>
    </row>
    <row r="384" spans="1:19" ht="18" customHeight="1" x14ac:dyDescent="0.25">
      <c r="A384" s="7" t="s">
        <v>43</v>
      </c>
      <c r="B384" s="8">
        <v>1</v>
      </c>
      <c r="C384" s="9">
        <v>420</v>
      </c>
      <c r="D384" s="29">
        <f>C384+IF(INDEX('Справочник по %'!B:B,(MATCH(A384,'Справочник по %'!A:A,0)))="кол-во",B384*INDEX('Справочник по %'!C:C,(MATCH(A384,'Справочник по %'!A:A,0))),ОТЧЕТ!C384*INDEX('Справочник по %'!C:C,(MATCH(A384,'Справочник по %'!A:A,0))))/100</f>
        <v>462</v>
      </c>
      <c r="E384" s="29">
        <f>IF(ОТЧЕТ!A384="SKU3",C384+ОТЧЕТ!C384*0.2,C384+ОТЧЕТ!C384*0.15)</f>
        <v>483</v>
      </c>
      <c r="F384" s="7" t="s">
        <v>1074</v>
      </c>
      <c r="G384" s="7">
        <v>7718908440</v>
      </c>
      <c r="H384" s="20" t="s">
        <v>91</v>
      </c>
      <c r="I384" s="22">
        <f>INDEX('Справочник Сети'!B:B,(MATCH(G384,'Справочник Сети'!C:C,0)))</f>
        <v>0</v>
      </c>
      <c r="J384" s="7" t="s">
        <v>168</v>
      </c>
      <c r="K384" s="7" t="s">
        <v>1075</v>
      </c>
      <c r="L384" s="7" t="s">
        <v>168</v>
      </c>
      <c r="M384" s="31">
        <v>45676</v>
      </c>
      <c r="N384" s="7" t="s">
        <v>1076</v>
      </c>
      <c r="O384" s="8">
        <v>3820</v>
      </c>
      <c r="P384" s="24">
        <v>2815</v>
      </c>
      <c r="Q384" s="22">
        <f>IF(COUNTIFS(A$2:A384,A384,I$2:I384,I384)=1,1,0)</f>
        <v>0</v>
      </c>
      <c r="R384" s="22">
        <f t="shared" si="5"/>
        <v>5</v>
      </c>
      <c r="S384" s="33">
        <f>IF(COUNTIF(O$2:O384,O384)=1,R384,0)/2.5</f>
        <v>2</v>
      </c>
    </row>
    <row r="385" spans="1:19" ht="18" customHeight="1" x14ac:dyDescent="0.25">
      <c r="A385" s="7" t="s">
        <v>43</v>
      </c>
      <c r="B385" s="8">
        <v>1</v>
      </c>
      <c r="C385" s="9">
        <v>488</v>
      </c>
      <c r="D385" s="29">
        <f>C385+IF(INDEX('Справочник по %'!B:B,(MATCH(A385,'Справочник по %'!A:A,0)))="кол-во",B385*INDEX('Справочник по %'!C:C,(MATCH(A385,'Справочник по %'!A:A,0))),ОТЧЕТ!C385*INDEX('Справочник по %'!C:C,(MATCH(A385,'Справочник по %'!A:A,0))))/100</f>
        <v>536.79999999999995</v>
      </c>
      <c r="E385" s="29">
        <f>IF(ОТЧЕТ!A385="SKU3",C385+ОТЧЕТ!C385*0.2,C385+ОТЧЕТ!C385*0.15)</f>
        <v>561.20000000000005</v>
      </c>
      <c r="F385" s="7" t="s">
        <v>1074</v>
      </c>
      <c r="G385" s="7">
        <v>7705947629</v>
      </c>
      <c r="H385" s="20" t="s">
        <v>64</v>
      </c>
      <c r="I385" s="22" t="str">
        <f>INDEX('Справочник Сети'!B:B,(MATCH(G385,'Справочник Сети'!C:C,0)))</f>
        <v>36,6</v>
      </c>
      <c r="J385" s="7" t="s">
        <v>116</v>
      </c>
      <c r="K385" s="7" t="s">
        <v>1077</v>
      </c>
      <c r="L385" s="7" t="s">
        <v>116</v>
      </c>
      <c r="M385" s="31">
        <v>45692</v>
      </c>
      <c r="N385" s="7" t="s">
        <v>1078</v>
      </c>
      <c r="O385" s="8">
        <v>3799</v>
      </c>
      <c r="P385" s="24">
        <v>2816</v>
      </c>
      <c r="Q385" s="22">
        <f>IF(COUNTIFS(A$2:A385,A385,I$2:I385,I385)=1,1,0)</f>
        <v>0</v>
      </c>
      <c r="R385" s="22">
        <f t="shared" si="5"/>
        <v>6</v>
      </c>
      <c r="S385" s="33">
        <f>IF(COUNTIF(O$2:O385,O385)=1,R385,0)/2.5</f>
        <v>2.4</v>
      </c>
    </row>
    <row r="386" spans="1:19" ht="18" customHeight="1" x14ac:dyDescent="0.25">
      <c r="A386" s="7" t="s">
        <v>43</v>
      </c>
      <c r="B386" s="8">
        <v>1</v>
      </c>
      <c r="C386" s="9">
        <v>488</v>
      </c>
      <c r="D386" s="29">
        <f>C386+IF(INDEX('Справочник по %'!B:B,(MATCH(A386,'Справочник по %'!A:A,0)))="кол-во",B386*INDEX('Справочник по %'!C:C,(MATCH(A386,'Справочник по %'!A:A,0))),ОТЧЕТ!C386*INDEX('Справочник по %'!C:C,(MATCH(A386,'Справочник по %'!A:A,0))))/100</f>
        <v>536.79999999999995</v>
      </c>
      <c r="E386" s="29">
        <f>IF(ОТЧЕТ!A386="SKU3",C386+ОТЧЕТ!C386*0.2,C386+ОТЧЕТ!C386*0.15)</f>
        <v>561.20000000000005</v>
      </c>
      <c r="F386" s="7" t="s">
        <v>1074</v>
      </c>
      <c r="G386" s="7">
        <v>7705947629</v>
      </c>
      <c r="H386" s="20" t="s">
        <v>64</v>
      </c>
      <c r="I386" s="22" t="str">
        <f>INDEX('Справочник Сети'!B:B,(MATCH(G386,'Справочник Сети'!C:C,0)))</f>
        <v>36,6</v>
      </c>
      <c r="J386" s="7" t="s">
        <v>116</v>
      </c>
      <c r="K386" s="7" t="s">
        <v>567</v>
      </c>
      <c r="L386" s="7" t="s">
        <v>116</v>
      </c>
      <c r="M386" s="31">
        <v>45692</v>
      </c>
      <c r="N386" s="7" t="s">
        <v>1079</v>
      </c>
      <c r="O386" s="8">
        <v>3799</v>
      </c>
      <c r="P386" s="24">
        <v>2818</v>
      </c>
      <c r="Q386" s="22">
        <f>IF(COUNTIFS(A$2:A386,A386,I$2:I386,I386)=1,1,0)</f>
        <v>0</v>
      </c>
      <c r="R386" s="22">
        <f t="shared" si="5"/>
        <v>6</v>
      </c>
      <c r="S386" s="33">
        <f>IF(COUNTIF(O$2:O386,O386)=1,R386,0)/2.5</f>
        <v>0</v>
      </c>
    </row>
    <row r="387" spans="1:19" ht="18" customHeight="1" x14ac:dyDescent="0.25">
      <c r="A387" s="7" t="s">
        <v>43</v>
      </c>
      <c r="B387" s="8">
        <v>1</v>
      </c>
      <c r="C387" s="9">
        <v>449</v>
      </c>
      <c r="D387" s="29">
        <f>C387+IF(INDEX('Справочник по %'!B:B,(MATCH(A387,'Справочник по %'!A:A,0)))="кол-во",B387*INDEX('Справочник по %'!C:C,(MATCH(A387,'Справочник по %'!A:A,0))),ОТЧЕТ!C387*INDEX('Справочник по %'!C:C,(MATCH(A387,'Справочник по %'!A:A,0))))/100</f>
        <v>493.9</v>
      </c>
      <c r="E387" s="29">
        <f>IF(ОТЧЕТ!A387="SKU3",C387+ОТЧЕТ!C387*0.2,C387+ОТЧЕТ!C387*0.15)</f>
        <v>516.35</v>
      </c>
      <c r="F387" s="7" t="s">
        <v>1074</v>
      </c>
      <c r="G387" s="7">
        <v>7705947629</v>
      </c>
      <c r="H387" s="20" t="s">
        <v>64</v>
      </c>
      <c r="I387" s="22" t="str">
        <f>INDEX('Справочник Сети'!B:B,(MATCH(G387,'Справочник Сети'!C:C,0)))</f>
        <v>36,6</v>
      </c>
      <c r="J387" s="7" t="s">
        <v>116</v>
      </c>
      <c r="K387" s="7" t="s">
        <v>1080</v>
      </c>
      <c r="L387" s="7" t="s">
        <v>116</v>
      </c>
      <c r="M387" s="31">
        <v>45692</v>
      </c>
      <c r="N387" s="7" t="s">
        <v>1081</v>
      </c>
      <c r="O387" s="8">
        <v>3799</v>
      </c>
      <c r="P387" s="24">
        <v>2819</v>
      </c>
      <c r="Q387" s="22">
        <f>IF(COUNTIFS(A$2:A387,A387,I$2:I387,I387)=1,1,0)</f>
        <v>0</v>
      </c>
      <c r="R387" s="22">
        <f t="shared" ref="R387:R450" si="6">COUNTIF(O:O,O387)</f>
        <v>6</v>
      </c>
      <c r="S387" s="33">
        <f>IF(COUNTIF(O$2:O387,O387)=1,R387,0)/2.5</f>
        <v>0</v>
      </c>
    </row>
    <row r="388" spans="1:19" ht="18" customHeight="1" x14ac:dyDescent="0.25">
      <c r="A388" s="7" t="s">
        <v>43</v>
      </c>
      <c r="B388" s="8">
        <v>1</v>
      </c>
      <c r="C388" s="9">
        <v>429.4</v>
      </c>
      <c r="D388" s="29">
        <f>C388+IF(INDEX('Справочник по %'!B:B,(MATCH(A388,'Справочник по %'!A:A,0)))="кол-во",B388*INDEX('Справочник по %'!C:C,(MATCH(A388,'Справочник по %'!A:A,0))),ОТЧЕТ!C388*INDEX('Справочник по %'!C:C,(MATCH(A388,'Справочник по %'!A:A,0))))/100</f>
        <v>472.34</v>
      </c>
      <c r="E388" s="29">
        <f>IF(ОТЧЕТ!A388="SKU3",C388+ОТЧЕТ!C388*0.2,C388+ОТЧЕТ!C388*0.15)</f>
        <v>493.80999999999995</v>
      </c>
      <c r="F388" s="7" t="s">
        <v>1074</v>
      </c>
      <c r="G388" s="7">
        <v>3665012499</v>
      </c>
      <c r="H388" s="20" t="s">
        <v>91</v>
      </c>
      <c r="I388" s="22" t="str">
        <f>INDEX('Справочник Сети'!B:B,(MATCH(G388,'Справочник Сети'!C:C,0)))</f>
        <v>36,6</v>
      </c>
      <c r="J388" s="7" t="s">
        <v>65</v>
      </c>
      <c r="K388" s="7" t="s">
        <v>1082</v>
      </c>
      <c r="L388" s="7" t="s">
        <v>65</v>
      </c>
      <c r="M388" s="31">
        <v>45717</v>
      </c>
      <c r="N388" s="7" t="s">
        <v>1083</v>
      </c>
      <c r="O388" s="8">
        <v>1979</v>
      </c>
      <c r="P388" s="24">
        <v>2824</v>
      </c>
      <c r="Q388" s="22">
        <f>IF(COUNTIFS(A$2:A388,A388,I$2:I388,I388)=1,1,0)</f>
        <v>0</v>
      </c>
      <c r="R388" s="22">
        <f t="shared" si="6"/>
        <v>3</v>
      </c>
      <c r="S388" s="33">
        <f>IF(COUNTIF(O$2:O388,O388)=1,R388,0)/2.5</f>
        <v>0</v>
      </c>
    </row>
    <row r="389" spans="1:19" ht="18" customHeight="1" x14ac:dyDescent="0.25">
      <c r="A389" s="7" t="s">
        <v>43</v>
      </c>
      <c r="B389" s="8">
        <v>1</v>
      </c>
      <c r="C389" s="9">
        <v>440</v>
      </c>
      <c r="D389" s="29">
        <f>C389+IF(INDEX('Справочник по %'!B:B,(MATCH(A389,'Справочник по %'!A:A,0)))="кол-во",B389*INDEX('Справочник по %'!C:C,(MATCH(A389,'Справочник по %'!A:A,0))),ОТЧЕТ!C389*INDEX('Справочник по %'!C:C,(MATCH(A389,'Справочник по %'!A:A,0))))/100</f>
        <v>484</v>
      </c>
      <c r="E389" s="29">
        <f>IF(ОТЧЕТ!A389="SKU3",C389+ОТЧЕТ!C389*0.2,C389+ОТЧЕТ!C389*0.15)</f>
        <v>506</v>
      </c>
      <c r="F389" s="7" t="s">
        <v>1074</v>
      </c>
      <c r="G389" s="7">
        <v>7736351554</v>
      </c>
      <c r="H389" s="20" t="s">
        <v>1084</v>
      </c>
      <c r="I389" s="22">
        <f>INDEX('Справочник Сети'!B:B,(MATCH(G389,'Справочник Сети'!C:C,0)))</f>
        <v>0</v>
      </c>
      <c r="J389" s="7" t="s">
        <v>353</v>
      </c>
      <c r="K389" s="7" t="s">
        <v>581</v>
      </c>
      <c r="L389" s="7" t="s">
        <v>353</v>
      </c>
      <c r="M389" s="31">
        <v>45672</v>
      </c>
      <c r="N389" s="7" t="s">
        <v>1085</v>
      </c>
      <c r="O389" s="8">
        <v>3620</v>
      </c>
      <c r="P389" s="24">
        <v>2826</v>
      </c>
      <c r="Q389" s="22">
        <f>IF(COUNTIFS(A$2:A389,A389,I$2:I389,I389)=1,1,0)</f>
        <v>0</v>
      </c>
      <c r="R389" s="22">
        <f t="shared" si="6"/>
        <v>1</v>
      </c>
      <c r="S389" s="33">
        <f>IF(COUNTIF(O$2:O389,O389)=1,R389,0)/2.5</f>
        <v>0.4</v>
      </c>
    </row>
    <row r="390" spans="1:19" ht="18" customHeight="1" x14ac:dyDescent="0.25">
      <c r="A390" s="7" t="s">
        <v>43</v>
      </c>
      <c r="B390" s="8">
        <v>1</v>
      </c>
      <c r="C390" s="9">
        <v>402</v>
      </c>
      <c r="D390" s="29">
        <f>C390+IF(INDEX('Справочник по %'!B:B,(MATCH(A390,'Справочник по %'!A:A,0)))="кол-во",B390*INDEX('Справочник по %'!C:C,(MATCH(A390,'Справочник по %'!A:A,0))),ОТЧЕТ!C390*INDEX('Справочник по %'!C:C,(MATCH(A390,'Справочник по %'!A:A,0))))/100</f>
        <v>442.2</v>
      </c>
      <c r="E390" s="29">
        <f>IF(ОТЧЕТ!A390="SKU3",C390+ОТЧЕТ!C390*0.2,C390+ОТЧЕТ!C390*0.15)</f>
        <v>462.3</v>
      </c>
      <c r="F390" s="7" t="s">
        <v>1074</v>
      </c>
      <c r="G390" s="7">
        <v>2308110232</v>
      </c>
      <c r="H390" s="20" t="s">
        <v>69</v>
      </c>
      <c r="I390" s="22" t="str">
        <f>INDEX('Справочник Сети'!B:B,(MATCH(G390,'Справочник Сети'!C:C,0)))</f>
        <v>Нео-фарм</v>
      </c>
      <c r="J390" s="7" t="s">
        <v>372</v>
      </c>
      <c r="K390" s="7" t="s">
        <v>521</v>
      </c>
      <c r="L390" s="7" t="s">
        <v>372</v>
      </c>
      <c r="M390" s="31">
        <v>45730</v>
      </c>
      <c r="N390" s="7" t="s">
        <v>1086</v>
      </c>
      <c r="O390" s="8">
        <v>2797</v>
      </c>
      <c r="P390" s="24">
        <v>2828</v>
      </c>
      <c r="Q390" s="22">
        <f>IF(COUNTIFS(A$2:A390,A390,I$2:I390,I390)=1,1,0)</f>
        <v>0</v>
      </c>
      <c r="R390" s="22">
        <f t="shared" si="6"/>
        <v>1</v>
      </c>
      <c r="S390" s="33">
        <f>IF(COUNTIF(O$2:O390,O390)=1,R390,0)/2.5</f>
        <v>0.4</v>
      </c>
    </row>
    <row r="391" spans="1:19" ht="18" customHeight="1" x14ac:dyDescent="0.25">
      <c r="A391" s="7" t="s">
        <v>43</v>
      </c>
      <c r="B391" s="8">
        <v>1</v>
      </c>
      <c r="C391" s="9">
        <v>390.4</v>
      </c>
      <c r="D391" s="29">
        <f>C391+IF(INDEX('Справочник по %'!B:B,(MATCH(A391,'Справочник по %'!A:A,0)))="кол-во",B391*INDEX('Справочник по %'!C:C,(MATCH(A391,'Справочник по %'!A:A,0))),ОТЧЕТ!C391*INDEX('Справочник по %'!C:C,(MATCH(A391,'Справочник по %'!A:A,0))))/100</f>
        <v>429.44</v>
      </c>
      <c r="E391" s="29">
        <f>IF(ОТЧЕТ!A391="SKU3",C391+ОТЧЕТ!C391*0.2,C391+ОТЧЕТ!C391*0.15)</f>
        <v>448.96</v>
      </c>
      <c r="F391" s="7" t="s">
        <v>1074</v>
      </c>
      <c r="G391" s="7">
        <v>3801042576</v>
      </c>
      <c r="H391" s="20" t="s">
        <v>761</v>
      </c>
      <c r="I391" s="22" t="str">
        <f>INDEX('Справочник Сети'!B:B,(MATCH(G391,'Справочник Сети'!C:C,0)))</f>
        <v>Планета здоровья</v>
      </c>
      <c r="J391" s="7" t="s">
        <v>65</v>
      </c>
      <c r="K391" s="7" t="s">
        <v>1087</v>
      </c>
      <c r="L391" s="7" t="s">
        <v>65</v>
      </c>
      <c r="M391" s="31">
        <v>45717</v>
      </c>
      <c r="N391" s="7" t="s">
        <v>1088</v>
      </c>
      <c r="O391" s="8">
        <v>1061</v>
      </c>
      <c r="P391" s="24">
        <v>2829</v>
      </c>
      <c r="Q391" s="22">
        <f>IF(COUNTIFS(A$2:A391,A391,I$2:I391,I391)=1,1,0)</f>
        <v>0</v>
      </c>
      <c r="R391" s="22">
        <f t="shared" si="6"/>
        <v>4</v>
      </c>
      <c r="S391" s="33">
        <f>IF(COUNTIF(O$2:O391,O391)=1,R391,0)/2.5</f>
        <v>0</v>
      </c>
    </row>
    <row r="392" spans="1:19" ht="18" customHeight="1" x14ac:dyDescent="0.25">
      <c r="A392" s="7" t="s">
        <v>43</v>
      </c>
      <c r="B392" s="8">
        <v>1</v>
      </c>
      <c r="C392" s="9">
        <v>529</v>
      </c>
      <c r="D392" s="29">
        <f>C392+IF(INDEX('Справочник по %'!B:B,(MATCH(A392,'Справочник по %'!A:A,0)))="кол-во",B392*INDEX('Справочник по %'!C:C,(MATCH(A392,'Справочник по %'!A:A,0))),ОТЧЕТ!C392*INDEX('Справочник по %'!C:C,(MATCH(A392,'Справочник по %'!A:A,0))))/100</f>
        <v>581.9</v>
      </c>
      <c r="E392" s="29">
        <f>IF(ОТЧЕТ!A392="SKU3",C392+ОТЧЕТ!C392*0.2,C392+ОТЧЕТ!C392*0.15)</f>
        <v>608.35</v>
      </c>
      <c r="F392" s="7" t="s">
        <v>1074</v>
      </c>
      <c r="G392" s="7">
        <v>7732121736</v>
      </c>
      <c r="H392" s="20" t="s">
        <v>1089</v>
      </c>
      <c r="I392" s="22" t="str">
        <f>INDEX('Справочник Сети'!B:B,(MATCH(G392,'Справочник Сети'!C:C,0)))</f>
        <v>Планета здоровья</v>
      </c>
      <c r="J392" s="7" t="s">
        <v>149</v>
      </c>
      <c r="K392" s="7" t="s">
        <v>1090</v>
      </c>
      <c r="L392" s="7" t="s">
        <v>149</v>
      </c>
      <c r="M392" s="31">
        <v>45673</v>
      </c>
      <c r="N392" s="7" t="s">
        <v>1091</v>
      </c>
      <c r="O392" s="8">
        <v>2482</v>
      </c>
      <c r="P392" s="24">
        <v>2831</v>
      </c>
      <c r="Q392" s="22">
        <f>IF(COUNTIFS(A$2:A392,A392,I$2:I392,I392)=1,1,0)</f>
        <v>0</v>
      </c>
      <c r="R392" s="22">
        <f t="shared" si="6"/>
        <v>9</v>
      </c>
      <c r="S392" s="33">
        <f>IF(COUNTIF(O$2:O392,O392)=1,R392,0)/2.5</f>
        <v>3.6</v>
      </c>
    </row>
    <row r="393" spans="1:19" ht="18" customHeight="1" x14ac:dyDescent="0.25">
      <c r="A393" s="7" t="s">
        <v>43</v>
      </c>
      <c r="B393" s="8">
        <v>1</v>
      </c>
      <c r="C393" s="9">
        <v>418</v>
      </c>
      <c r="D393" s="29">
        <f>C393+IF(INDEX('Справочник по %'!B:B,(MATCH(A393,'Справочник по %'!A:A,0)))="кол-во",B393*INDEX('Справочник по %'!C:C,(MATCH(A393,'Справочник по %'!A:A,0))),ОТЧЕТ!C393*INDEX('Справочник по %'!C:C,(MATCH(A393,'Справочник по %'!A:A,0))))/100</f>
        <v>459.8</v>
      </c>
      <c r="E393" s="29">
        <f>IF(ОТЧЕТ!A393="SKU3",C393+ОТЧЕТ!C393*0.2,C393+ОТЧЕТ!C393*0.15)</f>
        <v>480.7</v>
      </c>
      <c r="F393" s="7" t="s">
        <v>1074</v>
      </c>
      <c r="G393" s="7">
        <v>6163232898</v>
      </c>
      <c r="H393" s="20" t="s">
        <v>50</v>
      </c>
      <c r="I393" s="22">
        <f>INDEX('Справочник Сети'!B:B,(MATCH(G393,'Справочник Сети'!C:C,0)))</f>
        <v>0</v>
      </c>
      <c r="J393" s="7" t="s">
        <v>520</v>
      </c>
      <c r="K393" s="7" t="s">
        <v>1054</v>
      </c>
      <c r="L393" s="7" t="s">
        <v>520</v>
      </c>
      <c r="M393" s="31">
        <v>45697</v>
      </c>
      <c r="N393" s="7" t="s">
        <v>1092</v>
      </c>
      <c r="O393" s="8">
        <v>1728</v>
      </c>
      <c r="P393" s="24">
        <v>2838</v>
      </c>
      <c r="Q393" s="22">
        <f>IF(COUNTIFS(A$2:A393,A393,I$2:I393,I393)=1,1,0)</f>
        <v>0</v>
      </c>
      <c r="R393" s="22">
        <f t="shared" si="6"/>
        <v>2</v>
      </c>
      <c r="S393" s="33">
        <f>IF(COUNTIF(O$2:O393,O393)=1,R393,0)/2.5</f>
        <v>0.8</v>
      </c>
    </row>
    <row r="394" spans="1:19" ht="18" customHeight="1" x14ac:dyDescent="0.25">
      <c r="A394" s="7" t="s">
        <v>43</v>
      </c>
      <c r="B394" s="8">
        <v>1</v>
      </c>
      <c r="C394" s="9">
        <v>515</v>
      </c>
      <c r="D394" s="29">
        <f>C394+IF(INDEX('Справочник по %'!B:B,(MATCH(A394,'Справочник по %'!A:A,0)))="кол-во",B394*INDEX('Справочник по %'!C:C,(MATCH(A394,'Справочник по %'!A:A,0))),ОТЧЕТ!C394*INDEX('Справочник по %'!C:C,(MATCH(A394,'Справочник по %'!A:A,0))))/100</f>
        <v>566.5</v>
      </c>
      <c r="E394" s="29">
        <f>IF(ОТЧЕТ!A394="SKU3",C394+ОТЧЕТ!C394*0.2,C394+ОТЧЕТ!C394*0.15)</f>
        <v>592.25</v>
      </c>
      <c r="F394" s="7" t="s">
        <v>1074</v>
      </c>
      <c r="G394" s="7">
        <v>7814139847</v>
      </c>
      <c r="H394" s="20" t="s">
        <v>50</v>
      </c>
      <c r="I394" s="22" t="str">
        <f>INDEX('Справочник Сети'!B:B,(MATCH(G394,'Справочник Сети'!C:C,0)))</f>
        <v>Планета здоровья</v>
      </c>
      <c r="J394" s="7" t="s">
        <v>121</v>
      </c>
      <c r="K394" s="7" t="s">
        <v>596</v>
      </c>
      <c r="L394" s="7" t="s">
        <v>121</v>
      </c>
      <c r="M394" s="31">
        <v>45671</v>
      </c>
      <c r="N394" s="7" t="s">
        <v>1093</v>
      </c>
      <c r="O394" s="8">
        <v>2865</v>
      </c>
      <c r="P394" s="24">
        <v>2843</v>
      </c>
      <c r="Q394" s="22">
        <f>IF(COUNTIFS(A$2:A394,A394,I$2:I394,I394)=1,1,0)</f>
        <v>0</v>
      </c>
      <c r="R394" s="22">
        <f t="shared" si="6"/>
        <v>7</v>
      </c>
      <c r="S394" s="33">
        <f>IF(COUNTIF(O$2:O394,O394)=1,R394,0)/2.5</f>
        <v>0</v>
      </c>
    </row>
    <row r="395" spans="1:19" ht="18" customHeight="1" x14ac:dyDescent="0.25">
      <c r="A395" s="7" t="s">
        <v>37</v>
      </c>
      <c r="B395" s="8">
        <v>1</v>
      </c>
      <c r="C395" s="9">
        <v>627</v>
      </c>
      <c r="D395" s="29">
        <f>C395+IF(INDEX('Справочник по %'!B:B,(MATCH(A395,'Справочник по %'!A:A,0)))="кол-во",B395*INDEX('Справочник по %'!C:C,(MATCH(A395,'Справочник по %'!A:A,0))),ОТЧЕТ!C395*INDEX('Справочник по %'!C:C,(MATCH(A395,'Справочник по %'!A:A,0))))/100</f>
        <v>627.20000000000005</v>
      </c>
      <c r="E395" s="29">
        <f>IF(ОТЧЕТ!A395="SKU3",C395+ОТЧЕТ!C395*0.2,C395+ОТЧЕТ!C395*0.15)</f>
        <v>721.05</v>
      </c>
      <c r="F395" s="7" t="s">
        <v>1074</v>
      </c>
      <c r="G395" s="7">
        <v>7706795062</v>
      </c>
      <c r="H395" s="20" t="s">
        <v>1094</v>
      </c>
      <c r="I395" s="22" t="str">
        <f>INDEX('Справочник Сети'!B:B,(MATCH(G395,'Справочник Сети'!C:C,0)))</f>
        <v>Планета здоровья</v>
      </c>
      <c r="J395" s="7" t="s">
        <v>87</v>
      </c>
      <c r="K395" s="7" t="s">
        <v>598</v>
      </c>
      <c r="L395" s="7" t="s">
        <v>87</v>
      </c>
      <c r="M395" s="31">
        <v>45691</v>
      </c>
      <c r="N395" s="7" t="s">
        <v>1095</v>
      </c>
      <c r="O395" s="8">
        <v>3295</v>
      </c>
      <c r="P395" s="24">
        <v>2844</v>
      </c>
      <c r="Q395" s="22">
        <f>IF(COUNTIFS(A$2:A395,A395,I$2:I395,I395)=1,1,0)</f>
        <v>0</v>
      </c>
      <c r="R395" s="22">
        <f t="shared" si="6"/>
        <v>3</v>
      </c>
      <c r="S395" s="33">
        <f>IF(COUNTIF(O$2:O395,O395)=1,R395,0)/2.5</f>
        <v>1.2</v>
      </c>
    </row>
    <row r="396" spans="1:19" ht="18" customHeight="1" x14ac:dyDescent="0.25">
      <c r="A396" s="7" t="s">
        <v>43</v>
      </c>
      <c r="B396" s="8">
        <v>1</v>
      </c>
      <c r="C396" s="9">
        <v>417</v>
      </c>
      <c r="D396" s="29">
        <f>C396+IF(INDEX('Справочник по %'!B:B,(MATCH(A396,'Справочник по %'!A:A,0)))="кол-во",B396*INDEX('Справочник по %'!C:C,(MATCH(A396,'Справочник по %'!A:A,0))),ОТЧЕТ!C396*INDEX('Справочник по %'!C:C,(MATCH(A396,'Справочник по %'!A:A,0))))/100</f>
        <v>458.7</v>
      </c>
      <c r="E396" s="29">
        <f>IF(ОТЧЕТ!A396="SKU3",C396+ОТЧЕТ!C396*0.2,C396+ОТЧЕТ!C396*0.15)</f>
        <v>479.55</v>
      </c>
      <c r="F396" s="7" t="s">
        <v>1074</v>
      </c>
      <c r="G396" s="7">
        <v>2723197553</v>
      </c>
      <c r="H396" s="20" t="s">
        <v>50</v>
      </c>
      <c r="I396" s="22" t="str">
        <f>INDEX('Справочник Сети'!B:B,(MATCH(G396,'Справочник Сети'!C:C,0)))</f>
        <v>Ригла</v>
      </c>
      <c r="J396" s="7" t="s">
        <v>51</v>
      </c>
      <c r="K396" s="7" t="s">
        <v>320</v>
      </c>
      <c r="L396" s="7" t="s">
        <v>51</v>
      </c>
      <c r="M396" s="31">
        <v>45725</v>
      </c>
      <c r="N396" s="7" t="s">
        <v>1096</v>
      </c>
      <c r="O396" s="8">
        <v>3032</v>
      </c>
      <c r="P396" s="24">
        <v>2845</v>
      </c>
      <c r="Q396" s="22">
        <f>IF(COUNTIFS(A$2:A396,A396,I$2:I396,I396)=1,1,0)</f>
        <v>0</v>
      </c>
      <c r="R396" s="22">
        <f t="shared" si="6"/>
        <v>1</v>
      </c>
      <c r="S396" s="33">
        <f>IF(COUNTIF(O$2:O396,O396)=1,R396,0)/2.5</f>
        <v>0.4</v>
      </c>
    </row>
    <row r="397" spans="1:19" ht="18" customHeight="1" x14ac:dyDescent="0.25">
      <c r="A397" s="7" t="s">
        <v>43</v>
      </c>
      <c r="B397" s="8">
        <v>1</v>
      </c>
      <c r="C397" s="9">
        <v>380</v>
      </c>
      <c r="D397" s="29">
        <f>C397+IF(INDEX('Справочник по %'!B:B,(MATCH(A397,'Справочник по %'!A:A,0)))="кол-во",B397*INDEX('Справочник по %'!C:C,(MATCH(A397,'Справочник по %'!A:A,0))),ОТЧЕТ!C397*INDEX('Справочник по %'!C:C,(MATCH(A397,'Справочник по %'!A:A,0))))/100</f>
        <v>418</v>
      </c>
      <c r="E397" s="29">
        <f>IF(ОТЧЕТ!A397="SKU3",C397+ОТЧЕТ!C397*0.2,C397+ОТЧЕТ!C397*0.15)</f>
        <v>437</v>
      </c>
      <c r="F397" s="7" t="s">
        <v>1097</v>
      </c>
      <c r="G397" s="7">
        <v>2310219170</v>
      </c>
      <c r="H397" s="20" t="s">
        <v>69</v>
      </c>
      <c r="I397" s="22" t="str">
        <f>INDEX('Справочник Сети'!B:B,(MATCH(G397,'Справочник Сети'!C:C,0)))</f>
        <v>Столички</v>
      </c>
      <c r="J397" s="7" t="s">
        <v>70</v>
      </c>
      <c r="K397" s="7" t="s">
        <v>1098</v>
      </c>
      <c r="L397" s="7" t="s">
        <v>70</v>
      </c>
      <c r="M397" s="31">
        <v>45728</v>
      </c>
      <c r="N397" s="7" t="s">
        <v>1099</v>
      </c>
      <c r="O397" s="8">
        <v>3677</v>
      </c>
      <c r="P397" s="24">
        <v>2849</v>
      </c>
      <c r="Q397" s="22">
        <f>IF(COUNTIFS(A$2:A397,A397,I$2:I397,I397)=1,1,0)</f>
        <v>0</v>
      </c>
      <c r="R397" s="22">
        <f t="shared" si="6"/>
        <v>1</v>
      </c>
      <c r="S397" s="33">
        <f>IF(COUNTIF(O$2:O397,O397)=1,R397,0)/2.5</f>
        <v>0.4</v>
      </c>
    </row>
    <row r="398" spans="1:19" ht="18" customHeight="1" x14ac:dyDescent="0.25">
      <c r="A398" s="7" t="s">
        <v>37</v>
      </c>
      <c r="B398" s="8">
        <v>1</v>
      </c>
      <c r="C398" s="9">
        <v>665</v>
      </c>
      <c r="D398" s="29">
        <f>C398+IF(INDEX('Справочник по %'!B:B,(MATCH(A398,'Справочник по %'!A:A,0)))="кол-во",B398*INDEX('Справочник по %'!C:C,(MATCH(A398,'Справочник по %'!A:A,0))),ОТЧЕТ!C398*INDEX('Справочник по %'!C:C,(MATCH(A398,'Справочник по %'!A:A,0))))/100</f>
        <v>665.2</v>
      </c>
      <c r="E398" s="29">
        <f>IF(ОТЧЕТ!A398="SKU3",C398+ОТЧЕТ!C398*0.2,C398+ОТЧЕТ!C398*0.15)</f>
        <v>764.75</v>
      </c>
      <c r="F398" s="7" t="s">
        <v>1100</v>
      </c>
      <c r="G398" s="7">
        <v>5902834187</v>
      </c>
      <c r="H398" s="20" t="s">
        <v>39</v>
      </c>
      <c r="I398" s="22" t="str">
        <f>INDEX('Справочник Сети'!B:B,(MATCH(G398,'Справочник Сети'!C:C,0)))</f>
        <v>Ригла</v>
      </c>
      <c r="J398" s="7" t="s">
        <v>40</v>
      </c>
      <c r="K398" s="7" t="s">
        <v>1101</v>
      </c>
      <c r="L398" s="7" t="s">
        <v>40</v>
      </c>
      <c r="M398" s="31">
        <v>45712</v>
      </c>
      <c r="N398" s="7" t="s">
        <v>1102</v>
      </c>
      <c r="O398" s="8">
        <v>2613</v>
      </c>
      <c r="P398" s="24">
        <v>2850</v>
      </c>
      <c r="Q398" s="22">
        <f>IF(COUNTIFS(A$2:A398,A398,I$2:I398,I398)=1,1,0)</f>
        <v>0</v>
      </c>
      <c r="R398" s="22">
        <f t="shared" si="6"/>
        <v>1</v>
      </c>
      <c r="S398" s="33">
        <f>IF(COUNTIF(O$2:O398,O398)=1,R398,0)/2.5</f>
        <v>0.4</v>
      </c>
    </row>
    <row r="399" spans="1:19" ht="18" customHeight="1" x14ac:dyDescent="0.25">
      <c r="A399" s="7" t="s">
        <v>43</v>
      </c>
      <c r="B399" s="8">
        <v>1</v>
      </c>
      <c r="C399" s="9">
        <v>672</v>
      </c>
      <c r="D399" s="29">
        <f>C399+IF(INDEX('Справочник по %'!B:B,(MATCH(A399,'Справочник по %'!A:A,0)))="кол-во",B399*INDEX('Справочник по %'!C:C,(MATCH(A399,'Справочник по %'!A:A,0))),ОТЧЕТ!C399*INDEX('Справочник по %'!C:C,(MATCH(A399,'Справочник по %'!A:A,0))))/100</f>
        <v>739.2</v>
      </c>
      <c r="E399" s="29">
        <f>IF(ОТЧЕТ!A399="SKU3",C399+ОТЧЕТ!C399*0.2,C399+ОТЧЕТ!C399*0.15)</f>
        <v>772.8</v>
      </c>
      <c r="F399" s="7" t="s">
        <v>1100</v>
      </c>
      <c r="G399" s="7">
        <v>7705947629</v>
      </c>
      <c r="H399" s="20" t="s">
        <v>50</v>
      </c>
      <c r="I399" s="22" t="str">
        <f>INDEX('Справочник Сети'!B:B,(MATCH(G399,'Справочник Сети'!C:C,0)))</f>
        <v>36,6</v>
      </c>
      <c r="J399" s="7" t="s">
        <v>104</v>
      </c>
      <c r="K399" s="7" t="s">
        <v>1103</v>
      </c>
      <c r="L399" s="7" t="s">
        <v>104</v>
      </c>
      <c r="M399" s="31">
        <v>45693</v>
      </c>
      <c r="N399" s="7" t="s">
        <v>1104</v>
      </c>
      <c r="O399" s="8">
        <v>187</v>
      </c>
      <c r="P399" s="24">
        <v>2853</v>
      </c>
      <c r="Q399" s="22">
        <f>IF(COUNTIFS(A$2:A399,A399,I$2:I399,I399)=1,1,0)</f>
        <v>0</v>
      </c>
      <c r="R399" s="22">
        <f t="shared" si="6"/>
        <v>2</v>
      </c>
      <c r="S399" s="33">
        <f>IF(COUNTIF(O$2:O399,O399)=1,R399,0)/2.5</f>
        <v>0.8</v>
      </c>
    </row>
    <row r="400" spans="1:19" ht="18" customHeight="1" x14ac:dyDescent="0.25">
      <c r="A400" s="7" t="s">
        <v>43</v>
      </c>
      <c r="B400" s="8">
        <v>1</v>
      </c>
      <c r="C400" s="9">
        <v>399.5</v>
      </c>
      <c r="D400" s="29">
        <f>C400+IF(INDEX('Справочник по %'!B:B,(MATCH(A400,'Справочник по %'!A:A,0)))="кол-во",B400*INDEX('Справочник по %'!C:C,(MATCH(A400,'Справочник по %'!A:A,0))),ОТЧЕТ!C400*INDEX('Справочник по %'!C:C,(MATCH(A400,'Справочник по %'!A:A,0))))/100</f>
        <v>439.45</v>
      </c>
      <c r="E400" s="29">
        <f>IF(ОТЧЕТ!A400="SKU3",C400+ОТЧЕТ!C400*0.2,C400+ОТЧЕТ!C400*0.15)</f>
        <v>459.42500000000001</v>
      </c>
      <c r="F400" s="7" t="s">
        <v>1100</v>
      </c>
      <c r="G400" s="7">
        <v>3801042576</v>
      </c>
      <c r="H400" s="20" t="s">
        <v>64</v>
      </c>
      <c r="I400" s="22" t="str">
        <f>INDEX('Справочник Сети'!B:B,(MATCH(G400,'Справочник Сети'!C:C,0)))</f>
        <v>Планета здоровья</v>
      </c>
      <c r="J400" s="7" t="s">
        <v>65</v>
      </c>
      <c r="K400" s="7" t="s">
        <v>1105</v>
      </c>
      <c r="L400" s="7" t="s">
        <v>65</v>
      </c>
      <c r="M400" s="31">
        <v>45717</v>
      </c>
      <c r="N400" s="7" t="s">
        <v>1106</v>
      </c>
      <c r="O400" s="8">
        <v>3048</v>
      </c>
      <c r="P400" s="24">
        <v>2856</v>
      </c>
      <c r="Q400" s="22">
        <f>IF(COUNTIFS(A$2:A400,A400,I$2:I400,I400)=1,1,0)</f>
        <v>0</v>
      </c>
      <c r="R400" s="22">
        <f t="shared" si="6"/>
        <v>6</v>
      </c>
      <c r="S400" s="33">
        <f>IF(COUNTIF(O$2:O400,O400)=1,R400,0)/2.5</f>
        <v>2.4</v>
      </c>
    </row>
    <row r="401" spans="1:19" ht="18" customHeight="1" x14ac:dyDescent="0.25">
      <c r="A401" s="7" t="s">
        <v>37</v>
      </c>
      <c r="B401" s="8">
        <v>1</v>
      </c>
      <c r="C401" s="9">
        <v>583</v>
      </c>
      <c r="D401" s="29">
        <f>C401+IF(INDEX('Справочник по %'!B:B,(MATCH(A401,'Справочник по %'!A:A,0)))="кол-во",B401*INDEX('Справочник по %'!C:C,(MATCH(A401,'Справочник по %'!A:A,0))),ОТЧЕТ!C401*INDEX('Справочник по %'!C:C,(MATCH(A401,'Справочник по %'!A:A,0))))/100</f>
        <v>583.20000000000005</v>
      </c>
      <c r="E401" s="29">
        <f>IF(ОТЧЕТ!A401="SKU3",C401+ОТЧЕТ!C401*0.2,C401+ОТЧЕТ!C401*0.15)</f>
        <v>670.45</v>
      </c>
      <c r="F401" s="7" t="s">
        <v>1100</v>
      </c>
      <c r="G401" s="7">
        <v>3821001306</v>
      </c>
      <c r="H401" s="20" t="s">
        <v>1060</v>
      </c>
      <c r="I401" s="22">
        <f>INDEX('Справочник Сети'!B:B,(MATCH(G401,'Справочник Сети'!C:C,0)))</f>
        <v>0</v>
      </c>
      <c r="J401" s="7" t="s">
        <v>155</v>
      </c>
      <c r="K401" s="7" t="s">
        <v>1107</v>
      </c>
      <c r="L401" s="7" t="s">
        <v>155</v>
      </c>
      <c r="M401" s="31">
        <v>45716</v>
      </c>
      <c r="N401" s="7" t="s">
        <v>1108</v>
      </c>
      <c r="O401" s="8">
        <v>3709</v>
      </c>
      <c r="P401" s="24">
        <v>2858</v>
      </c>
      <c r="Q401" s="22">
        <f>IF(COUNTIFS(A$2:A401,A401,I$2:I401,I401)=1,1,0)</f>
        <v>0</v>
      </c>
      <c r="R401" s="22">
        <f t="shared" si="6"/>
        <v>5</v>
      </c>
      <c r="S401" s="33">
        <f>IF(COUNTIF(O$2:O401,O401)=1,R401,0)/2.5</f>
        <v>0</v>
      </c>
    </row>
    <row r="402" spans="1:19" ht="18" customHeight="1" x14ac:dyDescent="0.25">
      <c r="A402" s="7" t="s">
        <v>43</v>
      </c>
      <c r="B402" s="8">
        <v>1</v>
      </c>
      <c r="C402" s="9">
        <v>371.17</v>
      </c>
      <c r="D402" s="29">
        <f>C402+IF(INDEX('Справочник по %'!B:B,(MATCH(A402,'Справочник по %'!A:A,0)))="кол-во",B402*INDEX('Справочник по %'!C:C,(MATCH(A402,'Справочник по %'!A:A,0))),ОТЧЕТ!C402*INDEX('Справочник по %'!C:C,(MATCH(A402,'Справочник по %'!A:A,0))))/100</f>
        <v>408.28700000000003</v>
      </c>
      <c r="E402" s="29">
        <f>IF(ОТЧЕТ!A402="SKU3",C402+ОТЧЕТ!C402*0.2,C402+ОТЧЕТ!C402*0.15)</f>
        <v>426.84550000000002</v>
      </c>
      <c r="F402" s="7" t="s">
        <v>1100</v>
      </c>
      <c r="G402" s="7">
        <v>2539096225</v>
      </c>
      <c r="H402" s="20" t="s">
        <v>1109</v>
      </c>
      <c r="I402" s="22" t="str">
        <f>INDEX('Справочник Сети'!B:B,(MATCH(G402,'Справочник Сети'!C:C,0)))</f>
        <v>36,6</v>
      </c>
      <c r="J402" s="7" t="s">
        <v>46</v>
      </c>
      <c r="K402" s="7" t="s">
        <v>1110</v>
      </c>
      <c r="L402" s="7" t="s">
        <v>46</v>
      </c>
      <c r="M402" s="31">
        <v>45726</v>
      </c>
      <c r="N402" s="7" t="s">
        <v>1111</v>
      </c>
      <c r="O402" s="8">
        <v>3230</v>
      </c>
      <c r="P402" s="24">
        <v>2859</v>
      </c>
      <c r="Q402" s="22">
        <f>IF(COUNTIFS(A$2:A402,A402,I$2:I402,I402)=1,1,0)</f>
        <v>0</v>
      </c>
      <c r="R402" s="22">
        <f t="shared" si="6"/>
        <v>4</v>
      </c>
      <c r="S402" s="33">
        <f>IF(COUNTIF(O$2:O402,O402)=1,R402,0)/2.5</f>
        <v>1.6</v>
      </c>
    </row>
    <row r="403" spans="1:19" ht="18" customHeight="1" x14ac:dyDescent="0.25">
      <c r="A403" s="7" t="s">
        <v>43</v>
      </c>
      <c r="B403" s="8">
        <v>1</v>
      </c>
      <c r="C403" s="9">
        <v>371.17</v>
      </c>
      <c r="D403" s="29">
        <f>C403+IF(INDEX('Справочник по %'!B:B,(MATCH(A403,'Справочник по %'!A:A,0)))="кол-во",B403*INDEX('Справочник по %'!C:C,(MATCH(A403,'Справочник по %'!A:A,0))),ОТЧЕТ!C403*INDEX('Справочник по %'!C:C,(MATCH(A403,'Справочник по %'!A:A,0))))/100</f>
        <v>408.28700000000003</v>
      </c>
      <c r="E403" s="29">
        <f>IF(ОТЧЕТ!A403="SKU3",C403+ОТЧЕТ!C403*0.2,C403+ОТЧЕТ!C403*0.15)</f>
        <v>426.84550000000002</v>
      </c>
      <c r="F403" s="7" t="s">
        <v>1100</v>
      </c>
      <c r="G403" s="7">
        <v>2539096225</v>
      </c>
      <c r="H403" s="20" t="s">
        <v>1109</v>
      </c>
      <c r="I403" s="22" t="str">
        <f>INDEX('Справочник Сети'!B:B,(MATCH(G403,'Справочник Сети'!C:C,0)))</f>
        <v>36,6</v>
      </c>
      <c r="J403" s="7" t="s">
        <v>46</v>
      </c>
      <c r="K403" s="7" t="s">
        <v>1110</v>
      </c>
      <c r="L403" s="7" t="s">
        <v>46</v>
      </c>
      <c r="M403" s="31">
        <v>45726</v>
      </c>
      <c r="N403" s="7" t="s">
        <v>1111</v>
      </c>
      <c r="O403" s="8">
        <v>3230</v>
      </c>
      <c r="P403" s="24">
        <v>2859</v>
      </c>
      <c r="Q403" s="22">
        <f>IF(COUNTIFS(A$2:A403,A403,I$2:I403,I403)=1,1,0)</f>
        <v>0</v>
      </c>
      <c r="R403" s="22">
        <f t="shared" si="6"/>
        <v>4</v>
      </c>
      <c r="S403" s="33">
        <f>IF(COUNTIF(O$2:O403,O403)=1,R403,0)/2.5</f>
        <v>0</v>
      </c>
    </row>
    <row r="404" spans="1:19" ht="18" customHeight="1" x14ac:dyDescent="0.25">
      <c r="A404" s="7" t="s">
        <v>43</v>
      </c>
      <c r="B404" s="8">
        <v>1</v>
      </c>
      <c r="C404" s="9">
        <v>450</v>
      </c>
      <c r="D404" s="29">
        <f>C404+IF(INDEX('Справочник по %'!B:B,(MATCH(A404,'Справочник по %'!A:A,0)))="кол-во",B404*INDEX('Справочник по %'!C:C,(MATCH(A404,'Справочник по %'!A:A,0))),ОТЧЕТ!C404*INDEX('Справочник по %'!C:C,(MATCH(A404,'Справочник по %'!A:A,0))))/100</f>
        <v>495</v>
      </c>
      <c r="E404" s="29">
        <f>IF(ОТЧЕТ!A404="SKU3",C404+ОТЧЕТ!C404*0.2,C404+ОТЧЕТ!C404*0.15)</f>
        <v>517.5</v>
      </c>
      <c r="F404" s="7" t="s">
        <v>1100</v>
      </c>
      <c r="G404" s="7">
        <v>462901346416</v>
      </c>
      <c r="H404" s="20" t="s">
        <v>50</v>
      </c>
      <c r="I404" s="22" t="str">
        <f>INDEX('Справочник Сети'!B:B,(MATCH(G404,'Справочник Сети'!C:C,0)))</f>
        <v>Планета здоровья</v>
      </c>
      <c r="J404" s="7" t="s">
        <v>110</v>
      </c>
      <c r="K404" s="7" t="s">
        <v>552</v>
      </c>
      <c r="L404" s="7" t="s">
        <v>110</v>
      </c>
      <c r="M404" s="31">
        <v>45660</v>
      </c>
      <c r="N404" s="7" t="s">
        <v>1112</v>
      </c>
      <c r="O404" s="8">
        <v>212</v>
      </c>
      <c r="P404" s="24">
        <v>2860</v>
      </c>
      <c r="Q404" s="22">
        <f>IF(COUNTIFS(A$2:A404,A404,I$2:I404,I404)=1,1,0)</f>
        <v>0</v>
      </c>
      <c r="R404" s="22">
        <f t="shared" si="6"/>
        <v>3</v>
      </c>
      <c r="S404" s="33">
        <f>IF(COUNTIF(O$2:O404,O404)=1,R404,0)/2.5</f>
        <v>1.2</v>
      </c>
    </row>
    <row r="405" spans="1:19" ht="18" customHeight="1" x14ac:dyDescent="0.25">
      <c r="A405" s="7" t="s">
        <v>43</v>
      </c>
      <c r="B405" s="8">
        <v>1</v>
      </c>
      <c r="C405" s="9">
        <v>370</v>
      </c>
      <c r="D405" s="29">
        <f>C405+IF(INDEX('Справочник по %'!B:B,(MATCH(A405,'Справочник по %'!A:A,0)))="кол-во",B405*INDEX('Справочник по %'!C:C,(MATCH(A405,'Справочник по %'!A:A,0))),ОТЧЕТ!C405*INDEX('Справочник по %'!C:C,(MATCH(A405,'Справочник по %'!A:A,0))))/100</f>
        <v>407</v>
      </c>
      <c r="E405" s="29">
        <f>IF(ОТЧЕТ!A405="SKU3",C405+ОТЧЕТ!C405*0.2,C405+ОТЧЕТ!C405*0.15)</f>
        <v>425.5</v>
      </c>
      <c r="F405" s="7" t="s">
        <v>1100</v>
      </c>
      <c r="G405" s="7">
        <v>2225105670</v>
      </c>
      <c r="H405" s="20" t="s">
        <v>69</v>
      </c>
      <c r="I405" s="22" t="str">
        <f>INDEX('Справочник Сети'!B:B,(MATCH(G405,'Справочник Сети'!C:C,0)))</f>
        <v>Столички</v>
      </c>
      <c r="J405" s="7" t="s">
        <v>372</v>
      </c>
      <c r="K405" s="7" t="s">
        <v>1113</v>
      </c>
      <c r="L405" s="7" t="s">
        <v>372</v>
      </c>
      <c r="M405" s="31">
        <v>45730</v>
      </c>
      <c r="N405" s="7" t="s">
        <v>1114</v>
      </c>
      <c r="O405" s="8">
        <v>2919</v>
      </c>
      <c r="P405" s="24">
        <v>2862</v>
      </c>
      <c r="Q405" s="22">
        <f>IF(COUNTIFS(A$2:A405,A405,I$2:I405,I405)=1,1,0)</f>
        <v>0</v>
      </c>
      <c r="R405" s="22">
        <f t="shared" si="6"/>
        <v>8</v>
      </c>
      <c r="S405" s="33">
        <f>IF(COUNTIF(O$2:O405,O405)=1,R405,0)/2.5</f>
        <v>0</v>
      </c>
    </row>
    <row r="406" spans="1:19" ht="18" customHeight="1" x14ac:dyDescent="0.25">
      <c r="A406" s="7" t="s">
        <v>43</v>
      </c>
      <c r="B406" s="8">
        <v>1</v>
      </c>
      <c r="C406" s="9">
        <v>441</v>
      </c>
      <c r="D406" s="29">
        <f>C406+IF(INDEX('Справочник по %'!B:B,(MATCH(A406,'Справочник по %'!A:A,0)))="кол-во",B406*INDEX('Справочник по %'!C:C,(MATCH(A406,'Справочник по %'!A:A,0))),ОТЧЕТ!C406*INDEX('Справочник по %'!C:C,(MATCH(A406,'Справочник по %'!A:A,0))))/100</f>
        <v>485.1</v>
      </c>
      <c r="E406" s="29">
        <f>IF(ОТЧЕТ!A406="SKU3",C406+ОТЧЕТ!C406*0.2,C406+ОТЧЕТ!C406*0.15)</f>
        <v>507.15</v>
      </c>
      <c r="F406" s="7" t="s">
        <v>1100</v>
      </c>
      <c r="G406" s="7">
        <v>6673189456</v>
      </c>
      <c r="H406" s="20" t="s">
        <v>132</v>
      </c>
      <c r="I406" s="22" t="str">
        <f>INDEX('Справочник Сети'!B:B,(MATCH(G406,'Справочник Сети'!C:C,0)))</f>
        <v>Столички</v>
      </c>
      <c r="J406" s="7" t="s">
        <v>133</v>
      </c>
      <c r="K406" s="7" t="s">
        <v>373</v>
      </c>
      <c r="L406" s="7" t="s">
        <v>133</v>
      </c>
      <c r="M406" s="31">
        <v>45695</v>
      </c>
      <c r="N406" s="7" t="s">
        <v>1115</v>
      </c>
      <c r="O406" s="8">
        <v>746</v>
      </c>
      <c r="P406" s="24">
        <v>2863</v>
      </c>
      <c r="Q406" s="22">
        <f>IF(COUNTIFS(A$2:A406,A406,I$2:I406,I406)=1,1,0)</f>
        <v>0</v>
      </c>
      <c r="R406" s="22">
        <f t="shared" si="6"/>
        <v>1</v>
      </c>
      <c r="S406" s="33">
        <f>IF(COUNTIF(O$2:O406,O406)=1,R406,0)/2.5</f>
        <v>0.4</v>
      </c>
    </row>
    <row r="407" spans="1:19" ht="18" customHeight="1" x14ac:dyDescent="0.25">
      <c r="A407" s="7" t="s">
        <v>43</v>
      </c>
      <c r="B407" s="8">
        <v>1</v>
      </c>
      <c r="C407" s="9">
        <v>470</v>
      </c>
      <c r="D407" s="29">
        <f>C407+IF(INDEX('Справочник по %'!B:B,(MATCH(A407,'Справочник по %'!A:A,0)))="кол-во",B407*INDEX('Справочник по %'!C:C,(MATCH(A407,'Справочник по %'!A:A,0))),ОТЧЕТ!C407*INDEX('Справочник по %'!C:C,(MATCH(A407,'Справочник по %'!A:A,0))))/100</f>
        <v>517</v>
      </c>
      <c r="E407" s="29">
        <f>IF(ОТЧЕТ!A407="SKU3",C407+ОТЧЕТ!C407*0.2,C407+ОТЧЕТ!C407*0.15)</f>
        <v>540.5</v>
      </c>
      <c r="F407" s="7" t="s">
        <v>1100</v>
      </c>
      <c r="G407" s="7">
        <v>3811464778</v>
      </c>
      <c r="H407" s="20" t="s">
        <v>750</v>
      </c>
      <c r="I407" s="22">
        <f>INDEX('Справочник Сети'!B:B,(MATCH(G407,'Справочник Сети'!C:C,0)))</f>
        <v>0</v>
      </c>
      <c r="J407" s="7" t="s">
        <v>155</v>
      </c>
      <c r="K407" s="7" t="s">
        <v>565</v>
      </c>
      <c r="L407" s="7" t="s">
        <v>155</v>
      </c>
      <c r="M407" s="31">
        <v>45716</v>
      </c>
      <c r="N407" s="7" t="s">
        <v>1116</v>
      </c>
      <c r="O407" s="8">
        <v>223</v>
      </c>
      <c r="P407" s="24">
        <v>2865</v>
      </c>
      <c r="Q407" s="22">
        <f>IF(COUNTIFS(A$2:A407,A407,I$2:I407,I407)=1,1,0)</f>
        <v>0</v>
      </c>
      <c r="R407" s="22">
        <f t="shared" si="6"/>
        <v>3</v>
      </c>
      <c r="S407" s="33">
        <f>IF(COUNTIF(O$2:O407,O407)=1,R407,0)/2.5</f>
        <v>0</v>
      </c>
    </row>
    <row r="408" spans="1:19" ht="18" customHeight="1" x14ac:dyDescent="0.25">
      <c r="A408" s="7" t="s">
        <v>43</v>
      </c>
      <c r="B408" s="8">
        <v>1</v>
      </c>
      <c r="C408" s="9">
        <v>463</v>
      </c>
      <c r="D408" s="29">
        <f>C408+IF(INDEX('Справочник по %'!B:B,(MATCH(A408,'Справочник по %'!A:A,0)))="кол-во",B408*INDEX('Справочник по %'!C:C,(MATCH(A408,'Справочник по %'!A:A,0))),ОТЧЕТ!C408*INDEX('Справочник по %'!C:C,(MATCH(A408,'Справочник по %'!A:A,0))))/100</f>
        <v>509.3</v>
      </c>
      <c r="E408" s="29">
        <f>IF(ОТЧЕТ!A408="SKU3",C408+ОТЧЕТ!C408*0.2,C408+ОТЧЕТ!C408*0.15)</f>
        <v>532.45000000000005</v>
      </c>
      <c r="F408" s="7" t="s">
        <v>1117</v>
      </c>
      <c r="G408" s="7">
        <v>2311244941</v>
      </c>
      <c r="H408" s="20" t="s">
        <v>50</v>
      </c>
      <c r="I408" s="22" t="str">
        <f>INDEX('Справочник Сети'!B:B,(MATCH(G408,'Справочник Сети'!C:C,0)))</f>
        <v>Ригла</v>
      </c>
      <c r="J408" s="7" t="s">
        <v>70</v>
      </c>
      <c r="K408" s="7" t="s">
        <v>311</v>
      </c>
      <c r="L408" s="7" t="s">
        <v>70</v>
      </c>
      <c r="M408" s="31">
        <v>45728</v>
      </c>
      <c r="N408" s="7" t="s">
        <v>1118</v>
      </c>
      <c r="O408" s="8">
        <v>123</v>
      </c>
      <c r="P408" s="24">
        <v>2866</v>
      </c>
      <c r="Q408" s="22">
        <f>IF(COUNTIFS(A$2:A408,A408,I$2:I408,I408)=1,1,0)</f>
        <v>0</v>
      </c>
      <c r="R408" s="22">
        <f t="shared" si="6"/>
        <v>2</v>
      </c>
      <c r="S408" s="33">
        <f>IF(COUNTIF(O$2:O408,O408)=1,R408,0)/2.5</f>
        <v>0.8</v>
      </c>
    </row>
    <row r="409" spans="1:19" ht="18" customHeight="1" x14ac:dyDescent="0.25">
      <c r="A409" s="7" t="s">
        <v>43</v>
      </c>
      <c r="B409" s="8">
        <v>1</v>
      </c>
      <c r="C409" s="9">
        <v>385</v>
      </c>
      <c r="D409" s="29">
        <f>C409+IF(INDEX('Справочник по %'!B:B,(MATCH(A409,'Справочник по %'!A:A,0)))="кол-во",B409*INDEX('Справочник по %'!C:C,(MATCH(A409,'Справочник по %'!A:A,0))),ОТЧЕТ!C409*INDEX('Справочник по %'!C:C,(MATCH(A409,'Справочник по %'!A:A,0))))/100</f>
        <v>423.5</v>
      </c>
      <c r="E409" s="29">
        <f>IF(ОТЧЕТ!A409="SKU3",C409+ОТЧЕТ!C409*0.2,C409+ОТЧЕТ!C409*0.15)</f>
        <v>442.75</v>
      </c>
      <c r="F409" s="7" t="s">
        <v>1117</v>
      </c>
      <c r="G409" s="7">
        <v>6453164914</v>
      </c>
      <c r="H409" s="20" t="s">
        <v>50</v>
      </c>
      <c r="I409" s="22">
        <f>INDEX('Справочник Сети'!B:B,(MATCH(G409,'Справочник Сети'!C:C,0)))</f>
        <v>0</v>
      </c>
      <c r="J409" s="7" t="s">
        <v>133</v>
      </c>
      <c r="K409" s="7" t="s">
        <v>290</v>
      </c>
      <c r="L409" s="7" t="s">
        <v>133</v>
      </c>
      <c r="M409" s="31">
        <v>45695</v>
      </c>
      <c r="N409" s="7" t="s">
        <v>1119</v>
      </c>
      <c r="O409" s="8">
        <v>2014</v>
      </c>
      <c r="P409" s="24">
        <v>2869</v>
      </c>
      <c r="Q409" s="22">
        <f>IF(COUNTIFS(A$2:A409,A409,I$2:I409,I409)=1,1,0)</f>
        <v>0</v>
      </c>
      <c r="R409" s="22">
        <f t="shared" si="6"/>
        <v>2</v>
      </c>
      <c r="S409" s="33">
        <f>IF(COUNTIF(O$2:O409,O409)=1,R409,0)/2.5</f>
        <v>0.8</v>
      </c>
    </row>
    <row r="410" spans="1:19" ht="18" customHeight="1" x14ac:dyDescent="0.25">
      <c r="A410" s="7" t="s">
        <v>43</v>
      </c>
      <c r="B410" s="8">
        <v>1</v>
      </c>
      <c r="C410" s="9">
        <v>489</v>
      </c>
      <c r="D410" s="29">
        <f>C410+IF(INDEX('Справочник по %'!B:B,(MATCH(A410,'Справочник по %'!A:A,0)))="кол-во",B410*INDEX('Справочник по %'!C:C,(MATCH(A410,'Справочник по %'!A:A,0))),ОТЧЕТ!C410*INDEX('Справочник по %'!C:C,(MATCH(A410,'Справочник по %'!A:A,0))))/100</f>
        <v>537.9</v>
      </c>
      <c r="E410" s="29">
        <f>IF(ОТЧЕТ!A410="SKU3",C410+ОТЧЕТ!C410*0.2,C410+ОТЧЕТ!C410*0.15)</f>
        <v>562.35</v>
      </c>
      <c r="F410" s="7" t="s">
        <v>1117</v>
      </c>
      <c r="G410" s="7">
        <v>7710951170</v>
      </c>
      <c r="H410" s="20" t="s">
        <v>1120</v>
      </c>
      <c r="I410" s="22">
        <f>INDEX('Справочник Сети'!B:B,(MATCH(G410,'Справочник Сети'!C:C,0)))</f>
        <v>0</v>
      </c>
      <c r="J410" s="7" t="s">
        <v>504</v>
      </c>
      <c r="K410" s="7" t="s">
        <v>1121</v>
      </c>
      <c r="L410" s="7" t="s">
        <v>504</v>
      </c>
      <c r="M410" s="31">
        <v>45690</v>
      </c>
      <c r="N410" s="7" t="s">
        <v>1122</v>
      </c>
      <c r="O410" s="8">
        <v>132</v>
      </c>
      <c r="P410" s="24">
        <v>2872</v>
      </c>
      <c r="Q410" s="22">
        <f>IF(COUNTIFS(A$2:A410,A410,I$2:I410,I410)=1,1,0)</f>
        <v>0</v>
      </c>
      <c r="R410" s="22">
        <f t="shared" si="6"/>
        <v>4</v>
      </c>
      <c r="S410" s="33">
        <f>IF(COUNTIF(O$2:O410,O410)=1,R410,0)/2.5</f>
        <v>1.6</v>
      </c>
    </row>
    <row r="411" spans="1:19" ht="18" customHeight="1" x14ac:dyDescent="0.25">
      <c r="A411" s="7" t="s">
        <v>37</v>
      </c>
      <c r="B411" s="8">
        <v>1</v>
      </c>
      <c r="C411" s="9">
        <v>616</v>
      </c>
      <c r="D411" s="29">
        <f>C411+IF(INDEX('Справочник по %'!B:B,(MATCH(A411,'Справочник по %'!A:A,0)))="кол-во",B411*INDEX('Справочник по %'!C:C,(MATCH(A411,'Справочник по %'!A:A,0))),ОТЧЕТ!C411*INDEX('Справочник по %'!C:C,(MATCH(A411,'Справочник по %'!A:A,0))))/100</f>
        <v>616.20000000000005</v>
      </c>
      <c r="E411" s="29">
        <f>IF(ОТЧЕТ!A411="SKU3",C411+ОТЧЕТ!C411*0.2,C411+ОТЧЕТ!C411*0.15)</f>
        <v>708.4</v>
      </c>
      <c r="F411" s="7" t="s">
        <v>1117</v>
      </c>
      <c r="G411" s="7">
        <v>463400414804</v>
      </c>
      <c r="H411" s="20" t="s">
        <v>64</v>
      </c>
      <c r="I411" s="22" t="str">
        <f>INDEX('Справочник Сети'!B:B,(MATCH(G411,'Справочник Сети'!C:C,0)))</f>
        <v>Планета здоровья</v>
      </c>
      <c r="J411" s="7" t="s">
        <v>110</v>
      </c>
      <c r="K411" s="7" t="s">
        <v>508</v>
      </c>
      <c r="L411" s="7" t="s">
        <v>110</v>
      </c>
      <c r="M411" s="31">
        <v>45660</v>
      </c>
      <c r="N411" s="7" t="s">
        <v>1123</v>
      </c>
      <c r="O411" s="8">
        <v>2194</v>
      </c>
      <c r="P411" s="24">
        <v>2873</v>
      </c>
      <c r="Q411" s="22">
        <f>IF(COUNTIFS(A$2:A411,A411,I$2:I411,I411)=1,1,0)</f>
        <v>0</v>
      </c>
      <c r="R411" s="22">
        <f t="shared" si="6"/>
        <v>2</v>
      </c>
      <c r="S411" s="33">
        <f>IF(COUNTIF(O$2:O411,O411)=1,R411,0)/2.5</f>
        <v>0</v>
      </c>
    </row>
    <row r="412" spans="1:19" ht="18" customHeight="1" x14ac:dyDescent="0.25">
      <c r="A412" s="7" t="s">
        <v>43</v>
      </c>
      <c r="B412" s="8">
        <v>1</v>
      </c>
      <c r="C412" s="9">
        <v>399</v>
      </c>
      <c r="D412" s="29">
        <f>C412+IF(INDEX('Справочник по %'!B:B,(MATCH(A412,'Справочник по %'!A:A,0)))="кол-во",B412*INDEX('Справочник по %'!C:C,(MATCH(A412,'Справочник по %'!A:A,0))),ОТЧЕТ!C412*INDEX('Справочник по %'!C:C,(MATCH(A412,'Справочник по %'!A:A,0))))/100</f>
        <v>438.9</v>
      </c>
      <c r="E412" s="29">
        <f>IF(ОТЧЕТ!A412="SKU3",C412+ОТЧЕТ!C412*0.2,C412+ОТЧЕТ!C412*0.15)</f>
        <v>458.85</v>
      </c>
      <c r="F412" s="7" t="s">
        <v>1117</v>
      </c>
      <c r="G412" s="7">
        <v>3821001306</v>
      </c>
      <c r="H412" s="20" t="s">
        <v>1060</v>
      </c>
      <c r="I412" s="22">
        <f>INDEX('Справочник Сети'!B:B,(MATCH(G412,'Справочник Сети'!C:C,0)))</f>
        <v>0</v>
      </c>
      <c r="J412" s="7" t="s">
        <v>155</v>
      </c>
      <c r="K412" s="7" t="s">
        <v>1124</v>
      </c>
      <c r="L412" s="7" t="s">
        <v>155</v>
      </c>
      <c r="M412" s="31">
        <v>45716</v>
      </c>
      <c r="N412" s="7" t="s">
        <v>1125</v>
      </c>
      <c r="O412" s="8">
        <v>3709</v>
      </c>
      <c r="P412" s="24">
        <v>2875</v>
      </c>
      <c r="Q412" s="22">
        <f>IF(COUNTIFS(A$2:A412,A412,I$2:I412,I412)=1,1,0)</f>
        <v>0</v>
      </c>
      <c r="R412" s="22">
        <f t="shared" si="6"/>
        <v>5</v>
      </c>
      <c r="S412" s="33">
        <f>IF(COUNTIF(O$2:O412,O412)=1,R412,0)/2.5</f>
        <v>0</v>
      </c>
    </row>
    <row r="413" spans="1:19" ht="18" customHeight="1" x14ac:dyDescent="0.25">
      <c r="A413" s="7" t="s">
        <v>37</v>
      </c>
      <c r="B413" s="8">
        <v>1</v>
      </c>
      <c r="C413" s="9">
        <v>531</v>
      </c>
      <c r="D413" s="29">
        <f>C413+IF(INDEX('Справочник по %'!B:B,(MATCH(A413,'Справочник по %'!A:A,0)))="кол-во",B413*INDEX('Справочник по %'!C:C,(MATCH(A413,'Справочник по %'!A:A,0))),ОТЧЕТ!C413*INDEX('Справочник по %'!C:C,(MATCH(A413,'Справочник по %'!A:A,0))))/100</f>
        <v>531.20000000000005</v>
      </c>
      <c r="E413" s="29">
        <f>IF(ОТЧЕТ!A413="SKU3",C413+ОТЧЕТ!C413*0.2,C413+ОТЧЕТ!C413*0.15)</f>
        <v>610.65</v>
      </c>
      <c r="F413" s="7" t="s">
        <v>1117</v>
      </c>
      <c r="G413" s="7">
        <v>5405072034</v>
      </c>
      <c r="H413" s="20" t="s">
        <v>1126</v>
      </c>
      <c r="I413" s="22" t="str">
        <f>INDEX('Справочник Сети'!B:B,(MATCH(G413,'Справочник Сети'!C:C,0)))</f>
        <v>Нео-фарм</v>
      </c>
      <c r="J413" s="7" t="s">
        <v>92</v>
      </c>
      <c r="K413" s="7" t="s">
        <v>1127</v>
      </c>
      <c r="L413" s="7" t="s">
        <v>92</v>
      </c>
      <c r="M413" s="31">
        <v>45714</v>
      </c>
      <c r="N413" s="7" t="s">
        <v>1128</v>
      </c>
      <c r="O413" s="8">
        <v>2687</v>
      </c>
      <c r="P413" s="24">
        <v>2878</v>
      </c>
      <c r="Q413" s="22">
        <f>IF(COUNTIFS(A$2:A413,A413,I$2:I413,I413)=1,1,0)</f>
        <v>0</v>
      </c>
      <c r="R413" s="22">
        <f t="shared" si="6"/>
        <v>2</v>
      </c>
      <c r="S413" s="33">
        <f>IF(COUNTIF(O$2:O413,O413)=1,R413,0)/2.5</f>
        <v>0.8</v>
      </c>
    </row>
    <row r="414" spans="1:19" ht="18" customHeight="1" x14ac:dyDescent="0.25">
      <c r="A414" s="7" t="s">
        <v>37</v>
      </c>
      <c r="B414" s="8">
        <v>1</v>
      </c>
      <c r="C414" s="9">
        <v>704</v>
      </c>
      <c r="D414" s="29">
        <f>C414+IF(INDEX('Справочник по %'!B:B,(MATCH(A414,'Справочник по %'!A:A,0)))="кол-во",B414*INDEX('Справочник по %'!C:C,(MATCH(A414,'Справочник по %'!A:A,0))),ОТЧЕТ!C414*INDEX('Справочник по %'!C:C,(MATCH(A414,'Справочник по %'!A:A,0))))/100</f>
        <v>704.2</v>
      </c>
      <c r="E414" s="29">
        <f>IF(ОТЧЕТ!A414="SKU3",C414+ОТЧЕТ!C414*0.2,C414+ОТЧЕТ!C414*0.15)</f>
        <v>809.6</v>
      </c>
      <c r="F414" s="7" t="s">
        <v>1117</v>
      </c>
      <c r="G414" s="7">
        <v>6671131450</v>
      </c>
      <c r="H414" s="20" t="s">
        <v>132</v>
      </c>
      <c r="I414" s="22">
        <f>INDEX('Справочник Сети'!B:B,(MATCH(G414,'Справочник Сети'!C:C,0)))</f>
        <v>0</v>
      </c>
      <c r="J414" s="7" t="s">
        <v>133</v>
      </c>
      <c r="K414" s="7" t="s">
        <v>1129</v>
      </c>
      <c r="L414" s="7" t="s">
        <v>133</v>
      </c>
      <c r="M414" s="31">
        <v>45695</v>
      </c>
      <c r="N414" s="7" t="s">
        <v>1130</v>
      </c>
      <c r="O414" s="8">
        <v>2221</v>
      </c>
      <c r="P414" s="24">
        <v>2880</v>
      </c>
      <c r="Q414" s="22">
        <f>IF(COUNTIFS(A$2:A414,A414,I$2:I414,I414)=1,1,0)</f>
        <v>0</v>
      </c>
      <c r="R414" s="22">
        <f t="shared" si="6"/>
        <v>2</v>
      </c>
      <c r="S414" s="33">
        <f>IF(COUNTIF(O$2:O414,O414)=1,R414,0)/2.5</f>
        <v>0</v>
      </c>
    </row>
    <row r="415" spans="1:19" ht="18" customHeight="1" x14ac:dyDescent="0.25">
      <c r="A415" s="7" t="s">
        <v>43</v>
      </c>
      <c r="B415" s="8">
        <v>1</v>
      </c>
      <c r="C415" s="9">
        <v>405</v>
      </c>
      <c r="D415" s="29">
        <f>C415+IF(INDEX('Справочник по %'!B:B,(MATCH(A415,'Справочник по %'!A:A,0)))="кол-во",B415*INDEX('Справочник по %'!C:C,(MATCH(A415,'Справочник по %'!A:A,0))),ОТЧЕТ!C415*INDEX('Справочник по %'!C:C,(MATCH(A415,'Справочник по %'!A:A,0))))/100</f>
        <v>445.5</v>
      </c>
      <c r="E415" s="29">
        <f>IF(ОТЧЕТ!A415="SKU3",C415+ОТЧЕТ!C415*0.2,C415+ОТЧЕТ!C415*0.15)</f>
        <v>465.75</v>
      </c>
      <c r="F415" s="7" t="s">
        <v>1117</v>
      </c>
      <c r="G415" s="7">
        <v>6166127355</v>
      </c>
      <c r="H415" s="20" t="s">
        <v>1002</v>
      </c>
      <c r="I415" s="22">
        <f>INDEX('Справочник Сети'!B:B,(MATCH(G415,'Справочник Сети'!C:C,0)))</f>
        <v>0</v>
      </c>
      <c r="J415" s="7" t="s">
        <v>203</v>
      </c>
      <c r="K415" s="7" t="s">
        <v>1131</v>
      </c>
      <c r="L415" s="7" t="s">
        <v>203</v>
      </c>
      <c r="M415" s="31">
        <v>45696</v>
      </c>
      <c r="N415" s="7" t="s">
        <v>1132</v>
      </c>
      <c r="O415" s="8">
        <v>886</v>
      </c>
      <c r="P415" s="24">
        <v>2881</v>
      </c>
      <c r="Q415" s="22">
        <f>IF(COUNTIFS(A$2:A415,A415,I$2:I415,I415)=1,1,0)</f>
        <v>0</v>
      </c>
      <c r="R415" s="22">
        <f t="shared" si="6"/>
        <v>4</v>
      </c>
      <c r="S415" s="33">
        <f>IF(COUNTIF(O$2:O415,O415)=1,R415,0)/2.5</f>
        <v>0</v>
      </c>
    </row>
    <row r="416" spans="1:19" ht="18" customHeight="1" x14ac:dyDescent="0.25">
      <c r="A416" s="7" t="s">
        <v>43</v>
      </c>
      <c r="B416" s="8">
        <v>1</v>
      </c>
      <c r="C416" s="9">
        <v>406</v>
      </c>
      <c r="D416" s="29">
        <f>C416+IF(INDEX('Справочник по %'!B:B,(MATCH(A416,'Справочник по %'!A:A,0)))="кол-во",B416*INDEX('Справочник по %'!C:C,(MATCH(A416,'Справочник по %'!A:A,0))),ОТЧЕТ!C416*INDEX('Справочник по %'!C:C,(MATCH(A416,'Справочник по %'!A:A,0))))/100</f>
        <v>446.6</v>
      </c>
      <c r="E416" s="29">
        <f>IF(ОТЧЕТ!A416="SKU3",C416+ОТЧЕТ!C416*0.2,C416+ОТЧЕТ!C416*0.15)</f>
        <v>466.9</v>
      </c>
      <c r="F416" s="7" t="s">
        <v>1117</v>
      </c>
      <c r="G416" s="7">
        <v>6166127355</v>
      </c>
      <c r="H416" s="20" t="s">
        <v>1002</v>
      </c>
      <c r="I416" s="22">
        <f>INDEX('Справочник Сети'!B:B,(MATCH(G416,'Справочник Сети'!C:C,0)))</f>
        <v>0</v>
      </c>
      <c r="J416" s="7" t="s">
        <v>203</v>
      </c>
      <c r="K416" s="7" t="s">
        <v>1131</v>
      </c>
      <c r="L416" s="7" t="s">
        <v>203</v>
      </c>
      <c r="M416" s="31">
        <v>45696</v>
      </c>
      <c r="N416" s="7" t="s">
        <v>1132</v>
      </c>
      <c r="O416" s="8">
        <v>886</v>
      </c>
      <c r="P416" s="24">
        <v>2881</v>
      </c>
      <c r="Q416" s="22">
        <f>IF(COUNTIFS(A$2:A416,A416,I$2:I416,I416)=1,1,0)</f>
        <v>0</v>
      </c>
      <c r="R416" s="22">
        <f t="shared" si="6"/>
        <v>4</v>
      </c>
      <c r="S416" s="33">
        <f>IF(COUNTIF(O$2:O416,O416)=1,R416,0)/2.5</f>
        <v>0</v>
      </c>
    </row>
    <row r="417" spans="1:19" ht="18" customHeight="1" x14ac:dyDescent="0.25">
      <c r="A417" s="7" t="s">
        <v>43</v>
      </c>
      <c r="B417" s="8">
        <v>1</v>
      </c>
      <c r="C417" s="9">
        <v>412.5</v>
      </c>
      <c r="D417" s="29">
        <f>C417+IF(INDEX('Справочник по %'!B:B,(MATCH(A417,'Справочник по %'!A:A,0)))="кол-во",B417*INDEX('Справочник по %'!C:C,(MATCH(A417,'Справочник по %'!A:A,0))),ОТЧЕТ!C417*INDEX('Справочник по %'!C:C,(MATCH(A417,'Справочник по %'!A:A,0))))/100</f>
        <v>453.75</v>
      </c>
      <c r="E417" s="29">
        <f>IF(ОТЧЕТ!A417="SKU3",C417+ОТЧЕТ!C417*0.2,C417+ОТЧЕТ!C417*0.15)</f>
        <v>474.375</v>
      </c>
      <c r="F417" s="7" t="s">
        <v>1117</v>
      </c>
      <c r="G417" s="7">
        <v>150102268386</v>
      </c>
      <c r="H417" s="20" t="s">
        <v>1133</v>
      </c>
      <c r="I417" s="22">
        <f>INDEX('Справочник Сети'!B:B,(MATCH(G417,'Справочник Сети'!C:C,0)))</f>
        <v>0</v>
      </c>
      <c r="J417" s="7" t="s">
        <v>74</v>
      </c>
      <c r="K417" s="7" t="s">
        <v>684</v>
      </c>
      <c r="L417" s="7" t="s">
        <v>74</v>
      </c>
      <c r="M417" s="31">
        <v>45661</v>
      </c>
      <c r="N417" s="7" t="s">
        <v>1134</v>
      </c>
      <c r="O417" s="8">
        <v>823</v>
      </c>
      <c r="P417" s="24">
        <v>2886</v>
      </c>
      <c r="Q417" s="22">
        <f>IF(COUNTIFS(A$2:A417,A417,I$2:I417,I417)=1,1,0)</f>
        <v>0</v>
      </c>
      <c r="R417" s="22">
        <f t="shared" si="6"/>
        <v>1</v>
      </c>
      <c r="S417" s="33">
        <f>IF(COUNTIF(O$2:O417,O417)=1,R417,0)/2.5</f>
        <v>0.4</v>
      </c>
    </row>
    <row r="418" spans="1:19" ht="18" customHeight="1" x14ac:dyDescent="0.25">
      <c r="A418" s="7" t="s">
        <v>37</v>
      </c>
      <c r="B418" s="8">
        <v>1</v>
      </c>
      <c r="C418" s="9">
        <v>610</v>
      </c>
      <c r="D418" s="29">
        <f>C418+IF(INDEX('Справочник по %'!B:B,(MATCH(A418,'Справочник по %'!A:A,0)))="кол-во",B418*INDEX('Справочник по %'!C:C,(MATCH(A418,'Справочник по %'!A:A,0))),ОТЧЕТ!C418*INDEX('Справочник по %'!C:C,(MATCH(A418,'Справочник по %'!A:A,0))))/100</f>
        <v>610.20000000000005</v>
      </c>
      <c r="E418" s="29">
        <f>IF(ОТЧЕТ!A418="SKU3",C418+ОТЧЕТ!C418*0.2,C418+ОТЧЕТ!C418*0.15)</f>
        <v>701.5</v>
      </c>
      <c r="F418" s="7" t="s">
        <v>1117</v>
      </c>
      <c r="G418" s="7">
        <v>1501017335</v>
      </c>
      <c r="H418" s="20" t="s">
        <v>1135</v>
      </c>
      <c r="I418" s="22">
        <f>INDEX('Справочник Сети'!B:B,(MATCH(G418,'Справочник Сети'!C:C,0)))</f>
        <v>0</v>
      </c>
      <c r="J418" s="7" t="s">
        <v>335</v>
      </c>
      <c r="K418" s="7" t="s">
        <v>1063</v>
      </c>
      <c r="L418" s="7" t="s">
        <v>335</v>
      </c>
      <c r="M418" s="31">
        <v>45731</v>
      </c>
      <c r="N418" s="7" t="s">
        <v>1136</v>
      </c>
      <c r="O418" s="8">
        <v>744</v>
      </c>
      <c r="P418" s="24">
        <v>2894</v>
      </c>
      <c r="Q418" s="22">
        <f>IF(COUNTIFS(A$2:A418,A418,I$2:I418,I418)=1,1,0)</f>
        <v>0</v>
      </c>
      <c r="R418" s="22">
        <f t="shared" si="6"/>
        <v>2</v>
      </c>
      <c r="S418" s="33">
        <f>IF(COUNTIF(O$2:O418,O418)=1,R418,0)/2.5</f>
        <v>0.8</v>
      </c>
    </row>
    <row r="419" spans="1:19" ht="18" customHeight="1" x14ac:dyDescent="0.25">
      <c r="A419" s="7" t="s">
        <v>37</v>
      </c>
      <c r="B419" s="8">
        <v>1</v>
      </c>
      <c r="C419" s="9">
        <v>485</v>
      </c>
      <c r="D419" s="29">
        <f>C419+IF(INDEX('Справочник по %'!B:B,(MATCH(A419,'Справочник по %'!A:A,0)))="кол-во",B419*INDEX('Справочник по %'!C:C,(MATCH(A419,'Справочник по %'!A:A,0))),ОТЧЕТ!C419*INDEX('Справочник по %'!C:C,(MATCH(A419,'Справочник по %'!A:A,0))))/100</f>
        <v>485.2</v>
      </c>
      <c r="E419" s="29">
        <f>IF(ОТЧЕТ!A419="SKU3",C419+ОТЧЕТ!C419*0.2,C419+ОТЧЕТ!C419*0.15)</f>
        <v>557.75</v>
      </c>
      <c r="F419" s="7" t="s">
        <v>1117</v>
      </c>
      <c r="G419" s="7">
        <v>7204146152</v>
      </c>
      <c r="H419" s="20" t="s">
        <v>103</v>
      </c>
      <c r="I419" s="22" t="str">
        <f>INDEX('Справочник Сети'!B:B,(MATCH(G419,'Справочник Сети'!C:C,0)))</f>
        <v>36,6</v>
      </c>
      <c r="J419" s="7" t="s">
        <v>104</v>
      </c>
      <c r="K419" s="7" t="s">
        <v>832</v>
      </c>
      <c r="L419" s="7" t="s">
        <v>106</v>
      </c>
      <c r="M419" s="31">
        <v>45694</v>
      </c>
      <c r="N419" s="7" t="s">
        <v>1137</v>
      </c>
      <c r="O419" s="8">
        <v>2333</v>
      </c>
      <c r="P419" s="24">
        <v>2899</v>
      </c>
      <c r="Q419" s="22">
        <f>IF(COUNTIFS(A$2:A419,A419,I$2:I419,I419)=1,1,0)</f>
        <v>0</v>
      </c>
      <c r="R419" s="22">
        <f t="shared" si="6"/>
        <v>1</v>
      </c>
      <c r="S419" s="33">
        <f>IF(COUNTIF(O$2:O419,O419)=1,R419,0)/2.5</f>
        <v>0.4</v>
      </c>
    </row>
    <row r="420" spans="1:19" ht="18" customHeight="1" x14ac:dyDescent="0.25">
      <c r="A420" s="7" t="s">
        <v>43</v>
      </c>
      <c r="B420" s="8">
        <v>1</v>
      </c>
      <c r="C420" s="9">
        <v>510</v>
      </c>
      <c r="D420" s="29">
        <f>C420+IF(INDEX('Справочник по %'!B:B,(MATCH(A420,'Справочник по %'!A:A,0)))="кол-во",B420*INDEX('Справочник по %'!C:C,(MATCH(A420,'Справочник по %'!A:A,0))),ОТЧЕТ!C420*INDEX('Справочник по %'!C:C,(MATCH(A420,'Справочник по %'!A:A,0))))/100</f>
        <v>561</v>
      </c>
      <c r="E420" s="29">
        <f>IF(ОТЧЕТ!A420="SKU3",C420+ОТЧЕТ!C420*0.2,C420+ОТЧЕТ!C420*0.15)</f>
        <v>586.5</v>
      </c>
      <c r="F420" s="7" t="s">
        <v>1138</v>
      </c>
      <c r="G420" s="7">
        <v>7731334851</v>
      </c>
      <c r="H420" s="20" t="s">
        <v>1139</v>
      </c>
      <c r="I420" s="22" t="str">
        <f>INDEX('Справочник Сети'!B:B,(MATCH(G420,'Справочник Сети'!C:C,0)))</f>
        <v>Планета здоровья</v>
      </c>
      <c r="J420" s="7" t="s">
        <v>142</v>
      </c>
      <c r="K420" s="7" t="s">
        <v>1140</v>
      </c>
      <c r="L420" s="7" t="s">
        <v>142</v>
      </c>
      <c r="M420" s="31">
        <v>45674</v>
      </c>
      <c r="N420" s="7" t="s">
        <v>1141</v>
      </c>
      <c r="O420" s="8">
        <v>1763</v>
      </c>
      <c r="P420" s="24">
        <v>2903</v>
      </c>
      <c r="Q420" s="22">
        <f>IF(COUNTIFS(A$2:A420,A420,I$2:I420,I420)=1,1,0)</f>
        <v>0</v>
      </c>
      <c r="R420" s="22">
        <f t="shared" si="6"/>
        <v>2</v>
      </c>
      <c r="S420" s="33">
        <f>IF(COUNTIF(O$2:O420,O420)=1,R420,0)/2.5</f>
        <v>0.8</v>
      </c>
    </row>
    <row r="421" spans="1:19" ht="18" customHeight="1" x14ac:dyDescent="0.25">
      <c r="A421" s="7" t="s">
        <v>43</v>
      </c>
      <c r="B421" s="8">
        <v>1</v>
      </c>
      <c r="C421" s="9">
        <v>353</v>
      </c>
      <c r="D421" s="29">
        <f>C421+IF(INDEX('Справочник по %'!B:B,(MATCH(A421,'Справочник по %'!A:A,0)))="кол-во",B421*INDEX('Справочник по %'!C:C,(MATCH(A421,'Справочник по %'!A:A,0))),ОТЧЕТ!C421*INDEX('Справочник по %'!C:C,(MATCH(A421,'Справочник по %'!A:A,0))))/100</f>
        <v>388.3</v>
      </c>
      <c r="E421" s="29">
        <f>IF(ОТЧЕТ!A421="SKU3",C421+ОТЧЕТ!C421*0.2,C421+ОТЧЕТ!C421*0.15)</f>
        <v>405.95</v>
      </c>
      <c r="F421" s="7" t="s">
        <v>1142</v>
      </c>
      <c r="G421" s="7">
        <v>7020028423</v>
      </c>
      <c r="H421" s="20" t="s">
        <v>1143</v>
      </c>
      <c r="I421" s="22" t="str">
        <f>INDEX('Справочник Сети'!B:B,(MATCH(G421,'Справочник Сети'!C:C,0)))</f>
        <v>36,6</v>
      </c>
      <c r="J421" s="7" t="s">
        <v>106</v>
      </c>
      <c r="K421" s="7" t="s">
        <v>1101</v>
      </c>
      <c r="L421" s="7" t="s">
        <v>106</v>
      </c>
      <c r="M421" s="31">
        <v>45694</v>
      </c>
      <c r="N421" s="7" t="s">
        <v>1144</v>
      </c>
      <c r="O421" s="8">
        <v>122</v>
      </c>
      <c r="P421" s="24">
        <v>2904</v>
      </c>
      <c r="Q421" s="22">
        <f>IF(COUNTIFS(A$2:A421,A421,I$2:I421,I421)=1,1,0)</f>
        <v>0</v>
      </c>
      <c r="R421" s="22">
        <f t="shared" si="6"/>
        <v>2</v>
      </c>
      <c r="S421" s="33">
        <f>IF(COUNTIF(O$2:O421,O421)=1,R421,0)/2.5</f>
        <v>0.8</v>
      </c>
    </row>
    <row r="422" spans="1:19" ht="18" customHeight="1" x14ac:dyDescent="0.25">
      <c r="A422" s="7" t="s">
        <v>43</v>
      </c>
      <c r="B422" s="8">
        <v>1</v>
      </c>
      <c r="C422" s="9">
        <v>480</v>
      </c>
      <c r="D422" s="29">
        <f>C422+IF(INDEX('Справочник по %'!B:B,(MATCH(A422,'Справочник по %'!A:A,0)))="кол-во",B422*INDEX('Справочник по %'!C:C,(MATCH(A422,'Справочник по %'!A:A,0))),ОТЧЕТ!C422*INDEX('Справочник по %'!C:C,(MATCH(A422,'Справочник по %'!A:A,0))))/100</f>
        <v>528</v>
      </c>
      <c r="E422" s="29">
        <f>IF(ОТЧЕТ!A422="SKU3",C422+ОТЧЕТ!C422*0.2,C422+ОТЧЕТ!C422*0.15)</f>
        <v>552</v>
      </c>
      <c r="F422" s="7" t="s">
        <v>1145</v>
      </c>
      <c r="G422" s="7">
        <v>782577502693</v>
      </c>
      <c r="H422" s="20" t="s">
        <v>1146</v>
      </c>
      <c r="I422" s="22">
        <f>INDEX('Справочник Сети'!B:B,(MATCH(G422,'Справочник Сети'!C:C,0)))</f>
        <v>0</v>
      </c>
      <c r="J422" s="7" t="s">
        <v>322</v>
      </c>
      <c r="K422" s="7" t="s">
        <v>714</v>
      </c>
      <c r="L422" s="7" t="s">
        <v>322</v>
      </c>
      <c r="M422" s="31">
        <v>45658</v>
      </c>
      <c r="N422" s="7" t="s">
        <v>1147</v>
      </c>
      <c r="O422" s="8">
        <v>557</v>
      </c>
      <c r="P422" s="24">
        <v>2905</v>
      </c>
      <c r="Q422" s="22">
        <f>IF(COUNTIFS(A$2:A422,A422,I$2:I422,I422)=1,1,0)</f>
        <v>0</v>
      </c>
      <c r="R422" s="22">
        <f t="shared" si="6"/>
        <v>2</v>
      </c>
      <c r="S422" s="33">
        <f>IF(COUNTIF(O$2:O422,O422)=1,R422,0)/2.5</f>
        <v>0.8</v>
      </c>
    </row>
    <row r="423" spans="1:19" ht="18" customHeight="1" x14ac:dyDescent="0.25">
      <c r="A423" s="7" t="s">
        <v>43</v>
      </c>
      <c r="B423" s="8">
        <v>1</v>
      </c>
      <c r="C423" s="9">
        <v>452</v>
      </c>
      <c r="D423" s="29">
        <f>C423+IF(INDEX('Справочник по %'!B:B,(MATCH(A423,'Справочник по %'!A:A,0)))="кол-во",B423*INDEX('Справочник по %'!C:C,(MATCH(A423,'Справочник по %'!A:A,0))),ОТЧЕТ!C423*INDEX('Справочник по %'!C:C,(MATCH(A423,'Справочник по %'!A:A,0))))/100</f>
        <v>497.2</v>
      </c>
      <c r="E423" s="29">
        <f>IF(ОТЧЕТ!A423="SKU3",C423+ОТЧЕТ!C423*0.2,C423+ОТЧЕТ!C423*0.15)</f>
        <v>519.79999999999995</v>
      </c>
      <c r="F423" s="7" t="s">
        <v>1148</v>
      </c>
      <c r="G423" s="7">
        <v>4401090930</v>
      </c>
      <c r="H423" s="20" t="s">
        <v>50</v>
      </c>
      <c r="I423" s="22">
        <f>INDEX('Справочник Сети'!B:B,(MATCH(G423,'Справочник Сети'!C:C,0)))</f>
        <v>0</v>
      </c>
      <c r="J423" s="7" t="s">
        <v>155</v>
      </c>
      <c r="K423" s="7" t="s">
        <v>1149</v>
      </c>
      <c r="L423" s="7" t="s">
        <v>155</v>
      </c>
      <c r="M423" s="31">
        <v>45716</v>
      </c>
      <c r="N423" s="7" t="s">
        <v>1150</v>
      </c>
      <c r="O423" s="8">
        <v>2727</v>
      </c>
      <c r="P423" s="24">
        <v>2909</v>
      </c>
      <c r="Q423" s="22">
        <f>IF(COUNTIFS(A$2:A423,A423,I$2:I423,I423)=1,1,0)</f>
        <v>0</v>
      </c>
      <c r="R423" s="22">
        <f t="shared" si="6"/>
        <v>2</v>
      </c>
      <c r="S423" s="33">
        <f>IF(COUNTIF(O$2:O423,O423)=1,R423,0)/2.5</f>
        <v>0.8</v>
      </c>
    </row>
    <row r="424" spans="1:19" ht="18" customHeight="1" x14ac:dyDescent="0.25">
      <c r="A424" s="7" t="s">
        <v>43</v>
      </c>
      <c r="B424" s="8">
        <v>1</v>
      </c>
      <c r="C424" s="9">
        <v>304</v>
      </c>
      <c r="D424" s="29">
        <f>C424+IF(INDEX('Справочник по %'!B:B,(MATCH(A424,'Справочник по %'!A:A,0)))="кол-во",B424*INDEX('Справочник по %'!C:C,(MATCH(A424,'Справочник по %'!A:A,0))),ОТЧЕТ!C424*INDEX('Справочник по %'!C:C,(MATCH(A424,'Справочник по %'!A:A,0))))/100</f>
        <v>334.4</v>
      </c>
      <c r="E424" s="29">
        <f>IF(ОТЧЕТ!A424="SKU3",C424+ОТЧЕТ!C424*0.2,C424+ОТЧЕТ!C424*0.15)</f>
        <v>349.6</v>
      </c>
      <c r="F424" s="7" t="s">
        <v>1148</v>
      </c>
      <c r="G424" s="7">
        <v>2309137766</v>
      </c>
      <c r="H424" s="20" t="s">
        <v>50</v>
      </c>
      <c r="I424" s="22" t="str">
        <f>INDEX('Справочник Сети'!B:B,(MATCH(G424,'Справочник Сети'!C:C,0)))</f>
        <v>Ригла</v>
      </c>
      <c r="J424" s="7" t="s">
        <v>57</v>
      </c>
      <c r="K424" s="7" t="s">
        <v>1151</v>
      </c>
      <c r="L424" s="7" t="s">
        <v>57</v>
      </c>
      <c r="M424" s="31">
        <v>45729</v>
      </c>
      <c r="N424" s="7" t="s">
        <v>1152</v>
      </c>
      <c r="O424" s="8">
        <v>843</v>
      </c>
      <c r="P424" s="24">
        <v>2910</v>
      </c>
      <c r="Q424" s="22">
        <f>IF(COUNTIFS(A$2:A424,A424,I$2:I424,I424)=1,1,0)</f>
        <v>0</v>
      </c>
      <c r="R424" s="22">
        <f t="shared" si="6"/>
        <v>1</v>
      </c>
      <c r="S424" s="33">
        <f>IF(COUNTIF(O$2:O424,O424)=1,R424,0)/2.5</f>
        <v>0.4</v>
      </c>
    </row>
    <row r="425" spans="1:19" ht="18" customHeight="1" x14ac:dyDescent="0.25">
      <c r="A425" s="7" t="s">
        <v>43</v>
      </c>
      <c r="B425" s="8">
        <v>1</v>
      </c>
      <c r="C425" s="9">
        <v>377</v>
      </c>
      <c r="D425" s="29">
        <f>C425+IF(INDEX('Справочник по %'!B:B,(MATCH(A425,'Справочник по %'!A:A,0)))="кол-во",B425*INDEX('Справочник по %'!C:C,(MATCH(A425,'Справочник по %'!A:A,0))),ОТЧЕТ!C425*INDEX('Справочник по %'!C:C,(MATCH(A425,'Справочник по %'!A:A,0))))/100</f>
        <v>414.7</v>
      </c>
      <c r="E425" s="29">
        <f>IF(ОТЧЕТ!A425="SKU3",C425+ОТЧЕТ!C425*0.2,C425+ОТЧЕТ!C425*0.15)</f>
        <v>433.55</v>
      </c>
      <c r="F425" s="7" t="s">
        <v>1153</v>
      </c>
      <c r="G425" s="7">
        <v>7706795062</v>
      </c>
      <c r="H425" s="20" t="s">
        <v>1154</v>
      </c>
      <c r="I425" s="22" t="str">
        <f>INDEX('Справочник Сети'!B:B,(MATCH(G425,'Справочник Сети'!C:C,0)))</f>
        <v>Планета здоровья</v>
      </c>
      <c r="J425" s="7" t="s">
        <v>87</v>
      </c>
      <c r="K425" s="7" t="s">
        <v>1155</v>
      </c>
      <c r="L425" s="7" t="s">
        <v>116</v>
      </c>
      <c r="M425" s="31">
        <v>45692</v>
      </c>
      <c r="N425" s="7" t="s">
        <v>1156</v>
      </c>
      <c r="O425" s="8">
        <v>1203</v>
      </c>
      <c r="P425" s="24">
        <v>2912</v>
      </c>
      <c r="Q425" s="22">
        <f>IF(COUNTIFS(A$2:A425,A425,I$2:I425,I425)=1,1,0)</f>
        <v>0</v>
      </c>
      <c r="R425" s="22">
        <f t="shared" si="6"/>
        <v>3</v>
      </c>
      <c r="S425" s="33">
        <f>IF(COUNTIF(O$2:O425,O425)=1,R425,0)/2.5</f>
        <v>1.2</v>
      </c>
    </row>
    <row r="426" spans="1:19" ht="18" customHeight="1" x14ac:dyDescent="0.25">
      <c r="A426" s="7" t="s">
        <v>43</v>
      </c>
      <c r="B426" s="8">
        <v>1</v>
      </c>
      <c r="C426" s="9">
        <v>514</v>
      </c>
      <c r="D426" s="29">
        <f>C426+IF(INDEX('Справочник по %'!B:B,(MATCH(A426,'Справочник по %'!A:A,0)))="кол-во",B426*INDEX('Справочник по %'!C:C,(MATCH(A426,'Справочник по %'!A:A,0))),ОТЧЕТ!C426*INDEX('Справочник по %'!C:C,(MATCH(A426,'Справочник по %'!A:A,0))))/100</f>
        <v>565.4</v>
      </c>
      <c r="E426" s="29">
        <f>IF(ОТЧЕТ!A426="SKU3",C426+ОТЧЕТ!C426*0.2,C426+ОТЧЕТ!C426*0.15)</f>
        <v>591.1</v>
      </c>
      <c r="F426" s="7" t="s">
        <v>1157</v>
      </c>
      <c r="G426" s="7">
        <v>220300048989</v>
      </c>
      <c r="H426" s="20" t="s">
        <v>50</v>
      </c>
      <c r="I426" s="22">
        <f>INDEX('Справочник Сети'!B:B,(MATCH(G426,'Справочник Сети'!C:C,0)))</f>
        <v>0</v>
      </c>
      <c r="J426" s="7" t="s">
        <v>74</v>
      </c>
      <c r="K426" s="7" t="s">
        <v>1140</v>
      </c>
      <c r="L426" s="7" t="s">
        <v>74</v>
      </c>
      <c r="M426" s="31">
        <v>45661</v>
      </c>
      <c r="N426" s="7" t="s">
        <v>1158</v>
      </c>
      <c r="O426" s="8">
        <v>2</v>
      </c>
      <c r="P426" s="24">
        <v>2920</v>
      </c>
      <c r="Q426" s="22">
        <f>IF(COUNTIFS(A$2:A426,A426,I$2:I426,I426)=1,1,0)</f>
        <v>0</v>
      </c>
      <c r="R426" s="22">
        <f t="shared" si="6"/>
        <v>5</v>
      </c>
      <c r="S426" s="33">
        <f>IF(COUNTIF(O$2:O426,O426)=1,R426,0)/2.5</f>
        <v>2</v>
      </c>
    </row>
    <row r="427" spans="1:19" ht="18" customHeight="1" x14ac:dyDescent="0.25">
      <c r="A427" s="7" t="s">
        <v>37</v>
      </c>
      <c r="B427" s="8">
        <v>1</v>
      </c>
      <c r="C427" s="9">
        <v>607</v>
      </c>
      <c r="D427" s="29">
        <f>C427+IF(INDEX('Справочник по %'!B:B,(MATCH(A427,'Справочник по %'!A:A,0)))="кол-во",B427*INDEX('Справочник по %'!C:C,(MATCH(A427,'Справочник по %'!A:A,0))),ОТЧЕТ!C427*INDEX('Справочник по %'!C:C,(MATCH(A427,'Справочник по %'!A:A,0))))/100</f>
        <v>607.20000000000005</v>
      </c>
      <c r="E427" s="29">
        <f>IF(ОТЧЕТ!A427="SKU3",C427+ОТЧЕТ!C427*0.2,C427+ОТЧЕТ!C427*0.15)</f>
        <v>698.05</v>
      </c>
      <c r="F427" s="7" t="s">
        <v>1157</v>
      </c>
      <c r="G427" s="7">
        <v>7706795062</v>
      </c>
      <c r="H427" s="20" t="s">
        <v>114</v>
      </c>
      <c r="I427" s="22" t="str">
        <f>INDEX('Справочник Сети'!B:B,(MATCH(G427,'Справочник Сети'!C:C,0)))</f>
        <v>Планета здоровья</v>
      </c>
      <c r="J427" s="7" t="s">
        <v>87</v>
      </c>
      <c r="K427" s="7" t="s">
        <v>701</v>
      </c>
      <c r="L427" s="7" t="s">
        <v>116</v>
      </c>
      <c r="M427" s="31">
        <v>45692</v>
      </c>
      <c r="N427" s="7" t="s">
        <v>1159</v>
      </c>
      <c r="O427" s="8">
        <v>1120</v>
      </c>
      <c r="P427" s="24">
        <v>2922</v>
      </c>
      <c r="Q427" s="22">
        <f>IF(COUNTIFS(A$2:A427,A427,I$2:I427,I427)=1,1,0)</f>
        <v>0</v>
      </c>
      <c r="R427" s="22">
        <f t="shared" si="6"/>
        <v>5</v>
      </c>
      <c r="S427" s="33">
        <f>IF(COUNTIF(O$2:O427,O427)=1,R427,0)/2.5</f>
        <v>0</v>
      </c>
    </row>
    <row r="428" spans="1:19" ht="18" customHeight="1" x14ac:dyDescent="0.25">
      <c r="A428" s="7" t="s">
        <v>43</v>
      </c>
      <c r="B428" s="8">
        <v>1</v>
      </c>
      <c r="C428" s="9">
        <v>407</v>
      </c>
      <c r="D428" s="29">
        <f>C428+IF(INDEX('Справочник по %'!B:B,(MATCH(A428,'Справочник по %'!A:A,0)))="кол-во",B428*INDEX('Справочник по %'!C:C,(MATCH(A428,'Справочник по %'!A:A,0))),ОТЧЕТ!C428*INDEX('Справочник по %'!C:C,(MATCH(A428,'Справочник по %'!A:A,0))))/100</f>
        <v>447.7</v>
      </c>
      <c r="E428" s="29">
        <f>IF(ОТЧЕТ!A428="SKU3",C428+ОТЧЕТ!C428*0.2,C428+ОТЧЕТ!C428*0.15)</f>
        <v>468.05</v>
      </c>
      <c r="F428" s="7" t="s">
        <v>1157</v>
      </c>
      <c r="G428" s="7">
        <v>707019359</v>
      </c>
      <c r="H428" s="20" t="s">
        <v>1160</v>
      </c>
      <c r="I428" s="22" t="str">
        <f>INDEX('Справочник Сети'!B:B,(MATCH(G428,'Справочник Сети'!C:C,0)))</f>
        <v>Нео-фарм</v>
      </c>
      <c r="J428" s="7" t="s">
        <v>362</v>
      </c>
      <c r="K428" s="7" t="s">
        <v>481</v>
      </c>
      <c r="L428" s="7" t="s">
        <v>362</v>
      </c>
      <c r="M428" s="31">
        <v>45732</v>
      </c>
      <c r="N428" s="7" t="s">
        <v>730</v>
      </c>
      <c r="O428" s="8">
        <v>431</v>
      </c>
      <c r="P428" s="24">
        <v>2936</v>
      </c>
      <c r="Q428" s="22">
        <f>IF(COUNTIFS(A$2:A428,A428,I$2:I428,I428)=1,1,0)</f>
        <v>0</v>
      </c>
      <c r="R428" s="22">
        <f t="shared" si="6"/>
        <v>3</v>
      </c>
      <c r="S428" s="33">
        <f>IF(COUNTIF(O$2:O428,O428)=1,R428,0)/2.5</f>
        <v>1.2</v>
      </c>
    </row>
    <row r="429" spans="1:19" ht="18" customHeight="1" x14ac:dyDescent="0.25">
      <c r="A429" s="7" t="s">
        <v>43</v>
      </c>
      <c r="B429" s="8">
        <v>1</v>
      </c>
      <c r="C429" s="9">
        <v>430.24</v>
      </c>
      <c r="D429" s="29">
        <f>C429+IF(INDEX('Справочник по %'!B:B,(MATCH(A429,'Справочник по %'!A:A,0)))="кол-во",B429*INDEX('Справочник по %'!C:C,(MATCH(A429,'Справочник по %'!A:A,0))),ОТЧЕТ!C429*INDEX('Справочник по %'!C:C,(MATCH(A429,'Справочник по %'!A:A,0))))/100</f>
        <v>473.26400000000001</v>
      </c>
      <c r="E429" s="29">
        <f>IF(ОТЧЕТ!A429="SKU3",C429+ОТЧЕТ!C429*0.2,C429+ОТЧЕТ!C429*0.15)</f>
        <v>494.77600000000001</v>
      </c>
      <c r="F429" s="7" t="s">
        <v>1157</v>
      </c>
      <c r="G429" s="7">
        <v>7709068298</v>
      </c>
      <c r="H429" s="20" t="s">
        <v>1161</v>
      </c>
      <c r="I429" s="22" t="str">
        <f>INDEX('Справочник Сети'!B:B,(MATCH(G429,'Справочник Сети'!C:C,0)))</f>
        <v>36,6</v>
      </c>
      <c r="J429" s="7" t="s">
        <v>504</v>
      </c>
      <c r="K429" s="7" t="s">
        <v>613</v>
      </c>
      <c r="L429" s="7" t="s">
        <v>504</v>
      </c>
      <c r="M429" s="31">
        <v>45690</v>
      </c>
      <c r="N429" s="7" t="s">
        <v>1162</v>
      </c>
      <c r="O429" s="8">
        <v>1535</v>
      </c>
      <c r="P429" s="24">
        <v>2937</v>
      </c>
      <c r="Q429" s="22">
        <f>IF(COUNTIFS(A$2:A429,A429,I$2:I429,I429)=1,1,0)</f>
        <v>0</v>
      </c>
      <c r="R429" s="22">
        <f t="shared" si="6"/>
        <v>1</v>
      </c>
      <c r="S429" s="33">
        <f>IF(COUNTIF(O$2:O429,O429)=1,R429,0)/2.5</f>
        <v>0.4</v>
      </c>
    </row>
    <row r="430" spans="1:19" ht="18" customHeight="1" x14ac:dyDescent="0.25">
      <c r="A430" s="7" t="s">
        <v>43</v>
      </c>
      <c r="B430" s="8">
        <v>1</v>
      </c>
      <c r="C430" s="9">
        <v>385.9</v>
      </c>
      <c r="D430" s="29">
        <f>C430+IF(INDEX('Справочник по %'!B:B,(MATCH(A430,'Справочник по %'!A:A,0)))="кол-во",B430*INDEX('Справочник по %'!C:C,(MATCH(A430,'Справочник по %'!A:A,0))),ОТЧЕТ!C430*INDEX('Справочник по %'!C:C,(MATCH(A430,'Справочник по %'!A:A,0))))/100</f>
        <v>424.49</v>
      </c>
      <c r="E430" s="29">
        <f>IF(ОТЧЕТ!A430="SKU3",C430+ОТЧЕТ!C430*0.2,C430+ОТЧЕТ!C430*0.15)</f>
        <v>443.78499999999997</v>
      </c>
      <c r="F430" s="7" t="s">
        <v>1157</v>
      </c>
      <c r="G430" s="7">
        <v>3801042576</v>
      </c>
      <c r="H430" s="20" t="s">
        <v>761</v>
      </c>
      <c r="I430" s="22" t="str">
        <f>INDEX('Справочник Сети'!B:B,(MATCH(G430,'Справочник Сети'!C:C,0)))</f>
        <v>Планета здоровья</v>
      </c>
      <c r="J430" s="7" t="s">
        <v>65</v>
      </c>
      <c r="K430" s="7" t="s">
        <v>1163</v>
      </c>
      <c r="L430" s="7" t="s">
        <v>65</v>
      </c>
      <c r="M430" s="31">
        <v>45717</v>
      </c>
      <c r="N430" s="7" t="s">
        <v>1164</v>
      </c>
      <c r="O430" s="8">
        <v>412</v>
      </c>
      <c r="P430" s="24">
        <v>2944</v>
      </c>
      <c r="Q430" s="22">
        <f>IF(COUNTIFS(A$2:A430,A430,I$2:I430,I430)=1,1,0)</f>
        <v>0</v>
      </c>
      <c r="R430" s="22">
        <f t="shared" si="6"/>
        <v>2</v>
      </c>
      <c r="S430" s="33">
        <f>IF(COUNTIF(O$2:O430,O430)=1,R430,0)/2.5</f>
        <v>0.8</v>
      </c>
    </row>
    <row r="431" spans="1:19" ht="18" customHeight="1" x14ac:dyDescent="0.25">
      <c r="A431" s="7" t="s">
        <v>43</v>
      </c>
      <c r="B431" s="8">
        <v>1</v>
      </c>
      <c r="C431" s="9">
        <v>672</v>
      </c>
      <c r="D431" s="29">
        <f>C431+IF(INDEX('Справочник по %'!B:B,(MATCH(A431,'Справочник по %'!A:A,0)))="кол-во",B431*INDEX('Справочник по %'!C:C,(MATCH(A431,'Справочник по %'!A:A,0))),ОТЧЕТ!C431*INDEX('Справочник по %'!C:C,(MATCH(A431,'Справочник по %'!A:A,0))))/100</f>
        <v>739.2</v>
      </c>
      <c r="E431" s="29">
        <f>IF(ОТЧЕТ!A431="SKU3",C431+ОТЧЕТ!C431*0.2,C431+ОТЧЕТ!C431*0.15)</f>
        <v>772.8</v>
      </c>
      <c r="F431" s="7" t="s">
        <v>1157</v>
      </c>
      <c r="G431" s="7">
        <v>7705947629</v>
      </c>
      <c r="H431" s="20" t="s">
        <v>50</v>
      </c>
      <c r="I431" s="22" t="str">
        <f>INDEX('Справочник Сети'!B:B,(MATCH(G431,'Справочник Сети'!C:C,0)))</f>
        <v>36,6</v>
      </c>
      <c r="J431" s="7" t="s">
        <v>104</v>
      </c>
      <c r="K431" s="7" t="s">
        <v>1165</v>
      </c>
      <c r="L431" s="7" t="s">
        <v>104</v>
      </c>
      <c r="M431" s="31">
        <v>45693</v>
      </c>
      <c r="N431" s="7" t="s">
        <v>1166</v>
      </c>
      <c r="O431" s="8">
        <v>372</v>
      </c>
      <c r="P431" s="24">
        <v>2947</v>
      </c>
      <c r="Q431" s="22">
        <f>IF(COUNTIFS(A$2:A431,A431,I$2:I431,I431)=1,1,0)</f>
        <v>0</v>
      </c>
      <c r="R431" s="22">
        <f t="shared" si="6"/>
        <v>13</v>
      </c>
      <c r="S431" s="33">
        <f>IF(COUNTIF(O$2:O431,O431)=1,R431,0)/2.5</f>
        <v>0</v>
      </c>
    </row>
    <row r="432" spans="1:19" ht="18" customHeight="1" x14ac:dyDescent="0.25">
      <c r="A432" s="7" t="s">
        <v>43</v>
      </c>
      <c r="B432" s="8">
        <v>1</v>
      </c>
      <c r="C432" s="9">
        <v>401</v>
      </c>
      <c r="D432" s="29">
        <f>C432+IF(INDEX('Справочник по %'!B:B,(MATCH(A432,'Справочник по %'!A:A,0)))="кол-во",B432*INDEX('Справочник по %'!C:C,(MATCH(A432,'Справочник по %'!A:A,0))),ОТЧЕТ!C432*INDEX('Справочник по %'!C:C,(MATCH(A432,'Справочник по %'!A:A,0))))/100</f>
        <v>441.1</v>
      </c>
      <c r="E432" s="29">
        <f>IF(ОТЧЕТ!A432="SKU3",C432+ОТЧЕТ!C432*0.2,C432+ОТЧЕТ!C432*0.15)</f>
        <v>461.15</v>
      </c>
      <c r="F432" s="7" t="s">
        <v>1157</v>
      </c>
      <c r="G432" s="7">
        <v>7722859468</v>
      </c>
      <c r="H432" s="20" t="s">
        <v>807</v>
      </c>
      <c r="I432" s="22">
        <f>INDEX('Справочник Сети'!B:B,(MATCH(G432,'Справочник Сети'!C:C,0)))</f>
        <v>0</v>
      </c>
      <c r="J432" s="7" t="s">
        <v>185</v>
      </c>
      <c r="K432" s="7" t="s">
        <v>971</v>
      </c>
      <c r="L432" s="7" t="s">
        <v>185</v>
      </c>
      <c r="M432" s="31">
        <v>45675</v>
      </c>
      <c r="N432" s="7" t="s">
        <v>1167</v>
      </c>
      <c r="O432" s="8">
        <v>701</v>
      </c>
      <c r="P432" s="24">
        <v>2949</v>
      </c>
      <c r="Q432" s="22">
        <f>IF(COUNTIFS(A$2:A432,A432,I$2:I432,I432)=1,1,0)</f>
        <v>0</v>
      </c>
      <c r="R432" s="22">
        <f t="shared" si="6"/>
        <v>1</v>
      </c>
      <c r="S432" s="33">
        <f>IF(COUNTIF(O$2:O432,O432)=1,R432,0)/2.5</f>
        <v>0.4</v>
      </c>
    </row>
    <row r="433" spans="1:19" ht="18" customHeight="1" x14ac:dyDescent="0.25">
      <c r="A433" s="7" t="s">
        <v>43</v>
      </c>
      <c r="B433" s="8">
        <v>1</v>
      </c>
      <c r="C433" s="9">
        <v>386</v>
      </c>
      <c r="D433" s="29">
        <f>C433+IF(INDEX('Справочник по %'!B:B,(MATCH(A433,'Справочник по %'!A:A,0)))="кол-во",B433*INDEX('Справочник по %'!C:C,(MATCH(A433,'Справочник по %'!A:A,0))),ОТЧЕТ!C433*INDEX('Справочник по %'!C:C,(MATCH(A433,'Справочник по %'!A:A,0))))/100</f>
        <v>424.6</v>
      </c>
      <c r="E433" s="29">
        <f>IF(ОТЧЕТ!A433="SKU3",C433+ОТЧЕТ!C433*0.2,C433+ОТЧЕТ!C433*0.15)</f>
        <v>443.9</v>
      </c>
      <c r="F433" s="7" t="s">
        <v>1157</v>
      </c>
      <c r="G433" s="7">
        <v>7731334851</v>
      </c>
      <c r="H433" s="20" t="s">
        <v>1168</v>
      </c>
      <c r="I433" s="22" t="str">
        <f>INDEX('Справочник Сети'!B:B,(MATCH(G433,'Справочник Сети'!C:C,0)))</f>
        <v>Планета здоровья</v>
      </c>
      <c r="J433" s="7" t="s">
        <v>142</v>
      </c>
      <c r="K433" s="7" t="s">
        <v>1169</v>
      </c>
      <c r="L433" s="7" t="s">
        <v>142</v>
      </c>
      <c r="M433" s="31">
        <v>45674</v>
      </c>
      <c r="N433" s="7" t="s">
        <v>1170</v>
      </c>
      <c r="O433" s="8">
        <v>2200</v>
      </c>
      <c r="P433" s="24">
        <v>2954</v>
      </c>
      <c r="Q433" s="22">
        <f>IF(COUNTIFS(A$2:A433,A433,I$2:I433,I433)=1,1,0)</f>
        <v>0</v>
      </c>
      <c r="R433" s="22">
        <f t="shared" si="6"/>
        <v>5</v>
      </c>
      <c r="S433" s="33">
        <f>IF(COUNTIF(O$2:O433,O433)=1,R433,0)/2.5</f>
        <v>2</v>
      </c>
    </row>
    <row r="434" spans="1:19" ht="18" customHeight="1" x14ac:dyDescent="0.25">
      <c r="A434" s="7" t="s">
        <v>43</v>
      </c>
      <c r="B434" s="8">
        <v>1</v>
      </c>
      <c r="C434" s="9">
        <v>375</v>
      </c>
      <c r="D434" s="29">
        <f>C434+IF(INDEX('Справочник по %'!B:B,(MATCH(A434,'Справочник по %'!A:A,0)))="кол-во",B434*INDEX('Справочник по %'!C:C,(MATCH(A434,'Справочник по %'!A:A,0))),ОТЧЕТ!C434*INDEX('Справочник по %'!C:C,(MATCH(A434,'Справочник по %'!A:A,0))))/100</f>
        <v>412.5</v>
      </c>
      <c r="E434" s="29">
        <f>IF(ОТЧЕТ!A434="SKU3",C434+ОТЧЕТ!C434*0.2,C434+ОТЧЕТ!C434*0.15)</f>
        <v>431.25</v>
      </c>
      <c r="F434" s="7" t="s">
        <v>1157</v>
      </c>
      <c r="G434" s="7">
        <v>2225105670</v>
      </c>
      <c r="H434" s="20" t="s">
        <v>69</v>
      </c>
      <c r="I434" s="22" t="str">
        <f>INDEX('Справочник Сети'!B:B,(MATCH(G434,'Справочник Сети'!C:C,0)))</f>
        <v>Столички</v>
      </c>
      <c r="J434" s="7" t="s">
        <v>372</v>
      </c>
      <c r="K434" s="7" t="s">
        <v>748</v>
      </c>
      <c r="L434" s="7" t="s">
        <v>372</v>
      </c>
      <c r="M434" s="31">
        <v>45730</v>
      </c>
      <c r="N434" s="7" t="s">
        <v>1171</v>
      </c>
      <c r="O434" s="8">
        <v>2917</v>
      </c>
      <c r="P434" s="24">
        <v>2956</v>
      </c>
      <c r="Q434" s="22">
        <f>IF(COUNTIFS(A$2:A434,A434,I$2:I434,I434)=1,1,0)</f>
        <v>0</v>
      </c>
      <c r="R434" s="22">
        <f t="shared" si="6"/>
        <v>2</v>
      </c>
      <c r="S434" s="33">
        <f>IF(COUNTIF(O$2:O434,O434)=1,R434,0)/2.5</f>
        <v>0.8</v>
      </c>
    </row>
    <row r="435" spans="1:19" ht="18" customHeight="1" x14ac:dyDescent="0.25">
      <c r="A435" s="7" t="s">
        <v>43</v>
      </c>
      <c r="B435" s="8">
        <v>1</v>
      </c>
      <c r="C435" s="9">
        <v>498</v>
      </c>
      <c r="D435" s="29">
        <f>C435+IF(INDEX('Справочник по %'!B:B,(MATCH(A435,'Справочник по %'!A:A,0)))="кол-во",B435*INDEX('Справочник по %'!C:C,(MATCH(A435,'Справочник по %'!A:A,0))),ОТЧЕТ!C435*INDEX('Справочник по %'!C:C,(MATCH(A435,'Справочник по %'!A:A,0))))/100</f>
        <v>547.79999999999995</v>
      </c>
      <c r="E435" s="29">
        <f>IF(ОТЧЕТ!A435="SKU3",C435+ОТЧЕТ!C435*0.2,C435+ОТЧЕТ!C435*0.15)</f>
        <v>572.70000000000005</v>
      </c>
      <c r="F435" s="7" t="s">
        <v>1157</v>
      </c>
      <c r="G435" s="7">
        <v>7705947629</v>
      </c>
      <c r="H435" s="20" t="s">
        <v>50</v>
      </c>
      <c r="I435" s="22" t="str">
        <f>INDEX('Справочник Сети'!B:B,(MATCH(G435,'Справочник Сети'!C:C,0)))</f>
        <v>36,6</v>
      </c>
      <c r="J435" s="7" t="s">
        <v>116</v>
      </c>
      <c r="K435" s="7" t="s">
        <v>1172</v>
      </c>
      <c r="L435" s="7" t="s">
        <v>116</v>
      </c>
      <c r="M435" s="31">
        <v>45692</v>
      </c>
      <c r="N435" s="7" t="s">
        <v>758</v>
      </c>
      <c r="O435" s="8">
        <v>3756</v>
      </c>
      <c r="P435" s="24">
        <v>2962</v>
      </c>
      <c r="Q435" s="22">
        <f>IF(COUNTIFS(A$2:A435,A435,I$2:I435,I435)=1,1,0)</f>
        <v>0</v>
      </c>
      <c r="R435" s="22">
        <f t="shared" si="6"/>
        <v>4</v>
      </c>
      <c r="S435" s="33">
        <f>IF(COUNTIF(O$2:O435,O435)=1,R435,0)/2.5</f>
        <v>0</v>
      </c>
    </row>
    <row r="436" spans="1:19" ht="18" customHeight="1" x14ac:dyDescent="0.25">
      <c r="A436" s="7" t="s">
        <v>37</v>
      </c>
      <c r="B436" s="8">
        <v>1</v>
      </c>
      <c r="C436" s="9">
        <v>700</v>
      </c>
      <c r="D436" s="29">
        <f>C436+IF(INDEX('Справочник по %'!B:B,(MATCH(A436,'Справочник по %'!A:A,0)))="кол-во",B436*INDEX('Справочник по %'!C:C,(MATCH(A436,'Справочник по %'!A:A,0))),ОТЧЕТ!C436*INDEX('Справочник по %'!C:C,(MATCH(A436,'Справочник по %'!A:A,0))))/100</f>
        <v>700.2</v>
      </c>
      <c r="E436" s="29">
        <f>IF(ОТЧЕТ!A436="SKU3",C436+ОТЧЕТ!C436*0.2,C436+ОТЧЕТ!C436*0.15)</f>
        <v>805</v>
      </c>
      <c r="F436" s="7" t="s">
        <v>1157</v>
      </c>
      <c r="G436" s="7">
        <v>7814139847</v>
      </c>
      <c r="H436" s="20" t="s">
        <v>50</v>
      </c>
      <c r="I436" s="22" t="str">
        <f>INDEX('Справочник Сети'!B:B,(MATCH(G436,'Справочник Сети'!C:C,0)))</f>
        <v>Планета здоровья</v>
      </c>
      <c r="J436" s="7" t="s">
        <v>121</v>
      </c>
      <c r="K436" s="7" t="s">
        <v>484</v>
      </c>
      <c r="L436" s="7" t="s">
        <v>121</v>
      </c>
      <c r="M436" s="31">
        <v>45671</v>
      </c>
      <c r="N436" s="7" t="s">
        <v>1173</v>
      </c>
      <c r="O436" s="8">
        <v>2865</v>
      </c>
      <c r="P436" s="24">
        <v>2963</v>
      </c>
      <c r="Q436" s="22">
        <f>IF(COUNTIFS(A$2:A436,A436,I$2:I436,I436)=1,1,0)</f>
        <v>0</v>
      </c>
      <c r="R436" s="22">
        <f t="shared" si="6"/>
        <v>7</v>
      </c>
      <c r="S436" s="33">
        <f>IF(COUNTIF(O$2:O436,O436)=1,R436,0)/2.5</f>
        <v>0</v>
      </c>
    </row>
    <row r="437" spans="1:19" ht="18" customHeight="1" x14ac:dyDescent="0.25">
      <c r="A437" s="7" t="s">
        <v>43</v>
      </c>
      <c r="B437" s="8">
        <v>1</v>
      </c>
      <c r="C437" s="9">
        <v>452</v>
      </c>
      <c r="D437" s="29">
        <f>C437+IF(INDEX('Справочник по %'!B:B,(MATCH(A437,'Справочник по %'!A:A,0)))="кол-во",B437*INDEX('Справочник по %'!C:C,(MATCH(A437,'Справочник по %'!A:A,0))),ОТЧЕТ!C437*INDEX('Справочник по %'!C:C,(MATCH(A437,'Справочник по %'!A:A,0))))/100</f>
        <v>497.2</v>
      </c>
      <c r="E437" s="29">
        <f>IF(ОТЧЕТ!A437="SKU3",C437+ОТЧЕТ!C437*0.2,C437+ОТЧЕТ!C437*0.15)</f>
        <v>519.79999999999995</v>
      </c>
      <c r="F437" s="7" t="s">
        <v>1157</v>
      </c>
      <c r="G437" s="7">
        <v>9705147513</v>
      </c>
      <c r="H437" s="20" t="s">
        <v>50</v>
      </c>
      <c r="I437" s="22" t="str">
        <f>INDEX('Справочник Сети'!B:B,(MATCH(G437,'Справочник Сети'!C:C,0)))</f>
        <v>Столички</v>
      </c>
      <c r="J437" s="7" t="s">
        <v>239</v>
      </c>
      <c r="K437" s="7" t="s">
        <v>1051</v>
      </c>
      <c r="L437" s="7" t="s">
        <v>239</v>
      </c>
      <c r="M437" s="31">
        <v>45662</v>
      </c>
      <c r="N437" s="7" t="s">
        <v>1174</v>
      </c>
      <c r="O437" s="8">
        <v>2146</v>
      </c>
      <c r="P437" s="24">
        <v>2966</v>
      </c>
      <c r="Q437" s="22">
        <f>IF(COUNTIFS(A$2:A437,A437,I$2:I437,I437)=1,1,0)</f>
        <v>0</v>
      </c>
      <c r="R437" s="22">
        <f t="shared" si="6"/>
        <v>1</v>
      </c>
      <c r="S437" s="33">
        <f>IF(COUNTIF(O$2:O437,O437)=1,R437,0)/2.5</f>
        <v>0.4</v>
      </c>
    </row>
    <row r="438" spans="1:19" ht="18" customHeight="1" x14ac:dyDescent="0.25">
      <c r="A438" s="7" t="s">
        <v>146</v>
      </c>
      <c r="B438" s="8">
        <v>1</v>
      </c>
      <c r="C438" s="9">
        <v>683</v>
      </c>
      <c r="D438" s="29">
        <f>C438+IF(INDEX('Справочник по %'!B:B,(MATCH(A438,'Справочник по %'!A:A,0)))="кол-во",B438*INDEX('Справочник по %'!C:C,(MATCH(A438,'Справочник по %'!A:A,0))),ОТЧЕТ!C438*INDEX('Справочник по %'!C:C,(MATCH(A438,'Справочник по %'!A:A,0))))/100</f>
        <v>785.45</v>
      </c>
      <c r="E438" s="29">
        <f>IF(ОТЧЕТ!A438="SKU3",C438+ОТЧЕТ!C438*0.2,C438+ОТЧЕТ!C438*0.15)</f>
        <v>819.6</v>
      </c>
      <c r="F438" s="7" t="s">
        <v>1157</v>
      </c>
      <c r="G438" s="7">
        <v>7732121736</v>
      </c>
      <c r="H438" s="20" t="s">
        <v>148</v>
      </c>
      <c r="I438" s="22" t="str">
        <f>INDEX('Справочник Сети'!B:B,(MATCH(G438,'Справочник Сети'!C:C,0)))</f>
        <v>Планета здоровья</v>
      </c>
      <c r="J438" s="7" t="s">
        <v>149</v>
      </c>
      <c r="K438" s="7" t="s">
        <v>1175</v>
      </c>
      <c r="L438" s="7" t="s">
        <v>149</v>
      </c>
      <c r="M438" s="31">
        <v>45673</v>
      </c>
      <c r="N438" s="7" t="s">
        <v>1176</v>
      </c>
      <c r="O438" s="8">
        <v>1121</v>
      </c>
      <c r="P438" s="24">
        <v>2970</v>
      </c>
      <c r="Q438" s="22">
        <f>IF(COUNTIFS(A$2:A438,A438,I$2:I438,I438)=1,1,0)</f>
        <v>0</v>
      </c>
      <c r="R438" s="22">
        <f t="shared" si="6"/>
        <v>1</v>
      </c>
      <c r="S438" s="33">
        <f>IF(COUNTIF(O$2:O438,O438)=1,R438,0)/2.5</f>
        <v>0.4</v>
      </c>
    </row>
    <row r="439" spans="1:19" ht="18" customHeight="1" x14ac:dyDescent="0.25">
      <c r="A439" s="7" t="s">
        <v>43</v>
      </c>
      <c r="B439" s="8">
        <v>1</v>
      </c>
      <c r="C439" s="9">
        <v>468.44</v>
      </c>
      <c r="D439" s="29">
        <f>C439+IF(INDEX('Справочник по %'!B:B,(MATCH(A439,'Справочник по %'!A:A,0)))="кол-во",B439*INDEX('Справочник по %'!C:C,(MATCH(A439,'Справочник по %'!A:A,0))),ОТЧЕТ!C439*INDEX('Справочник по %'!C:C,(MATCH(A439,'Справочник по %'!A:A,0))))/100</f>
        <v>515.28399999999999</v>
      </c>
      <c r="E439" s="29">
        <f>IF(ОТЧЕТ!A439="SKU3",C439+ОТЧЕТ!C439*0.2,C439+ОТЧЕТ!C439*0.15)</f>
        <v>538.70600000000002</v>
      </c>
      <c r="F439" s="7" t="s">
        <v>1157</v>
      </c>
      <c r="G439" s="7">
        <v>550711904930</v>
      </c>
      <c r="H439" s="20" t="s">
        <v>50</v>
      </c>
      <c r="I439" s="22" t="str">
        <f>INDEX('Справочник Сети'!B:B,(MATCH(G439,'Справочник Сети'!C:C,0)))</f>
        <v>Ригла</v>
      </c>
      <c r="J439" s="7" t="s">
        <v>251</v>
      </c>
      <c r="K439" s="7" t="s">
        <v>414</v>
      </c>
      <c r="L439" s="7" t="s">
        <v>251</v>
      </c>
      <c r="M439" s="31">
        <v>45659</v>
      </c>
      <c r="N439" s="7" t="s">
        <v>1177</v>
      </c>
      <c r="O439" s="8">
        <v>3477</v>
      </c>
      <c r="P439" s="24">
        <v>2971</v>
      </c>
      <c r="Q439" s="22">
        <f>IF(COUNTIFS(A$2:A439,A439,I$2:I439,I439)=1,1,0)</f>
        <v>0</v>
      </c>
      <c r="R439" s="22">
        <f t="shared" si="6"/>
        <v>4</v>
      </c>
      <c r="S439" s="33">
        <f>IF(COUNTIF(O$2:O439,O439)=1,R439,0)/2.5</f>
        <v>1.6</v>
      </c>
    </row>
    <row r="440" spans="1:19" ht="18" customHeight="1" x14ac:dyDescent="0.25">
      <c r="A440" s="7" t="s">
        <v>43</v>
      </c>
      <c r="B440" s="8">
        <v>1</v>
      </c>
      <c r="C440" s="9">
        <v>419.74</v>
      </c>
      <c r="D440" s="29">
        <f>C440+IF(INDEX('Справочник по %'!B:B,(MATCH(A440,'Справочник по %'!A:A,0)))="кол-во",B440*INDEX('Справочник по %'!C:C,(MATCH(A440,'Справочник по %'!A:A,0))),ОТЧЕТ!C440*INDEX('Справочник по %'!C:C,(MATCH(A440,'Справочник по %'!A:A,0))))/100</f>
        <v>461.714</v>
      </c>
      <c r="E440" s="29">
        <f>IF(ОТЧЕТ!A440="SKU3",C440+ОТЧЕТ!C440*0.2,C440+ОТЧЕТ!C440*0.15)</f>
        <v>482.70100000000002</v>
      </c>
      <c r="F440" s="7" t="s">
        <v>1157</v>
      </c>
      <c r="G440" s="7">
        <v>550607761989</v>
      </c>
      <c r="H440" s="20" t="s">
        <v>50</v>
      </c>
      <c r="I440" s="22" t="str">
        <f>INDEX('Справочник Сети'!B:B,(MATCH(G440,'Справочник Сети'!C:C,0)))</f>
        <v>Ригла</v>
      </c>
      <c r="J440" s="7" t="s">
        <v>251</v>
      </c>
      <c r="K440" s="7" t="s">
        <v>1178</v>
      </c>
      <c r="L440" s="7" t="s">
        <v>251</v>
      </c>
      <c r="M440" s="31">
        <v>45659</v>
      </c>
      <c r="N440" s="7" t="s">
        <v>1179</v>
      </c>
      <c r="O440" s="8">
        <v>2299</v>
      </c>
      <c r="P440" s="24">
        <v>2974</v>
      </c>
      <c r="Q440" s="22">
        <f>IF(COUNTIFS(A$2:A440,A440,I$2:I440,I440)=1,1,0)</f>
        <v>0</v>
      </c>
      <c r="R440" s="22">
        <f t="shared" si="6"/>
        <v>1</v>
      </c>
      <c r="S440" s="33">
        <f>IF(COUNTIF(O$2:O440,O440)=1,R440,0)/2.5</f>
        <v>0.4</v>
      </c>
    </row>
    <row r="441" spans="1:19" ht="18" customHeight="1" x14ac:dyDescent="0.25">
      <c r="A441" s="7" t="s">
        <v>43</v>
      </c>
      <c r="B441" s="8">
        <v>1</v>
      </c>
      <c r="C441" s="9">
        <v>495</v>
      </c>
      <c r="D441" s="29">
        <f>C441+IF(INDEX('Справочник по %'!B:B,(MATCH(A441,'Справочник по %'!A:A,0)))="кол-во",B441*INDEX('Справочник по %'!C:C,(MATCH(A441,'Справочник по %'!A:A,0))),ОТЧЕТ!C441*INDEX('Справочник по %'!C:C,(MATCH(A441,'Справочник по %'!A:A,0))))/100</f>
        <v>544.5</v>
      </c>
      <c r="E441" s="29">
        <f>IF(ОТЧЕТ!A441="SKU3",C441+ОТЧЕТ!C441*0.2,C441+ОТЧЕТ!C441*0.15)</f>
        <v>569.25</v>
      </c>
      <c r="F441" s="7" t="s">
        <v>1180</v>
      </c>
      <c r="G441" s="7">
        <v>4205048353</v>
      </c>
      <c r="H441" s="20" t="s">
        <v>634</v>
      </c>
      <c r="I441" s="22" t="str">
        <f>INDEX('Справочник Сети'!B:B,(MATCH(G441,'Справочник Сети'!C:C,0)))</f>
        <v>Планета здоровья</v>
      </c>
      <c r="J441" s="7" t="s">
        <v>155</v>
      </c>
      <c r="K441" s="7" t="s">
        <v>1181</v>
      </c>
      <c r="L441" s="7" t="s">
        <v>155</v>
      </c>
      <c r="M441" s="31">
        <v>45716</v>
      </c>
      <c r="N441" s="7" t="s">
        <v>1182</v>
      </c>
      <c r="O441" s="8">
        <v>1110</v>
      </c>
      <c r="P441" s="24">
        <v>2978</v>
      </c>
      <c r="Q441" s="22">
        <f>IF(COUNTIFS(A$2:A441,A441,I$2:I441,I441)=1,1,0)</f>
        <v>0</v>
      </c>
      <c r="R441" s="22">
        <f t="shared" si="6"/>
        <v>2</v>
      </c>
      <c r="S441" s="33">
        <f>IF(COUNTIF(O$2:O441,O441)=1,R441,0)/2.5</f>
        <v>0</v>
      </c>
    </row>
    <row r="442" spans="1:19" ht="18" customHeight="1" x14ac:dyDescent="0.25">
      <c r="A442" s="7" t="s">
        <v>43</v>
      </c>
      <c r="B442" s="8">
        <v>1</v>
      </c>
      <c r="C442" s="9">
        <v>459.5</v>
      </c>
      <c r="D442" s="29">
        <f>C442+IF(INDEX('Справочник по %'!B:B,(MATCH(A442,'Справочник по %'!A:A,0)))="кол-во",B442*INDEX('Справочник по %'!C:C,(MATCH(A442,'Справочник по %'!A:A,0))),ОТЧЕТ!C442*INDEX('Справочник по %'!C:C,(MATCH(A442,'Справочник по %'!A:A,0))))/100</f>
        <v>505.45</v>
      </c>
      <c r="E442" s="29">
        <f>IF(ОТЧЕТ!A442="SKU3",C442+ОТЧЕТ!C442*0.2,C442+ОТЧЕТ!C442*0.15)</f>
        <v>528.42499999999995</v>
      </c>
      <c r="F442" s="7" t="s">
        <v>1180</v>
      </c>
      <c r="G442" s="7">
        <v>7840411560</v>
      </c>
      <c r="H442" s="20" t="s">
        <v>1183</v>
      </c>
      <c r="I442" s="22" t="str">
        <f>INDEX('Справочник Сети'!B:B,(MATCH(G442,'Справочник Сети'!C:C,0)))</f>
        <v>Столички</v>
      </c>
      <c r="J442" s="7" t="s">
        <v>315</v>
      </c>
      <c r="K442" s="7" t="s">
        <v>1184</v>
      </c>
      <c r="L442" s="7" t="s">
        <v>315</v>
      </c>
      <c r="M442" s="31">
        <v>45670</v>
      </c>
      <c r="N442" s="7" t="s">
        <v>1185</v>
      </c>
      <c r="O442" s="8">
        <v>100</v>
      </c>
      <c r="P442" s="24">
        <v>2980</v>
      </c>
      <c r="Q442" s="22">
        <f>IF(COUNTIFS(A$2:A442,A442,I$2:I442,I442)=1,1,0)</f>
        <v>0</v>
      </c>
      <c r="R442" s="22">
        <f t="shared" si="6"/>
        <v>2</v>
      </c>
      <c r="S442" s="33">
        <f>IF(COUNTIF(O$2:O442,O442)=1,R442,0)/2.5</f>
        <v>0.8</v>
      </c>
    </row>
    <row r="443" spans="1:19" ht="18" customHeight="1" x14ac:dyDescent="0.25">
      <c r="A443" s="7" t="s">
        <v>43</v>
      </c>
      <c r="B443" s="8">
        <v>1</v>
      </c>
      <c r="C443" s="9">
        <v>427.8</v>
      </c>
      <c r="D443" s="29">
        <f>C443+IF(INDEX('Справочник по %'!B:B,(MATCH(A443,'Справочник по %'!A:A,0)))="кол-во",B443*INDEX('Справочник по %'!C:C,(MATCH(A443,'Справочник по %'!A:A,0))),ОТЧЕТ!C443*INDEX('Справочник по %'!C:C,(MATCH(A443,'Справочник по %'!A:A,0))))/100</f>
        <v>470.58000000000004</v>
      </c>
      <c r="E443" s="29">
        <f>IF(ОТЧЕТ!A443="SKU3",C443+ОТЧЕТ!C443*0.2,C443+ОТЧЕТ!C443*0.15)</f>
        <v>491.97</v>
      </c>
      <c r="F443" s="7" t="s">
        <v>1180</v>
      </c>
      <c r="G443" s="7">
        <v>7840411560</v>
      </c>
      <c r="H443" s="20" t="s">
        <v>629</v>
      </c>
      <c r="I443" s="22" t="str">
        <f>INDEX('Справочник Сети'!B:B,(MATCH(G443,'Справочник Сети'!C:C,0)))</f>
        <v>Столички</v>
      </c>
      <c r="J443" s="7" t="s">
        <v>315</v>
      </c>
      <c r="K443" s="7" t="s">
        <v>1186</v>
      </c>
      <c r="L443" s="7" t="s">
        <v>315</v>
      </c>
      <c r="M443" s="31">
        <v>45670</v>
      </c>
      <c r="N443" s="7" t="s">
        <v>1187</v>
      </c>
      <c r="O443" s="8">
        <v>1474</v>
      </c>
      <c r="P443" s="24">
        <v>2981</v>
      </c>
      <c r="Q443" s="22">
        <f>IF(COUNTIFS(A$2:A443,A443,I$2:I443,I443)=1,1,0)</f>
        <v>0</v>
      </c>
      <c r="R443" s="22">
        <f t="shared" si="6"/>
        <v>3</v>
      </c>
      <c r="S443" s="33">
        <f>IF(COUNTIF(O$2:O443,O443)=1,R443,0)/2.5</f>
        <v>0</v>
      </c>
    </row>
    <row r="444" spans="1:19" ht="18" customHeight="1" x14ac:dyDescent="0.25">
      <c r="A444" s="7" t="s">
        <v>43</v>
      </c>
      <c r="B444" s="8">
        <v>1</v>
      </c>
      <c r="C444" s="9">
        <v>465</v>
      </c>
      <c r="D444" s="29">
        <f>C444+IF(INDEX('Справочник по %'!B:B,(MATCH(A444,'Справочник по %'!A:A,0)))="кол-во",B444*INDEX('Справочник по %'!C:C,(MATCH(A444,'Справочник по %'!A:A,0))),ОТЧЕТ!C444*INDEX('Справочник по %'!C:C,(MATCH(A444,'Справочник по %'!A:A,0))))/100</f>
        <v>511.5</v>
      </c>
      <c r="E444" s="29">
        <f>IF(ОТЧЕТ!A444="SKU3",C444+ОТЧЕТ!C444*0.2,C444+ОТЧЕТ!C444*0.15)</f>
        <v>534.75</v>
      </c>
      <c r="F444" s="7" t="s">
        <v>1188</v>
      </c>
      <c r="G444" s="7">
        <v>5438110616</v>
      </c>
      <c r="H444" s="20" t="s">
        <v>756</v>
      </c>
      <c r="I444" s="22">
        <f>INDEX('Справочник Сети'!B:B,(MATCH(G444,'Справочник Сети'!C:C,0)))</f>
        <v>0</v>
      </c>
      <c r="J444" s="7" t="s">
        <v>255</v>
      </c>
      <c r="K444" s="7" t="s">
        <v>866</v>
      </c>
      <c r="L444" s="7" t="s">
        <v>255</v>
      </c>
      <c r="M444" s="31">
        <v>45713</v>
      </c>
      <c r="N444" s="7" t="s">
        <v>1189</v>
      </c>
      <c r="O444" s="8">
        <v>3433</v>
      </c>
      <c r="P444" s="24">
        <v>2992</v>
      </c>
      <c r="Q444" s="22">
        <f>IF(COUNTIFS(A$2:A444,A444,I$2:I444,I444)=1,1,0)</f>
        <v>0</v>
      </c>
      <c r="R444" s="22">
        <f t="shared" si="6"/>
        <v>5</v>
      </c>
      <c r="S444" s="33">
        <f>IF(COUNTIF(O$2:O444,O444)=1,R444,0)/2.5</f>
        <v>0</v>
      </c>
    </row>
    <row r="445" spans="1:19" ht="18" customHeight="1" x14ac:dyDescent="0.25">
      <c r="A445" s="7" t="s">
        <v>43</v>
      </c>
      <c r="B445" s="8">
        <v>1</v>
      </c>
      <c r="C445" s="9">
        <v>399</v>
      </c>
      <c r="D445" s="29">
        <f>C445+IF(INDEX('Справочник по %'!B:B,(MATCH(A445,'Справочник по %'!A:A,0)))="кол-во",B445*INDEX('Справочник по %'!C:C,(MATCH(A445,'Справочник по %'!A:A,0))),ОТЧЕТ!C445*INDEX('Справочник по %'!C:C,(MATCH(A445,'Справочник по %'!A:A,0))))/100</f>
        <v>438.9</v>
      </c>
      <c r="E445" s="29">
        <f>IF(ОТЧЕТ!A445="SKU3",C445+ОТЧЕТ!C445*0.2,C445+ОТЧЕТ!C445*0.15)</f>
        <v>458.85</v>
      </c>
      <c r="F445" s="7" t="s">
        <v>1190</v>
      </c>
      <c r="G445" s="7">
        <v>7716997445</v>
      </c>
      <c r="H445" s="20" t="s">
        <v>167</v>
      </c>
      <c r="I445" s="22" t="str">
        <f>INDEX('Справочник Сети'!B:B,(MATCH(G445,'Справочник Сети'!C:C,0)))</f>
        <v>Столички</v>
      </c>
      <c r="J445" s="7" t="s">
        <v>168</v>
      </c>
      <c r="K445" s="7" t="s">
        <v>991</v>
      </c>
      <c r="L445" s="7" t="s">
        <v>168</v>
      </c>
      <c r="M445" s="31">
        <v>45676</v>
      </c>
      <c r="N445" s="7" t="s">
        <v>1191</v>
      </c>
      <c r="O445" s="8">
        <v>1990</v>
      </c>
      <c r="P445" s="24">
        <v>2994</v>
      </c>
      <c r="Q445" s="22">
        <f>IF(COUNTIFS(A$2:A445,A445,I$2:I445,I445)=1,1,0)</f>
        <v>0</v>
      </c>
      <c r="R445" s="22">
        <f t="shared" si="6"/>
        <v>2</v>
      </c>
      <c r="S445" s="33">
        <f>IF(COUNTIF(O$2:O445,O445)=1,R445,0)/2.5</f>
        <v>0.8</v>
      </c>
    </row>
    <row r="446" spans="1:19" ht="18" customHeight="1" x14ac:dyDescent="0.25">
      <c r="A446" s="7" t="s">
        <v>43</v>
      </c>
      <c r="B446" s="8">
        <v>1</v>
      </c>
      <c r="C446" s="9">
        <v>388.3</v>
      </c>
      <c r="D446" s="29">
        <f>C446+IF(INDEX('Справочник по %'!B:B,(MATCH(A446,'Справочник по %'!A:A,0)))="кол-во",B446*INDEX('Справочник по %'!C:C,(MATCH(A446,'Справочник по %'!A:A,0))),ОТЧЕТ!C446*INDEX('Справочник по %'!C:C,(MATCH(A446,'Справочник по %'!A:A,0))))/100</f>
        <v>427.13</v>
      </c>
      <c r="E446" s="29">
        <f>IF(ОТЧЕТ!A446="SKU3",C446+ОТЧЕТ!C446*0.2,C446+ОТЧЕТ!C446*0.15)</f>
        <v>446.54500000000002</v>
      </c>
      <c r="F446" s="7" t="s">
        <v>1192</v>
      </c>
      <c r="G446" s="7">
        <v>7840411560</v>
      </c>
      <c r="H446" s="20" t="s">
        <v>1193</v>
      </c>
      <c r="I446" s="22" t="str">
        <f>INDEX('Справочник Сети'!B:B,(MATCH(G446,'Справочник Сети'!C:C,0)))</f>
        <v>Столички</v>
      </c>
      <c r="J446" s="7" t="s">
        <v>315</v>
      </c>
      <c r="K446" s="7" t="s">
        <v>194</v>
      </c>
      <c r="L446" s="7" t="s">
        <v>315</v>
      </c>
      <c r="M446" s="31">
        <v>45670</v>
      </c>
      <c r="N446" s="7" t="s">
        <v>1194</v>
      </c>
      <c r="O446" s="8">
        <v>720</v>
      </c>
      <c r="P446" s="24">
        <v>2995</v>
      </c>
      <c r="Q446" s="22">
        <f>IF(COUNTIFS(A$2:A446,A446,I$2:I446,I446)=1,1,0)</f>
        <v>0</v>
      </c>
      <c r="R446" s="22">
        <f t="shared" si="6"/>
        <v>3</v>
      </c>
      <c r="S446" s="33">
        <f>IF(COUNTIF(O$2:O446,O446)=1,R446,0)/2.5</f>
        <v>1.2</v>
      </c>
    </row>
    <row r="447" spans="1:19" ht="18" customHeight="1" x14ac:dyDescent="0.25">
      <c r="A447" s="7" t="s">
        <v>43</v>
      </c>
      <c r="B447" s="8">
        <v>1</v>
      </c>
      <c r="C447" s="9">
        <v>389</v>
      </c>
      <c r="D447" s="29">
        <f>C447+IF(INDEX('Справочник по %'!B:B,(MATCH(A447,'Справочник по %'!A:A,0)))="кол-во",B447*INDEX('Справочник по %'!C:C,(MATCH(A447,'Справочник по %'!A:A,0))),ОТЧЕТ!C447*INDEX('Справочник по %'!C:C,(MATCH(A447,'Справочник по %'!A:A,0))))/100</f>
        <v>427.9</v>
      </c>
      <c r="E447" s="29">
        <f>IF(ОТЧЕТ!A447="SKU3",C447+ОТЧЕТ!C447*0.2,C447+ОТЧЕТ!C447*0.15)</f>
        <v>447.35</v>
      </c>
      <c r="F447" s="7" t="s">
        <v>1195</v>
      </c>
      <c r="G447" s="7">
        <v>5012072383</v>
      </c>
      <c r="H447" s="20" t="s">
        <v>50</v>
      </c>
      <c r="I447" s="22">
        <f>INDEX('Справочник Сети'!B:B,(MATCH(G447,'Справочник Сети'!C:C,0)))</f>
        <v>0</v>
      </c>
      <c r="J447" s="7" t="s">
        <v>83</v>
      </c>
      <c r="K447" s="7" t="s">
        <v>1196</v>
      </c>
      <c r="L447" s="7" t="s">
        <v>83</v>
      </c>
      <c r="M447" s="31">
        <v>45715</v>
      </c>
      <c r="N447" s="7" t="s">
        <v>1197</v>
      </c>
      <c r="O447" s="8">
        <v>3767</v>
      </c>
      <c r="P447" s="24">
        <v>2996</v>
      </c>
      <c r="Q447" s="22">
        <f>IF(COUNTIFS(A$2:A447,A447,I$2:I447,I447)=1,1,0)</f>
        <v>0</v>
      </c>
      <c r="R447" s="22">
        <f t="shared" si="6"/>
        <v>3</v>
      </c>
      <c r="S447" s="33">
        <f>IF(COUNTIF(O$2:O447,O447)=1,R447,0)/2.5</f>
        <v>1.2</v>
      </c>
    </row>
    <row r="448" spans="1:19" ht="18" customHeight="1" x14ac:dyDescent="0.25">
      <c r="A448" s="7" t="s">
        <v>43</v>
      </c>
      <c r="B448" s="8">
        <v>1</v>
      </c>
      <c r="C448" s="9">
        <v>323</v>
      </c>
      <c r="D448" s="29">
        <f>C448+IF(INDEX('Справочник по %'!B:B,(MATCH(A448,'Справочник по %'!A:A,0)))="кол-во",B448*INDEX('Справочник по %'!C:C,(MATCH(A448,'Справочник по %'!A:A,0))),ОТЧЕТ!C448*INDEX('Справочник по %'!C:C,(MATCH(A448,'Справочник по %'!A:A,0))))/100</f>
        <v>355.3</v>
      </c>
      <c r="E448" s="29">
        <f>IF(ОТЧЕТ!A448="SKU3",C448+ОТЧЕТ!C448*0.2,C448+ОТЧЕТ!C448*0.15)</f>
        <v>371.45</v>
      </c>
      <c r="F448" s="7" t="s">
        <v>1198</v>
      </c>
      <c r="G448" s="7">
        <v>2543023195</v>
      </c>
      <c r="H448" s="20" t="s">
        <v>69</v>
      </c>
      <c r="I448" s="22" t="str">
        <f>INDEX('Справочник Сети'!B:B,(MATCH(G448,'Справочник Сети'!C:C,0)))</f>
        <v>36,6</v>
      </c>
      <c r="J448" s="7" t="s">
        <v>46</v>
      </c>
      <c r="K448" s="7" t="s">
        <v>558</v>
      </c>
      <c r="L448" s="7" t="s">
        <v>46</v>
      </c>
      <c r="M448" s="31">
        <v>45726</v>
      </c>
      <c r="N448" s="7" t="s">
        <v>1199</v>
      </c>
      <c r="O448" s="8">
        <v>1621</v>
      </c>
      <c r="P448" s="24">
        <v>3003</v>
      </c>
      <c r="Q448" s="22">
        <f>IF(COUNTIFS(A$2:A448,A448,I$2:I448,I448)=1,1,0)</f>
        <v>0</v>
      </c>
      <c r="R448" s="22">
        <f t="shared" si="6"/>
        <v>4</v>
      </c>
      <c r="S448" s="33">
        <f>IF(COUNTIF(O$2:O448,O448)=1,R448,0)/2.5</f>
        <v>1.6</v>
      </c>
    </row>
    <row r="449" spans="1:19" ht="18" customHeight="1" x14ac:dyDescent="0.25">
      <c r="A449" s="7" t="s">
        <v>37</v>
      </c>
      <c r="B449" s="8">
        <v>1</v>
      </c>
      <c r="C449" s="9">
        <v>528.20000000000005</v>
      </c>
      <c r="D449" s="29">
        <f>C449+IF(INDEX('Справочник по %'!B:B,(MATCH(A449,'Справочник по %'!A:A,0)))="кол-во",B449*INDEX('Справочник по %'!C:C,(MATCH(A449,'Справочник по %'!A:A,0))),ОТЧЕТ!C449*INDEX('Справочник по %'!C:C,(MATCH(A449,'Справочник по %'!A:A,0))))/100</f>
        <v>528.40000000000009</v>
      </c>
      <c r="E449" s="29">
        <f>IF(ОТЧЕТ!A449="SKU3",C449+ОТЧЕТ!C449*0.2,C449+ОТЧЕТ!C449*0.15)</f>
        <v>607.43000000000006</v>
      </c>
      <c r="F449" s="7" t="s">
        <v>1200</v>
      </c>
      <c r="G449" s="7">
        <v>2130121793</v>
      </c>
      <c r="H449" s="20" t="s">
        <v>1201</v>
      </c>
      <c r="I449" s="22">
        <f>INDEX('Справочник Сети'!B:B,(MATCH(G449,'Справочник Сети'!C:C,0)))</f>
        <v>0</v>
      </c>
      <c r="J449" s="7" t="s">
        <v>372</v>
      </c>
      <c r="K449" s="7" t="s">
        <v>1202</v>
      </c>
      <c r="L449" s="7" t="s">
        <v>372</v>
      </c>
      <c r="M449" s="31">
        <v>45730</v>
      </c>
      <c r="N449" s="7" t="s">
        <v>1203</v>
      </c>
      <c r="O449" s="8">
        <v>2288</v>
      </c>
      <c r="P449" s="24">
        <v>3010</v>
      </c>
      <c r="Q449" s="22">
        <f>IF(COUNTIFS(A$2:A449,A449,I$2:I449,I449)=1,1,0)</f>
        <v>0</v>
      </c>
      <c r="R449" s="22">
        <f t="shared" si="6"/>
        <v>1</v>
      </c>
      <c r="S449" s="33">
        <f>IF(COUNTIF(O$2:O449,O449)=1,R449,0)/2.5</f>
        <v>0.4</v>
      </c>
    </row>
    <row r="450" spans="1:19" ht="18" customHeight="1" x14ac:dyDescent="0.25">
      <c r="A450" s="7" t="s">
        <v>37</v>
      </c>
      <c r="B450" s="8">
        <v>1</v>
      </c>
      <c r="C450" s="9">
        <v>604</v>
      </c>
      <c r="D450" s="29">
        <f>C450+IF(INDEX('Справочник по %'!B:B,(MATCH(A450,'Справочник по %'!A:A,0)))="кол-во",B450*INDEX('Справочник по %'!C:C,(MATCH(A450,'Справочник по %'!A:A,0))),ОТЧЕТ!C450*INDEX('Справочник по %'!C:C,(MATCH(A450,'Справочник по %'!A:A,0))))/100</f>
        <v>604.20000000000005</v>
      </c>
      <c r="E450" s="29">
        <f>IF(ОТЧЕТ!A450="SKU3",C450+ОТЧЕТ!C450*0.2,C450+ОТЧЕТ!C450*0.15)</f>
        <v>694.6</v>
      </c>
      <c r="F450" s="7" t="s">
        <v>1204</v>
      </c>
      <c r="G450" s="7">
        <v>333412028128</v>
      </c>
      <c r="H450" s="20" t="s">
        <v>91</v>
      </c>
      <c r="I450" s="22">
        <f>INDEX('Справочник Сети'!B:B,(MATCH(G450,'Справочник Сети'!C:C,0)))</f>
        <v>0</v>
      </c>
      <c r="J450" s="7" t="s">
        <v>110</v>
      </c>
      <c r="K450" s="7" t="s">
        <v>1205</v>
      </c>
      <c r="L450" s="7" t="s">
        <v>110</v>
      </c>
      <c r="M450" s="31">
        <v>45660</v>
      </c>
      <c r="N450" s="7" t="s">
        <v>389</v>
      </c>
      <c r="O450" s="8">
        <v>2481</v>
      </c>
      <c r="P450" s="24">
        <v>3011</v>
      </c>
      <c r="Q450" s="22">
        <f>IF(COUNTIFS(A$2:A450,A450,I$2:I450,I450)=1,1,0)</f>
        <v>0</v>
      </c>
      <c r="R450" s="22">
        <f t="shared" si="6"/>
        <v>3</v>
      </c>
      <c r="S450" s="33">
        <f>IF(COUNTIF(O$2:O450,O450)=1,R450,0)/2.5</f>
        <v>1.2</v>
      </c>
    </row>
    <row r="451" spans="1:19" ht="18" customHeight="1" x14ac:dyDescent="0.25">
      <c r="A451" s="7" t="s">
        <v>43</v>
      </c>
      <c r="B451" s="8">
        <v>1</v>
      </c>
      <c r="C451" s="9">
        <v>370</v>
      </c>
      <c r="D451" s="29">
        <f>C451+IF(INDEX('Справочник по %'!B:B,(MATCH(A451,'Справочник по %'!A:A,0)))="кол-во",B451*INDEX('Справочник по %'!C:C,(MATCH(A451,'Справочник по %'!A:A,0))),ОТЧЕТ!C451*INDEX('Справочник по %'!C:C,(MATCH(A451,'Справочник по %'!A:A,0))))/100</f>
        <v>407</v>
      </c>
      <c r="E451" s="29">
        <f>IF(ОТЧЕТ!A451="SKU3",C451+ОТЧЕТ!C451*0.2,C451+ОТЧЕТ!C451*0.15)</f>
        <v>425.5</v>
      </c>
      <c r="F451" s="7" t="s">
        <v>1204</v>
      </c>
      <c r="G451" s="7">
        <v>2225105670</v>
      </c>
      <c r="H451" s="20" t="s">
        <v>69</v>
      </c>
      <c r="I451" s="22" t="str">
        <f>INDEX('Справочник Сети'!B:B,(MATCH(G451,'Справочник Сети'!C:C,0)))</f>
        <v>Столички</v>
      </c>
      <c r="J451" s="7" t="s">
        <v>372</v>
      </c>
      <c r="K451" s="7" t="s">
        <v>1206</v>
      </c>
      <c r="L451" s="7" t="s">
        <v>372</v>
      </c>
      <c r="M451" s="31">
        <v>45730</v>
      </c>
      <c r="N451" s="7" t="s">
        <v>1207</v>
      </c>
      <c r="O451" s="8">
        <v>2919</v>
      </c>
      <c r="P451" s="24">
        <v>3016</v>
      </c>
      <c r="Q451" s="22">
        <f>IF(COUNTIFS(A$2:A451,A451,I$2:I451,I451)=1,1,0)</f>
        <v>0</v>
      </c>
      <c r="R451" s="22">
        <f t="shared" ref="R451:R514" si="7">COUNTIF(O:O,O451)</f>
        <v>8</v>
      </c>
      <c r="S451" s="33">
        <f>IF(COUNTIF(O$2:O451,O451)=1,R451,0)/2.5</f>
        <v>0</v>
      </c>
    </row>
    <row r="452" spans="1:19" ht="18" customHeight="1" x14ac:dyDescent="0.25">
      <c r="A452" s="7" t="s">
        <v>43</v>
      </c>
      <c r="B452" s="8">
        <v>1</v>
      </c>
      <c r="C452" s="9">
        <v>470</v>
      </c>
      <c r="D452" s="29">
        <f>C452+IF(INDEX('Справочник по %'!B:B,(MATCH(A452,'Справочник по %'!A:A,0)))="кол-во",B452*INDEX('Справочник по %'!C:C,(MATCH(A452,'Справочник по %'!A:A,0))),ОТЧЕТ!C452*INDEX('Справочник по %'!C:C,(MATCH(A452,'Справочник по %'!A:A,0))))/100</f>
        <v>517</v>
      </c>
      <c r="E452" s="29">
        <f>IF(ОТЧЕТ!A452="SKU3",C452+ОТЧЕТ!C452*0.2,C452+ОТЧЕТ!C452*0.15)</f>
        <v>540.5</v>
      </c>
      <c r="F452" s="7" t="s">
        <v>1204</v>
      </c>
      <c r="G452" s="7">
        <v>4221012971</v>
      </c>
      <c r="H452" s="20" t="s">
        <v>1208</v>
      </c>
      <c r="I452" s="22">
        <f>INDEX('Справочник Сети'!B:B,(MATCH(G452,'Справочник Сети'!C:C,0)))</f>
        <v>0</v>
      </c>
      <c r="J452" s="7" t="s">
        <v>155</v>
      </c>
      <c r="K452" s="7" t="s">
        <v>1209</v>
      </c>
      <c r="L452" s="7" t="s">
        <v>155</v>
      </c>
      <c r="M452" s="31">
        <v>45716</v>
      </c>
      <c r="N452" s="7" t="s">
        <v>1210</v>
      </c>
      <c r="O452" s="8">
        <v>3207</v>
      </c>
      <c r="P452" s="24">
        <v>3017</v>
      </c>
      <c r="Q452" s="22">
        <f>IF(COUNTIFS(A$2:A452,A452,I$2:I452,I452)=1,1,0)</f>
        <v>0</v>
      </c>
      <c r="R452" s="22">
        <f t="shared" si="7"/>
        <v>1</v>
      </c>
      <c r="S452" s="33">
        <f>IF(COUNTIF(O$2:O452,O452)=1,R452,0)/2.5</f>
        <v>0.4</v>
      </c>
    </row>
    <row r="453" spans="1:19" ht="18" customHeight="1" x14ac:dyDescent="0.25">
      <c r="A453" s="7" t="s">
        <v>43</v>
      </c>
      <c r="B453" s="8">
        <v>1</v>
      </c>
      <c r="C453" s="9">
        <v>410</v>
      </c>
      <c r="D453" s="29">
        <f>C453+IF(INDEX('Справочник по %'!B:B,(MATCH(A453,'Справочник по %'!A:A,0)))="кол-во",B453*INDEX('Справочник по %'!C:C,(MATCH(A453,'Справочник по %'!A:A,0))),ОТЧЕТ!C453*INDEX('Справочник по %'!C:C,(MATCH(A453,'Справочник по %'!A:A,0))))/100</f>
        <v>451</v>
      </c>
      <c r="E453" s="29">
        <f>IF(ОТЧЕТ!A453="SKU3",C453+ОТЧЕТ!C453*0.2,C453+ОТЧЕТ!C453*0.15)</f>
        <v>471.5</v>
      </c>
      <c r="F453" s="7" t="s">
        <v>1204</v>
      </c>
      <c r="G453" s="7">
        <v>573012140</v>
      </c>
      <c r="H453" s="20" t="s">
        <v>50</v>
      </c>
      <c r="I453" s="22">
        <f>INDEX('Справочник Сети'!B:B,(MATCH(G453,'Справочник Сети'!C:C,0)))</f>
        <v>0</v>
      </c>
      <c r="J453" s="7" t="s">
        <v>362</v>
      </c>
      <c r="K453" s="7" t="s">
        <v>1211</v>
      </c>
      <c r="L453" s="7" t="s">
        <v>362</v>
      </c>
      <c r="M453" s="31">
        <v>45732</v>
      </c>
      <c r="N453" s="7" t="s">
        <v>1212</v>
      </c>
      <c r="O453" s="8">
        <v>3199</v>
      </c>
      <c r="P453" s="24">
        <v>3019</v>
      </c>
      <c r="Q453" s="22">
        <f>IF(COUNTIFS(A$2:A453,A453,I$2:I453,I453)=1,1,0)</f>
        <v>0</v>
      </c>
      <c r="R453" s="22">
        <f t="shared" si="7"/>
        <v>1</v>
      </c>
      <c r="S453" s="33">
        <f>IF(COUNTIF(O$2:O453,O453)=1,R453,0)/2.5</f>
        <v>0.4</v>
      </c>
    </row>
    <row r="454" spans="1:19" ht="18" customHeight="1" x14ac:dyDescent="0.25">
      <c r="A454" s="7" t="s">
        <v>43</v>
      </c>
      <c r="B454" s="8">
        <v>1</v>
      </c>
      <c r="C454" s="9">
        <v>515</v>
      </c>
      <c r="D454" s="29">
        <f>C454+IF(INDEX('Справочник по %'!B:B,(MATCH(A454,'Справочник по %'!A:A,0)))="кол-во",B454*INDEX('Справочник по %'!C:C,(MATCH(A454,'Справочник по %'!A:A,0))),ОТЧЕТ!C454*INDEX('Справочник по %'!C:C,(MATCH(A454,'Справочник по %'!A:A,0))))/100</f>
        <v>566.5</v>
      </c>
      <c r="E454" s="29">
        <f>IF(ОТЧЕТ!A454="SKU3",C454+ОТЧЕТ!C454*0.2,C454+ОТЧЕТ!C454*0.15)</f>
        <v>592.25</v>
      </c>
      <c r="F454" s="7" t="s">
        <v>1204</v>
      </c>
      <c r="G454" s="7">
        <v>7814139847</v>
      </c>
      <c r="H454" s="20" t="s">
        <v>50</v>
      </c>
      <c r="I454" s="22" t="str">
        <f>INDEX('Справочник Сети'!B:B,(MATCH(G454,'Справочник Сети'!C:C,0)))</f>
        <v>Планета здоровья</v>
      </c>
      <c r="J454" s="7" t="s">
        <v>121</v>
      </c>
      <c r="K454" s="7" t="s">
        <v>1213</v>
      </c>
      <c r="L454" s="7" t="s">
        <v>121</v>
      </c>
      <c r="M454" s="31">
        <v>45671</v>
      </c>
      <c r="N454" s="7" t="s">
        <v>1214</v>
      </c>
      <c r="O454" s="8">
        <v>2865</v>
      </c>
      <c r="P454" s="24">
        <v>3021</v>
      </c>
      <c r="Q454" s="22">
        <f>IF(COUNTIFS(A$2:A454,A454,I$2:I454,I454)=1,1,0)</f>
        <v>0</v>
      </c>
      <c r="R454" s="22">
        <f t="shared" si="7"/>
        <v>7</v>
      </c>
      <c r="S454" s="33">
        <f>IF(COUNTIF(O$2:O454,O454)=1,R454,0)/2.5</f>
        <v>0</v>
      </c>
    </row>
    <row r="455" spans="1:19" ht="18" customHeight="1" x14ac:dyDescent="0.25">
      <c r="A455" s="7" t="s">
        <v>43</v>
      </c>
      <c r="B455" s="8">
        <v>1</v>
      </c>
      <c r="C455" s="9">
        <v>456.2</v>
      </c>
      <c r="D455" s="29">
        <f>C455+IF(INDEX('Справочник по %'!B:B,(MATCH(A455,'Справочник по %'!A:A,0)))="кол-во",B455*INDEX('Справочник по %'!C:C,(MATCH(A455,'Справочник по %'!A:A,0))),ОТЧЕТ!C455*INDEX('Справочник по %'!C:C,(MATCH(A455,'Справочник по %'!A:A,0))))/100</f>
        <v>501.82</v>
      </c>
      <c r="E455" s="29">
        <f>IF(ОТЧЕТ!A455="SKU3",C455+ОТЧЕТ!C455*0.2,C455+ОТЧЕТ!C455*0.15)</f>
        <v>524.63</v>
      </c>
      <c r="F455" s="7" t="s">
        <v>1204</v>
      </c>
      <c r="G455" s="7">
        <v>5501207372</v>
      </c>
      <c r="H455" s="20" t="s">
        <v>50</v>
      </c>
      <c r="I455" s="22" t="str">
        <f>INDEX('Справочник Сети'!B:B,(MATCH(G455,'Справочник Сети'!C:C,0)))</f>
        <v>Ригла</v>
      </c>
      <c r="J455" s="7" t="s">
        <v>255</v>
      </c>
      <c r="K455" s="7" t="s">
        <v>1215</v>
      </c>
      <c r="L455" s="7" t="s">
        <v>255</v>
      </c>
      <c r="M455" s="31">
        <v>45713</v>
      </c>
      <c r="N455" s="7" t="s">
        <v>1216</v>
      </c>
      <c r="O455" s="8">
        <v>324</v>
      </c>
      <c r="P455" s="24">
        <v>3026</v>
      </c>
      <c r="Q455" s="22">
        <f>IF(COUNTIFS(A$2:A455,A455,I$2:I455,I455)=1,1,0)</f>
        <v>0</v>
      </c>
      <c r="R455" s="22">
        <f t="shared" si="7"/>
        <v>8</v>
      </c>
      <c r="S455" s="33">
        <f>IF(COUNTIF(O$2:O455,O455)=1,R455,0)/2.5</f>
        <v>3.2</v>
      </c>
    </row>
    <row r="456" spans="1:19" ht="18" customHeight="1" x14ac:dyDescent="0.25">
      <c r="A456" s="7" t="s">
        <v>43</v>
      </c>
      <c r="B456" s="8">
        <v>1</v>
      </c>
      <c r="C456" s="9">
        <v>432</v>
      </c>
      <c r="D456" s="29">
        <f>C456+IF(INDEX('Справочник по %'!B:B,(MATCH(A456,'Справочник по %'!A:A,0)))="кол-во",B456*INDEX('Справочник по %'!C:C,(MATCH(A456,'Справочник по %'!A:A,0))),ОТЧЕТ!C456*INDEX('Справочник по %'!C:C,(MATCH(A456,'Справочник по %'!A:A,0))))/100</f>
        <v>475.2</v>
      </c>
      <c r="E456" s="29">
        <f>IF(ОТЧЕТ!A456="SKU3",C456+ОТЧЕТ!C456*0.2,C456+ОТЧЕТ!C456*0.15)</f>
        <v>496.8</v>
      </c>
      <c r="F456" s="7" t="s">
        <v>1204</v>
      </c>
      <c r="G456" s="7">
        <v>5501217490</v>
      </c>
      <c r="H456" s="20" t="s">
        <v>1217</v>
      </c>
      <c r="I456" s="22">
        <f>INDEX('Справочник Сети'!B:B,(MATCH(G456,'Справочник Сети'!C:C,0)))</f>
        <v>0</v>
      </c>
      <c r="J456" s="7" t="s">
        <v>255</v>
      </c>
      <c r="K456" s="7" t="s">
        <v>1218</v>
      </c>
      <c r="L456" s="7" t="s">
        <v>255</v>
      </c>
      <c r="M456" s="31">
        <v>45713</v>
      </c>
      <c r="N456" s="7" t="s">
        <v>1219</v>
      </c>
      <c r="O456" s="8">
        <v>1916</v>
      </c>
      <c r="P456" s="24">
        <v>3029</v>
      </c>
      <c r="Q456" s="22">
        <f>IF(COUNTIFS(A$2:A456,A456,I$2:I456,I456)=1,1,0)</f>
        <v>0</v>
      </c>
      <c r="R456" s="22">
        <f t="shared" si="7"/>
        <v>6</v>
      </c>
      <c r="S456" s="33">
        <f>IF(COUNTIF(O$2:O456,O456)=1,R456,0)/2.5</f>
        <v>0</v>
      </c>
    </row>
    <row r="457" spans="1:19" ht="18" customHeight="1" x14ac:dyDescent="0.25">
      <c r="A457" s="7" t="s">
        <v>43</v>
      </c>
      <c r="B457" s="8">
        <v>1</v>
      </c>
      <c r="C457" s="9">
        <v>410</v>
      </c>
      <c r="D457" s="29">
        <f>C457+IF(INDEX('Справочник по %'!B:B,(MATCH(A457,'Справочник по %'!A:A,0)))="кол-во",B457*INDEX('Справочник по %'!C:C,(MATCH(A457,'Справочник по %'!A:A,0))),ОТЧЕТ!C457*INDEX('Справочник по %'!C:C,(MATCH(A457,'Справочник по %'!A:A,0))))/100</f>
        <v>451</v>
      </c>
      <c r="E457" s="29">
        <f>IF(ОТЧЕТ!A457="SKU3",C457+ОТЧЕТ!C457*0.2,C457+ОТЧЕТ!C457*0.15)</f>
        <v>471.5</v>
      </c>
      <c r="F457" s="7" t="s">
        <v>1204</v>
      </c>
      <c r="G457" s="7">
        <v>3257018220</v>
      </c>
      <c r="H457" s="20" t="s">
        <v>167</v>
      </c>
      <c r="I457" s="22">
        <f>INDEX('Справочник Сети'!B:B,(MATCH(G457,'Справочник Сети'!C:C,0)))</f>
        <v>0</v>
      </c>
      <c r="J457" s="7" t="s">
        <v>193</v>
      </c>
      <c r="K457" s="7" t="s">
        <v>1220</v>
      </c>
      <c r="L457" s="7" t="s">
        <v>193</v>
      </c>
      <c r="M457" s="31">
        <v>45718</v>
      </c>
      <c r="N457" s="7" t="s">
        <v>1221</v>
      </c>
      <c r="O457" s="8">
        <v>120</v>
      </c>
      <c r="P457" s="24">
        <v>3036</v>
      </c>
      <c r="Q457" s="22">
        <f>IF(COUNTIFS(A$2:A457,A457,I$2:I457,I457)=1,1,0)</f>
        <v>0</v>
      </c>
      <c r="R457" s="22">
        <f t="shared" si="7"/>
        <v>1</v>
      </c>
      <c r="S457" s="33">
        <f>IF(COUNTIF(O$2:O457,O457)=1,R457,0)/2.5</f>
        <v>0.4</v>
      </c>
    </row>
    <row r="458" spans="1:19" ht="18" customHeight="1" x14ac:dyDescent="0.25">
      <c r="A458" s="7" t="s">
        <v>43</v>
      </c>
      <c r="B458" s="8">
        <v>1</v>
      </c>
      <c r="C458" s="9">
        <v>456.12</v>
      </c>
      <c r="D458" s="29">
        <f>C458+IF(INDEX('Справочник по %'!B:B,(MATCH(A458,'Справочник по %'!A:A,0)))="кол-во",B458*INDEX('Справочник по %'!C:C,(MATCH(A458,'Справочник по %'!A:A,0))),ОТЧЕТ!C458*INDEX('Справочник по %'!C:C,(MATCH(A458,'Справочник по %'!A:A,0))))/100</f>
        <v>501.73199999999997</v>
      </c>
      <c r="E458" s="29">
        <f>IF(ОТЧЕТ!A458="SKU3",C458+ОТЧЕТ!C458*0.2,C458+ОТЧЕТ!C458*0.15)</f>
        <v>524.53800000000001</v>
      </c>
      <c r="F458" s="7" t="s">
        <v>1204</v>
      </c>
      <c r="G458" s="7">
        <v>5501207372</v>
      </c>
      <c r="H458" s="20" t="s">
        <v>50</v>
      </c>
      <c r="I458" s="22" t="str">
        <f>INDEX('Справочник Сети'!B:B,(MATCH(G458,'Справочник Сети'!C:C,0)))</f>
        <v>Ригла</v>
      </c>
      <c r="J458" s="7" t="s">
        <v>255</v>
      </c>
      <c r="K458" s="7" t="s">
        <v>691</v>
      </c>
      <c r="L458" s="7" t="s">
        <v>255</v>
      </c>
      <c r="M458" s="31">
        <v>45713</v>
      </c>
      <c r="N458" s="7" t="s">
        <v>1222</v>
      </c>
      <c r="O458" s="8">
        <v>324</v>
      </c>
      <c r="P458" s="24">
        <v>3037</v>
      </c>
      <c r="Q458" s="22">
        <f>IF(COUNTIFS(A$2:A458,A458,I$2:I458,I458)=1,1,0)</f>
        <v>0</v>
      </c>
      <c r="R458" s="22">
        <f t="shared" si="7"/>
        <v>8</v>
      </c>
      <c r="S458" s="33">
        <f>IF(COUNTIF(O$2:O458,O458)=1,R458,0)/2.5</f>
        <v>0</v>
      </c>
    </row>
    <row r="459" spans="1:19" ht="18" customHeight="1" x14ac:dyDescent="0.25">
      <c r="A459" s="7" t="s">
        <v>43</v>
      </c>
      <c r="B459" s="8">
        <v>1</v>
      </c>
      <c r="C459" s="9">
        <v>515</v>
      </c>
      <c r="D459" s="29">
        <f>C459+IF(INDEX('Справочник по %'!B:B,(MATCH(A459,'Справочник по %'!A:A,0)))="кол-во",B459*INDEX('Справочник по %'!C:C,(MATCH(A459,'Справочник по %'!A:A,0))),ОТЧЕТ!C459*INDEX('Справочник по %'!C:C,(MATCH(A459,'Справочник по %'!A:A,0))))/100</f>
        <v>566.5</v>
      </c>
      <c r="E459" s="29">
        <f>IF(ОТЧЕТ!A459="SKU3",C459+ОТЧЕТ!C459*0.2,C459+ОТЧЕТ!C459*0.15)</f>
        <v>592.25</v>
      </c>
      <c r="F459" s="7" t="s">
        <v>1223</v>
      </c>
      <c r="G459" s="7">
        <v>7814139847</v>
      </c>
      <c r="H459" s="20" t="s">
        <v>50</v>
      </c>
      <c r="I459" s="22" t="str">
        <f>INDEX('Справочник Сети'!B:B,(MATCH(G459,'Справочник Сети'!C:C,0)))</f>
        <v>Планета здоровья</v>
      </c>
      <c r="J459" s="7" t="s">
        <v>121</v>
      </c>
      <c r="K459" s="7" t="s">
        <v>1224</v>
      </c>
      <c r="L459" s="7" t="s">
        <v>121</v>
      </c>
      <c r="M459" s="31">
        <v>45671</v>
      </c>
      <c r="N459" s="7" t="s">
        <v>1225</v>
      </c>
      <c r="O459" s="8">
        <v>2865</v>
      </c>
      <c r="P459" s="24">
        <v>3041</v>
      </c>
      <c r="Q459" s="22">
        <f>IF(COUNTIFS(A$2:A459,A459,I$2:I459,I459)=1,1,0)</f>
        <v>0</v>
      </c>
      <c r="R459" s="22">
        <f t="shared" si="7"/>
        <v>7</v>
      </c>
      <c r="S459" s="33">
        <f>IF(COUNTIF(O$2:O459,O459)=1,R459,0)/2.5</f>
        <v>0</v>
      </c>
    </row>
    <row r="460" spans="1:19" ht="18" customHeight="1" x14ac:dyDescent="0.25">
      <c r="A460" s="7" t="s">
        <v>146</v>
      </c>
      <c r="B460" s="8">
        <v>1</v>
      </c>
      <c r="C460" s="9">
        <v>810</v>
      </c>
      <c r="D460" s="29">
        <f>C460+IF(INDEX('Справочник по %'!B:B,(MATCH(A460,'Справочник по %'!A:A,0)))="кол-во",B460*INDEX('Справочник по %'!C:C,(MATCH(A460,'Справочник по %'!A:A,0))),ОТЧЕТ!C460*INDEX('Справочник по %'!C:C,(MATCH(A460,'Справочник по %'!A:A,0))))/100</f>
        <v>931.5</v>
      </c>
      <c r="E460" s="29">
        <f>IF(ОТЧЕТ!A460="SKU3",C460+ОТЧЕТ!C460*0.2,C460+ОТЧЕТ!C460*0.15)</f>
        <v>972</v>
      </c>
      <c r="F460" s="7" t="s">
        <v>1223</v>
      </c>
      <c r="G460" s="7">
        <v>7714844316</v>
      </c>
      <c r="H460" s="20" t="s">
        <v>167</v>
      </c>
      <c r="I460" s="22" t="str">
        <f>INDEX('Справочник Сети'!B:B,(MATCH(G460,'Справочник Сети'!C:C,0)))</f>
        <v>Планета здоровья</v>
      </c>
      <c r="J460" s="7" t="s">
        <v>504</v>
      </c>
      <c r="K460" s="7" t="s">
        <v>1226</v>
      </c>
      <c r="L460" s="7" t="s">
        <v>504</v>
      </c>
      <c r="M460" s="31">
        <v>45690</v>
      </c>
      <c r="N460" s="7" t="s">
        <v>1227</v>
      </c>
      <c r="O460" s="8">
        <v>2761</v>
      </c>
      <c r="P460" s="24">
        <v>3042</v>
      </c>
      <c r="Q460" s="22">
        <f>IF(COUNTIFS(A$2:A460,A460,I$2:I460,I460)=1,1,0)</f>
        <v>0</v>
      </c>
      <c r="R460" s="22">
        <f t="shared" si="7"/>
        <v>3</v>
      </c>
      <c r="S460" s="33">
        <f>IF(COUNTIF(O$2:O460,O460)=1,R460,0)/2.5</f>
        <v>1.2</v>
      </c>
    </row>
    <row r="461" spans="1:19" ht="18" customHeight="1" x14ac:dyDescent="0.25">
      <c r="A461" s="7" t="s">
        <v>43</v>
      </c>
      <c r="B461" s="8">
        <v>1</v>
      </c>
      <c r="C461" s="9">
        <v>395</v>
      </c>
      <c r="D461" s="29">
        <f>C461+IF(INDEX('Справочник по %'!B:B,(MATCH(A461,'Справочник по %'!A:A,0)))="кол-во",B461*INDEX('Справочник по %'!C:C,(MATCH(A461,'Справочник по %'!A:A,0))),ОТЧЕТ!C461*INDEX('Справочник по %'!C:C,(MATCH(A461,'Справочник по %'!A:A,0))))/100</f>
        <v>434.5</v>
      </c>
      <c r="E461" s="29">
        <f>IF(ОТЧЕТ!A461="SKU3",C461+ОТЧЕТ!C461*0.2,C461+ОТЧЕТ!C461*0.15)</f>
        <v>454.25</v>
      </c>
      <c r="F461" s="7" t="s">
        <v>1223</v>
      </c>
      <c r="G461" s="7">
        <v>7706795062</v>
      </c>
      <c r="H461" s="20" t="s">
        <v>487</v>
      </c>
      <c r="I461" s="22" t="str">
        <f>INDEX('Справочник Сети'!B:B,(MATCH(G461,'Справочник Сети'!C:C,0)))</f>
        <v>Планета здоровья</v>
      </c>
      <c r="J461" s="7" t="s">
        <v>87</v>
      </c>
      <c r="K461" s="7" t="s">
        <v>495</v>
      </c>
      <c r="L461" s="7" t="s">
        <v>87</v>
      </c>
      <c r="M461" s="31">
        <v>45691</v>
      </c>
      <c r="N461" s="7" t="s">
        <v>1228</v>
      </c>
      <c r="O461" s="8">
        <v>1549</v>
      </c>
      <c r="P461" s="24">
        <v>3045</v>
      </c>
      <c r="Q461" s="22">
        <f>IF(COUNTIFS(A$2:A461,A461,I$2:I461,I461)=1,1,0)</f>
        <v>0</v>
      </c>
      <c r="R461" s="22">
        <f t="shared" si="7"/>
        <v>8</v>
      </c>
      <c r="S461" s="33">
        <f>IF(COUNTIF(O$2:O461,O461)=1,R461,0)/2.5</f>
        <v>3.2</v>
      </c>
    </row>
    <row r="462" spans="1:19" ht="18" customHeight="1" x14ac:dyDescent="0.25">
      <c r="A462" s="7" t="s">
        <v>43</v>
      </c>
      <c r="B462" s="8">
        <v>1</v>
      </c>
      <c r="C462" s="9">
        <v>343</v>
      </c>
      <c r="D462" s="29">
        <f>C462+IF(INDEX('Справочник по %'!B:B,(MATCH(A462,'Справочник по %'!A:A,0)))="кол-во",B462*INDEX('Справочник по %'!C:C,(MATCH(A462,'Справочник по %'!A:A,0))),ОТЧЕТ!C462*INDEX('Справочник по %'!C:C,(MATCH(A462,'Справочник по %'!A:A,0))))/100</f>
        <v>377.3</v>
      </c>
      <c r="E462" s="29">
        <f>IF(ОТЧЕТ!A462="SKU3",C462+ОТЧЕТ!C462*0.2,C462+ОТЧЕТ!C462*0.15)</f>
        <v>394.45</v>
      </c>
      <c r="F462" s="7" t="s">
        <v>1229</v>
      </c>
      <c r="G462" s="7">
        <v>2308119605</v>
      </c>
      <c r="H462" s="20" t="s">
        <v>50</v>
      </c>
      <c r="I462" s="22">
        <f>INDEX('Справочник Сети'!B:B,(MATCH(G462,'Справочник Сети'!C:C,0)))</f>
        <v>0</v>
      </c>
      <c r="J462" s="7" t="s">
        <v>57</v>
      </c>
      <c r="K462" s="7" t="s">
        <v>1230</v>
      </c>
      <c r="L462" s="7" t="s">
        <v>372</v>
      </c>
      <c r="M462" s="31">
        <v>45730</v>
      </c>
      <c r="N462" s="7" t="s">
        <v>1231</v>
      </c>
      <c r="O462" s="8">
        <v>2365</v>
      </c>
      <c r="P462" s="24">
        <v>3049</v>
      </c>
      <c r="Q462" s="22">
        <f>IF(COUNTIFS(A$2:A462,A462,I$2:I462,I462)=1,1,0)</f>
        <v>0</v>
      </c>
      <c r="R462" s="22">
        <f t="shared" si="7"/>
        <v>1</v>
      </c>
      <c r="S462" s="33">
        <f>IF(COUNTIF(O$2:O462,O462)=1,R462,0)/2.5</f>
        <v>0.4</v>
      </c>
    </row>
    <row r="463" spans="1:19" ht="18" customHeight="1" x14ac:dyDescent="0.25">
      <c r="A463" s="7" t="s">
        <v>43</v>
      </c>
      <c r="B463" s="8">
        <v>1</v>
      </c>
      <c r="C463" s="9">
        <v>412</v>
      </c>
      <c r="D463" s="29">
        <f>C463+IF(INDEX('Справочник по %'!B:B,(MATCH(A463,'Справочник по %'!A:A,0)))="кол-во",B463*INDEX('Справочник по %'!C:C,(MATCH(A463,'Справочник по %'!A:A,0))),ОТЧЕТ!C463*INDEX('Справочник по %'!C:C,(MATCH(A463,'Справочник по %'!A:A,0))))/100</f>
        <v>453.2</v>
      </c>
      <c r="E463" s="29">
        <f>IF(ОТЧЕТ!A463="SKU3",C463+ОТЧЕТ!C463*0.2,C463+ОТЧЕТ!C463*0.15)</f>
        <v>473.8</v>
      </c>
      <c r="F463" s="7" t="s">
        <v>1232</v>
      </c>
      <c r="G463" s="7">
        <v>5506080120</v>
      </c>
      <c r="H463" s="20" t="s">
        <v>50</v>
      </c>
      <c r="I463" s="22">
        <f>INDEX('Справочник Сети'!B:B,(MATCH(G463,'Справочник Сети'!C:C,0)))</f>
        <v>0</v>
      </c>
      <c r="J463" s="7" t="s">
        <v>255</v>
      </c>
      <c r="K463" s="7" t="s">
        <v>316</v>
      </c>
      <c r="L463" s="7" t="s">
        <v>255</v>
      </c>
      <c r="M463" s="31">
        <v>45713</v>
      </c>
      <c r="N463" s="7" t="s">
        <v>1233</v>
      </c>
      <c r="O463" s="8">
        <v>192</v>
      </c>
      <c r="P463" s="24">
        <v>3055</v>
      </c>
      <c r="Q463" s="22">
        <f>IF(COUNTIFS(A$2:A463,A463,I$2:I463,I463)=1,1,0)</f>
        <v>0</v>
      </c>
      <c r="R463" s="22">
        <f t="shared" si="7"/>
        <v>1</v>
      </c>
      <c r="S463" s="33">
        <f>IF(COUNTIF(O$2:O463,O463)=1,R463,0)/2.5</f>
        <v>0.4</v>
      </c>
    </row>
    <row r="464" spans="1:19" ht="18" customHeight="1" x14ac:dyDescent="0.25">
      <c r="A464" s="7" t="s">
        <v>37</v>
      </c>
      <c r="B464" s="8">
        <v>1</v>
      </c>
      <c r="C464" s="9">
        <v>563</v>
      </c>
      <c r="D464" s="29">
        <f>C464+IF(INDEX('Справочник по %'!B:B,(MATCH(A464,'Справочник по %'!A:A,0)))="кол-во",B464*INDEX('Справочник по %'!C:C,(MATCH(A464,'Справочник по %'!A:A,0))),ОТЧЕТ!C464*INDEX('Справочник по %'!C:C,(MATCH(A464,'Справочник по %'!A:A,0))))/100</f>
        <v>563.20000000000005</v>
      </c>
      <c r="E464" s="29">
        <f>IF(ОТЧЕТ!A464="SKU3",C464+ОТЧЕТ!C464*0.2,C464+ОТЧЕТ!C464*0.15)</f>
        <v>647.45000000000005</v>
      </c>
      <c r="F464" s="7" t="s">
        <v>1232</v>
      </c>
      <c r="G464" s="7">
        <v>7706795062</v>
      </c>
      <c r="H464" s="20" t="s">
        <v>927</v>
      </c>
      <c r="I464" s="22" t="str">
        <f>INDEX('Справочник Сети'!B:B,(MATCH(G464,'Справочник Сети'!C:C,0)))</f>
        <v>Планета здоровья</v>
      </c>
      <c r="J464" s="7" t="s">
        <v>87</v>
      </c>
      <c r="K464" s="7" t="s">
        <v>525</v>
      </c>
      <c r="L464" s="7" t="s">
        <v>87</v>
      </c>
      <c r="M464" s="31">
        <v>45691</v>
      </c>
      <c r="N464" s="7" t="s">
        <v>1234</v>
      </c>
      <c r="O464" s="8">
        <v>1796</v>
      </c>
      <c r="P464" s="24">
        <v>3058</v>
      </c>
      <c r="Q464" s="22">
        <f>IF(COUNTIFS(A$2:A464,A464,I$2:I464,I464)=1,1,0)</f>
        <v>0</v>
      </c>
      <c r="R464" s="22">
        <f t="shared" si="7"/>
        <v>8</v>
      </c>
      <c r="S464" s="33">
        <f>IF(COUNTIF(O$2:O464,O464)=1,R464,0)/2.5</f>
        <v>0</v>
      </c>
    </row>
    <row r="465" spans="1:19" ht="18" customHeight="1" x14ac:dyDescent="0.25">
      <c r="A465" s="7" t="s">
        <v>37</v>
      </c>
      <c r="B465" s="8">
        <v>1</v>
      </c>
      <c r="C465" s="9">
        <v>585.9</v>
      </c>
      <c r="D465" s="29">
        <f>C465+IF(INDEX('Справочник по %'!B:B,(MATCH(A465,'Справочник по %'!A:A,0)))="кол-во",B465*INDEX('Справочник по %'!C:C,(MATCH(A465,'Справочник по %'!A:A,0))),ОТЧЕТ!C465*INDEX('Справочник по %'!C:C,(MATCH(A465,'Справочник по %'!A:A,0))))/100</f>
        <v>586.1</v>
      </c>
      <c r="E465" s="29">
        <f>IF(ОТЧЕТ!A465="SKU3",C465+ОТЧЕТ!C465*0.2,C465+ОТЧЕТ!C465*0.15)</f>
        <v>673.78499999999997</v>
      </c>
      <c r="F465" s="7" t="s">
        <v>1232</v>
      </c>
      <c r="G465" s="7">
        <v>7204146152</v>
      </c>
      <c r="H465" s="20" t="s">
        <v>1009</v>
      </c>
      <c r="I465" s="22" t="str">
        <f>INDEX('Справочник Сети'!B:B,(MATCH(G465,'Справочник Сети'!C:C,0)))</f>
        <v>36,6</v>
      </c>
      <c r="J465" s="7" t="s">
        <v>104</v>
      </c>
      <c r="K465" s="7" t="s">
        <v>710</v>
      </c>
      <c r="L465" s="7" t="s">
        <v>106</v>
      </c>
      <c r="M465" s="31">
        <v>45694</v>
      </c>
      <c r="N465" s="7" t="s">
        <v>1235</v>
      </c>
      <c r="O465" s="8">
        <v>836</v>
      </c>
      <c r="P465" s="24">
        <v>3060</v>
      </c>
      <c r="Q465" s="22">
        <f>IF(COUNTIFS(A$2:A465,A465,I$2:I465,I465)=1,1,0)</f>
        <v>0</v>
      </c>
      <c r="R465" s="22">
        <f t="shared" si="7"/>
        <v>11</v>
      </c>
      <c r="S465" s="33">
        <f>IF(COUNTIF(O$2:O465,O465)=1,R465,0)/2.5</f>
        <v>0</v>
      </c>
    </row>
    <row r="466" spans="1:19" ht="18" customHeight="1" x14ac:dyDescent="0.25">
      <c r="A466" s="7" t="s">
        <v>43</v>
      </c>
      <c r="B466" s="8">
        <v>1</v>
      </c>
      <c r="C466" s="9">
        <v>446</v>
      </c>
      <c r="D466" s="29">
        <f>C466+IF(INDEX('Справочник по %'!B:B,(MATCH(A466,'Справочник по %'!A:A,0)))="кол-во",B466*INDEX('Справочник по %'!C:C,(MATCH(A466,'Справочник по %'!A:A,0))),ОТЧЕТ!C466*INDEX('Справочник по %'!C:C,(MATCH(A466,'Справочник по %'!A:A,0))))/100</f>
        <v>490.6</v>
      </c>
      <c r="E466" s="29">
        <f>IF(ОТЧЕТ!A466="SKU3",C466+ОТЧЕТ!C466*0.2,C466+ОТЧЕТ!C466*0.15)</f>
        <v>512.9</v>
      </c>
      <c r="F466" s="7" t="s">
        <v>1232</v>
      </c>
      <c r="G466" s="7">
        <v>6630006059</v>
      </c>
      <c r="H466" s="20" t="s">
        <v>132</v>
      </c>
      <c r="I466" s="22" t="str">
        <f>INDEX('Справочник Сети'!B:B,(MATCH(G466,'Справочник Сети'!C:C,0)))</f>
        <v>Планета здоровья</v>
      </c>
      <c r="J466" s="7" t="s">
        <v>133</v>
      </c>
      <c r="K466" s="7" t="s">
        <v>555</v>
      </c>
      <c r="L466" s="7" t="s">
        <v>133</v>
      </c>
      <c r="M466" s="31">
        <v>45695</v>
      </c>
      <c r="N466" s="7" t="s">
        <v>1236</v>
      </c>
      <c r="O466" s="8">
        <v>2665</v>
      </c>
      <c r="P466" s="24">
        <v>3062</v>
      </c>
      <c r="Q466" s="22">
        <f>IF(COUNTIFS(A$2:A466,A466,I$2:I466,I466)=1,1,0)</f>
        <v>0</v>
      </c>
      <c r="R466" s="22">
        <f t="shared" si="7"/>
        <v>1</v>
      </c>
      <c r="S466" s="33">
        <f>IF(COUNTIF(O$2:O466,O466)=1,R466,0)/2.5</f>
        <v>0.4</v>
      </c>
    </row>
    <row r="467" spans="1:19" ht="18" customHeight="1" x14ac:dyDescent="0.25">
      <c r="A467" s="7" t="s">
        <v>43</v>
      </c>
      <c r="B467" s="8">
        <v>1</v>
      </c>
      <c r="C467" s="9">
        <v>406</v>
      </c>
      <c r="D467" s="29">
        <f>C467+IF(INDEX('Справочник по %'!B:B,(MATCH(A467,'Справочник по %'!A:A,0)))="кол-во",B467*INDEX('Справочник по %'!C:C,(MATCH(A467,'Справочник по %'!A:A,0))),ОТЧЕТ!C467*INDEX('Справочник по %'!C:C,(MATCH(A467,'Справочник по %'!A:A,0))))/100</f>
        <v>446.6</v>
      </c>
      <c r="E467" s="29">
        <f>IF(ОТЧЕТ!A467="SKU3",C467+ОТЧЕТ!C467*0.2,C467+ОТЧЕТ!C467*0.15)</f>
        <v>466.9</v>
      </c>
      <c r="F467" s="7" t="s">
        <v>1232</v>
      </c>
      <c r="G467" s="7">
        <v>7724211288</v>
      </c>
      <c r="H467" s="20" t="s">
        <v>1237</v>
      </c>
      <c r="I467" s="22" t="str">
        <f>INDEX('Справочник Сети'!B:B,(MATCH(G467,'Справочник Сети'!C:C,0)))</f>
        <v>Планета здоровья</v>
      </c>
      <c r="J467" s="7" t="s">
        <v>185</v>
      </c>
      <c r="K467" s="7" t="s">
        <v>1238</v>
      </c>
      <c r="L467" s="7" t="s">
        <v>185</v>
      </c>
      <c r="M467" s="31">
        <v>45675</v>
      </c>
      <c r="N467" s="7" t="s">
        <v>1239</v>
      </c>
      <c r="O467" s="8">
        <v>3187</v>
      </c>
      <c r="P467" s="24">
        <v>3064</v>
      </c>
      <c r="Q467" s="22">
        <f>IF(COUNTIFS(A$2:A467,A467,I$2:I467,I467)=1,1,0)</f>
        <v>0</v>
      </c>
      <c r="R467" s="22">
        <f t="shared" si="7"/>
        <v>1</v>
      </c>
      <c r="S467" s="33">
        <f>IF(COUNTIF(O$2:O467,O467)=1,R467,0)/2.5</f>
        <v>0.4</v>
      </c>
    </row>
    <row r="468" spans="1:19" ht="18" customHeight="1" x14ac:dyDescent="0.25">
      <c r="A468" s="7" t="s">
        <v>43</v>
      </c>
      <c r="B468" s="8">
        <v>1</v>
      </c>
      <c r="C468" s="9">
        <v>445</v>
      </c>
      <c r="D468" s="29">
        <f>C468+IF(INDEX('Справочник по %'!B:B,(MATCH(A468,'Справочник по %'!A:A,0)))="кол-во",B468*INDEX('Справочник по %'!C:C,(MATCH(A468,'Справочник по %'!A:A,0))),ОТЧЕТ!C468*INDEX('Справочник по %'!C:C,(MATCH(A468,'Справочник по %'!A:A,0))))/100</f>
        <v>489.5</v>
      </c>
      <c r="E468" s="29">
        <f>IF(ОТЧЕТ!A468="SKU3",C468+ОТЧЕТ!C468*0.2,C468+ОТЧЕТ!C468*0.15)</f>
        <v>511.75</v>
      </c>
      <c r="F468" s="7" t="s">
        <v>1240</v>
      </c>
      <c r="G468" s="7">
        <v>326537584</v>
      </c>
      <c r="H468" s="20" t="s">
        <v>459</v>
      </c>
      <c r="I468" s="22" t="str">
        <f>INDEX('Справочник Сети'!B:B,(MATCH(G468,'Справочник Сети'!C:C,0)))</f>
        <v>Планета здоровья</v>
      </c>
      <c r="J468" s="7" t="s">
        <v>362</v>
      </c>
      <c r="K468" s="7" t="s">
        <v>1241</v>
      </c>
      <c r="L468" s="7" t="s">
        <v>362</v>
      </c>
      <c r="M468" s="31">
        <v>45732</v>
      </c>
      <c r="N468" s="7" t="s">
        <v>1242</v>
      </c>
      <c r="O468" s="8">
        <v>820</v>
      </c>
      <c r="P468" s="24">
        <v>3067</v>
      </c>
      <c r="Q468" s="22">
        <f>IF(COUNTIFS(A$2:A468,A468,I$2:I468,I468)=1,1,0)</f>
        <v>0</v>
      </c>
      <c r="R468" s="22">
        <f t="shared" si="7"/>
        <v>4</v>
      </c>
      <c r="S468" s="33">
        <f>IF(COUNTIF(O$2:O468,O468)=1,R468,0)/2.5</f>
        <v>0</v>
      </c>
    </row>
    <row r="469" spans="1:19" ht="18" customHeight="1" x14ac:dyDescent="0.25">
      <c r="A469" s="7" t="s">
        <v>43</v>
      </c>
      <c r="B469" s="8">
        <v>1</v>
      </c>
      <c r="C469" s="9">
        <v>420.98</v>
      </c>
      <c r="D469" s="29">
        <f>C469+IF(INDEX('Справочник по %'!B:B,(MATCH(A469,'Справочник по %'!A:A,0)))="кол-во",B469*INDEX('Справочник по %'!C:C,(MATCH(A469,'Справочник по %'!A:A,0))),ОТЧЕТ!C469*INDEX('Справочник по %'!C:C,(MATCH(A469,'Справочник по %'!A:A,0))))/100</f>
        <v>463.07800000000003</v>
      </c>
      <c r="E469" s="29">
        <f>IF(ОТЧЕТ!A469="SKU3",C469+ОТЧЕТ!C469*0.2,C469+ОТЧЕТ!C469*0.15)</f>
        <v>484.12700000000001</v>
      </c>
      <c r="F469" s="7" t="s">
        <v>1243</v>
      </c>
      <c r="G469" s="7">
        <v>5501207372</v>
      </c>
      <c r="H469" s="20" t="s">
        <v>50</v>
      </c>
      <c r="I469" s="22" t="str">
        <f>INDEX('Справочник Сети'!B:B,(MATCH(G469,'Справочник Сети'!C:C,0)))</f>
        <v>Ригла</v>
      </c>
      <c r="J469" s="7" t="s">
        <v>255</v>
      </c>
      <c r="K469" s="7" t="s">
        <v>1244</v>
      </c>
      <c r="L469" s="7" t="s">
        <v>255</v>
      </c>
      <c r="M469" s="31">
        <v>45713</v>
      </c>
      <c r="N469" s="7" t="s">
        <v>1245</v>
      </c>
      <c r="O469" s="8">
        <v>324</v>
      </c>
      <c r="P469" s="24">
        <v>3073</v>
      </c>
      <c r="Q469" s="22">
        <f>IF(COUNTIFS(A$2:A469,A469,I$2:I469,I469)=1,1,0)</f>
        <v>0</v>
      </c>
      <c r="R469" s="22">
        <f t="shared" si="7"/>
        <v>8</v>
      </c>
      <c r="S469" s="33">
        <f>IF(COUNTIF(O$2:O469,O469)=1,R469,0)/2.5</f>
        <v>0</v>
      </c>
    </row>
    <row r="470" spans="1:19" ht="18" customHeight="1" x14ac:dyDescent="0.25">
      <c r="A470" s="7" t="s">
        <v>37</v>
      </c>
      <c r="B470" s="8">
        <v>1</v>
      </c>
      <c r="C470" s="9">
        <v>619.6</v>
      </c>
      <c r="D470" s="29">
        <f>C470+IF(INDEX('Справочник по %'!B:B,(MATCH(A470,'Справочник по %'!A:A,0)))="кол-во",B470*INDEX('Справочник по %'!C:C,(MATCH(A470,'Справочник по %'!A:A,0))),ОТЧЕТ!C470*INDEX('Справочник по %'!C:C,(MATCH(A470,'Справочник по %'!A:A,0))))/100</f>
        <v>619.80000000000007</v>
      </c>
      <c r="E470" s="29">
        <f>IF(ОТЧЕТ!A470="SKU3",C470+ОТЧЕТ!C470*0.2,C470+ОТЧЕТ!C470*0.15)</f>
        <v>712.54</v>
      </c>
      <c r="F470" s="7" t="s">
        <v>1243</v>
      </c>
      <c r="G470" s="7">
        <v>7840411560</v>
      </c>
      <c r="H470" s="20" t="s">
        <v>1246</v>
      </c>
      <c r="I470" s="22" t="str">
        <f>INDEX('Справочник Сети'!B:B,(MATCH(G470,'Справочник Сети'!C:C,0)))</f>
        <v>Столички</v>
      </c>
      <c r="J470" s="7" t="s">
        <v>315</v>
      </c>
      <c r="K470" s="7" t="s">
        <v>1054</v>
      </c>
      <c r="L470" s="7" t="s">
        <v>315</v>
      </c>
      <c r="M470" s="31">
        <v>45670</v>
      </c>
      <c r="N470" s="7" t="s">
        <v>1247</v>
      </c>
      <c r="O470" s="8">
        <v>1717</v>
      </c>
      <c r="P470" s="24">
        <v>3081</v>
      </c>
      <c r="Q470" s="22">
        <f>IF(COUNTIFS(A$2:A470,A470,I$2:I470,I470)=1,1,0)</f>
        <v>0</v>
      </c>
      <c r="R470" s="22">
        <f t="shared" si="7"/>
        <v>1</v>
      </c>
      <c r="S470" s="33">
        <f>IF(COUNTIF(O$2:O470,O470)=1,R470,0)/2.5</f>
        <v>0.4</v>
      </c>
    </row>
    <row r="471" spans="1:19" ht="18" customHeight="1" x14ac:dyDescent="0.25">
      <c r="A471" s="7" t="s">
        <v>43</v>
      </c>
      <c r="B471" s="8">
        <v>1</v>
      </c>
      <c r="C471" s="9">
        <v>469.9</v>
      </c>
      <c r="D471" s="29">
        <f>C471+IF(INDEX('Справочник по %'!B:B,(MATCH(A471,'Справочник по %'!A:A,0)))="кол-во",B471*INDEX('Справочник по %'!C:C,(MATCH(A471,'Справочник по %'!A:A,0))),ОТЧЕТ!C471*INDEX('Справочник по %'!C:C,(MATCH(A471,'Справочник по %'!A:A,0))))/100</f>
        <v>516.89</v>
      </c>
      <c r="E471" s="29">
        <f>IF(ОТЧЕТ!A471="SKU3",C471+ОТЧЕТ!C471*0.2,C471+ОТЧЕТ!C471*0.15)</f>
        <v>540.38499999999999</v>
      </c>
      <c r="F471" s="7" t="s">
        <v>1243</v>
      </c>
      <c r="G471" s="7">
        <v>1659064696</v>
      </c>
      <c r="H471" s="20" t="s">
        <v>1248</v>
      </c>
      <c r="I471" s="22" t="str">
        <f>INDEX('Справочник Сети'!B:B,(MATCH(G471,'Справочник Сети'!C:C,0)))</f>
        <v>Планета здоровья</v>
      </c>
      <c r="J471" s="7" t="s">
        <v>335</v>
      </c>
      <c r="K471" s="7" t="s">
        <v>598</v>
      </c>
      <c r="L471" s="7" t="s">
        <v>335</v>
      </c>
      <c r="M471" s="31">
        <v>45731</v>
      </c>
      <c r="N471" s="7" t="s">
        <v>1249</v>
      </c>
      <c r="O471" s="8">
        <v>3572</v>
      </c>
      <c r="P471" s="24">
        <v>3084</v>
      </c>
      <c r="Q471" s="22">
        <f>IF(COUNTIFS(A$2:A471,A471,I$2:I471,I471)=1,1,0)</f>
        <v>0</v>
      </c>
      <c r="R471" s="22">
        <f t="shared" si="7"/>
        <v>3</v>
      </c>
      <c r="S471" s="33">
        <f>IF(COUNTIF(O$2:O471,O471)=1,R471,0)/2.5</f>
        <v>0</v>
      </c>
    </row>
    <row r="472" spans="1:19" ht="18" customHeight="1" x14ac:dyDescent="0.25">
      <c r="A472" s="7" t="s">
        <v>43</v>
      </c>
      <c r="B472" s="8">
        <v>1</v>
      </c>
      <c r="C472" s="9">
        <v>435.9</v>
      </c>
      <c r="D472" s="29">
        <f>C472+IF(INDEX('Справочник по %'!B:B,(MATCH(A472,'Справочник по %'!A:A,0)))="кол-во",B472*INDEX('Справочник по %'!C:C,(MATCH(A472,'Справочник по %'!A:A,0))),ОТЧЕТ!C472*INDEX('Справочник по %'!C:C,(MATCH(A472,'Справочник по %'!A:A,0))))/100</f>
        <v>479.49</v>
      </c>
      <c r="E472" s="29">
        <f>IF(ОТЧЕТ!A472="SKU3",C472+ОТЧЕТ!C472*0.2,C472+ОТЧЕТ!C472*0.15)</f>
        <v>501.28499999999997</v>
      </c>
      <c r="F472" s="7" t="s">
        <v>1243</v>
      </c>
      <c r="G472" s="7">
        <v>5406712079</v>
      </c>
      <c r="H472" s="20" t="s">
        <v>1250</v>
      </c>
      <c r="I472" s="22" t="str">
        <f>INDEX('Справочник Сети'!B:B,(MATCH(G472,'Справочник Сети'!C:C,0)))</f>
        <v>Ригла</v>
      </c>
      <c r="J472" s="7" t="s">
        <v>255</v>
      </c>
      <c r="K472" s="7" t="s">
        <v>1251</v>
      </c>
      <c r="L472" s="7" t="s">
        <v>92</v>
      </c>
      <c r="M472" s="31">
        <v>45714</v>
      </c>
      <c r="N472" s="7" t="s">
        <v>1252</v>
      </c>
      <c r="O472" s="8">
        <v>2694</v>
      </c>
      <c r="P472" s="24">
        <v>3085</v>
      </c>
      <c r="Q472" s="22">
        <f>IF(COUNTIFS(A$2:A472,A472,I$2:I472,I472)=1,1,0)</f>
        <v>0</v>
      </c>
      <c r="R472" s="22">
        <f t="shared" si="7"/>
        <v>3</v>
      </c>
      <c r="S472" s="33">
        <f>IF(COUNTIF(O$2:O472,O472)=1,R472,0)/2.5</f>
        <v>1.2</v>
      </c>
    </row>
    <row r="473" spans="1:19" ht="18" customHeight="1" x14ac:dyDescent="0.25">
      <c r="A473" s="7" t="s">
        <v>43</v>
      </c>
      <c r="B473" s="8">
        <v>1</v>
      </c>
      <c r="C473" s="9">
        <v>420</v>
      </c>
      <c r="D473" s="29">
        <f>C473+IF(INDEX('Справочник по %'!B:B,(MATCH(A473,'Справочник по %'!A:A,0)))="кол-во",B473*INDEX('Справочник по %'!C:C,(MATCH(A473,'Справочник по %'!A:A,0))),ОТЧЕТ!C473*INDEX('Справочник по %'!C:C,(MATCH(A473,'Справочник по %'!A:A,0))))/100</f>
        <v>462</v>
      </c>
      <c r="E473" s="29">
        <f>IF(ОТЧЕТ!A473="SKU3",C473+ОТЧЕТ!C473*0.2,C473+ОТЧЕТ!C473*0.15)</f>
        <v>483</v>
      </c>
      <c r="F473" s="7" t="s">
        <v>1243</v>
      </c>
      <c r="G473" s="7">
        <v>7718908440</v>
      </c>
      <c r="H473" s="20" t="s">
        <v>91</v>
      </c>
      <c r="I473" s="22">
        <f>INDEX('Справочник Сети'!B:B,(MATCH(G473,'Справочник Сети'!C:C,0)))</f>
        <v>0</v>
      </c>
      <c r="J473" s="7" t="s">
        <v>168</v>
      </c>
      <c r="K473" s="7" t="s">
        <v>1098</v>
      </c>
      <c r="L473" s="7" t="s">
        <v>168</v>
      </c>
      <c r="M473" s="31">
        <v>45676</v>
      </c>
      <c r="N473" s="7" t="s">
        <v>1253</v>
      </c>
      <c r="O473" s="8">
        <v>3820</v>
      </c>
      <c r="P473" s="24">
        <v>3086</v>
      </c>
      <c r="Q473" s="22">
        <f>IF(COUNTIFS(A$2:A473,A473,I$2:I473,I473)=1,1,0)</f>
        <v>0</v>
      </c>
      <c r="R473" s="22">
        <f t="shared" si="7"/>
        <v>5</v>
      </c>
      <c r="S473" s="33">
        <f>IF(COUNTIF(O$2:O473,O473)=1,R473,0)/2.5</f>
        <v>0</v>
      </c>
    </row>
    <row r="474" spans="1:19" ht="18" customHeight="1" x14ac:dyDescent="0.25">
      <c r="A474" s="7" t="s">
        <v>43</v>
      </c>
      <c r="B474" s="8">
        <v>1</v>
      </c>
      <c r="C474" s="9">
        <v>415</v>
      </c>
      <c r="D474" s="29">
        <f>C474+IF(INDEX('Справочник по %'!B:B,(MATCH(A474,'Справочник по %'!A:A,0)))="кол-во",B474*INDEX('Справочник по %'!C:C,(MATCH(A474,'Справочник по %'!A:A,0))),ОТЧЕТ!C474*INDEX('Справочник по %'!C:C,(MATCH(A474,'Справочник по %'!A:A,0))))/100</f>
        <v>456.5</v>
      </c>
      <c r="E474" s="29">
        <f>IF(ОТЧЕТ!A474="SKU3",C474+ОТЧЕТ!C474*0.2,C474+ОТЧЕТ!C474*0.15)</f>
        <v>477.25</v>
      </c>
      <c r="F474" s="7" t="s">
        <v>1243</v>
      </c>
      <c r="G474" s="7">
        <v>610109657848</v>
      </c>
      <c r="H474" s="20" t="s">
        <v>1254</v>
      </c>
      <c r="I474" s="22">
        <f>INDEX('Справочник Сети'!B:B,(MATCH(G474,'Справочник Сети'!C:C,0)))</f>
        <v>0</v>
      </c>
      <c r="J474" s="7" t="s">
        <v>251</v>
      </c>
      <c r="K474" s="7" t="s">
        <v>1255</v>
      </c>
      <c r="L474" s="7" t="s">
        <v>251</v>
      </c>
      <c r="M474" s="31">
        <v>45659</v>
      </c>
      <c r="N474" s="7" t="s">
        <v>1256</v>
      </c>
      <c r="O474" s="8">
        <v>2142</v>
      </c>
      <c r="P474" s="24">
        <v>3088</v>
      </c>
      <c r="Q474" s="22">
        <f>IF(COUNTIFS(A$2:A474,A474,I$2:I474,I474)=1,1,0)</f>
        <v>0</v>
      </c>
      <c r="R474" s="22">
        <f t="shared" si="7"/>
        <v>2</v>
      </c>
      <c r="S474" s="33">
        <f>IF(COUNTIF(O$2:O474,O474)=1,R474,0)/2.5</f>
        <v>0.8</v>
      </c>
    </row>
    <row r="475" spans="1:19" ht="18" customHeight="1" x14ac:dyDescent="0.25">
      <c r="A475" s="7" t="s">
        <v>43</v>
      </c>
      <c r="B475" s="8">
        <v>1</v>
      </c>
      <c r="C475" s="9">
        <v>422</v>
      </c>
      <c r="D475" s="29">
        <f>C475+IF(INDEX('Справочник по %'!B:B,(MATCH(A475,'Справочник по %'!A:A,0)))="кол-во",B475*INDEX('Справочник по %'!C:C,(MATCH(A475,'Справочник по %'!A:A,0))),ОТЧЕТ!C475*INDEX('Справочник по %'!C:C,(MATCH(A475,'Справочник по %'!A:A,0))))/100</f>
        <v>464.2</v>
      </c>
      <c r="E475" s="29">
        <f>IF(ОТЧЕТ!A475="SKU3",C475+ОТЧЕТ!C475*0.2,C475+ОТЧЕТ!C475*0.15)</f>
        <v>485.3</v>
      </c>
      <c r="F475" s="7" t="s">
        <v>1243</v>
      </c>
      <c r="G475" s="7">
        <v>610109657848</v>
      </c>
      <c r="H475" s="20" t="s">
        <v>1254</v>
      </c>
      <c r="I475" s="22">
        <f>INDEX('Справочник Сети'!B:B,(MATCH(G475,'Справочник Сети'!C:C,0)))</f>
        <v>0</v>
      </c>
      <c r="J475" s="7" t="s">
        <v>251</v>
      </c>
      <c r="K475" s="7" t="s">
        <v>1255</v>
      </c>
      <c r="L475" s="7" t="s">
        <v>251</v>
      </c>
      <c r="M475" s="31">
        <v>45659</v>
      </c>
      <c r="N475" s="7" t="s">
        <v>1256</v>
      </c>
      <c r="O475" s="8">
        <v>2142</v>
      </c>
      <c r="P475" s="24">
        <v>3088</v>
      </c>
      <c r="Q475" s="22">
        <f>IF(COUNTIFS(A$2:A475,A475,I$2:I475,I475)=1,1,0)</f>
        <v>0</v>
      </c>
      <c r="R475" s="22">
        <f t="shared" si="7"/>
        <v>2</v>
      </c>
      <c r="S475" s="33">
        <f>IF(COUNTIF(O$2:O475,O475)=1,R475,0)/2.5</f>
        <v>0</v>
      </c>
    </row>
    <row r="476" spans="1:19" ht="18" customHeight="1" x14ac:dyDescent="0.25">
      <c r="A476" s="7" t="s">
        <v>43</v>
      </c>
      <c r="B476" s="8">
        <v>1</v>
      </c>
      <c r="C476" s="9">
        <v>389.5</v>
      </c>
      <c r="D476" s="29">
        <f>C476+IF(INDEX('Справочник по %'!B:B,(MATCH(A476,'Справочник по %'!A:A,0)))="кол-во",B476*INDEX('Справочник по %'!C:C,(MATCH(A476,'Справочник по %'!A:A,0))),ОТЧЕТ!C476*INDEX('Справочник по %'!C:C,(MATCH(A476,'Справочник по %'!A:A,0))))/100</f>
        <v>428.45</v>
      </c>
      <c r="E476" s="29">
        <f>IF(ОТЧЕТ!A476="SKU3",C476+ОТЧЕТ!C476*0.2,C476+ОТЧЕТ!C476*0.15)</f>
        <v>447.92500000000001</v>
      </c>
      <c r="F476" s="7" t="s">
        <v>1243</v>
      </c>
      <c r="G476" s="7">
        <v>3252007200</v>
      </c>
      <c r="H476" s="20" t="s">
        <v>50</v>
      </c>
      <c r="I476" s="22">
        <f>INDEX('Справочник Сети'!B:B,(MATCH(G476,'Справочник Сети'!C:C,0)))</f>
        <v>0</v>
      </c>
      <c r="J476" s="7" t="s">
        <v>193</v>
      </c>
      <c r="K476" s="7" t="s">
        <v>47</v>
      </c>
      <c r="L476" s="7" t="s">
        <v>193</v>
      </c>
      <c r="M476" s="31">
        <v>45718</v>
      </c>
      <c r="N476" s="7" t="s">
        <v>1257</v>
      </c>
      <c r="O476" s="8">
        <v>2331</v>
      </c>
      <c r="P476" s="24">
        <v>3089</v>
      </c>
      <c r="Q476" s="22">
        <f>IF(COUNTIFS(A$2:A476,A476,I$2:I476,I476)=1,1,0)</f>
        <v>0</v>
      </c>
      <c r="R476" s="22">
        <f t="shared" si="7"/>
        <v>2</v>
      </c>
      <c r="S476" s="33">
        <f>IF(COUNTIF(O$2:O476,O476)=1,R476,0)/2.5</f>
        <v>0.8</v>
      </c>
    </row>
    <row r="477" spans="1:19" ht="18" customHeight="1" x14ac:dyDescent="0.25">
      <c r="A477" s="7" t="s">
        <v>43</v>
      </c>
      <c r="B477" s="8">
        <v>1</v>
      </c>
      <c r="C477" s="9">
        <v>379</v>
      </c>
      <c r="D477" s="29">
        <f>C477+IF(INDEX('Справочник по %'!B:B,(MATCH(A477,'Справочник по %'!A:A,0)))="кол-во",B477*INDEX('Справочник по %'!C:C,(MATCH(A477,'Справочник по %'!A:A,0))),ОТЧЕТ!C477*INDEX('Справочник по %'!C:C,(MATCH(A477,'Справочник по %'!A:A,0))))/100</f>
        <v>416.9</v>
      </c>
      <c r="E477" s="29">
        <f>IF(ОТЧЕТ!A477="SKU3",C477+ОТЧЕТ!C477*0.2,C477+ОТЧЕТ!C477*0.15)</f>
        <v>435.85</v>
      </c>
      <c r="F477" s="7" t="s">
        <v>1258</v>
      </c>
      <c r="G477" s="7">
        <v>7728339546</v>
      </c>
      <c r="H477" s="20" t="s">
        <v>391</v>
      </c>
      <c r="I477" s="22" t="str">
        <f>INDEX('Справочник Сети'!B:B,(MATCH(G477,'Справочник Сети'!C:C,0)))</f>
        <v>Планета здоровья</v>
      </c>
      <c r="J477" s="7" t="s">
        <v>142</v>
      </c>
      <c r="K477" s="7" t="s">
        <v>1259</v>
      </c>
      <c r="L477" s="7" t="s">
        <v>142</v>
      </c>
      <c r="M477" s="31">
        <v>45674</v>
      </c>
      <c r="N477" s="7" t="s">
        <v>1260</v>
      </c>
      <c r="O477" s="8">
        <v>651</v>
      </c>
      <c r="P477" s="24">
        <v>3091</v>
      </c>
      <c r="Q477" s="22">
        <f>IF(COUNTIFS(A$2:A477,A477,I$2:I477,I477)=1,1,0)</f>
        <v>0</v>
      </c>
      <c r="R477" s="22">
        <f t="shared" si="7"/>
        <v>2</v>
      </c>
      <c r="S477" s="33">
        <f>IF(COUNTIF(O$2:O477,O477)=1,R477,0)/2.5</f>
        <v>0.8</v>
      </c>
    </row>
    <row r="478" spans="1:19" ht="18" customHeight="1" x14ac:dyDescent="0.25">
      <c r="A478" s="7" t="s">
        <v>37</v>
      </c>
      <c r="B478" s="8">
        <v>1</v>
      </c>
      <c r="C478" s="9">
        <v>522</v>
      </c>
      <c r="D478" s="29">
        <f>C478+IF(INDEX('Справочник по %'!B:B,(MATCH(A478,'Справочник по %'!A:A,0)))="кол-во",B478*INDEX('Справочник по %'!C:C,(MATCH(A478,'Справочник по %'!A:A,0))),ОТЧЕТ!C478*INDEX('Справочник по %'!C:C,(MATCH(A478,'Справочник по %'!A:A,0))))/100</f>
        <v>522.20000000000005</v>
      </c>
      <c r="E478" s="29">
        <f>IF(ОТЧЕТ!A478="SKU3",C478+ОТЧЕТ!C478*0.2,C478+ОТЧЕТ!C478*0.15)</f>
        <v>600.29999999999995</v>
      </c>
      <c r="F478" s="7" t="s">
        <v>1261</v>
      </c>
      <c r="G478" s="7">
        <v>7204146152</v>
      </c>
      <c r="H478" s="20" t="s">
        <v>103</v>
      </c>
      <c r="I478" s="22" t="str">
        <f>INDEX('Справочник Сети'!B:B,(MATCH(G478,'Справочник Сети'!C:C,0)))</f>
        <v>36,6</v>
      </c>
      <c r="J478" s="7" t="s">
        <v>104</v>
      </c>
      <c r="K478" s="7" t="s">
        <v>1262</v>
      </c>
      <c r="L478" s="7" t="s">
        <v>106</v>
      </c>
      <c r="M478" s="31">
        <v>45694</v>
      </c>
      <c r="N478" s="7" t="s">
        <v>1263</v>
      </c>
      <c r="O478" s="8">
        <v>1072</v>
      </c>
      <c r="P478" s="24">
        <v>3097</v>
      </c>
      <c r="Q478" s="22">
        <f>IF(COUNTIFS(A$2:A478,A478,I$2:I478,I478)=1,1,0)</f>
        <v>0</v>
      </c>
      <c r="R478" s="22">
        <f t="shared" si="7"/>
        <v>4</v>
      </c>
      <c r="S478" s="33">
        <f>IF(COUNTIF(O$2:O478,O478)=1,R478,0)/2.5</f>
        <v>1.6</v>
      </c>
    </row>
    <row r="479" spans="1:19" ht="18" customHeight="1" x14ac:dyDescent="0.25">
      <c r="A479" s="7" t="s">
        <v>37</v>
      </c>
      <c r="B479" s="8">
        <v>1</v>
      </c>
      <c r="C479" s="9">
        <v>640</v>
      </c>
      <c r="D479" s="29">
        <f>C479+IF(INDEX('Справочник по %'!B:B,(MATCH(A479,'Справочник по %'!A:A,0)))="кол-во",B479*INDEX('Справочник по %'!C:C,(MATCH(A479,'Справочник по %'!A:A,0))),ОТЧЕТ!C479*INDEX('Справочник по %'!C:C,(MATCH(A479,'Справочник по %'!A:A,0))))/100</f>
        <v>640.20000000000005</v>
      </c>
      <c r="E479" s="29">
        <f>IF(ОТЧЕТ!A479="SKU3",C479+ОТЧЕТ!C479*0.2,C479+ОТЧЕТ!C479*0.15)</f>
        <v>736</v>
      </c>
      <c r="F479" s="7" t="s">
        <v>1264</v>
      </c>
      <c r="G479" s="7">
        <v>910800091897</v>
      </c>
      <c r="H479" s="20" t="s">
        <v>1046</v>
      </c>
      <c r="I479" s="22">
        <f>INDEX('Справочник Сети'!B:B,(MATCH(G479,'Справочник Сети'!C:C,0)))</f>
        <v>0</v>
      </c>
      <c r="J479" s="7" t="s">
        <v>322</v>
      </c>
      <c r="K479" s="7" t="s">
        <v>456</v>
      </c>
      <c r="L479" s="7" t="s">
        <v>322</v>
      </c>
      <c r="M479" s="31">
        <v>45658</v>
      </c>
      <c r="N479" s="7" t="s">
        <v>1265</v>
      </c>
      <c r="O479" s="8">
        <v>2630</v>
      </c>
      <c r="P479" s="24">
        <v>3107</v>
      </c>
      <c r="Q479" s="22">
        <f>IF(COUNTIFS(A$2:A479,A479,I$2:I479,I479)=1,1,0)</f>
        <v>0</v>
      </c>
      <c r="R479" s="22">
        <f t="shared" si="7"/>
        <v>23</v>
      </c>
      <c r="S479" s="33">
        <f>IF(COUNTIF(O$2:O479,O479)=1,R479,0)/2.5</f>
        <v>0</v>
      </c>
    </row>
    <row r="480" spans="1:19" ht="18" customHeight="1" x14ac:dyDescent="0.25">
      <c r="A480" s="7" t="s">
        <v>37</v>
      </c>
      <c r="B480" s="8">
        <v>1</v>
      </c>
      <c r="C480" s="9">
        <v>575</v>
      </c>
      <c r="D480" s="29">
        <f>C480+IF(INDEX('Справочник по %'!B:B,(MATCH(A480,'Справочник по %'!A:A,0)))="кол-во",B480*INDEX('Справочник по %'!C:C,(MATCH(A480,'Справочник по %'!A:A,0))),ОТЧЕТ!C480*INDEX('Справочник по %'!C:C,(MATCH(A480,'Справочник по %'!A:A,0))))/100</f>
        <v>575.20000000000005</v>
      </c>
      <c r="E480" s="29">
        <f>IF(ОТЧЕТ!A480="SKU3",C480+ОТЧЕТ!C480*0.2,C480+ОТЧЕТ!C480*0.15)</f>
        <v>661.25</v>
      </c>
      <c r="F480" s="7" t="s">
        <v>1266</v>
      </c>
      <c r="G480" s="7">
        <v>2225105670</v>
      </c>
      <c r="H480" s="20" t="s">
        <v>69</v>
      </c>
      <c r="I480" s="22" t="str">
        <f>INDEX('Справочник Сети'!B:B,(MATCH(G480,'Справочник Сети'!C:C,0)))</f>
        <v>Столички</v>
      </c>
      <c r="J480" s="7" t="s">
        <v>372</v>
      </c>
      <c r="K480" s="7" t="s">
        <v>1267</v>
      </c>
      <c r="L480" s="7" t="s">
        <v>372</v>
      </c>
      <c r="M480" s="31">
        <v>45730</v>
      </c>
      <c r="N480" s="7" t="s">
        <v>1268</v>
      </c>
      <c r="O480" s="8">
        <v>2099</v>
      </c>
      <c r="P480" s="24">
        <v>3113</v>
      </c>
      <c r="Q480" s="22">
        <f>IF(COUNTIFS(A$2:A480,A480,I$2:I480,I480)=1,1,0)</f>
        <v>0</v>
      </c>
      <c r="R480" s="22">
        <f t="shared" si="7"/>
        <v>2</v>
      </c>
      <c r="S480" s="33">
        <f>IF(COUNTIF(O$2:O480,O480)=1,R480,0)/2.5</f>
        <v>0.8</v>
      </c>
    </row>
    <row r="481" spans="1:19" ht="18" customHeight="1" x14ac:dyDescent="0.25">
      <c r="A481" s="7" t="s">
        <v>43</v>
      </c>
      <c r="B481" s="8">
        <v>1</v>
      </c>
      <c r="C481" s="9">
        <v>394</v>
      </c>
      <c r="D481" s="29">
        <f>C481+IF(INDEX('Справочник по %'!B:B,(MATCH(A481,'Справочник по %'!A:A,0)))="кол-во",B481*INDEX('Справочник по %'!C:C,(MATCH(A481,'Справочник по %'!A:A,0))),ОТЧЕТ!C481*INDEX('Справочник по %'!C:C,(MATCH(A481,'Справочник по %'!A:A,0))))/100</f>
        <v>433.4</v>
      </c>
      <c r="E481" s="29">
        <f>IF(ОТЧЕТ!A481="SKU3",C481+ОТЧЕТ!C481*0.2,C481+ОТЧЕТ!C481*0.15)</f>
        <v>453.1</v>
      </c>
      <c r="F481" s="7" t="s">
        <v>1269</v>
      </c>
      <c r="G481" s="7">
        <v>7706795062</v>
      </c>
      <c r="H481" s="20" t="s">
        <v>1270</v>
      </c>
      <c r="I481" s="22" t="str">
        <f>INDEX('Справочник Сети'!B:B,(MATCH(G481,'Справочник Сети'!C:C,0)))</f>
        <v>Планета здоровья</v>
      </c>
      <c r="J481" s="7" t="s">
        <v>87</v>
      </c>
      <c r="K481" s="7" t="s">
        <v>1271</v>
      </c>
      <c r="L481" s="7" t="s">
        <v>87</v>
      </c>
      <c r="M481" s="31">
        <v>45691</v>
      </c>
      <c r="N481" s="7" t="s">
        <v>1272</v>
      </c>
      <c r="O481" s="8">
        <v>2506</v>
      </c>
      <c r="P481" s="24">
        <v>3124</v>
      </c>
      <c r="Q481" s="22">
        <f>IF(COUNTIFS(A$2:A481,A481,I$2:I481,I481)=1,1,0)</f>
        <v>0</v>
      </c>
      <c r="R481" s="22">
        <f t="shared" si="7"/>
        <v>4</v>
      </c>
      <c r="S481" s="33">
        <f>IF(COUNTIF(O$2:O481,O481)=1,R481,0)/2.5</f>
        <v>1.6</v>
      </c>
    </row>
    <row r="482" spans="1:19" ht="18" customHeight="1" x14ac:dyDescent="0.25">
      <c r="A482" s="7" t="s">
        <v>43</v>
      </c>
      <c r="B482" s="8">
        <v>1</v>
      </c>
      <c r="C482" s="9">
        <v>415</v>
      </c>
      <c r="D482" s="29">
        <f>C482+IF(INDEX('Справочник по %'!B:B,(MATCH(A482,'Справочник по %'!A:A,0)))="кол-во",B482*INDEX('Справочник по %'!C:C,(MATCH(A482,'Справочник по %'!A:A,0))),ОТЧЕТ!C482*INDEX('Справочник по %'!C:C,(MATCH(A482,'Справочник по %'!A:A,0))))/100</f>
        <v>456.5</v>
      </c>
      <c r="E482" s="29">
        <f>IF(ОТЧЕТ!A482="SKU3",C482+ОТЧЕТ!C482*0.2,C482+ОТЧЕТ!C482*0.15)</f>
        <v>477.25</v>
      </c>
      <c r="F482" s="7" t="s">
        <v>1269</v>
      </c>
      <c r="G482" s="7">
        <v>2225105670</v>
      </c>
      <c r="H482" s="20" t="s">
        <v>69</v>
      </c>
      <c r="I482" s="22" t="str">
        <f>INDEX('Справочник Сети'!B:B,(MATCH(G482,'Справочник Сети'!C:C,0)))</f>
        <v>Столички</v>
      </c>
      <c r="J482" s="7" t="s">
        <v>372</v>
      </c>
      <c r="K482" s="7" t="s">
        <v>707</v>
      </c>
      <c r="L482" s="7" t="s">
        <v>372</v>
      </c>
      <c r="M482" s="31">
        <v>45730</v>
      </c>
      <c r="N482" s="7" t="s">
        <v>1273</v>
      </c>
      <c r="O482" s="8">
        <v>2345</v>
      </c>
      <c r="P482" s="24">
        <v>3130</v>
      </c>
      <c r="Q482" s="22">
        <f>IF(COUNTIFS(A$2:A482,A482,I$2:I482,I482)=1,1,0)</f>
        <v>0</v>
      </c>
      <c r="R482" s="22">
        <f t="shared" si="7"/>
        <v>5</v>
      </c>
      <c r="S482" s="33">
        <f>IF(COUNTIF(O$2:O482,O482)=1,R482,0)/2.5</f>
        <v>0</v>
      </c>
    </row>
    <row r="483" spans="1:19" ht="18" customHeight="1" x14ac:dyDescent="0.25">
      <c r="A483" s="7" t="s">
        <v>43</v>
      </c>
      <c r="B483" s="8">
        <v>1</v>
      </c>
      <c r="C483" s="9">
        <v>583</v>
      </c>
      <c r="D483" s="29">
        <f>C483+IF(INDEX('Справочник по %'!B:B,(MATCH(A483,'Справочник по %'!A:A,0)))="кол-во",B483*INDEX('Справочник по %'!C:C,(MATCH(A483,'Справочник по %'!A:A,0))),ОТЧЕТ!C483*INDEX('Справочник по %'!C:C,(MATCH(A483,'Справочник по %'!A:A,0))))/100</f>
        <v>641.29999999999995</v>
      </c>
      <c r="E483" s="29">
        <f>IF(ОТЧЕТ!A483="SKU3",C483+ОТЧЕТ!C483*0.2,C483+ОТЧЕТ!C483*0.15)</f>
        <v>670.45</v>
      </c>
      <c r="F483" s="7" t="s">
        <v>1269</v>
      </c>
      <c r="G483" s="7">
        <v>7714844316</v>
      </c>
      <c r="H483" s="20" t="s">
        <v>50</v>
      </c>
      <c r="I483" s="22" t="str">
        <f>INDEX('Справочник Сети'!B:B,(MATCH(G483,'Справочник Сети'!C:C,0)))</f>
        <v>Планета здоровья</v>
      </c>
      <c r="J483" s="7" t="s">
        <v>504</v>
      </c>
      <c r="K483" s="7" t="s">
        <v>1274</v>
      </c>
      <c r="L483" s="7" t="s">
        <v>504</v>
      </c>
      <c r="M483" s="31">
        <v>45690</v>
      </c>
      <c r="N483" s="7" t="s">
        <v>1275</v>
      </c>
      <c r="O483" s="8">
        <v>868</v>
      </c>
      <c r="P483" s="24">
        <v>3132</v>
      </c>
      <c r="Q483" s="22">
        <f>IF(COUNTIFS(A$2:A483,A483,I$2:I483,I483)=1,1,0)</f>
        <v>0</v>
      </c>
      <c r="R483" s="22">
        <f t="shared" si="7"/>
        <v>12</v>
      </c>
      <c r="S483" s="33">
        <f>IF(COUNTIF(O$2:O483,O483)=1,R483,0)/2.5</f>
        <v>0</v>
      </c>
    </row>
    <row r="484" spans="1:19" ht="18" customHeight="1" x14ac:dyDescent="0.25">
      <c r="A484" s="7" t="s">
        <v>43</v>
      </c>
      <c r="B484" s="8">
        <v>1</v>
      </c>
      <c r="C484" s="9">
        <v>475</v>
      </c>
      <c r="D484" s="29">
        <f>C484+IF(INDEX('Справочник по %'!B:B,(MATCH(A484,'Справочник по %'!A:A,0)))="кол-во",B484*INDEX('Справочник по %'!C:C,(MATCH(A484,'Справочник по %'!A:A,0))),ОТЧЕТ!C484*INDEX('Справочник по %'!C:C,(MATCH(A484,'Справочник по %'!A:A,0))))/100</f>
        <v>522.5</v>
      </c>
      <c r="E484" s="29">
        <f>IF(ОТЧЕТ!A484="SKU3",C484+ОТЧЕТ!C484*0.2,C484+ОТЧЕТ!C484*0.15)</f>
        <v>546.25</v>
      </c>
      <c r="F484" s="7" t="s">
        <v>1269</v>
      </c>
      <c r="G484" s="7">
        <v>2460058998</v>
      </c>
      <c r="H484" s="20" t="s">
        <v>1276</v>
      </c>
      <c r="I484" s="22">
        <f>INDEX('Справочник Сети'!B:B,(MATCH(G484,'Справочник Сети'!C:C,0)))</f>
        <v>0</v>
      </c>
      <c r="J484" s="7" t="s">
        <v>96</v>
      </c>
      <c r="K484" s="7" t="s">
        <v>1277</v>
      </c>
      <c r="L484" s="7" t="s">
        <v>96</v>
      </c>
      <c r="M484" s="31">
        <v>45727</v>
      </c>
      <c r="N484" s="7" t="s">
        <v>1278</v>
      </c>
      <c r="O484" s="8">
        <v>2144</v>
      </c>
      <c r="P484" s="24">
        <v>3137</v>
      </c>
      <c r="Q484" s="22">
        <f>IF(COUNTIFS(A$2:A484,A484,I$2:I484,I484)=1,1,0)</f>
        <v>0</v>
      </c>
      <c r="R484" s="22">
        <f t="shared" si="7"/>
        <v>2</v>
      </c>
      <c r="S484" s="33">
        <f>IF(COUNTIF(O$2:O484,O484)=1,R484,0)/2.5</f>
        <v>0.8</v>
      </c>
    </row>
    <row r="485" spans="1:19" ht="18" customHeight="1" x14ac:dyDescent="0.25">
      <c r="A485" s="7" t="s">
        <v>43</v>
      </c>
      <c r="B485" s="8">
        <v>1</v>
      </c>
      <c r="C485" s="9">
        <v>381</v>
      </c>
      <c r="D485" s="29">
        <f>C485+IF(INDEX('Справочник по %'!B:B,(MATCH(A485,'Справочник по %'!A:A,0)))="кол-во",B485*INDEX('Справочник по %'!C:C,(MATCH(A485,'Справочник по %'!A:A,0))),ОТЧЕТ!C485*INDEX('Справочник по %'!C:C,(MATCH(A485,'Справочник по %'!A:A,0))))/100</f>
        <v>419.1</v>
      </c>
      <c r="E485" s="29">
        <f>IF(ОТЧЕТ!A485="SKU3",C485+ОТЧЕТ!C485*0.2,C485+ОТЧЕТ!C485*0.15)</f>
        <v>438.15</v>
      </c>
      <c r="F485" s="7" t="s">
        <v>1269</v>
      </c>
      <c r="G485" s="7">
        <v>230907071819</v>
      </c>
      <c r="H485" s="20" t="s">
        <v>1279</v>
      </c>
      <c r="I485" s="22">
        <f>INDEX('Справочник Сети'!B:B,(MATCH(G485,'Справочник Сети'!C:C,0)))</f>
        <v>0</v>
      </c>
      <c r="J485" s="7" t="s">
        <v>74</v>
      </c>
      <c r="K485" s="7" t="s">
        <v>1280</v>
      </c>
      <c r="L485" s="7" t="s">
        <v>74</v>
      </c>
      <c r="M485" s="31">
        <v>45661</v>
      </c>
      <c r="N485" s="7" t="s">
        <v>1281</v>
      </c>
      <c r="O485" s="8">
        <v>3268</v>
      </c>
      <c r="P485" s="24">
        <v>3139</v>
      </c>
      <c r="Q485" s="22">
        <f>IF(COUNTIFS(A$2:A485,A485,I$2:I485,I485)=1,1,0)</f>
        <v>0</v>
      </c>
      <c r="R485" s="22">
        <f t="shared" si="7"/>
        <v>5</v>
      </c>
      <c r="S485" s="33">
        <f>IF(COUNTIF(O$2:O485,O485)=1,R485,0)/2.5</f>
        <v>2</v>
      </c>
    </row>
    <row r="486" spans="1:19" ht="18" customHeight="1" x14ac:dyDescent="0.25">
      <c r="A486" s="7" t="s">
        <v>37</v>
      </c>
      <c r="B486" s="8">
        <v>1</v>
      </c>
      <c r="C486" s="9">
        <v>653.75</v>
      </c>
      <c r="D486" s="29">
        <f>C486+IF(INDEX('Справочник по %'!B:B,(MATCH(A486,'Справочник по %'!A:A,0)))="кол-во",B486*INDEX('Справочник по %'!C:C,(MATCH(A486,'Справочник по %'!A:A,0))),ОТЧЕТ!C486*INDEX('Справочник по %'!C:C,(MATCH(A486,'Справочник по %'!A:A,0))))/100</f>
        <v>653.95000000000005</v>
      </c>
      <c r="E486" s="29">
        <f>IF(ОТЧЕТ!A486="SKU3",C486+ОТЧЕТ!C486*0.2,C486+ОТЧЕТ!C486*0.15)</f>
        <v>751.8125</v>
      </c>
      <c r="F486" s="7" t="s">
        <v>1282</v>
      </c>
      <c r="G486" s="7">
        <v>6630006059</v>
      </c>
      <c r="H486" s="20" t="s">
        <v>132</v>
      </c>
      <c r="I486" s="22" t="str">
        <f>INDEX('Справочник Сети'!B:B,(MATCH(G486,'Справочник Сети'!C:C,0)))</f>
        <v>Планета здоровья</v>
      </c>
      <c r="J486" s="7" t="s">
        <v>133</v>
      </c>
      <c r="K486" s="7" t="s">
        <v>1283</v>
      </c>
      <c r="L486" s="7" t="s">
        <v>133</v>
      </c>
      <c r="M486" s="31">
        <v>45695</v>
      </c>
      <c r="N486" s="7" t="s">
        <v>1284</v>
      </c>
      <c r="O486" s="8">
        <v>16</v>
      </c>
      <c r="P486" s="24">
        <v>3578</v>
      </c>
      <c r="Q486" s="22">
        <f>IF(COUNTIFS(A$2:A486,A486,I$2:I486,I486)=1,1,0)</f>
        <v>0</v>
      </c>
      <c r="R486" s="22">
        <f t="shared" si="7"/>
        <v>1</v>
      </c>
      <c r="S486" s="33">
        <f>IF(COUNTIF(O$2:O486,O486)=1,R486,0)/2.5</f>
        <v>0.4</v>
      </c>
    </row>
    <row r="487" spans="1:19" ht="18" customHeight="1" x14ac:dyDescent="0.25">
      <c r="A487" s="7" t="s">
        <v>146</v>
      </c>
      <c r="B487" s="8">
        <v>1</v>
      </c>
      <c r="C487" s="9">
        <v>650</v>
      </c>
      <c r="D487" s="29">
        <f>C487+IF(INDEX('Справочник по %'!B:B,(MATCH(A487,'Справочник по %'!A:A,0)))="кол-во",B487*INDEX('Справочник по %'!C:C,(MATCH(A487,'Справочник по %'!A:A,0))),ОТЧЕТ!C487*INDEX('Справочник по %'!C:C,(MATCH(A487,'Справочник по %'!A:A,0))))/100</f>
        <v>747.5</v>
      </c>
      <c r="E487" s="29">
        <f>IF(ОТЧЕТ!A487="SKU3",C487+ОТЧЕТ!C487*0.2,C487+ОТЧЕТ!C487*0.15)</f>
        <v>780</v>
      </c>
      <c r="F487" s="7" t="s">
        <v>1282</v>
      </c>
      <c r="G487" s="7">
        <v>9705163561</v>
      </c>
      <c r="H487" s="20" t="s">
        <v>1285</v>
      </c>
      <c r="I487" s="22">
        <f>INDEX('Справочник Сети'!B:B,(MATCH(G487,'Справочник Сети'!C:C,0)))</f>
        <v>0</v>
      </c>
      <c r="J487" s="7" t="s">
        <v>239</v>
      </c>
      <c r="K487" s="7" t="s">
        <v>774</v>
      </c>
      <c r="L487" s="7" t="s">
        <v>239</v>
      </c>
      <c r="M487" s="31">
        <v>45662</v>
      </c>
      <c r="N487" s="7" t="s">
        <v>1286</v>
      </c>
      <c r="O487" s="8">
        <v>1350</v>
      </c>
      <c r="P487" s="24">
        <v>3579</v>
      </c>
      <c r="Q487" s="22">
        <f>IF(COUNTIFS(A$2:A487,A487,I$2:I487,I487)=1,1,0)</f>
        <v>1</v>
      </c>
      <c r="R487" s="22">
        <f t="shared" si="7"/>
        <v>2</v>
      </c>
      <c r="S487" s="33">
        <f>IF(COUNTIF(O$2:O487,O487)=1,R487,0)/2.5</f>
        <v>0.8</v>
      </c>
    </row>
    <row r="488" spans="1:19" ht="18" customHeight="1" x14ac:dyDescent="0.25">
      <c r="A488" s="7" t="s">
        <v>43</v>
      </c>
      <c r="B488" s="8">
        <v>1</v>
      </c>
      <c r="C488" s="9">
        <v>488</v>
      </c>
      <c r="D488" s="29">
        <f>C488+IF(INDEX('Справочник по %'!B:B,(MATCH(A488,'Справочник по %'!A:A,0)))="кол-во",B488*INDEX('Справочник по %'!C:C,(MATCH(A488,'Справочник по %'!A:A,0))),ОТЧЕТ!C488*INDEX('Справочник по %'!C:C,(MATCH(A488,'Справочник по %'!A:A,0))))/100</f>
        <v>536.79999999999995</v>
      </c>
      <c r="E488" s="29">
        <f>IF(ОТЧЕТ!A488="SKU3",C488+ОТЧЕТ!C488*0.2,C488+ОТЧЕТ!C488*0.15)</f>
        <v>561.20000000000005</v>
      </c>
      <c r="F488" s="7" t="s">
        <v>1287</v>
      </c>
      <c r="G488" s="7">
        <v>7705947629</v>
      </c>
      <c r="H488" s="20" t="s">
        <v>64</v>
      </c>
      <c r="I488" s="22" t="str">
        <f>INDEX('Справочник Сети'!B:B,(MATCH(G488,'Справочник Сети'!C:C,0)))</f>
        <v>36,6</v>
      </c>
      <c r="J488" s="7" t="s">
        <v>116</v>
      </c>
      <c r="K488" s="7" t="s">
        <v>93</v>
      </c>
      <c r="L488" s="7" t="s">
        <v>116</v>
      </c>
      <c r="M488" s="31">
        <v>45692</v>
      </c>
      <c r="N488" s="7" t="s">
        <v>1288</v>
      </c>
      <c r="O488" s="8">
        <v>3799</v>
      </c>
      <c r="P488" s="24">
        <v>3580</v>
      </c>
      <c r="Q488" s="22">
        <f>IF(COUNTIFS(A$2:A488,A488,I$2:I488,I488)=1,1,0)</f>
        <v>0</v>
      </c>
      <c r="R488" s="22">
        <f t="shared" si="7"/>
        <v>6</v>
      </c>
      <c r="S488" s="33">
        <f>IF(COUNTIF(O$2:O488,O488)=1,R488,0)/2.5</f>
        <v>0</v>
      </c>
    </row>
    <row r="489" spans="1:19" ht="18" customHeight="1" x14ac:dyDescent="0.25">
      <c r="A489" s="7" t="s">
        <v>43</v>
      </c>
      <c r="B489" s="8">
        <v>1</v>
      </c>
      <c r="C489" s="9">
        <v>435</v>
      </c>
      <c r="D489" s="29">
        <f>C489+IF(INDEX('Справочник по %'!B:B,(MATCH(A489,'Справочник по %'!A:A,0)))="кол-во",B489*INDEX('Справочник по %'!C:C,(MATCH(A489,'Справочник по %'!A:A,0))),ОТЧЕТ!C489*INDEX('Справочник по %'!C:C,(MATCH(A489,'Справочник по %'!A:A,0))))/100</f>
        <v>478.5</v>
      </c>
      <c r="E489" s="29">
        <f>IF(ОТЧЕТ!A489="SKU3",C489+ОТЧЕТ!C489*0.2,C489+ОТЧЕТ!C489*0.15)</f>
        <v>500.25</v>
      </c>
      <c r="F489" s="7" t="s">
        <v>1287</v>
      </c>
      <c r="G489" s="7">
        <v>7705947629</v>
      </c>
      <c r="H489" s="20" t="s">
        <v>64</v>
      </c>
      <c r="I489" s="22" t="str">
        <f>INDEX('Справочник Сети'!B:B,(MATCH(G489,'Справочник Сети'!C:C,0)))</f>
        <v>36,6</v>
      </c>
      <c r="J489" s="7" t="s">
        <v>116</v>
      </c>
      <c r="K489" s="7" t="s">
        <v>1289</v>
      </c>
      <c r="L489" s="7" t="s">
        <v>116</v>
      </c>
      <c r="M489" s="31">
        <v>45692</v>
      </c>
      <c r="N489" s="7" t="s">
        <v>1290</v>
      </c>
      <c r="O489" s="8">
        <v>3799</v>
      </c>
      <c r="P489" s="24">
        <v>3581</v>
      </c>
      <c r="Q489" s="22">
        <f>IF(COUNTIFS(A$2:A489,A489,I$2:I489,I489)=1,1,0)</f>
        <v>0</v>
      </c>
      <c r="R489" s="22">
        <f t="shared" si="7"/>
        <v>6</v>
      </c>
      <c r="S489" s="33">
        <f>IF(COUNTIF(O$2:O489,O489)=1,R489,0)/2.5</f>
        <v>0</v>
      </c>
    </row>
    <row r="490" spans="1:19" ht="18" customHeight="1" x14ac:dyDescent="0.25">
      <c r="A490" s="7" t="s">
        <v>43</v>
      </c>
      <c r="B490" s="8">
        <v>1</v>
      </c>
      <c r="C490" s="9">
        <v>672</v>
      </c>
      <c r="D490" s="29">
        <f>C490+IF(INDEX('Справочник по %'!B:B,(MATCH(A490,'Справочник по %'!A:A,0)))="кол-во",B490*INDEX('Справочник по %'!C:C,(MATCH(A490,'Справочник по %'!A:A,0))),ОТЧЕТ!C490*INDEX('Справочник по %'!C:C,(MATCH(A490,'Справочник по %'!A:A,0))))/100</f>
        <v>739.2</v>
      </c>
      <c r="E490" s="29">
        <f>IF(ОТЧЕТ!A490="SKU3",C490+ОТЧЕТ!C490*0.2,C490+ОТЧЕТ!C490*0.15)</f>
        <v>772.8</v>
      </c>
      <c r="F490" s="7" t="s">
        <v>1287</v>
      </c>
      <c r="G490" s="7">
        <v>7705947629</v>
      </c>
      <c r="H490" s="20" t="s">
        <v>50</v>
      </c>
      <c r="I490" s="22" t="str">
        <f>INDEX('Справочник Сети'!B:B,(MATCH(G490,'Справочник Сети'!C:C,0)))</f>
        <v>36,6</v>
      </c>
      <c r="J490" s="7" t="s">
        <v>104</v>
      </c>
      <c r="K490" s="7" t="s">
        <v>832</v>
      </c>
      <c r="L490" s="7" t="s">
        <v>104</v>
      </c>
      <c r="M490" s="31">
        <v>45693</v>
      </c>
      <c r="N490" s="7" t="s">
        <v>1291</v>
      </c>
      <c r="O490" s="8">
        <v>372</v>
      </c>
      <c r="P490" s="24">
        <v>3582</v>
      </c>
      <c r="Q490" s="22">
        <f>IF(COUNTIFS(A$2:A490,A490,I$2:I490,I490)=1,1,0)</f>
        <v>0</v>
      </c>
      <c r="R490" s="22">
        <f t="shared" si="7"/>
        <v>13</v>
      </c>
      <c r="S490" s="33">
        <f>IF(COUNTIF(O$2:O490,O490)=1,R490,0)/2.5</f>
        <v>0</v>
      </c>
    </row>
    <row r="491" spans="1:19" ht="18" customHeight="1" x14ac:dyDescent="0.25">
      <c r="A491" s="7" t="s">
        <v>43</v>
      </c>
      <c r="B491" s="8">
        <v>1</v>
      </c>
      <c r="C491" s="9">
        <v>465</v>
      </c>
      <c r="D491" s="29">
        <f>C491+IF(INDEX('Справочник по %'!B:B,(MATCH(A491,'Справочник по %'!A:A,0)))="кол-во",B491*INDEX('Справочник по %'!C:C,(MATCH(A491,'Справочник по %'!A:A,0))),ОТЧЕТ!C491*INDEX('Справочник по %'!C:C,(MATCH(A491,'Справочник по %'!A:A,0))))/100</f>
        <v>511.5</v>
      </c>
      <c r="E491" s="29">
        <f>IF(ОТЧЕТ!A491="SKU3",C491+ОТЧЕТ!C491*0.2,C491+ОТЧЕТ!C491*0.15)</f>
        <v>534.75</v>
      </c>
      <c r="F491" s="7" t="s">
        <v>1287</v>
      </c>
      <c r="G491" s="7">
        <v>7705947629</v>
      </c>
      <c r="H491" s="20" t="s">
        <v>64</v>
      </c>
      <c r="I491" s="22" t="str">
        <f>INDEX('Справочник Сети'!B:B,(MATCH(G491,'Справочник Сети'!C:C,0)))</f>
        <v>36,6</v>
      </c>
      <c r="J491" s="7" t="s">
        <v>104</v>
      </c>
      <c r="K491" s="7" t="s">
        <v>827</v>
      </c>
      <c r="L491" s="7" t="s">
        <v>104</v>
      </c>
      <c r="M491" s="31">
        <v>45693</v>
      </c>
      <c r="N491" s="7" t="s">
        <v>1292</v>
      </c>
      <c r="O491" s="8">
        <v>2571</v>
      </c>
      <c r="P491" s="24">
        <v>3583</v>
      </c>
      <c r="Q491" s="22">
        <f>IF(COUNTIFS(A$2:A491,A491,I$2:I491,I491)=1,1,0)</f>
        <v>0</v>
      </c>
      <c r="R491" s="22">
        <f t="shared" si="7"/>
        <v>9</v>
      </c>
      <c r="S491" s="33">
        <f>IF(COUNTIF(O$2:O491,O491)=1,R491,0)/2.5</f>
        <v>3.6</v>
      </c>
    </row>
    <row r="492" spans="1:19" ht="18" customHeight="1" x14ac:dyDescent="0.25">
      <c r="A492" s="7" t="s">
        <v>43</v>
      </c>
      <c r="B492" s="8">
        <v>1</v>
      </c>
      <c r="C492" s="9">
        <v>398</v>
      </c>
      <c r="D492" s="29">
        <f>C492+IF(INDEX('Справочник по %'!B:B,(MATCH(A492,'Справочник по %'!A:A,0)))="кол-во",B492*INDEX('Справочник по %'!C:C,(MATCH(A492,'Справочник по %'!A:A,0))),ОТЧЕТ!C492*INDEX('Справочник по %'!C:C,(MATCH(A492,'Справочник по %'!A:A,0))))/100</f>
        <v>437.8</v>
      </c>
      <c r="E492" s="29">
        <f>IF(ОТЧЕТ!A492="SKU3",C492+ОТЧЕТ!C492*0.2,C492+ОТЧЕТ!C492*0.15)</f>
        <v>457.7</v>
      </c>
      <c r="F492" s="7" t="s">
        <v>1287</v>
      </c>
      <c r="G492" s="7">
        <v>5452116190</v>
      </c>
      <c r="H492" s="20" t="s">
        <v>50</v>
      </c>
      <c r="I492" s="22">
        <f>INDEX('Справочник Сети'!B:B,(MATCH(G492,'Справочник Сети'!C:C,0)))</f>
        <v>0</v>
      </c>
      <c r="J492" s="7" t="s">
        <v>255</v>
      </c>
      <c r="K492" s="7" t="s">
        <v>1293</v>
      </c>
      <c r="L492" s="7" t="s">
        <v>255</v>
      </c>
      <c r="M492" s="31">
        <v>45713</v>
      </c>
      <c r="N492" s="7" t="s">
        <v>1294</v>
      </c>
      <c r="O492" s="8">
        <v>1055</v>
      </c>
      <c r="P492" s="24">
        <v>3585</v>
      </c>
      <c r="Q492" s="22">
        <f>IF(COUNTIFS(A$2:A492,A492,I$2:I492,I492)=1,1,0)</f>
        <v>0</v>
      </c>
      <c r="R492" s="22">
        <f t="shared" si="7"/>
        <v>1</v>
      </c>
      <c r="S492" s="33">
        <f>IF(COUNTIF(O$2:O492,O492)=1,R492,0)/2.5</f>
        <v>0.4</v>
      </c>
    </row>
    <row r="493" spans="1:19" ht="18" customHeight="1" x14ac:dyDescent="0.25">
      <c r="A493" s="7" t="s">
        <v>43</v>
      </c>
      <c r="B493" s="8">
        <v>1</v>
      </c>
      <c r="C493" s="9">
        <v>425.6</v>
      </c>
      <c r="D493" s="29">
        <f>C493+IF(INDEX('Справочник по %'!B:B,(MATCH(A493,'Справочник по %'!A:A,0)))="кол-во",B493*INDEX('Справочник по %'!C:C,(MATCH(A493,'Справочник по %'!A:A,0))),ОТЧЕТ!C493*INDEX('Справочник по %'!C:C,(MATCH(A493,'Справочник по %'!A:A,0))))/100</f>
        <v>468.16</v>
      </c>
      <c r="E493" s="29">
        <f>IF(ОТЧЕТ!A493="SKU3",C493+ОТЧЕТ!C493*0.2,C493+ОТЧЕТ!C493*0.15)</f>
        <v>489.44000000000005</v>
      </c>
      <c r="F493" s="7" t="s">
        <v>1287</v>
      </c>
      <c r="G493" s="7">
        <v>7732121736</v>
      </c>
      <c r="H493" s="20" t="s">
        <v>1295</v>
      </c>
      <c r="I493" s="22" t="str">
        <f>INDEX('Справочник Сети'!B:B,(MATCH(G493,'Справочник Сети'!C:C,0)))</f>
        <v>Планета здоровья</v>
      </c>
      <c r="J493" s="7" t="s">
        <v>149</v>
      </c>
      <c r="K493" s="7" t="s">
        <v>1296</v>
      </c>
      <c r="L493" s="7" t="s">
        <v>149</v>
      </c>
      <c r="M493" s="31">
        <v>45673</v>
      </c>
      <c r="N493" s="7" t="s">
        <v>1297</v>
      </c>
      <c r="O493" s="8">
        <v>2540</v>
      </c>
      <c r="P493" s="24">
        <v>3587</v>
      </c>
      <c r="Q493" s="22">
        <f>IF(COUNTIFS(A$2:A493,A493,I$2:I493,I493)=1,1,0)</f>
        <v>0</v>
      </c>
      <c r="R493" s="22">
        <f t="shared" si="7"/>
        <v>1</v>
      </c>
      <c r="S493" s="33">
        <f>IF(COUNTIF(O$2:O493,O493)=1,R493,0)/2.5</f>
        <v>0.4</v>
      </c>
    </row>
    <row r="494" spans="1:19" ht="18" customHeight="1" x14ac:dyDescent="0.25">
      <c r="A494" s="7" t="s">
        <v>43</v>
      </c>
      <c r="B494" s="8">
        <v>1</v>
      </c>
      <c r="C494" s="9">
        <v>464</v>
      </c>
      <c r="D494" s="29">
        <f>C494+IF(INDEX('Справочник по %'!B:B,(MATCH(A494,'Справочник по %'!A:A,0)))="кол-во",B494*INDEX('Справочник по %'!C:C,(MATCH(A494,'Справочник по %'!A:A,0))),ОТЧЕТ!C494*INDEX('Справочник по %'!C:C,(MATCH(A494,'Справочник по %'!A:A,0))))/100</f>
        <v>510.4</v>
      </c>
      <c r="E494" s="29">
        <f>IF(ОТЧЕТ!A494="SKU3",C494+ОТЧЕТ!C494*0.2,C494+ОТЧЕТ!C494*0.15)</f>
        <v>533.6</v>
      </c>
      <c r="F494" s="7" t="s">
        <v>1287</v>
      </c>
      <c r="G494" s="7">
        <v>5800000070</v>
      </c>
      <c r="H494" s="20" t="s">
        <v>1298</v>
      </c>
      <c r="I494" s="22" t="str">
        <f>INDEX('Справочник Сети'!B:B,(MATCH(G494,'Справочник Сети'!C:C,0)))</f>
        <v>Ригла</v>
      </c>
      <c r="J494" s="7" t="s">
        <v>40</v>
      </c>
      <c r="K494" s="7" t="s">
        <v>1299</v>
      </c>
      <c r="L494" s="7" t="s">
        <v>40</v>
      </c>
      <c r="M494" s="31">
        <v>45712</v>
      </c>
      <c r="N494" s="7" t="s">
        <v>1300</v>
      </c>
      <c r="O494" s="8">
        <v>1830</v>
      </c>
      <c r="P494" s="24">
        <v>3588</v>
      </c>
      <c r="Q494" s="22">
        <f>IF(COUNTIFS(A$2:A494,A494,I$2:I494,I494)=1,1,0)</f>
        <v>0</v>
      </c>
      <c r="R494" s="22">
        <f t="shared" si="7"/>
        <v>1</v>
      </c>
      <c r="S494" s="33">
        <f>IF(COUNTIF(O$2:O494,O494)=1,R494,0)/2.5</f>
        <v>0.4</v>
      </c>
    </row>
    <row r="495" spans="1:19" ht="18" customHeight="1" x14ac:dyDescent="0.25">
      <c r="A495" s="7" t="s">
        <v>43</v>
      </c>
      <c r="B495" s="8">
        <v>1</v>
      </c>
      <c r="C495" s="9">
        <v>471</v>
      </c>
      <c r="D495" s="29">
        <f>C495+IF(INDEX('Справочник по %'!B:B,(MATCH(A495,'Справочник по %'!A:A,0)))="кол-во",B495*INDEX('Справочник по %'!C:C,(MATCH(A495,'Справочник по %'!A:A,0))),ОТЧЕТ!C495*INDEX('Справочник по %'!C:C,(MATCH(A495,'Справочник по %'!A:A,0))))/100</f>
        <v>518.1</v>
      </c>
      <c r="E495" s="29">
        <f>IF(ОТЧЕТ!A495="SKU3",C495+ОТЧЕТ!C495*0.2,C495+ОТЧЕТ!C495*0.15)</f>
        <v>541.65</v>
      </c>
      <c r="F495" s="7" t="s">
        <v>1301</v>
      </c>
      <c r="G495" s="7">
        <v>2632087553</v>
      </c>
      <c r="H495" s="20" t="s">
        <v>91</v>
      </c>
      <c r="I495" s="22" t="str">
        <f>INDEX('Справочник Сети'!B:B,(MATCH(G495,'Справочник Сети'!C:C,0)))</f>
        <v>Ригла</v>
      </c>
      <c r="J495" s="7" t="s">
        <v>46</v>
      </c>
      <c r="K495" s="7" t="s">
        <v>1302</v>
      </c>
      <c r="L495" s="7" t="s">
        <v>46</v>
      </c>
      <c r="M495" s="31">
        <v>45726</v>
      </c>
      <c r="N495" s="7" t="s">
        <v>1303</v>
      </c>
      <c r="O495" s="8">
        <v>1150</v>
      </c>
      <c r="P495" s="24">
        <v>3589</v>
      </c>
      <c r="Q495" s="22">
        <f>IF(COUNTIFS(A$2:A495,A495,I$2:I495,I495)=1,1,0)</f>
        <v>0</v>
      </c>
      <c r="R495" s="22">
        <f t="shared" si="7"/>
        <v>3</v>
      </c>
      <c r="S495" s="33">
        <f>IF(COUNTIF(O$2:O495,O495)=1,R495,0)/2.5</f>
        <v>1.2</v>
      </c>
    </row>
    <row r="496" spans="1:19" ht="18" customHeight="1" x14ac:dyDescent="0.25">
      <c r="A496" s="7" t="s">
        <v>43</v>
      </c>
      <c r="B496" s="8">
        <v>1</v>
      </c>
      <c r="C496" s="9">
        <v>386</v>
      </c>
      <c r="D496" s="29">
        <f>C496+IF(INDEX('Справочник по %'!B:B,(MATCH(A496,'Справочник по %'!A:A,0)))="кол-во",B496*INDEX('Справочник по %'!C:C,(MATCH(A496,'Справочник по %'!A:A,0))),ОТЧЕТ!C496*INDEX('Справочник по %'!C:C,(MATCH(A496,'Справочник по %'!A:A,0))))/100</f>
        <v>424.6</v>
      </c>
      <c r="E496" s="29">
        <f>IF(ОТЧЕТ!A496="SKU3",C496+ОТЧЕТ!C496*0.2,C496+ОТЧЕТ!C496*0.15)</f>
        <v>443.9</v>
      </c>
      <c r="F496" s="7" t="s">
        <v>1304</v>
      </c>
      <c r="G496" s="7">
        <v>707019359</v>
      </c>
      <c r="H496" s="20" t="s">
        <v>1160</v>
      </c>
      <c r="I496" s="22" t="str">
        <f>INDEX('Справочник Сети'!B:B,(MATCH(G496,'Справочник Сети'!C:C,0)))</f>
        <v>Нео-фарм</v>
      </c>
      <c r="J496" s="7" t="s">
        <v>362</v>
      </c>
      <c r="K496" s="7" t="s">
        <v>1305</v>
      </c>
      <c r="L496" s="7" t="s">
        <v>362</v>
      </c>
      <c r="M496" s="31">
        <v>45732</v>
      </c>
      <c r="N496" s="7" t="s">
        <v>1306</v>
      </c>
      <c r="O496" s="8">
        <v>431</v>
      </c>
      <c r="P496" s="24">
        <v>3596</v>
      </c>
      <c r="Q496" s="22">
        <f>IF(COUNTIFS(A$2:A496,A496,I$2:I496,I496)=1,1,0)</f>
        <v>0</v>
      </c>
      <c r="R496" s="22">
        <f t="shared" si="7"/>
        <v>3</v>
      </c>
      <c r="S496" s="33">
        <f>IF(COUNTIF(O$2:O496,O496)=1,R496,0)/2.5</f>
        <v>0</v>
      </c>
    </row>
    <row r="497" spans="1:19" ht="18" customHeight="1" x14ac:dyDescent="0.25">
      <c r="A497" s="7" t="s">
        <v>43</v>
      </c>
      <c r="B497" s="8">
        <v>1</v>
      </c>
      <c r="C497" s="9">
        <v>488</v>
      </c>
      <c r="D497" s="29">
        <f>C497+IF(INDEX('Справочник по %'!B:B,(MATCH(A497,'Справочник по %'!A:A,0)))="кол-во",B497*INDEX('Справочник по %'!C:C,(MATCH(A497,'Справочник по %'!A:A,0))),ОТЧЕТ!C497*INDEX('Справочник по %'!C:C,(MATCH(A497,'Справочник по %'!A:A,0))))/100</f>
        <v>536.79999999999995</v>
      </c>
      <c r="E497" s="29">
        <f>IF(ОТЧЕТ!A497="SKU3",C497+ОТЧЕТ!C497*0.2,C497+ОТЧЕТ!C497*0.15)</f>
        <v>561.20000000000005</v>
      </c>
      <c r="F497" s="7" t="s">
        <v>1307</v>
      </c>
      <c r="G497" s="7">
        <v>7714844316</v>
      </c>
      <c r="H497" s="20" t="s">
        <v>50</v>
      </c>
      <c r="I497" s="22" t="str">
        <f>INDEX('Справочник Сети'!B:B,(MATCH(G497,'Справочник Сети'!C:C,0)))</f>
        <v>Планета здоровья</v>
      </c>
      <c r="J497" s="7" t="s">
        <v>504</v>
      </c>
      <c r="K497" s="7" t="s">
        <v>1308</v>
      </c>
      <c r="L497" s="7" t="s">
        <v>504</v>
      </c>
      <c r="M497" s="31">
        <v>45690</v>
      </c>
      <c r="N497" s="7" t="s">
        <v>1309</v>
      </c>
      <c r="O497" s="8">
        <v>1048</v>
      </c>
      <c r="P497" s="24">
        <v>3600</v>
      </c>
      <c r="Q497" s="22">
        <f>IF(COUNTIFS(A$2:A497,A497,I$2:I497,I497)=1,1,0)</f>
        <v>0</v>
      </c>
      <c r="R497" s="22">
        <f t="shared" si="7"/>
        <v>5</v>
      </c>
      <c r="S497" s="33">
        <f>IF(COUNTIF(O$2:O497,O497)=1,R497,0)/2.5</f>
        <v>0</v>
      </c>
    </row>
    <row r="498" spans="1:19" ht="18" customHeight="1" x14ac:dyDescent="0.25">
      <c r="A498" s="7" t="s">
        <v>43</v>
      </c>
      <c r="B498" s="8">
        <v>1</v>
      </c>
      <c r="C498" s="9">
        <v>391</v>
      </c>
      <c r="D498" s="29">
        <f>C498+IF(INDEX('Справочник по %'!B:B,(MATCH(A498,'Справочник по %'!A:A,0)))="кол-во",B498*INDEX('Справочник по %'!C:C,(MATCH(A498,'Справочник по %'!A:A,0))),ОТЧЕТ!C498*INDEX('Справочник по %'!C:C,(MATCH(A498,'Справочник по %'!A:A,0))))/100</f>
        <v>430.1</v>
      </c>
      <c r="E498" s="29">
        <f>IF(ОТЧЕТ!A498="SKU3",C498+ОТЧЕТ!C498*0.2,C498+ОТЧЕТ!C498*0.15)</f>
        <v>449.65</v>
      </c>
      <c r="F498" s="7" t="s">
        <v>1310</v>
      </c>
      <c r="G498" s="7">
        <v>7706795062</v>
      </c>
      <c r="H498" s="20" t="s">
        <v>99</v>
      </c>
      <c r="I498" s="22" t="str">
        <f>INDEX('Справочник Сети'!B:B,(MATCH(G498,'Справочник Сети'!C:C,0)))</f>
        <v>Планета здоровья</v>
      </c>
      <c r="J498" s="7" t="s">
        <v>87</v>
      </c>
      <c r="K498" s="7" t="s">
        <v>1061</v>
      </c>
      <c r="L498" s="7" t="s">
        <v>87</v>
      </c>
      <c r="M498" s="31">
        <v>45691</v>
      </c>
      <c r="N498" s="7" t="s">
        <v>1311</v>
      </c>
      <c r="O498" s="8">
        <v>2385</v>
      </c>
      <c r="P498" s="24">
        <v>3605</v>
      </c>
      <c r="Q498" s="22">
        <f>IF(COUNTIFS(A$2:A498,A498,I$2:I498,I498)=1,1,0)</f>
        <v>0</v>
      </c>
      <c r="R498" s="22">
        <f t="shared" si="7"/>
        <v>1</v>
      </c>
      <c r="S498" s="33">
        <f>IF(COUNTIF(O$2:O498,O498)=1,R498,0)/2.5</f>
        <v>0.4</v>
      </c>
    </row>
    <row r="499" spans="1:19" ht="18" customHeight="1" x14ac:dyDescent="0.25">
      <c r="A499" s="7" t="s">
        <v>43</v>
      </c>
      <c r="B499" s="8">
        <v>1</v>
      </c>
      <c r="C499" s="9">
        <v>400.75</v>
      </c>
      <c r="D499" s="29">
        <f>C499+IF(INDEX('Справочник по %'!B:B,(MATCH(A499,'Справочник по %'!A:A,0)))="кол-во",B499*INDEX('Справочник по %'!C:C,(MATCH(A499,'Справочник по %'!A:A,0))),ОТЧЕТ!C499*INDEX('Справочник по %'!C:C,(MATCH(A499,'Справочник по %'!A:A,0))))/100</f>
        <v>440.82499999999999</v>
      </c>
      <c r="E499" s="29">
        <f>IF(ОТЧЕТ!A499="SKU3",C499+ОТЧЕТ!C499*0.2,C499+ОТЧЕТ!C499*0.15)</f>
        <v>460.86250000000001</v>
      </c>
      <c r="F499" s="7" t="s">
        <v>1310</v>
      </c>
      <c r="G499" s="7">
        <v>5507102175</v>
      </c>
      <c r="H499" s="20" t="s">
        <v>91</v>
      </c>
      <c r="I499" s="22" t="str">
        <f>INDEX('Справочник Сети'!B:B,(MATCH(G499,'Справочник Сети'!C:C,0)))</f>
        <v>Столички</v>
      </c>
      <c r="J499" s="7" t="s">
        <v>255</v>
      </c>
      <c r="K499" s="7" t="s">
        <v>238</v>
      </c>
      <c r="L499" s="7" t="s">
        <v>255</v>
      </c>
      <c r="M499" s="31">
        <v>45713</v>
      </c>
      <c r="N499" s="7" t="s">
        <v>1312</v>
      </c>
      <c r="O499" s="8">
        <v>1840</v>
      </c>
      <c r="P499" s="24">
        <v>3607</v>
      </c>
      <c r="Q499" s="22">
        <f>IF(COUNTIFS(A$2:A499,A499,I$2:I499,I499)=1,1,0)</f>
        <v>0</v>
      </c>
      <c r="R499" s="22">
        <f t="shared" si="7"/>
        <v>2</v>
      </c>
      <c r="S499" s="33">
        <f>IF(COUNTIF(O$2:O499,O499)=1,R499,0)/2.5</f>
        <v>0.8</v>
      </c>
    </row>
    <row r="500" spans="1:19" ht="18" customHeight="1" x14ac:dyDescent="0.25">
      <c r="A500" s="7" t="s">
        <v>43</v>
      </c>
      <c r="B500" s="8">
        <v>1</v>
      </c>
      <c r="C500" s="9">
        <v>400.75</v>
      </c>
      <c r="D500" s="29">
        <f>C500+IF(INDEX('Справочник по %'!B:B,(MATCH(A500,'Справочник по %'!A:A,0)))="кол-во",B500*INDEX('Справочник по %'!C:C,(MATCH(A500,'Справочник по %'!A:A,0))),ОТЧЕТ!C500*INDEX('Справочник по %'!C:C,(MATCH(A500,'Справочник по %'!A:A,0))))/100</f>
        <v>440.82499999999999</v>
      </c>
      <c r="E500" s="29">
        <f>IF(ОТЧЕТ!A500="SKU3",C500+ОТЧЕТ!C500*0.2,C500+ОТЧЕТ!C500*0.15)</f>
        <v>460.86250000000001</v>
      </c>
      <c r="F500" s="7" t="s">
        <v>1310</v>
      </c>
      <c r="G500" s="7">
        <v>5507102175</v>
      </c>
      <c r="H500" s="20" t="s">
        <v>91</v>
      </c>
      <c r="I500" s="22" t="str">
        <f>INDEX('Справочник Сети'!B:B,(MATCH(G500,'Справочник Сети'!C:C,0)))</f>
        <v>Столички</v>
      </c>
      <c r="J500" s="7" t="s">
        <v>255</v>
      </c>
      <c r="K500" s="7" t="s">
        <v>238</v>
      </c>
      <c r="L500" s="7" t="s">
        <v>255</v>
      </c>
      <c r="M500" s="31">
        <v>45713</v>
      </c>
      <c r="N500" s="7" t="s">
        <v>1312</v>
      </c>
      <c r="O500" s="8">
        <v>1840</v>
      </c>
      <c r="P500" s="24">
        <v>3607</v>
      </c>
      <c r="Q500" s="22">
        <f>IF(COUNTIFS(A$2:A500,A500,I$2:I500,I500)=1,1,0)</f>
        <v>0</v>
      </c>
      <c r="R500" s="22">
        <f t="shared" si="7"/>
        <v>2</v>
      </c>
      <c r="S500" s="33">
        <f>IF(COUNTIF(O$2:O500,O500)=1,R500,0)/2.5</f>
        <v>0</v>
      </c>
    </row>
    <row r="501" spans="1:19" ht="18" customHeight="1" x14ac:dyDescent="0.25">
      <c r="A501" s="7" t="s">
        <v>43</v>
      </c>
      <c r="B501" s="8">
        <v>1</v>
      </c>
      <c r="C501" s="9">
        <v>594</v>
      </c>
      <c r="D501" s="29">
        <f>C501+IF(INDEX('Справочник по %'!B:B,(MATCH(A501,'Справочник по %'!A:A,0)))="кол-во",B501*INDEX('Справочник по %'!C:C,(MATCH(A501,'Справочник по %'!A:A,0))),ОТЧЕТ!C501*INDEX('Справочник по %'!C:C,(MATCH(A501,'Справочник по %'!A:A,0))))/100</f>
        <v>653.4</v>
      </c>
      <c r="E501" s="29">
        <f>IF(ОТЧЕТ!A501="SKU3",C501+ОТЧЕТ!C501*0.2,C501+ОТЧЕТ!C501*0.15)</f>
        <v>683.1</v>
      </c>
      <c r="F501" s="7" t="s">
        <v>1310</v>
      </c>
      <c r="G501" s="7">
        <v>7714844316</v>
      </c>
      <c r="H501" s="20" t="s">
        <v>167</v>
      </c>
      <c r="I501" s="22" t="str">
        <f>INDEX('Справочник Сети'!B:B,(MATCH(G501,'Справочник Сети'!C:C,0)))</f>
        <v>Планета здоровья</v>
      </c>
      <c r="J501" s="7" t="s">
        <v>504</v>
      </c>
      <c r="K501" s="7" t="s">
        <v>1313</v>
      </c>
      <c r="L501" s="7" t="s">
        <v>504</v>
      </c>
      <c r="M501" s="31">
        <v>45690</v>
      </c>
      <c r="N501" s="7" t="s">
        <v>1314</v>
      </c>
      <c r="O501" s="8">
        <v>2761</v>
      </c>
      <c r="P501" s="24">
        <v>3608</v>
      </c>
      <c r="Q501" s="22">
        <f>IF(COUNTIFS(A$2:A501,A501,I$2:I501,I501)=1,1,0)</f>
        <v>0</v>
      </c>
      <c r="R501" s="22">
        <f t="shared" si="7"/>
        <v>3</v>
      </c>
      <c r="S501" s="33">
        <f>IF(COUNTIF(O$2:O501,O501)=1,R501,0)/2.5</f>
        <v>0</v>
      </c>
    </row>
    <row r="502" spans="1:19" ht="18" customHeight="1" x14ac:dyDescent="0.25">
      <c r="A502" s="7" t="s">
        <v>37</v>
      </c>
      <c r="B502" s="8">
        <v>1</v>
      </c>
      <c r="C502" s="9">
        <v>500</v>
      </c>
      <c r="D502" s="29">
        <f>C502+IF(INDEX('Справочник по %'!B:B,(MATCH(A502,'Справочник по %'!A:A,0)))="кол-во",B502*INDEX('Справочник по %'!C:C,(MATCH(A502,'Справочник по %'!A:A,0))),ОТЧЕТ!C502*INDEX('Справочник по %'!C:C,(MATCH(A502,'Справочник по %'!A:A,0))))/100</f>
        <v>500.2</v>
      </c>
      <c r="E502" s="29">
        <f>IF(ОТЧЕТ!A502="SKU3",C502+ОТЧЕТ!C502*0.2,C502+ОТЧЕТ!C502*0.15)</f>
        <v>575</v>
      </c>
      <c r="F502" s="7" t="s">
        <v>1310</v>
      </c>
      <c r="G502" s="7">
        <v>4726002975</v>
      </c>
      <c r="H502" s="20" t="s">
        <v>1315</v>
      </c>
      <c r="I502" s="22">
        <f>INDEX('Справочник Сети'!B:B,(MATCH(G502,'Справочник Сети'!C:C,0)))</f>
        <v>0</v>
      </c>
      <c r="J502" s="7" t="s">
        <v>83</v>
      </c>
      <c r="K502" s="7" t="s">
        <v>1316</v>
      </c>
      <c r="L502" s="7" t="s">
        <v>83</v>
      </c>
      <c r="M502" s="31">
        <v>45715</v>
      </c>
      <c r="N502" s="7" t="s">
        <v>1317</v>
      </c>
      <c r="O502" s="8">
        <v>3829</v>
      </c>
      <c r="P502" s="24">
        <v>3609</v>
      </c>
      <c r="Q502" s="22">
        <f>IF(COUNTIFS(A$2:A502,A502,I$2:I502,I502)=1,1,0)</f>
        <v>0</v>
      </c>
      <c r="R502" s="22">
        <f t="shared" si="7"/>
        <v>2</v>
      </c>
      <c r="S502" s="33">
        <f>IF(COUNTIF(O$2:O502,O502)=1,R502,0)/2.5</f>
        <v>0.8</v>
      </c>
    </row>
    <row r="503" spans="1:19" ht="18" customHeight="1" x14ac:dyDescent="0.25">
      <c r="A503" s="7" t="s">
        <v>43</v>
      </c>
      <c r="B503" s="8">
        <v>1</v>
      </c>
      <c r="C503" s="9">
        <v>349</v>
      </c>
      <c r="D503" s="29">
        <f>C503+IF(INDEX('Справочник по %'!B:B,(MATCH(A503,'Справочник по %'!A:A,0)))="кол-во",B503*INDEX('Справочник по %'!C:C,(MATCH(A503,'Справочник по %'!A:A,0))),ОТЧЕТ!C503*INDEX('Справочник по %'!C:C,(MATCH(A503,'Справочник по %'!A:A,0))))/100</f>
        <v>383.9</v>
      </c>
      <c r="E503" s="29">
        <f>IF(ОТЧЕТ!A503="SKU3",C503+ОТЧЕТ!C503*0.2,C503+ОТЧЕТ!C503*0.15)</f>
        <v>401.35</v>
      </c>
      <c r="F503" s="7" t="s">
        <v>1310</v>
      </c>
      <c r="G503" s="7">
        <v>7732121736</v>
      </c>
      <c r="H503" s="20" t="s">
        <v>1318</v>
      </c>
      <c r="I503" s="22" t="str">
        <f>INDEX('Справочник Сети'!B:B,(MATCH(G503,'Справочник Сети'!C:C,0)))</f>
        <v>Планета здоровья</v>
      </c>
      <c r="J503" s="7" t="s">
        <v>149</v>
      </c>
      <c r="K503" s="7" t="s">
        <v>663</v>
      </c>
      <c r="L503" s="7" t="s">
        <v>149</v>
      </c>
      <c r="M503" s="31">
        <v>45673</v>
      </c>
      <c r="N503" s="7" t="s">
        <v>1319</v>
      </c>
      <c r="O503" s="8">
        <v>2968</v>
      </c>
      <c r="P503" s="24">
        <v>3610</v>
      </c>
      <c r="Q503" s="22">
        <f>IF(COUNTIFS(A$2:A503,A503,I$2:I503,I503)=1,1,0)</f>
        <v>0</v>
      </c>
      <c r="R503" s="22">
        <f t="shared" si="7"/>
        <v>1</v>
      </c>
      <c r="S503" s="33">
        <f>IF(COUNTIF(O$2:O503,O503)=1,R503,0)/2.5</f>
        <v>0.4</v>
      </c>
    </row>
    <row r="504" spans="1:19" ht="18" customHeight="1" x14ac:dyDescent="0.25">
      <c r="A504" s="7" t="s">
        <v>43</v>
      </c>
      <c r="B504" s="8">
        <v>1</v>
      </c>
      <c r="C504" s="9">
        <v>348</v>
      </c>
      <c r="D504" s="29">
        <f>C504+IF(INDEX('Справочник по %'!B:B,(MATCH(A504,'Справочник по %'!A:A,0)))="кол-во",B504*INDEX('Справочник по %'!C:C,(MATCH(A504,'Справочник по %'!A:A,0))),ОТЧЕТ!C504*INDEX('Справочник по %'!C:C,(MATCH(A504,'Справочник по %'!A:A,0))))/100</f>
        <v>382.8</v>
      </c>
      <c r="E504" s="29">
        <f>IF(ОТЧЕТ!A504="SKU3",C504+ОТЧЕТ!C504*0.2,C504+ОТЧЕТ!C504*0.15)</f>
        <v>400.2</v>
      </c>
      <c r="F504" s="7" t="s">
        <v>1310</v>
      </c>
      <c r="G504" s="7">
        <v>2312262615</v>
      </c>
      <c r="H504" s="20" t="s">
        <v>50</v>
      </c>
      <c r="I504" s="22">
        <f>INDEX('Справочник Сети'!B:B,(MATCH(G504,'Справочник Сети'!C:C,0)))</f>
        <v>0</v>
      </c>
      <c r="J504" s="7" t="s">
        <v>70</v>
      </c>
      <c r="K504" s="7" t="s">
        <v>1320</v>
      </c>
      <c r="L504" s="7" t="s">
        <v>70</v>
      </c>
      <c r="M504" s="31">
        <v>45728</v>
      </c>
      <c r="N504" s="7" t="s">
        <v>1321</v>
      </c>
      <c r="O504" s="8">
        <v>2348</v>
      </c>
      <c r="P504" s="24">
        <v>3616</v>
      </c>
      <c r="Q504" s="22">
        <f>IF(COUNTIFS(A$2:A504,A504,I$2:I504,I504)=1,1,0)</f>
        <v>0</v>
      </c>
      <c r="R504" s="22">
        <f t="shared" si="7"/>
        <v>1</v>
      </c>
      <c r="S504" s="33">
        <f>IF(COUNTIF(O$2:O504,O504)=1,R504,0)/2.5</f>
        <v>0.4</v>
      </c>
    </row>
    <row r="505" spans="1:19" ht="18" customHeight="1" x14ac:dyDescent="0.25">
      <c r="A505" s="7" t="s">
        <v>43</v>
      </c>
      <c r="B505" s="8">
        <v>1</v>
      </c>
      <c r="C505" s="9">
        <v>375</v>
      </c>
      <c r="D505" s="29">
        <f>C505+IF(INDEX('Справочник по %'!B:B,(MATCH(A505,'Справочник по %'!A:A,0)))="кол-во",B505*INDEX('Справочник по %'!C:C,(MATCH(A505,'Справочник по %'!A:A,0))),ОТЧЕТ!C505*INDEX('Справочник по %'!C:C,(MATCH(A505,'Справочник по %'!A:A,0))))/100</f>
        <v>412.5</v>
      </c>
      <c r="E505" s="29">
        <f>IF(ОТЧЕТ!A505="SKU3",C505+ОТЧЕТ!C505*0.2,C505+ОТЧЕТ!C505*0.15)</f>
        <v>431.25</v>
      </c>
      <c r="F505" s="7" t="s">
        <v>1310</v>
      </c>
      <c r="G505" s="7">
        <v>7706795062</v>
      </c>
      <c r="H505" s="20" t="s">
        <v>1322</v>
      </c>
      <c r="I505" s="22" t="str">
        <f>INDEX('Справочник Сети'!B:B,(MATCH(G505,'Справочник Сети'!C:C,0)))</f>
        <v>Планета здоровья</v>
      </c>
      <c r="J505" s="7" t="s">
        <v>87</v>
      </c>
      <c r="K505" s="7" t="s">
        <v>342</v>
      </c>
      <c r="L505" s="7" t="s">
        <v>87</v>
      </c>
      <c r="M505" s="31">
        <v>45691</v>
      </c>
      <c r="N505" s="7" t="s">
        <v>1323</v>
      </c>
      <c r="O505" s="8">
        <v>3314</v>
      </c>
      <c r="P505" s="24">
        <v>3617</v>
      </c>
      <c r="Q505" s="22">
        <f>IF(COUNTIFS(A$2:A505,A505,I$2:I505,I505)=1,1,0)</f>
        <v>0</v>
      </c>
      <c r="R505" s="22">
        <f t="shared" si="7"/>
        <v>1</v>
      </c>
      <c r="S505" s="33">
        <f>IF(COUNTIF(O$2:O505,O505)=1,R505,0)/2.5</f>
        <v>0.4</v>
      </c>
    </row>
    <row r="506" spans="1:19" ht="18" customHeight="1" x14ac:dyDescent="0.25">
      <c r="A506" s="7" t="s">
        <v>37</v>
      </c>
      <c r="B506" s="8">
        <v>1</v>
      </c>
      <c r="C506" s="9">
        <v>619</v>
      </c>
      <c r="D506" s="29">
        <f>C506+IF(INDEX('Справочник по %'!B:B,(MATCH(A506,'Справочник по %'!A:A,0)))="кол-во",B506*INDEX('Справочник по %'!C:C,(MATCH(A506,'Справочник по %'!A:A,0))),ОТЧЕТ!C506*INDEX('Справочник по %'!C:C,(MATCH(A506,'Справочник по %'!A:A,0))))/100</f>
        <v>619.20000000000005</v>
      </c>
      <c r="E506" s="29">
        <f>IF(ОТЧЕТ!A506="SKU3",C506+ОТЧЕТ!C506*0.2,C506+ОТЧЕТ!C506*0.15)</f>
        <v>711.85</v>
      </c>
      <c r="F506" s="7" t="s">
        <v>1310</v>
      </c>
      <c r="G506" s="7">
        <v>6166127355</v>
      </c>
      <c r="H506" s="20" t="s">
        <v>1002</v>
      </c>
      <c r="I506" s="22">
        <f>INDEX('Справочник Сети'!B:B,(MATCH(G506,'Справочник Сети'!C:C,0)))</f>
        <v>0</v>
      </c>
      <c r="J506" s="7" t="s">
        <v>203</v>
      </c>
      <c r="K506" s="7" t="s">
        <v>189</v>
      </c>
      <c r="L506" s="7" t="s">
        <v>203</v>
      </c>
      <c r="M506" s="31">
        <v>45696</v>
      </c>
      <c r="N506" s="7" t="s">
        <v>1324</v>
      </c>
      <c r="O506" s="8">
        <v>886</v>
      </c>
      <c r="P506" s="24">
        <v>3624</v>
      </c>
      <c r="Q506" s="22">
        <f>IF(COUNTIFS(A$2:A506,A506,I$2:I506,I506)=1,1,0)</f>
        <v>0</v>
      </c>
      <c r="R506" s="22">
        <f t="shared" si="7"/>
        <v>4</v>
      </c>
      <c r="S506" s="33">
        <f>IF(COUNTIF(O$2:O506,O506)=1,R506,0)/2.5</f>
        <v>0</v>
      </c>
    </row>
    <row r="507" spans="1:19" ht="18" customHeight="1" x14ac:dyDescent="0.25">
      <c r="A507" s="7" t="s">
        <v>37</v>
      </c>
      <c r="B507" s="8">
        <v>1</v>
      </c>
      <c r="C507" s="9">
        <v>667</v>
      </c>
      <c r="D507" s="29">
        <f>C507+IF(INDEX('Справочник по %'!B:B,(MATCH(A507,'Справочник по %'!A:A,0)))="кол-во",B507*INDEX('Справочник по %'!C:C,(MATCH(A507,'Справочник по %'!A:A,0))),ОТЧЕТ!C507*INDEX('Справочник по %'!C:C,(MATCH(A507,'Справочник по %'!A:A,0))))/100</f>
        <v>667.2</v>
      </c>
      <c r="E507" s="29">
        <f>IF(ОТЧЕТ!A507="SKU3",C507+ОТЧЕТ!C507*0.2,C507+ОТЧЕТ!C507*0.15)</f>
        <v>767.05</v>
      </c>
      <c r="F507" s="7" t="s">
        <v>1325</v>
      </c>
      <c r="G507" s="7">
        <v>7722710108</v>
      </c>
      <c r="H507" s="20" t="s">
        <v>1326</v>
      </c>
      <c r="I507" s="22">
        <f>INDEX('Справочник Сети'!B:B,(MATCH(G507,'Справочник Сети'!C:C,0)))</f>
        <v>0</v>
      </c>
      <c r="J507" s="7" t="s">
        <v>185</v>
      </c>
      <c r="K507" s="7" t="s">
        <v>194</v>
      </c>
      <c r="L507" s="7" t="s">
        <v>185</v>
      </c>
      <c r="M507" s="31">
        <v>45675</v>
      </c>
      <c r="N507" s="7" t="s">
        <v>1327</v>
      </c>
      <c r="O507" s="8">
        <v>1424</v>
      </c>
      <c r="P507" s="24">
        <v>3625</v>
      </c>
      <c r="Q507" s="22">
        <f>IF(COUNTIFS(A$2:A507,A507,I$2:I507,I507)=1,1,0)</f>
        <v>0</v>
      </c>
      <c r="R507" s="22">
        <f t="shared" si="7"/>
        <v>2</v>
      </c>
      <c r="S507" s="33">
        <f>IF(COUNTIF(O$2:O507,O507)=1,R507,0)/2.5</f>
        <v>0.8</v>
      </c>
    </row>
    <row r="508" spans="1:19" ht="18" customHeight="1" x14ac:dyDescent="0.25">
      <c r="A508" s="7" t="s">
        <v>43</v>
      </c>
      <c r="B508" s="8">
        <v>1</v>
      </c>
      <c r="C508" s="9">
        <v>470.4</v>
      </c>
      <c r="D508" s="29">
        <f>C508+IF(INDEX('Справочник по %'!B:B,(MATCH(A508,'Справочник по %'!A:A,0)))="кол-во",B508*INDEX('Справочник по %'!C:C,(MATCH(A508,'Справочник по %'!A:A,0))),ОТЧЕТ!C508*INDEX('Справочник по %'!C:C,(MATCH(A508,'Справочник по %'!A:A,0))))/100</f>
        <v>517.43999999999994</v>
      </c>
      <c r="E508" s="29">
        <f>IF(ОТЧЕТ!A508="SKU3",C508+ОТЧЕТ!C508*0.2,C508+ОТЧЕТ!C508*0.15)</f>
        <v>540.95999999999992</v>
      </c>
      <c r="F508" s="7" t="s">
        <v>1325</v>
      </c>
      <c r="G508" s="7">
        <v>7813354866</v>
      </c>
      <c r="H508" s="20" t="s">
        <v>1328</v>
      </c>
      <c r="I508" s="22">
        <f>INDEX('Справочник Сети'!B:B,(MATCH(G508,'Справочник Сети'!C:C,0)))</f>
        <v>0</v>
      </c>
      <c r="J508" s="7" t="s">
        <v>121</v>
      </c>
      <c r="K508" s="7" t="s">
        <v>1329</v>
      </c>
      <c r="L508" s="7" t="s">
        <v>121</v>
      </c>
      <c r="M508" s="31">
        <v>45671</v>
      </c>
      <c r="N508" s="7" t="s">
        <v>1330</v>
      </c>
      <c r="O508" s="8">
        <v>1849</v>
      </c>
      <c r="P508" s="24">
        <v>3628</v>
      </c>
      <c r="Q508" s="22">
        <f>IF(COUNTIFS(A$2:A508,A508,I$2:I508,I508)=1,1,0)</f>
        <v>0</v>
      </c>
      <c r="R508" s="22">
        <f t="shared" si="7"/>
        <v>2</v>
      </c>
      <c r="S508" s="33">
        <f>IF(COUNTIF(O$2:O508,O508)=1,R508,0)/2.5</f>
        <v>0.8</v>
      </c>
    </row>
    <row r="509" spans="1:19" ht="18" customHeight="1" x14ac:dyDescent="0.25">
      <c r="A509" s="7" t="s">
        <v>37</v>
      </c>
      <c r="B509" s="8">
        <v>1</v>
      </c>
      <c r="C509" s="9">
        <v>641</v>
      </c>
      <c r="D509" s="29">
        <f>C509+IF(INDEX('Справочник по %'!B:B,(MATCH(A509,'Справочник по %'!A:A,0)))="кол-во",B509*INDEX('Справочник по %'!C:C,(MATCH(A509,'Справочник по %'!A:A,0))),ОТЧЕТ!C509*INDEX('Справочник по %'!C:C,(MATCH(A509,'Справочник по %'!A:A,0))))/100</f>
        <v>641.20000000000005</v>
      </c>
      <c r="E509" s="29">
        <f>IF(ОТЧЕТ!A509="SKU3",C509+ОТЧЕТ!C509*0.2,C509+ОТЧЕТ!C509*0.15)</f>
        <v>737.15</v>
      </c>
      <c r="F509" s="7" t="s">
        <v>1325</v>
      </c>
      <c r="G509" s="7">
        <v>6162043915</v>
      </c>
      <c r="H509" s="20" t="s">
        <v>1331</v>
      </c>
      <c r="I509" s="22">
        <f>INDEX('Справочник Сети'!B:B,(MATCH(G509,'Справочник Сети'!C:C,0)))</f>
        <v>0</v>
      </c>
      <c r="J509" s="7" t="s">
        <v>520</v>
      </c>
      <c r="K509" s="7" t="s">
        <v>1332</v>
      </c>
      <c r="L509" s="7" t="s">
        <v>520</v>
      </c>
      <c r="M509" s="31">
        <v>45697</v>
      </c>
      <c r="N509" s="7" t="s">
        <v>1333</v>
      </c>
      <c r="O509" s="8">
        <v>1671</v>
      </c>
      <c r="P509" s="24">
        <v>3631</v>
      </c>
      <c r="Q509" s="22">
        <f>IF(COUNTIFS(A$2:A509,A509,I$2:I509,I509)=1,1,0)</f>
        <v>0</v>
      </c>
      <c r="R509" s="22">
        <f t="shared" si="7"/>
        <v>2</v>
      </c>
      <c r="S509" s="33">
        <f>IF(COUNTIF(O$2:O509,O509)=1,R509,0)/2.5</f>
        <v>0.8</v>
      </c>
    </row>
    <row r="510" spans="1:19" ht="18" customHeight="1" x14ac:dyDescent="0.25">
      <c r="A510" s="7" t="s">
        <v>37</v>
      </c>
      <c r="B510" s="8">
        <v>1</v>
      </c>
      <c r="C510" s="9">
        <v>668</v>
      </c>
      <c r="D510" s="29">
        <f>C510+IF(INDEX('Справочник по %'!B:B,(MATCH(A510,'Справочник по %'!A:A,0)))="кол-во",B510*INDEX('Справочник по %'!C:C,(MATCH(A510,'Справочник по %'!A:A,0))),ОТЧЕТ!C510*INDEX('Справочник по %'!C:C,(MATCH(A510,'Справочник по %'!A:A,0))))/100</f>
        <v>668.2</v>
      </c>
      <c r="E510" s="29">
        <f>IF(ОТЧЕТ!A510="SKU3",C510+ОТЧЕТ!C510*0.2,C510+ОТЧЕТ!C510*0.15)</f>
        <v>768.2</v>
      </c>
      <c r="F510" s="7" t="s">
        <v>1334</v>
      </c>
      <c r="G510" s="7">
        <v>5800000070</v>
      </c>
      <c r="H510" s="20" t="s">
        <v>1335</v>
      </c>
      <c r="I510" s="22" t="str">
        <f>INDEX('Справочник Сети'!B:B,(MATCH(G510,'Справочник Сети'!C:C,0)))</f>
        <v>Ригла</v>
      </c>
      <c r="J510" s="7" t="s">
        <v>40</v>
      </c>
      <c r="K510" s="7" t="s">
        <v>545</v>
      </c>
      <c r="L510" s="7" t="s">
        <v>40</v>
      </c>
      <c r="M510" s="31">
        <v>45712</v>
      </c>
      <c r="N510" s="7" t="s">
        <v>1336</v>
      </c>
      <c r="O510" s="8">
        <v>3389</v>
      </c>
      <c r="P510" s="24">
        <v>3633</v>
      </c>
      <c r="Q510" s="22">
        <f>IF(COUNTIFS(A$2:A510,A510,I$2:I510,I510)=1,1,0)</f>
        <v>0</v>
      </c>
      <c r="R510" s="22">
        <f t="shared" si="7"/>
        <v>1</v>
      </c>
      <c r="S510" s="33">
        <f>IF(COUNTIF(O$2:O510,O510)=1,R510,0)/2.5</f>
        <v>0.4</v>
      </c>
    </row>
    <row r="511" spans="1:19" ht="18" customHeight="1" x14ac:dyDescent="0.25">
      <c r="A511" s="7" t="s">
        <v>43</v>
      </c>
      <c r="B511" s="8">
        <v>1</v>
      </c>
      <c r="C511" s="9">
        <v>450</v>
      </c>
      <c r="D511" s="29">
        <f>C511+IF(INDEX('Справочник по %'!B:B,(MATCH(A511,'Справочник по %'!A:A,0)))="кол-во",B511*INDEX('Справочник по %'!C:C,(MATCH(A511,'Справочник по %'!A:A,0))),ОТЧЕТ!C511*INDEX('Справочник по %'!C:C,(MATCH(A511,'Справочник по %'!A:A,0))))/100</f>
        <v>495</v>
      </c>
      <c r="E511" s="29">
        <f>IF(ОТЧЕТ!A511="SKU3",C511+ОТЧЕТ!C511*0.2,C511+ОТЧЕТ!C511*0.15)</f>
        <v>517.5</v>
      </c>
      <c r="F511" s="7" t="s">
        <v>1337</v>
      </c>
      <c r="G511" s="7">
        <v>7734231220</v>
      </c>
      <c r="H511" s="20" t="s">
        <v>50</v>
      </c>
      <c r="I511" s="22">
        <f>INDEX('Справочник Сети'!B:B,(MATCH(G511,'Справочник Сети'!C:C,0)))</f>
        <v>0</v>
      </c>
      <c r="J511" s="7" t="s">
        <v>353</v>
      </c>
      <c r="K511" s="7" t="s">
        <v>781</v>
      </c>
      <c r="L511" s="7" t="s">
        <v>353</v>
      </c>
      <c r="M511" s="31">
        <v>45672</v>
      </c>
      <c r="N511" s="7" t="s">
        <v>1338</v>
      </c>
      <c r="O511" s="8">
        <v>51</v>
      </c>
      <c r="P511" s="24">
        <v>3638</v>
      </c>
      <c r="Q511" s="22">
        <f>IF(COUNTIFS(A$2:A511,A511,I$2:I511,I511)=1,1,0)</f>
        <v>0</v>
      </c>
      <c r="R511" s="22">
        <f t="shared" si="7"/>
        <v>2</v>
      </c>
      <c r="S511" s="33">
        <f>IF(COUNTIF(O$2:O511,O511)=1,R511,0)/2.5</f>
        <v>0</v>
      </c>
    </row>
    <row r="512" spans="1:19" ht="18" customHeight="1" x14ac:dyDescent="0.25">
      <c r="A512" s="7" t="s">
        <v>43</v>
      </c>
      <c r="B512" s="8">
        <v>1</v>
      </c>
      <c r="C512" s="9">
        <v>515</v>
      </c>
      <c r="D512" s="29">
        <f>C512+IF(INDEX('Справочник по %'!B:B,(MATCH(A512,'Справочник по %'!A:A,0)))="кол-во",B512*INDEX('Справочник по %'!C:C,(MATCH(A512,'Справочник по %'!A:A,0))),ОТЧЕТ!C512*INDEX('Справочник по %'!C:C,(MATCH(A512,'Справочник по %'!A:A,0))))/100</f>
        <v>566.5</v>
      </c>
      <c r="E512" s="29">
        <f>IF(ОТЧЕТ!A512="SKU3",C512+ОТЧЕТ!C512*0.2,C512+ОТЧЕТ!C512*0.15)</f>
        <v>592.25</v>
      </c>
      <c r="F512" s="7" t="s">
        <v>1337</v>
      </c>
      <c r="G512" s="7">
        <v>7814139847</v>
      </c>
      <c r="H512" s="20" t="s">
        <v>50</v>
      </c>
      <c r="I512" s="22" t="str">
        <f>INDEX('Справочник Сети'!B:B,(MATCH(G512,'Справочник Сети'!C:C,0)))</f>
        <v>Планета здоровья</v>
      </c>
      <c r="J512" s="7" t="s">
        <v>121</v>
      </c>
      <c r="K512" s="7" t="s">
        <v>1339</v>
      </c>
      <c r="L512" s="7" t="s">
        <v>121</v>
      </c>
      <c r="M512" s="31">
        <v>45671</v>
      </c>
      <c r="N512" s="7" t="s">
        <v>1340</v>
      </c>
      <c r="O512" s="8">
        <v>469</v>
      </c>
      <c r="P512" s="24">
        <v>3644</v>
      </c>
      <c r="Q512" s="22">
        <f>IF(COUNTIFS(A$2:A512,A512,I$2:I512,I512)=1,1,0)</f>
        <v>0</v>
      </c>
      <c r="R512" s="22">
        <f t="shared" si="7"/>
        <v>5</v>
      </c>
      <c r="S512" s="33">
        <f>IF(COUNTIF(O$2:O512,O512)=1,R512,0)/2.5</f>
        <v>0</v>
      </c>
    </row>
    <row r="513" spans="1:19" ht="18" customHeight="1" x14ac:dyDescent="0.25">
      <c r="A513" s="7" t="s">
        <v>37</v>
      </c>
      <c r="B513" s="8">
        <v>1</v>
      </c>
      <c r="C513" s="9">
        <v>670</v>
      </c>
      <c r="D513" s="29">
        <f>C513+IF(INDEX('Справочник по %'!B:B,(MATCH(A513,'Справочник по %'!A:A,0)))="кол-во",B513*INDEX('Справочник по %'!C:C,(MATCH(A513,'Справочник по %'!A:A,0))),ОТЧЕТ!C513*INDEX('Справочник по %'!C:C,(MATCH(A513,'Справочник по %'!A:A,0))))/100</f>
        <v>670.2</v>
      </c>
      <c r="E513" s="29">
        <f>IF(ОТЧЕТ!A513="SKU3",C513+ОТЧЕТ!C513*0.2,C513+ОТЧЕТ!C513*0.15)</f>
        <v>770.5</v>
      </c>
      <c r="F513" s="7" t="s">
        <v>1341</v>
      </c>
      <c r="G513" s="7">
        <v>7814139847</v>
      </c>
      <c r="H513" s="20" t="s">
        <v>50</v>
      </c>
      <c r="I513" s="22" t="str">
        <f>INDEX('Справочник Сети'!B:B,(MATCH(G513,'Справочник Сети'!C:C,0)))</f>
        <v>Планета здоровья</v>
      </c>
      <c r="J513" s="7" t="s">
        <v>121</v>
      </c>
      <c r="K513" s="7" t="s">
        <v>1110</v>
      </c>
      <c r="L513" s="7" t="s">
        <v>121</v>
      </c>
      <c r="M513" s="31">
        <v>45671</v>
      </c>
      <c r="N513" s="7" t="s">
        <v>1342</v>
      </c>
      <c r="O513" s="8">
        <v>1067</v>
      </c>
      <c r="P513" s="24">
        <v>3646</v>
      </c>
      <c r="Q513" s="22">
        <f>IF(COUNTIFS(A$2:A513,A513,I$2:I513,I513)=1,1,0)</f>
        <v>0</v>
      </c>
      <c r="R513" s="22">
        <f t="shared" si="7"/>
        <v>4</v>
      </c>
      <c r="S513" s="33">
        <f>IF(COUNTIF(O$2:O513,O513)=1,R513,0)/2.5</f>
        <v>1.6</v>
      </c>
    </row>
    <row r="514" spans="1:19" ht="18" customHeight="1" x14ac:dyDescent="0.25">
      <c r="A514" s="7" t="s">
        <v>43</v>
      </c>
      <c r="B514" s="8">
        <v>1</v>
      </c>
      <c r="C514" s="9">
        <v>417</v>
      </c>
      <c r="D514" s="29">
        <f>C514+IF(INDEX('Справочник по %'!B:B,(MATCH(A514,'Справочник по %'!A:A,0)))="кол-во",B514*INDEX('Справочник по %'!C:C,(MATCH(A514,'Справочник по %'!A:A,0))),ОТЧЕТ!C514*INDEX('Справочник по %'!C:C,(MATCH(A514,'Справочник по %'!A:A,0))))/100</f>
        <v>458.7</v>
      </c>
      <c r="E514" s="29">
        <f>IF(ОТЧЕТ!A514="SKU3",C514+ОТЧЕТ!C514*0.2,C514+ОТЧЕТ!C514*0.15)</f>
        <v>479.55</v>
      </c>
      <c r="F514" s="7" t="s">
        <v>1343</v>
      </c>
      <c r="G514" s="7">
        <v>5906139794</v>
      </c>
      <c r="H514" s="20" t="s">
        <v>39</v>
      </c>
      <c r="I514" s="22">
        <f>INDEX('Справочник Сети'!B:B,(MATCH(G514,'Справочник Сети'!C:C,0)))</f>
        <v>0</v>
      </c>
      <c r="J514" s="7" t="s">
        <v>1344</v>
      </c>
      <c r="K514" s="7" t="s">
        <v>1345</v>
      </c>
      <c r="L514" s="7" t="s">
        <v>1346</v>
      </c>
      <c r="M514" s="31">
        <v>45706</v>
      </c>
      <c r="N514" s="7" t="s">
        <v>1347</v>
      </c>
      <c r="O514" s="8">
        <v>1241</v>
      </c>
      <c r="P514" s="24">
        <v>3651</v>
      </c>
      <c r="Q514" s="22">
        <f>IF(COUNTIFS(A$2:A514,A514,I$2:I514,I514)=1,1,0)</f>
        <v>0</v>
      </c>
      <c r="R514" s="22">
        <f t="shared" si="7"/>
        <v>1</v>
      </c>
      <c r="S514" s="33">
        <f>IF(COUNTIF(O$2:O514,O514)=1,R514,0)/2.5</f>
        <v>0.4</v>
      </c>
    </row>
    <row r="515" spans="1:19" ht="18" customHeight="1" x14ac:dyDescent="0.25">
      <c r="A515" s="7" t="s">
        <v>43</v>
      </c>
      <c r="B515" s="8">
        <v>1</v>
      </c>
      <c r="C515" s="9">
        <v>499</v>
      </c>
      <c r="D515" s="29">
        <f>C515+IF(INDEX('Справочник по %'!B:B,(MATCH(A515,'Справочник по %'!A:A,0)))="кол-во",B515*INDEX('Справочник по %'!C:C,(MATCH(A515,'Справочник по %'!A:A,0))),ОТЧЕТ!C515*INDEX('Справочник по %'!C:C,(MATCH(A515,'Справочник по %'!A:A,0))))/100</f>
        <v>548.9</v>
      </c>
      <c r="E515" s="29">
        <f>IF(ОТЧЕТ!A515="SKU3",C515+ОТЧЕТ!C515*0.2,C515+ОТЧЕТ!C515*0.15)</f>
        <v>573.85</v>
      </c>
      <c r="F515" s="7" t="s">
        <v>1348</v>
      </c>
      <c r="G515" s="7">
        <v>7820310299</v>
      </c>
      <c r="H515" s="20" t="s">
        <v>50</v>
      </c>
      <c r="I515" s="22">
        <f>INDEX('Справочник Сети'!B:B,(MATCH(G515,'Справочник Сети'!C:C,0)))</f>
        <v>0</v>
      </c>
      <c r="J515" s="7" t="s">
        <v>121</v>
      </c>
      <c r="K515" s="7" t="s">
        <v>1332</v>
      </c>
      <c r="L515" s="7" t="s">
        <v>121</v>
      </c>
      <c r="M515" s="31">
        <v>45671</v>
      </c>
      <c r="N515" s="7" t="s">
        <v>1349</v>
      </c>
      <c r="O515" s="8">
        <v>3385</v>
      </c>
      <c r="P515" s="24">
        <v>3658</v>
      </c>
      <c r="Q515" s="22">
        <f>IF(COUNTIFS(A$2:A515,A515,I$2:I515,I515)=1,1,0)</f>
        <v>0</v>
      </c>
      <c r="R515" s="22">
        <f t="shared" ref="R515:R578" si="8">COUNTIF(O:O,O515)</f>
        <v>5</v>
      </c>
      <c r="S515" s="33">
        <f>IF(COUNTIF(O$2:O515,O515)=1,R515,0)/2.5</f>
        <v>2</v>
      </c>
    </row>
    <row r="516" spans="1:19" ht="18" customHeight="1" x14ac:dyDescent="0.25">
      <c r="A516" s="7" t="s">
        <v>43</v>
      </c>
      <c r="B516" s="8">
        <v>1</v>
      </c>
      <c r="C516" s="9">
        <v>409</v>
      </c>
      <c r="D516" s="29">
        <f>C516+IF(INDEX('Справочник по %'!B:B,(MATCH(A516,'Справочник по %'!A:A,0)))="кол-во",B516*INDEX('Справочник по %'!C:C,(MATCH(A516,'Справочник по %'!A:A,0))),ОТЧЕТ!C516*INDEX('Справочник по %'!C:C,(MATCH(A516,'Справочник по %'!A:A,0))))/100</f>
        <v>449.9</v>
      </c>
      <c r="E516" s="29">
        <f>IF(ОТЧЕТ!A516="SKU3",C516+ОТЧЕТ!C516*0.2,C516+ОТЧЕТ!C516*0.15)</f>
        <v>470.35</v>
      </c>
      <c r="F516" s="7" t="s">
        <v>1348</v>
      </c>
      <c r="G516" s="7">
        <v>2543023195</v>
      </c>
      <c r="H516" s="20" t="s">
        <v>69</v>
      </c>
      <c r="I516" s="22" t="str">
        <f>INDEX('Справочник Сети'!B:B,(MATCH(G516,'Справочник Сети'!C:C,0)))</f>
        <v>36,6</v>
      </c>
      <c r="J516" s="7" t="s">
        <v>46</v>
      </c>
      <c r="K516" s="7" t="s">
        <v>1350</v>
      </c>
      <c r="L516" s="7" t="s">
        <v>46</v>
      </c>
      <c r="M516" s="31">
        <v>45726</v>
      </c>
      <c r="N516" s="7" t="s">
        <v>1351</v>
      </c>
      <c r="O516" s="8">
        <v>2731</v>
      </c>
      <c r="P516" s="24">
        <v>3663</v>
      </c>
      <c r="Q516" s="22">
        <f>IF(COUNTIFS(A$2:A516,A516,I$2:I516,I516)=1,1,0)</f>
        <v>0</v>
      </c>
      <c r="R516" s="22">
        <f t="shared" si="8"/>
        <v>1</v>
      </c>
      <c r="S516" s="33">
        <f>IF(COUNTIF(O$2:O516,O516)=1,R516,0)/2.5</f>
        <v>0.4</v>
      </c>
    </row>
    <row r="517" spans="1:19" ht="18" customHeight="1" x14ac:dyDescent="0.25">
      <c r="A517" s="7" t="s">
        <v>43</v>
      </c>
      <c r="B517" s="8">
        <v>1</v>
      </c>
      <c r="C517" s="9">
        <v>370</v>
      </c>
      <c r="D517" s="29">
        <f>C517+IF(INDEX('Справочник по %'!B:B,(MATCH(A517,'Справочник по %'!A:A,0)))="кол-во",B517*INDEX('Справочник по %'!C:C,(MATCH(A517,'Справочник по %'!A:A,0))),ОТЧЕТ!C517*INDEX('Справочник по %'!C:C,(MATCH(A517,'Справочник по %'!A:A,0))))/100</f>
        <v>407</v>
      </c>
      <c r="E517" s="29">
        <f>IF(ОТЧЕТ!A517="SKU3",C517+ОТЧЕТ!C517*0.2,C517+ОТЧЕТ!C517*0.15)</f>
        <v>425.5</v>
      </c>
      <c r="F517" s="7" t="s">
        <v>1348</v>
      </c>
      <c r="G517" s="7">
        <v>2225105670</v>
      </c>
      <c r="H517" s="20" t="s">
        <v>69</v>
      </c>
      <c r="I517" s="22" t="str">
        <f>INDEX('Справочник Сети'!B:B,(MATCH(G517,'Справочник Сети'!C:C,0)))</f>
        <v>Столички</v>
      </c>
      <c r="J517" s="7" t="s">
        <v>372</v>
      </c>
      <c r="K517" s="7" t="s">
        <v>1352</v>
      </c>
      <c r="L517" s="7" t="s">
        <v>372</v>
      </c>
      <c r="M517" s="31">
        <v>45730</v>
      </c>
      <c r="N517" s="7" t="s">
        <v>1353</v>
      </c>
      <c r="O517" s="8">
        <v>2919</v>
      </c>
      <c r="P517" s="24">
        <v>3667</v>
      </c>
      <c r="Q517" s="22">
        <f>IF(COUNTIFS(A$2:A517,A517,I$2:I517,I517)=1,1,0)</f>
        <v>0</v>
      </c>
      <c r="R517" s="22">
        <f t="shared" si="8"/>
        <v>8</v>
      </c>
      <c r="S517" s="33">
        <f>IF(COUNTIF(O$2:O517,O517)=1,R517,0)/2.5</f>
        <v>0</v>
      </c>
    </row>
    <row r="518" spans="1:19" ht="18" customHeight="1" x14ac:dyDescent="0.25">
      <c r="A518" s="7" t="s">
        <v>43</v>
      </c>
      <c r="B518" s="8">
        <v>1</v>
      </c>
      <c r="C518" s="9">
        <v>443</v>
      </c>
      <c r="D518" s="29">
        <f>C518+IF(INDEX('Справочник по %'!B:B,(MATCH(A518,'Справочник по %'!A:A,0)))="кол-во",B518*INDEX('Справочник по %'!C:C,(MATCH(A518,'Справочник по %'!A:A,0))),ОТЧЕТ!C518*INDEX('Справочник по %'!C:C,(MATCH(A518,'Справочник по %'!A:A,0))))/100</f>
        <v>487.3</v>
      </c>
      <c r="E518" s="29">
        <f>IF(ОТЧЕТ!A518="SKU3",C518+ОТЧЕТ!C518*0.2,C518+ОТЧЕТ!C518*0.15)</f>
        <v>509.45</v>
      </c>
      <c r="F518" s="7" t="s">
        <v>1354</v>
      </c>
      <c r="G518" s="7">
        <v>2222896536</v>
      </c>
      <c r="H518" s="20" t="s">
        <v>50</v>
      </c>
      <c r="I518" s="22" t="str">
        <f>INDEX('Справочник Сети'!B:B,(MATCH(G518,'Справочник Сети'!C:C,0)))</f>
        <v>Нео-фарм</v>
      </c>
      <c r="J518" s="7" t="s">
        <v>372</v>
      </c>
      <c r="K518" s="7" t="s">
        <v>1355</v>
      </c>
      <c r="L518" s="7" t="s">
        <v>372</v>
      </c>
      <c r="M518" s="31">
        <v>45730</v>
      </c>
      <c r="N518" s="7" t="s">
        <v>1356</v>
      </c>
      <c r="O518" s="8">
        <v>1918</v>
      </c>
      <c r="P518" s="24">
        <v>3678</v>
      </c>
      <c r="Q518" s="22">
        <f>IF(COUNTIFS(A$2:A518,A518,I$2:I518,I518)=1,1,0)</f>
        <v>0</v>
      </c>
      <c r="R518" s="22">
        <f t="shared" si="8"/>
        <v>13</v>
      </c>
      <c r="S518" s="33">
        <f>IF(COUNTIF(O$2:O518,O518)=1,R518,0)/2.5</f>
        <v>5.2</v>
      </c>
    </row>
    <row r="519" spans="1:19" ht="18" customHeight="1" x14ac:dyDescent="0.25">
      <c r="A519" s="7" t="s">
        <v>43</v>
      </c>
      <c r="B519" s="8">
        <v>1</v>
      </c>
      <c r="C519" s="9">
        <v>430</v>
      </c>
      <c r="D519" s="29">
        <f>C519+IF(INDEX('Справочник по %'!B:B,(MATCH(A519,'Справочник по %'!A:A,0)))="кол-во",B519*INDEX('Справочник по %'!C:C,(MATCH(A519,'Справочник по %'!A:A,0))),ОТЧЕТ!C519*INDEX('Справочник по %'!C:C,(MATCH(A519,'Справочник по %'!A:A,0))))/100</f>
        <v>473</v>
      </c>
      <c r="E519" s="29">
        <f>IF(ОТЧЕТ!A519="SKU3",C519+ОТЧЕТ!C519*0.2,C519+ОТЧЕТ!C519*0.15)</f>
        <v>494.5</v>
      </c>
      <c r="F519" s="7" t="s">
        <v>1354</v>
      </c>
      <c r="G519" s="7">
        <v>3808198075</v>
      </c>
      <c r="H519" s="20" t="s">
        <v>1357</v>
      </c>
      <c r="I519" s="22">
        <f>INDEX('Справочник Сети'!B:B,(MATCH(G519,'Справочник Сети'!C:C,0)))</f>
        <v>0</v>
      </c>
      <c r="J519" s="7" t="s">
        <v>155</v>
      </c>
      <c r="K519" s="7" t="s">
        <v>1358</v>
      </c>
      <c r="L519" s="7" t="s">
        <v>155</v>
      </c>
      <c r="M519" s="31">
        <v>45716</v>
      </c>
      <c r="N519" s="7" t="s">
        <v>1359</v>
      </c>
      <c r="O519" s="8">
        <v>1519</v>
      </c>
      <c r="P519" s="24">
        <v>3680</v>
      </c>
      <c r="Q519" s="22">
        <f>IF(COUNTIFS(A$2:A519,A519,I$2:I519,I519)=1,1,0)</f>
        <v>0</v>
      </c>
      <c r="R519" s="22">
        <f t="shared" si="8"/>
        <v>1</v>
      </c>
      <c r="S519" s="33">
        <f>IF(COUNTIF(O$2:O519,O519)=1,R519,0)/2.5</f>
        <v>0.4</v>
      </c>
    </row>
    <row r="520" spans="1:19" ht="18" customHeight="1" x14ac:dyDescent="0.25">
      <c r="A520" s="7" t="s">
        <v>37</v>
      </c>
      <c r="B520" s="8">
        <v>1</v>
      </c>
      <c r="C520" s="9">
        <v>694</v>
      </c>
      <c r="D520" s="29">
        <f>C520+IF(INDEX('Справочник по %'!B:B,(MATCH(A520,'Справочник по %'!A:A,0)))="кол-во",B520*INDEX('Справочник по %'!C:C,(MATCH(A520,'Справочник по %'!A:A,0))),ОТЧЕТ!C520*INDEX('Справочник по %'!C:C,(MATCH(A520,'Справочник по %'!A:A,0))))/100</f>
        <v>694.2</v>
      </c>
      <c r="E520" s="29">
        <f>IF(ОТЧЕТ!A520="SKU3",C520+ОТЧЕТ!C520*0.2,C520+ОТЧЕТ!C520*0.15)</f>
        <v>798.1</v>
      </c>
      <c r="F520" s="7" t="s">
        <v>1360</v>
      </c>
      <c r="G520" s="7">
        <v>4202029419</v>
      </c>
      <c r="H520" s="20" t="s">
        <v>69</v>
      </c>
      <c r="I520" s="22">
        <f>INDEX('Справочник Сети'!B:B,(MATCH(G520,'Справочник Сети'!C:C,0)))</f>
        <v>0</v>
      </c>
      <c r="J520" s="7" t="s">
        <v>155</v>
      </c>
      <c r="K520" s="7" t="s">
        <v>1361</v>
      </c>
      <c r="L520" s="7" t="s">
        <v>155</v>
      </c>
      <c r="M520" s="31">
        <v>45716</v>
      </c>
      <c r="N520" s="7" t="s">
        <v>1362</v>
      </c>
      <c r="O520" s="8">
        <v>2398</v>
      </c>
      <c r="P520" s="24">
        <v>3682</v>
      </c>
      <c r="Q520" s="22">
        <f>IF(COUNTIFS(A$2:A520,A520,I$2:I520,I520)=1,1,0)</f>
        <v>0</v>
      </c>
      <c r="R520" s="22">
        <f t="shared" si="8"/>
        <v>2</v>
      </c>
      <c r="S520" s="33">
        <f>IF(COUNTIF(O$2:O520,O520)=1,R520,0)/2.5</f>
        <v>0.8</v>
      </c>
    </row>
    <row r="521" spans="1:19" ht="18" customHeight="1" x14ac:dyDescent="0.25">
      <c r="A521" s="7" t="s">
        <v>43</v>
      </c>
      <c r="B521" s="8">
        <v>1</v>
      </c>
      <c r="C521" s="9">
        <v>479</v>
      </c>
      <c r="D521" s="29">
        <f>C521+IF(INDEX('Справочник по %'!B:B,(MATCH(A521,'Справочник по %'!A:A,0)))="кол-во",B521*INDEX('Справочник по %'!C:C,(MATCH(A521,'Справочник по %'!A:A,0))),ОТЧЕТ!C521*INDEX('Справочник по %'!C:C,(MATCH(A521,'Справочник по %'!A:A,0))))/100</f>
        <v>526.9</v>
      </c>
      <c r="E521" s="29">
        <f>IF(ОТЧЕТ!A521="SKU3",C521+ОТЧЕТ!C521*0.2,C521+ОТЧЕТ!C521*0.15)</f>
        <v>550.85</v>
      </c>
      <c r="F521" s="7" t="s">
        <v>1363</v>
      </c>
      <c r="G521" s="7">
        <v>2539096225</v>
      </c>
      <c r="H521" s="20" t="s">
        <v>1364</v>
      </c>
      <c r="I521" s="22" t="str">
        <f>INDEX('Справочник Сети'!B:B,(MATCH(G521,'Справочник Сети'!C:C,0)))</f>
        <v>36,6</v>
      </c>
      <c r="J521" s="7" t="s">
        <v>46</v>
      </c>
      <c r="K521" s="7" t="s">
        <v>1365</v>
      </c>
      <c r="L521" s="7" t="s">
        <v>46</v>
      </c>
      <c r="M521" s="31">
        <v>45726</v>
      </c>
      <c r="N521" s="7" t="s">
        <v>1366</v>
      </c>
      <c r="O521" s="8">
        <v>1961</v>
      </c>
      <c r="P521" s="24">
        <v>3684</v>
      </c>
      <c r="Q521" s="22">
        <f>IF(COUNTIFS(A$2:A521,A521,I$2:I521,I521)=1,1,0)</f>
        <v>0</v>
      </c>
      <c r="R521" s="22">
        <f t="shared" si="8"/>
        <v>2</v>
      </c>
      <c r="S521" s="33">
        <f>IF(COUNTIF(O$2:O521,O521)=1,R521,0)/2.5</f>
        <v>0.8</v>
      </c>
    </row>
    <row r="522" spans="1:19" ht="18" customHeight="1" x14ac:dyDescent="0.25">
      <c r="A522" s="7" t="s">
        <v>43</v>
      </c>
      <c r="B522" s="8">
        <v>1</v>
      </c>
      <c r="C522" s="9">
        <v>479</v>
      </c>
      <c r="D522" s="29">
        <f>C522+IF(INDEX('Справочник по %'!B:B,(MATCH(A522,'Справочник по %'!A:A,0)))="кол-во",B522*INDEX('Справочник по %'!C:C,(MATCH(A522,'Справочник по %'!A:A,0))),ОТЧЕТ!C522*INDEX('Справочник по %'!C:C,(MATCH(A522,'Справочник по %'!A:A,0))))/100</f>
        <v>526.9</v>
      </c>
      <c r="E522" s="29">
        <f>IF(ОТЧЕТ!A522="SKU3",C522+ОТЧЕТ!C522*0.2,C522+ОТЧЕТ!C522*0.15)</f>
        <v>550.85</v>
      </c>
      <c r="F522" s="7" t="s">
        <v>1363</v>
      </c>
      <c r="G522" s="7">
        <v>2543102471</v>
      </c>
      <c r="H522" s="20" t="s">
        <v>1050</v>
      </c>
      <c r="I522" s="22" t="str">
        <f>INDEX('Справочник Сети'!B:B,(MATCH(G522,'Справочник Сети'!C:C,0)))</f>
        <v>Столички</v>
      </c>
      <c r="J522" s="7" t="s">
        <v>46</v>
      </c>
      <c r="K522" s="7" t="s">
        <v>581</v>
      </c>
      <c r="L522" s="7" t="s">
        <v>46</v>
      </c>
      <c r="M522" s="31">
        <v>45726</v>
      </c>
      <c r="N522" s="7" t="s">
        <v>1367</v>
      </c>
      <c r="O522" s="8">
        <v>946</v>
      </c>
      <c r="P522" s="24">
        <v>3688</v>
      </c>
      <c r="Q522" s="22">
        <f>IF(COUNTIFS(A$2:A522,A522,I$2:I522,I522)=1,1,0)</f>
        <v>0</v>
      </c>
      <c r="R522" s="22">
        <f t="shared" si="8"/>
        <v>2</v>
      </c>
      <c r="S522" s="33">
        <f>IF(COUNTIF(O$2:O522,O522)=1,R522,0)/2.5</f>
        <v>0.8</v>
      </c>
    </row>
    <row r="523" spans="1:19" ht="18" customHeight="1" x14ac:dyDescent="0.25">
      <c r="A523" s="7" t="s">
        <v>43</v>
      </c>
      <c r="B523" s="8">
        <v>1</v>
      </c>
      <c r="C523" s="9">
        <v>580</v>
      </c>
      <c r="D523" s="29">
        <f>C523+IF(INDEX('Справочник по %'!B:B,(MATCH(A523,'Справочник по %'!A:A,0)))="кол-во",B523*INDEX('Справочник по %'!C:C,(MATCH(A523,'Справочник по %'!A:A,0))),ОТЧЕТ!C523*INDEX('Справочник по %'!C:C,(MATCH(A523,'Справочник по %'!A:A,0))))/100</f>
        <v>638</v>
      </c>
      <c r="E523" s="29">
        <f>IF(ОТЧЕТ!A523="SKU3",C523+ОТЧЕТ!C523*0.2,C523+ОТЧЕТ!C523*0.15)</f>
        <v>667</v>
      </c>
      <c r="F523" s="7" t="s">
        <v>1363</v>
      </c>
      <c r="G523" s="7">
        <v>2543081856</v>
      </c>
      <c r="H523" s="20" t="s">
        <v>50</v>
      </c>
      <c r="I523" s="22" t="str">
        <f>INDEX('Справочник Сети'!B:B,(MATCH(G523,'Справочник Сети'!C:C,0)))</f>
        <v>Планета здоровья</v>
      </c>
      <c r="J523" s="7" t="s">
        <v>46</v>
      </c>
      <c r="K523" s="7" t="s">
        <v>1368</v>
      </c>
      <c r="L523" s="7" t="s">
        <v>46</v>
      </c>
      <c r="M523" s="31">
        <v>45726</v>
      </c>
      <c r="N523" s="7" t="s">
        <v>1369</v>
      </c>
      <c r="O523" s="8">
        <v>2612</v>
      </c>
      <c r="P523" s="24">
        <v>3689</v>
      </c>
      <c r="Q523" s="22">
        <f>IF(COUNTIFS(A$2:A523,A523,I$2:I523,I523)=1,1,0)</f>
        <v>0</v>
      </c>
      <c r="R523" s="22">
        <f t="shared" si="8"/>
        <v>1</v>
      </c>
      <c r="S523" s="33">
        <f>IF(COUNTIF(O$2:O523,O523)=1,R523,0)/2.5</f>
        <v>0.4</v>
      </c>
    </row>
    <row r="524" spans="1:19" ht="18" customHeight="1" x14ac:dyDescent="0.25">
      <c r="A524" s="7" t="s">
        <v>43</v>
      </c>
      <c r="B524" s="8">
        <v>1</v>
      </c>
      <c r="C524" s="9">
        <v>367</v>
      </c>
      <c r="D524" s="29">
        <f>C524+IF(INDEX('Справочник по %'!B:B,(MATCH(A524,'Справочник по %'!A:A,0)))="кол-во",B524*INDEX('Справочник по %'!C:C,(MATCH(A524,'Справочник по %'!A:A,0))),ОТЧЕТ!C524*INDEX('Справочник по %'!C:C,(MATCH(A524,'Справочник по %'!A:A,0))))/100</f>
        <v>403.7</v>
      </c>
      <c r="E524" s="29">
        <f>IF(ОТЧЕТ!A524="SKU3",C524+ОТЧЕТ!C524*0.2,C524+ОТЧЕТ!C524*0.15)</f>
        <v>422.05</v>
      </c>
      <c r="F524" s="7" t="s">
        <v>1370</v>
      </c>
      <c r="G524" s="7">
        <v>744708719394</v>
      </c>
      <c r="H524" s="20" t="s">
        <v>50</v>
      </c>
      <c r="I524" s="22">
        <f>INDEX('Справочник Сети'!B:B,(MATCH(G524,'Справочник Сети'!C:C,0)))</f>
        <v>0</v>
      </c>
      <c r="J524" s="7" t="s">
        <v>322</v>
      </c>
      <c r="K524" s="7" t="s">
        <v>1371</v>
      </c>
      <c r="L524" s="7" t="s">
        <v>322</v>
      </c>
      <c r="M524" s="31">
        <v>45658</v>
      </c>
      <c r="N524" s="7" t="s">
        <v>1372</v>
      </c>
      <c r="O524" s="8">
        <v>2757</v>
      </c>
      <c r="P524" s="24">
        <v>3696</v>
      </c>
      <c r="Q524" s="22">
        <f>IF(COUNTIFS(A$2:A524,A524,I$2:I524,I524)=1,1,0)</f>
        <v>0</v>
      </c>
      <c r="R524" s="22">
        <f t="shared" si="8"/>
        <v>3</v>
      </c>
      <c r="S524" s="33">
        <f>IF(COUNTIF(O$2:O524,O524)=1,R524,0)/2.5</f>
        <v>1.2</v>
      </c>
    </row>
    <row r="525" spans="1:19" ht="18" customHeight="1" x14ac:dyDescent="0.25">
      <c r="A525" s="7" t="s">
        <v>43</v>
      </c>
      <c r="B525" s="8">
        <v>1</v>
      </c>
      <c r="C525" s="9">
        <v>557</v>
      </c>
      <c r="D525" s="29">
        <f>C525+IF(INDEX('Справочник по %'!B:B,(MATCH(A525,'Справочник по %'!A:A,0)))="кол-во",B525*INDEX('Справочник по %'!C:C,(MATCH(A525,'Справочник по %'!A:A,0))),ОТЧЕТ!C525*INDEX('Справочник по %'!C:C,(MATCH(A525,'Справочник по %'!A:A,0))))/100</f>
        <v>612.70000000000005</v>
      </c>
      <c r="E525" s="29">
        <f>IF(ОТЧЕТ!A525="SKU3",C525+ОТЧЕТ!C525*0.2,C525+ОТЧЕТ!C525*0.15)</f>
        <v>640.54999999999995</v>
      </c>
      <c r="F525" s="7" t="s">
        <v>1370</v>
      </c>
      <c r="G525" s="7">
        <v>2308209746</v>
      </c>
      <c r="H525" s="20" t="s">
        <v>50</v>
      </c>
      <c r="I525" s="22">
        <f>INDEX('Справочник Сети'!B:B,(MATCH(G525,'Справочник Сети'!C:C,0)))</f>
        <v>0</v>
      </c>
      <c r="J525" s="7" t="s">
        <v>57</v>
      </c>
      <c r="K525" s="7" t="s">
        <v>1373</v>
      </c>
      <c r="L525" s="7" t="s">
        <v>57</v>
      </c>
      <c r="M525" s="31">
        <v>45729</v>
      </c>
      <c r="N525" s="7" t="s">
        <v>1374</v>
      </c>
      <c r="O525" s="8">
        <v>2277</v>
      </c>
      <c r="P525" s="24">
        <v>3698</v>
      </c>
      <c r="Q525" s="22">
        <f>IF(COUNTIFS(A$2:A525,A525,I$2:I525,I525)=1,1,0)</f>
        <v>0</v>
      </c>
      <c r="R525" s="22">
        <f t="shared" si="8"/>
        <v>1</v>
      </c>
      <c r="S525" s="33">
        <f>IF(COUNTIF(O$2:O525,O525)=1,R525,0)/2.5</f>
        <v>0.4</v>
      </c>
    </row>
    <row r="526" spans="1:19" ht="18" customHeight="1" x14ac:dyDescent="0.25">
      <c r="A526" s="7" t="s">
        <v>43</v>
      </c>
      <c r="B526" s="8">
        <v>1</v>
      </c>
      <c r="C526" s="9">
        <v>441</v>
      </c>
      <c r="D526" s="29">
        <f>C526+IF(INDEX('Справочник по %'!B:B,(MATCH(A526,'Справочник по %'!A:A,0)))="кол-во",B526*INDEX('Справочник по %'!C:C,(MATCH(A526,'Справочник по %'!A:A,0))),ОТЧЕТ!C526*INDEX('Справочник по %'!C:C,(MATCH(A526,'Справочник по %'!A:A,0))))/100</f>
        <v>485.1</v>
      </c>
      <c r="E526" s="29">
        <f>IF(ОТЧЕТ!A526="SKU3",C526+ОТЧЕТ!C526*0.2,C526+ОТЧЕТ!C526*0.15)</f>
        <v>507.15</v>
      </c>
      <c r="F526" s="7" t="s">
        <v>1370</v>
      </c>
      <c r="G526" s="7">
        <v>2466283527</v>
      </c>
      <c r="H526" s="20" t="s">
        <v>69</v>
      </c>
      <c r="I526" s="22">
        <f>INDEX('Справочник Сети'!B:B,(MATCH(G526,'Справочник Сети'!C:C,0)))</f>
        <v>0</v>
      </c>
      <c r="J526" s="7" t="s">
        <v>96</v>
      </c>
      <c r="K526" s="7" t="s">
        <v>957</v>
      </c>
      <c r="L526" s="7" t="s">
        <v>96</v>
      </c>
      <c r="M526" s="31">
        <v>45727</v>
      </c>
      <c r="N526" s="7" t="s">
        <v>1375</v>
      </c>
      <c r="O526" s="8">
        <v>334</v>
      </c>
      <c r="P526" s="24">
        <v>3701</v>
      </c>
      <c r="Q526" s="22">
        <f>IF(COUNTIFS(A$2:A526,A526,I$2:I526,I526)=1,1,0)</f>
        <v>0</v>
      </c>
      <c r="R526" s="22">
        <f t="shared" si="8"/>
        <v>2</v>
      </c>
      <c r="S526" s="33">
        <f>IF(COUNTIF(O$2:O526,O526)=1,R526,0)/2.5</f>
        <v>0.8</v>
      </c>
    </row>
    <row r="527" spans="1:19" ht="18" customHeight="1" x14ac:dyDescent="0.25">
      <c r="A527" s="7" t="s">
        <v>37</v>
      </c>
      <c r="B527" s="8">
        <v>1</v>
      </c>
      <c r="C527" s="9">
        <v>510</v>
      </c>
      <c r="D527" s="29">
        <f>C527+IF(INDEX('Справочник по %'!B:B,(MATCH(A527,'Справочник по %'!A:A,0)))="кол-во",B527*INDEX('Справочник по %'!C:C,(MATCH(A527,'Справочник по %'!A:A,0))),ОТЧЕТ!C527*INDEX('Справочник по %'!C:C,(MATCH(A527,'Справочник по %'!A:A,0))))/100</f>
        <v>510.2</v>
      </c>
      <c r="E527" s="29">
        <f>IF(ОТЧЕТ!A527="SKU3",C527+ОТЧЕТ!C527*0.2,C527+ОТЧЕТ!C527*0.15)</f>
        <v>586.5</v>
      </c>
      <c r="F527" s="7" t="s">
        <v>1370</v>
      </c>
      <c r="G527" s="7">
        <v>2464263772</v>
      </c>
      <c r="H527" s="20" t="s">
        <v>1376</v>
      </c>
      <c r="I527" s="22">
        <f>INDEX('Справочник Сети'!B:B,(MATCH(G527,'Справочник Сети'!C:C,0)))</f>
        <v>0</v>
      </c>
      <c r="J527" s="7" t="s">
        <v>96</v>
      </c>
      <c r="K527" s="7" t="s">
        <v>688</v>
      </c>
      <c r="L527" s="7" t="s">
        <v>96</v>
      </c>
      <c r="M527" s="31">
        <v>45727</v>
      </c>
      <c r="N527" s="7" t="s">
        <v>1377</v>
      </c>
      <c r="O527" s="8">
        <v>1493</v>
      </c>
      <c r="P527" s="24">
        <v>3704</v>
      </c>
      <c r="Q527" s="22">
        <f>IF(COUNTIFS(A$2:A527,A527,I$2:I527,I527)=1,1,0)</f>
        <v>0</v>
      </c>
      <c r="R527" s="22">
        <f t="shared" si="8"/>
        <v>1</v>
      </c>
      <c r="S527" s="33">
        <f>IF(COUNTIF(O$2:O527,O527)=1,R527,0)/2.5</f>
        <v>0.4</v>
      </c>
    </row>
    <row r="528" spans="1:19" ht="18" customHeight="1" x14ac:dyDescent="0.25">
      <c r="A528" s="7" t="s">
        <v>43</v>
      </c>
      <c r="B528" s="8">
        <v>1</v>
      </c>
      <c r="C528" s="9">
        <v>471</v>
      </c>
      <c r="D528" s="29">
        <f>C528+IF(INDEX('Справочник по %'!B:B,(MATCH(A528,'Справочник по %'!A:A,0)))="кол-во",B528*INDEX('Справочник по %'!C:C,(MATCH(A528,'Справочник по %'!A:A,0))),ОТЧЕТ!C528*INDEX('Справочник по %'!C:C,(MATCH(A528,'Справочник по %'!A:A,0))))/100</f>
        <v>518.1</v>
      </c>
      <c r="E528" s="29">
        <f>IF(ОТЧЕТ!A528="SKU3",C528+ОТЧЕТ!C528*0.2,C528+ОТЧЕТ!C528*0.15)</f>
        <v>541.65</v>
      </c>
      <c r="F528" s="7" t="s">
        <v>1378</v>
      </c>
      <c r="G528" s="7">
        <v>7732121736</v>
      </c>
      <c r="H528" s="20" t="s">
        <v>1379</v>
      </c>
      <c r="I528" s="22" t="str">
        <f>INDEX('Справочник Сети'!B:B,(MATCH(G528,'Справочник Сети'!C:C,0)))</f>
        <v>Планета здоровья</v>
      </c>
      <c r="J528" s="7" t="s">
        <v>149</v>
      </c>
      <c r="K528" s="7" t="s">
        <v>1380</v>
      </c>
      <c r="L528" s="7" t="s">
        <v>149</v>
      </c>
      <c r="M528" s="31">
        <v>45673</v>
      </c>
      <c r="N528" s="7" t="s">
        <v>1381</v>
      </c>
      <c r="O528" s="8">
        <v>1396</v>
      </c>
      <c r="P528" s="24">
        <v>3708</v>
      </c>
      <c r="Q528" s="22">
        <f>IF(COUNTIFS(A$2:A528,A528,I$2:I528,I528)=1,1,0)</f>
        <v>0</v>
      </c>
      <c r="R528" s="22">
        <f t="shared" si="8"/>
        <v>6</v>
      </c>
      <c r="S528" s="33">
        <f>IF(COUNTIF(O$2:O528,O528)=1,R528,0)/2.5</f>
        <v>2.4</v>
      </c>
    </row>
    <row r="529" spans="1:19" ht="18" customHeight="1" x14ac:dyDescent="0.25">
      <c r="A529" s="7" t="s">
        <v>43</v>
      </c>
      <c r="B529" s="8">
        <v>1</v>
      </c>
      <c r="C529" s="9">
        <v>535</v>
      </c>
      <c r="D529" s="29">
        <f>C529+IF(INDEX('Справочник по %'!B:B,(MATCH(A529,'Справочник по %'!A:A,0)))="кол-во",B529*INDEX('Справочник по %'!C:C,(MATCH(A529,'Справочник по %'!A:A,0))),ОТЧЕТ!C529*INDEX('Справочник по %'!C:C,(MATCH(A529,'Справочник по %'!A:A,0))))/100</f>
        <v>588.5</v>
      </c>
      <c r="E529" s="29">
        <f>IF(ОТЧЕТ!A529="SKU3",C529+ОТЧЕТ!C529*0.2,C529+ОТЧЕТ!C529*0.15)</f>
        <v>615.25</v>
      </c>
      <c r="F529" s="7" t="s">
        <v>1378</v>
      </c>
      <c r="G529" s="7">
        <v>7732121736</v>
      </c>
      <c r="H529" s="20" t="s">
        <v>1382</v>
      </c>
      <c r="I529" s="22" t="str">
        <f>INDEX('Справочник Сети'!B:B,(MATCH(G529,'Справочник Сети'!C:C,0)))</f>
        <v>Планета здоровья</v>
      </c>
      <c r="J529" s="7" t="s">
        <v>149</v>
      </c>
      <c r="K529" s="7" t="s">
        <v>1383</v>
      </c>
      <c r="L529" s="7" t="s">
        <v>149</v>
      </c>
      <c r="M529" s="31">
        <v>45673</v>
      </c>
      <c r="N529" s="7" t="s">
        <v>1384</v>
      </c>
      <c r="O529" s="8">
        <v>1632</v>
      </c>
      <c r="P529" s="24">
        <v>3709</v>
      </c>
      <c r="Q529" s="22">
        <f>IF(COUNTIFS(A$2:A529,A529,I$2:I529,I529)=1,1,0)</f>
        <v>0</v>
      </c>
      <c r="R529" s="22">
        <f t="shared" si="8"/>
        <v>1</v>
      </c>
      <c r="S529" s="33">
        <f>IF(COUNTIF(O$2:O529,O529)=1,R529,0)/2.5</f>
        <v>0.4</v>
      </c>
    </row>
    <row r="530" spans="1:19" ht="18" customHeight="1" x14ac:dyDescent="0.25">
      <c r="A530" s="7" t="s">
        <v>43</v>
      </c>
      <c r="B530" s="8">
        <v>1</v>
      </c>
      <c r="C530" s="9">
        <v>408.5</v>
      </c>
      <c r="D530" s="29">
        <f>C530+IF(INDEX('Справочник по %'!B:B,(MATCH(A530,'Справочник по %'!A:A,0)))="кол-во",B530*INDEX('Справочник по %'!C:C,(MATCH(A530,'Справочник по %'!A:A,0))),ОТЧЕТ!C530*INDEX('Справочник по %'!C:C,(MATCH(A530,'Справочник по %'!A:A,0))))/100</f>
        <v>449.35</v>
      </c>
      <c r="E530" s="29">
        <f>IF(ОТЧЕТ!A530="SKU3",C530+ОТЧЕТ!C530*0.2,C530+ОТЧЕТ!C530*0.15)</f>
        <v>469.77499999999998</v>
      </c>
      <c r="F530" s="7" t="s">
        <v>1378</v>
      </c>
      <c r="G530" s="7">
        <v>9102213935</v>
      </c>
      <c r="H530" s="20" t="s">
        <v>1385</v>
      </c>
      <c r="I530" s="22" t="str">
        <f>INDEX('Справочник Сети'!B:B,(MATCH(G530,'Справочник Сети'!C:C,0)))</f>
        <v>Ригла</v>
      </c>
      <c r="J530" s="7" t="s">
        <v>315</v>
      </c>
      <c r="K530" s="7" t="s">
        <v>1386</v>
      </c>
      <c r="L530" s="7" t="s">
        <v>315</v>
      </c>
      <c r="M530" s="31">
        <v>45670</v>
      </c>
      <c r="N530" s="7" t="s">
        <v>1387</v>
      </c>
      <c r="O530" s="8">
        <v>3674</v>
      </c>
      <c r="P530" s="24">
        <v>3712</v>
      </c>
      <c r="Q530" s="22">
        <f>IF(COUNTIFS(A$2:A530,A530,I$2:I530,I530)=1,1,0)</f>
        <v>0</v>
      </c>
      <c r="R530" s="22">
        <f t="shared" si="8"/>
        <v>1</v>
      </c>
      <c r="S530" s="33">
        <f>IF(COUNTIF(O$2:O530,O530)=1,R530,0)/2.5</f>
        <v>0.4</v>
      </c>
    </row>
    <row r="531" spans="1:19" ht="18" customHeight="1" x14ac:dyDescent="0.25">
      <c r="A531" s="7" t="s">
        <v>43</v>
      </c>
      <c r="B531" s="8">
        <v>1</v>
      </c>
      <c r="C531" s="9">
        <v>401</v>
      </c>
      <c r="D531" s="29">
        <f>C531+IF(INDEX('Справочник по %'!B:B,(MATCH(A531,'Справочник по %'!A:A,0)))="кол-во",B531*INDEX('Справочник по %'!C:C,(MATCH(A531,'Справочник по %'!A:A,0))),ОТЧЕТ!C531*INDEX('Справочник по %'!C:C,(MATCH(A531,'Справочник по %'!A:A,0))))/100</f>
        <v>441.1</v>
      </c>
      <c r="E531" s="29">
        <f>IF(ОТЧЕТ!A531="SKU3",C531+ОТЧЕТ!C531*0.2,C531+ОТЧЕТ!C531*0.15)</f>
        <v>461.15</v>
      </c>
      <c r="F531" s="7" t="s">
        <v>1378</v>
      </c>
      <c r="G531" s="7">
        <v>7705947629</v>
      </c>
      <c r="H531" s="20" t="s">
        <v>50</v>
      </c>
      <c r="I531" s="22" t="str">
        <f>INDEX('Справочник Сети'!B:B,(MATCH(G531,'Справочник Сети'!C:C,0)))</f>
        <v>36,6</v>
      </c>
      <c r="J531" s="7" t="s">
        <v>116</v>
      </c>
      <c r="K531" s="7" t="s">
        <v>1388</v>
      </c>
      <c r="L531" s="7" t="s">
        <v>116</v>
      </c>
      <c r="M531" s="31">
        <v>45692</v>
      </c>
      <c r="N531" s="7" t="s">
        <v>1389</v>
      </c>
      <c r="O531" s="8">
        <v>3813</v>
      </c>
      <c r="P531" s="24">
        <v>3716</v>
      </c>
      <c r="Q531" s="22">
        <f>IF(COUNTIFS(A$2:A531,A531,I$2:I531,I531)=1,1,0)</f>
        <v>0</v>
      </c>
      <c r="R531" s="22">
        <f t="shared" si="8"/>
        <v>3</v>
      </c>
      <c r="S531" s="33">
        <f>IF(COUNTIF(O$2:O531,O531)=1,R531,0)/2.5</f>
        <v>1.2</v>
      </c>
    </row>
    <row r="532" spans="1:19" ht="18" customHeight="1" x14ac:dyDescent="0.25">
      <c r="A532" s="7" t="s">
        <v>43</v>
      </c>
      <c r="B532" s="8">
        <v>1</v>
      </c>
      <c r="C532" s="9">
        <v>509</v>
      </c>
      <c r="D532" s="29">
        <f>C532+IF(INDEX('Справочник по %'!B:B,(MATCH(A532,'Справочник по %'!A:A,0)))="кол-во",B532*INDEX('Справочник по %'!C:C,(MATCH(A532,'Справочник по %'!A:A,0))),ОТЧЕТ!C532*INDEX('Справочник по %'!C:C,(MATCH(A532,'Справочник по %'!A:A,0))))/100</f>
        <v>559.9</v>
      </c>
      <c r="E532" s="29">
        <f>IF(ОТЧЕТ!A532="SKU3",C532+ОТЧЕТ!C532*0.2,C532+ОТЧЕТ!C532*0.15)</f>
        <v>585.35</v>
      </c>
      <c r="F532" s="7" t="s">
        <v>1390</v>
      </c>
      <c r="G532" s="7">
        <v>2309136755</v>
      </c>
      <c r="H532" s="20" t="s">
        <v>50</v>
      </c>
      <c r="I532" s="22" t="str">
        <f>INDEX('Справочник Сети'!B:B,(MATCH(G532,'Справочник Сети'!C:C,0)))</f>
        <v>Столички</v>
      </c>
      <c r="J532" s="7" t="s">
        <v>57</v>
      </c>
      <c r="K532" s="7" t="s">
        <v>1068</v>
      </c>
      <c r="L532" s="7" t="s">
        <v>57</v>
      </c>
      <c r="M532" s="31">
        <v>45729</v>
      </c>
      <c r="N532" s="7" t="s">
        <v>1391</v>
      </c>
      <c r="O532" s="8">
        <v>1577</v>
      </c>
      <c r="P532" s="24">
        <v>3721</v>
      </c>
      <c r="Q532" s="22">
        <f>IF(COUNTIFS(A$2:A532,A532,I$2:I532,I532)=1,1,0)</f>
        <v>0</v>
      </c>
      <c r="R532" s="22">
        <f t="shared" si="8"/>
        <v>5</v>
      </c>
      <c r="S532" s="33">
        <f>IF(COUNTIF(O$2:O532,O532)=1,R532,0)/2.5</f>
        <v>0</v>
      </c>
    </row>
    <row r="533" spans="1:19" ht="18" customHeight="1" x14ac:dyDescent="0.25">
      <c r="A533" s="7" t="s">
        <v>43</v>
      </c>
      <c r="B533" s="8">
        <v>1</v>
      </c>
      <c r="C533" s="9">
        <v>399.5</v>
      </c>
      <c r="D533" s="29">
        <f>C533+IF(INDEX('Справочник по %'!B:B,(MATCH(A533,'Справочник по %'!A:A,0)))="кол-во",B533*INDEX('Справочник по %'!C:C,(MATCH(A533,'Справочник по %'!A:A,0))),ОТЧЕТ!C533*INDEX('Справочник по %'!C:C,(MATCH(A533,'Справочник по %'!A:A,0))))/100</f>
        <v>439.45</v>
      </c>
      <c r="E533" s="29">
        <f>IF(ОТЧЕТ!A533="SKU3",C533+ОТЧЕТ!C533*0.2,C533+ОТЧЕТ!C533*0.15)</f>
        <v>459.42500000000001</v>
      </c>
      <c r="F533" s="7" t="s">
        <v>1390</v>
      </c>
      <c r="G533" s="7">
        <v>3801042576</v>
      </c>
      <c r="H533" s="20" t="s">
        <v>1392</v>
      </c>
      <c r="I533" s="22" t="str">
        <f>INDEX('Справочник Сети'!B:B,(MATCH(G533,'Справочник Сети'!C:C,0)))</f>
        <v>Планета здоровья</v>
      </c>
      <c r="J533" s="7" t="s">
        <v>65</v>
      </c>
      <c r="K533" s="7" t="s">
        <v>1393</v>
      </c>
      <c r="L533" s="7" t="s">
        <v>65</v>
      </c>
      <c r="M533" s="31">
        <v>45717</v>
      </c>
      <c r="N533" s="7" t="s">
        <v>1394</v>
      </c>
      <c r="O533" s="8">
        <v>2840</v>
      </c>
      <c r="P533" s="24">
        <v>3722</v>
      </c>
      <c r="Q533" s="22">
        <f>IF(COUNTIFS(A$2:A533,A533,I$2:I533,I533)=1,1,0)</f>
        <v>0</v>
      </c>
      <c r="R533" s="22">
        <f t="shared" si="8"/>
        <v>3</v>
      </c>
      <c r="S533" s="33">
        <f>IF(COUNTIF(O$2:O533,O533)=1,R533,0)/2.5</f>
        <v>1.2</v>
      </c>
    </row>
    <row r="534" spans="1:19" ht="18" customHeight="1" x14ac:dyDescent="0.25">
      <c r="A534" s="7" t="s">
        <v>43</v>
      </c>
      <c r="B534" s="8">
        <v>1</v>
      </c>
      <c r="C534" s="9">
        <v>477</v>
      </c>
      <c r="D534" s="29">
        <f>C534+IF(INDEX('Справочник по %'!B:B,(MATCH(A534,'Справочник по %'!A:A,0)))="кол-во",B534*INDEX('Справочник по %'!C:C,(MATCH(A534,'Справочник по %'!A:A,0))),ОТЧЕТ!C534*INDEX('Справочник по %'!C:C,(MATCH(A534,'Справочник по %'!A:A,0))))/100</f>
        <v>524.70000000000005</v>
      </c>
      <c r="E534" s="29">
        <f>IF(ОТЧЕТ!A534="SKU3",C534+ОТЧЕТ!C534*0.2,C534+ОТЧЕТ!C534*0.15)</f>
        <v>548.54999999999995</v>
      </c>
      <c r="F534" s="7" t="s">
        <v>1395</v>
      </c>
      <c r="G534" s="7">
        <v>6501290485</v>
      </c>
      <c r="H534" s="20" t="s">
        <v>50</v>
      </c>
      <c r="I534" s="22">
        <f>INDEX('Справочник Сети'!B:B,(MATCH(G534,'Справочник Сети'!C:C,0)))</f>
        <v>0</v>
      </c>
      <c r="J534" s="7" t="s">
        <v>133</v>
      </c>
      <c r="K534" s="7" t="s">
        <v>1110</v>
      </c>
      <c r="L534" s="7" t="s">
        <v>133</v>
      </c>
      <c r="M534" s="31">
        <v>45695</v>
      </c>
      <c r="N534" s="7" t="s">
        <v>1396</v>
      </c>
      <c r="O534" s="8">
        <v>2630</v>
      </c>
      <c r="P534" s="24">
        <v>3723</v>
      </c>
      <c r="Q534" s="22">
        <f>IF(COUNTIFS(A$2:A534,A534,I$2:I534,I534)=1,1,0)</f>
        <v>0</v>
      </c>
      <c r="R534" s="22">
        <f t="shared" si="8"/>
        <v>23</v>
      </c>
      <c r="S534" s="33">
        <f>IF(COUNTIF(O$2:O534,O534)=1,R534,0)/2.5</f>
        <v>0</v>
      </c>
    </row>
    <row r="535" spans="1:19" ht="18" customHeight="1" x14ac:dyDescent="0.25">
      <c r="A535" s="7" t="s">
        <v>43</v>
      </c>
      <c r="B535" s="8">
        <v>1</v>
      </c>
      <c r="C535" s="9">
        <v>459</v>
      </c>
      <c r="D535" s="29">
        <f>C535+IF(INDEX('Справочник по %'!B:B,(MATCH(A535,'Справочник по %'!A:A,0)))="кол-во",B535*INDEX('Справочник по %'!C:C,(MATCH(A535,'Справочник по %'!A:A,0))),ОТЧЕТ!C535*INDEX('Справочник по %'!C:C,(MATCH(A535,'Справочник по %'!A:A,0))))/100</f>
        <v>504.9</v>
      </c>
      <c r="E535" s="29">
        <f>IF(ОТЧЕТ!A535="SKU3",C535+ОТЧЕТ!C535*0.2,C535+ОТЧЕТ!C535*0.15)</f>
        <v>527.85</v>
      </c>
      <c r="F535" s="7" t="s">
        <v>1397</v>
      </c>
      <c r="G535" s="7">
        <v>6501290485</v>
      </c>
      <c r="H535" s="20" t="s">
        <v>50</v>
      </c>
      <c r="I535" s="22">
        <f>INDEX('Справочник Сети'!B:B,(MATCH(G535,'Справочник Сети'!C:C,0)))</f>
        <v>0</v>
      </c>
      <c r="J535" s="7" t="s">
        <v>133</v>
      </c>
      <c r="K535" s="7" t="s">
        <v>1110</v>
      </c>
      <c r="L535" s="7" t="s">
        <v>133</v>
      </c>
      <c r="M535" s="31">
        <v>45695</v>
      </c>
      <c r="N535" s="7" t="s">
        <v>1396</v>
      </c>
      <c r="O535" s="8">
        <v>2630</v>
      </c>
      <c r="P535" s="24">
        <v>3723</v>
      </c>
      <c r="Q535" s="22">
        <f>IF(COUNTIFS(A$2:A535,A535,I$2:I535,I535)=1,1,0)</f>
        <v>0</v>
      </c>
      <c r="R535" s="22">
        <f t="shared" si="8"/>
        <v>23</v>
      </c>
      <c r="S535" s="33">
        <f>IF(COUNTIF(O$2:O535,O535)=1,R535,0)/2.5</f>
        <v>0</v>
      </c>
    </row>
    <row r="536" spans="1:19" ht="18" customHeight="1" x14ac:dyDescent="0.25">
      <c r="A536" s="7" t="s">
        <v>43</v>
      </c>
      <c r="B536" s="8">
        <v>1</v>
      </c>
      <c r="C536" s="9">
        <v>477</v>
      </c>
      <c r="D536" s="29">
        <f>C536+IF(INDEX('Справочник по %'!B:B,(MATCH(A536,'Справочник по %'!A:A,0)))="кол-во",B536*INDEX('Справочник по %'!C:C,(MATCH(A536,'Справочник по %'!A:A,0))),ОТЧЕТ!C536*INDEX('Справочник по %'!C:C,(MATCH(A536,'Справочник по %'!A:A,0))))/100</f>
        <v>524.70000000000005</v>
      </c>
      <c r="E536" s="29">
        <f>IF(ОТЧЕТ!A536="SKU3",C536+ОТЧЕТ!C536*0.2,C536+ОТЧЕТ!C536*0.15)</f>
        <v>548.54999999999995</v>
      </c>
      <c r="F536" s="7" t="s">
        <v>1397</v>
      </c>
      <c r="G536" s="7">
        <v>2722060740</v>
      </c>
      <c r="H536" s="20" t="s">
        <v>50</v>
      </c>
      <c r="I536" s="22">
        <f>INDEX('Справочник Сети'!B:B,(MATCH(G536,'Справочник Сети'!C:C,0)))</f>
        <v>0</v>
      </c>
      <c r="J536" s="7" t="s">
        <v>51</v>
      </c>
      <c r="K536" s="7" t="s">
        <v>1398</v>
      </c>
      <c r="L536" s="7" t="s">
        <v>46</v>
      </c>
      <c r="M536" s="31">
        <v>45726</v>
      </c>
      <c r="N536" s="7" t="s">
        <v>1399</v>
      </c>
      <c r="O536" s="8">
        <v>2630</v>
      </c>
      <c r="P536" s="24">
        <v>3724</v>
      </c>
      <c r="Q536" s="22">
        <f>IF(COUNTIFS(A$2:A536,A536,I$2:I536,I536)=1,1,0)</f>
        <v>0</v>
      </c>
      <c r="R536" s="22">
        <f t="shared" si="8"/>
        <v>23</v>
      </c>
      <c r="S536" s="33">
        <f>IF(COUNTIF(O$2:O536,O536)=1,R536,0)/2.5</f>
        <v>0</v>
      </c>
    </row>
    <row r="537" spans="1:19" ht="18" customHeight="1" x14ac:dyDescent="0.25">
      <c r="A537" s="7" t="s">
        <v>43</v>
      </c>
      <c r="B537" s="8">
        <v>1</v>
      </c>
      <c r="C537" s="9">
        <v>456</v>
      </c>
      <c r="D537" s="29">
        <f>C537+IF(INDEX('Справочник по %'!B:B,(MATCH(A537,'Справочник по %'!A:A,0)))="кол-во",B537*INDEX('Справочник по %'!C:C,(MATCH(A537,'Справочник по %'!A:A,0))),ОТЧЕТ!C537*INDEX('Справочник по %'!C:C,(MATCH(A537,'Справочник по %'!A:A,0))))/100</f>
        <v>501.6</v>
      </c>
      <c r="E537" s="29">
        <f>IF(ОТЧЕТ!A537="SKU3",C537+ОТЧЕТ!C537*0.2,C537+ОТЧЕТ!C537*0.15)</f>
        <v>524.4</v>
      </c>
      <c r="F537" s="7" t="s">
        <v>1397</v>
      </c>
      <c r="G537" s="7">
        <v>2724155394</v>
      </c>
      <c r="H537" s="20" t="s">
        <v>50</v>
      </c>
      <c r="I537" s="22">
        <f>INDEX('Справочник Сети'!B:B,(MATCH(G537,'Справочник Сети'!C:C,0)))</f>
        <v>0</v>
      </c>
      <c r="J537" s="7" t="s">
        <v>1400</v>
      </c>
      <c r="K537" s="7" t="s">
        <v>805</v>
      </c>
      <c r="L537" s="7" t="s">
        <v>51</v>
      </c>
      <c r="M537" s="31">
        <v>45725</v>
      </c>
      <c r="N537" s="7" t="s">
        <v>1401</v>
      </c>
      <c r="O537" s="8">
        <v>2630</v>
      </c>
      <c r="P537" s="24">
        <v>3726</v>
      </c>
      <c r="Q537" s="22">
        <f>IF(COUNTIFS(A$2:A537,A537,I$2:I537,I537)=1,1,0)</f>
        <v>0</v>
      </c>
      <c r="R537" s="22">
        <f t="shared" si="8"/>
        <v>23</v>
      </c>
      <c r="S537" s="33">
        <f>IF(COUNTIF(O$2:O537,O537)=1,R537,0)/2.5</f>
        <v>0</v>
      </c>
    </row>
    <row r="538" spans="1:19" ht="18" customHeight="1" x14ac:dyDescent="0.25">
      <c r="A538" s="7" t="s">
        <v>43</v>
      </c>
      <c r="B538" s="8">
        <v>1</v>
      </c>
      <c r="C538" s="9">
        <v>435</v>
      </c>
      <c r="D538" s="29">
        <f>C538+IF(INDEX('Справочник по %'!B:B,(MATCH(A538,'Справочник по %'!A:A,0)))="кол-во",B538*INDEX('Справочник по %'!C:C,(MATCH(A538,'Справочник по %'!A:A,0))),ОТЧЕТ!C538*INDEX('Справочник по %'!C:C,(MATCH(A538,'Справочник по %'!A:A,0))))/100</f>
        <v>478.5</v>
      </c>
      <c r="E538" s="29">
        <f>IF(ОТЧЕТ!A538="SKU3",C538+ОТЧЕТ!C538*0.2,C538+ОТЧЕТ!C538*0.15)</f>
        <v>500.25</v>
      </c>
      <c r="F538" s="7" t="s">
        <v>1397</v>
      </c>
      <c r="G538" s="7">
        <v>2724214018</v>
      </c>
      <c r="H538" s="20" t="s">
        <v>50</v>
      </c>
      <c r="I538" s="22" t="str">
        <f>INDEX('Справочник Сети'!B:B,(MATCH(G538,'Справочник Сети'!C:C,0)))</f>
        <v>Столички</v>
      </c>
      <c r="J538" s="7" t="s">
        <v>193</v>
      </c>
      <c r="K538" s="7" t="s">
        <v>710</v>
      </c>
      <c r="L538" s="7" t="s">
        <v>193</v>
      </c>
      <c r="M538" s="31">
        <v>45718</v>
      </c>
      <c r="N538" s="7" t="s">
        <v>1402</v>
      </c>
      <c r="O538" s="8">
        <v>2630</v>
      </c>
      <c r="P538" s="24">
        <v>3727</v>
      </c>
      <c r="Q538" s="22">
        <f>IF(COUNTIFS(A$2:A538,A538,I$2:I538,I538)=1,1,0)</f>
        <v>0</v>
      </c>
      <c r="R538" s="22">
        <f t="shared" si="8"/>
        <v>23</v>
      </c>
      <c r="S538" s="33">
        <f>IF(COUNTIF(O$2:O538,O538)=1,R538,0)/2.5</f>
        <v>0</v>
      </c>
    </row>
    <row r="539" spans="1:19" ht="18" customHeight="1" x14ac:dyDescent="0.25">
      <c r="A539" s="7" t="s">
        <v>43</v>
      </c>
      <c r="B539" s="8">
        <v>1</v>
      </c>
      <c r="C539" s="9">
        <v>454</v>
      </c>
      <c r="D539" s="29">
        <f>C539+IF(INDEX('Справочник по %'!B:B,(MATCH(A539,'Справочник по %'!A:A,0)))="кол-во",B539*INDEX('Справочник по %'!C:C,(MATCH(A539,'Справочник по %'!A:A,0))),ОТЧЕТ!C539*INDEX('Справочник по %'!C:C,(MATCH(A539,'Справочник по %'!A:A,0))))/100</f>
        <v>499.4</v>
      </c>
      <c r="E539" s="29">
        <f>IF(ОТЧЕТ!A539="SKU3",C539+ОТЧЕТ!C539*0.2,C539+ОТЧЕТ!C539*0.15)</f>
        <v>522.1</v>
      </c>
      <c r="F539" s="7" t="s">
        <v>1397</v>
      </c>
      <c r="G539" s="7">
        <v>2724214018</v>
      </c>
      <c r="H539" s="20" t="s">
        <v>50</v>
      </c>
      <c r="I539" s="22" t="str">
        <f>INDEX('Справочник Сети'!B:B,(MATCH(G539,'Справочник Сети'!C:C,0)))</f>
        <v>Столички</v>
      </c>
      <c r="J539" s="7" t="s">
        <v>193</v>
      </c>
      <c r="K539" s="7" t="s">
        <v>710</v>
      </c>
      <c r="L539" s="7" t="s">
        <v>193</v>
      </c>
      <c r="M539" s="31">
        <v>45718</v>
      </c>
      <c r="N539" s="7" t="s">
        <v>1403</v>
      </c>
      <c r="O539" s="8">
        <v>2630</v>
      </c>
      <c r="P539" s="24">
        <v>3728</v>
      </c>
      <c r="Q539" s="22">
        <f>IF(COUNTIFS(A$2:A539,A539,I$2:I539,I539)=1,1,0)</f>
        <v>0</v>
      </c>
      <c r="R539" s="22">
        <f t="shared" si="8"/>
        <v>23</v>
      </c>
      <c r="S539" s="33">
        <f>IF(COUNTIF(O$2:O539,O539)=1,R539,0)/2.5</f>
        <v>0</v>
      </c>
    </row>
    <row r="540" spans="1:19" ht="18" customHeight="1" x14ac:dyDescent="0.25">
      <c r="A540" s="7" t="s">
        <v>37</v>
      </c>
      <c r="B540" s="8">
        <v>1</v>
      </c>
      <c r="C540" s="9">
        <v>646</v>
      </c>
      <c r="D540" s="29">
        <f>C540+IF(INDEX('Справочник по %'!B:B,(MATCH(A540,'Справочник по %'!A:A,0)))="кол-во",B540*INDEX('Справочник по %'!C:C,(MATCH(A540,'Справочник по %'!A:A,0))),ОТЧЕТ!C540*INDEX('Справочник по %'!C:C,(MATCH(A540,'Справочник по %'!A:A,0))))/100</f>
        <v>646.20000000000005</v>
      </c>
      <c r="E540" s="29">
        <f>IF(ОТЧЕТ!A540="SKU3",C540+ОТЧЕТ!C540*0.2,C540+ОТЧЕТ!C540*0.15)</f>
        <v>742.9</v>
      </c>
      <c r="F540" s="7" t="s">
        <v>1397</v>
      </c>
      <c r="G540" s="7">
        <v>2724214018</v>
      </c>
      <c r="H540" s="20" t="s">
        <v>50</v>
      </c>
      <c r="I540" s="22" t="str">
        <f>INDEX('Справочник Сети'!B:B,(MATCH(G540,'Справочник Сети'!C:C,0)))</f>
        <v>Столички</v>
      </c>
      <c r="J540" s="7" t="s">
        <v>193</v>
      </c>
      <c r="K540" s="7" t="s">
        <v>184</v>
      </c>
      <c r="L540" s="7" t="s">
        <v>193</v>
      </c>
      <c r="M540" s="31">
        <v>45718</v>
      </c>
      <c r="N540" s="7" t="s">
        <v>1404</v>
      </c>
      <c r="O540" s="8">
        <v>2630</v>
      </c>
      <c r="P540" s="24">
        <v>3729</v>
      </c>
      <c r="Q540" s="22">
        <f>IF(COUNTIFS(A$2:A540,A540,I$2:I540,I540)=1,1,0)</f>
        <v>0</v>
      </c>
      <c r="R540" s="22">
        <f t="shared" si="8"/>
        <v>23</v>
      </c>
      <c r="S540" s="33">
        <f>IF(COUNTIF(O$2:O540,O540)=1,R540,0)/2.5</f>
        <v>0</v>
      </c>
    </row>
    <row r="541" spans="1:19" ht="18" customHeight="1" x14ac:dyDescent="0.25">
      <c r="A541" s="7" t="s">
        <v>43</v>
      </c>
      <c r="B541" s="8">
        <v>1</v>
      </c>
      <c r="C541" s="9">
        <v>452</v>
      </c>
      <c r="D541" s="29">
        <f>C541+IF(INDEX('Справочник по %'!B:B,(MATCH(A541,'Справочник по %'!A:A,0)))="кол-во",B541*INDEX('Справочник по %'!C:C,(MATCH(A541,'Справочник по %'!A:A,0))),ОТЧЕТ!C541*INDEX('Справочник по %'!C:C,(MATCH(A541,'Справочник по %'!A:A,0))))/100</f>
        <v>497.2</v>
      </c>
      <c r="E541" s="29">
        <f>IF(ОТЧЕТ!A541="SKU3",C541+ОТЧЕТ!C541*0.2,C541+ОТЧЕТ!C541*0.15)</f>
        <v>519.79999999999995</v>
      </c>
      <c r="F541" s="7" t="s">
        <v>1397</v>
      </c>
      <c r="G541" s="7">
        <v>2721065128</v>
      </c>
      <c r="H541" s="20" t="s">
        <v>50</v>
      </c>
      <c r="I541" s="22">
        <f>INDEX('Справочник Сети'!B:B,(MATCH(G541,'Справочник Сети'!C:C,0)))</f>
        <v>0</v>
      </c>
      <c r="J541" s="7" t="s">
        <v>46</v>
      </c>
      <c r="K541" s="7" t="s">
        <v>827</v>
      </c>
      <c r="L541" s="7" t="s">
        <v>46</v>
      </c>
      <c r="M541" s="31">
        <v>45726</v>
      </c>
      <c r="N541" s="7" t="s">
        <v>1405</v>
      </c>
      <c r="O541" s="8">
        <v>2630</v>
      </c>
      <c r="P541" s="24">
        <v>3730</v>
      </c>
      <c r="Q541" s="22">
        <f>IF(COUNTIFS(A$2:A541,A541,I$2:I541,I541)=1,1,0)</f>
        <v>0</v>
      </c>
      <c r="R541" s="22">
        <f t="shared" si="8"/>
        <v>23</v>
      </c>
      <c r="S541" s="33">
        <f>IF(COUNTIF(O$2:O541,O541)=1,R541,0)/2.5</f>
        <v>0</v>
      </c>
    </row>
    <row r="542" spans="1:19" ht="18" customHeight="1" x14ac:dyDescent="0.25">
      <c r="A542" s="7" t="s">
        <v>37</v>
      </c>
      <c r="B542" s="8">
        <v>1</v>
      </c>
      <c r="C542" s="9">
        <v>609</v>
      </c>
      <c r="D542" s="29">
        <f>C542+IF(INDEX('Справочник по %'!B:B,(MATCH(A542,'Справочник по %'!A:A,0)))="кол-во",B542*INDEX('Справочник по %'!C:C,(MATCH(A542,'Справочник по %'!A:A,0))),ОТЧЕТ!C542*INDEX('Справочник по %'!C:C,(MATCH(A542,'Справочник по %'!A:A,0))))/100</f>
        <v>609.20000000000005</v>
      </c>
      <c r="E542" s="29">
        <f>IF(ОТЧЕТ!A542="SKU3",C542+ОТЧЕТ!C542*0.2,C542+ОТЧЕТ!C542*0.15)</f>
        <v>700.35</v>
      </c>
      <c r="F542" s="7" t="s">
        <v>1406</v>
      </c>
      <c r="G542" s="7">
        <v>6950118467</v>
      </c>
      <c r="H542" s="20" t="s">
        <v>50</v>
      </c>
      <c r="I542" s="22">
        <f>INDEX('Справочник Сети'!B:B,(MATCH(G542,'Справочник Сети'!C:C,0)))</f>
        <v>0</v>
      </c>
      <c r="J542" s="7" t="s">
        <v>106</v>
      </c>
      <c r="K542" s="7" t="s">
        <v>1407</v>
      </c>
      <c r="L542" s="7" t="s">
        <v>106</v>
      </c>
      <c r="M542" s="31">
        <v>45694</v>
      </c>
      <c r="N542" s="7" t="s">
        <v>1408</v>
      </c>
      <c r="O542" s="8">
        <v>355</v>
      </c>
      <c r="P542" s="24">
        <v>3732</v>
      </c>
      <c r="Q542" s="22">
        <f>IF(COUNTIFS(A$2:A542,A542,I$2:I542,I542)=1,1,0)</f>
        <v>0</v>
      </c>
      <c r="R542" s="22">
        <f t="shared" si="8"/>
        <v>2</v>
      </c>
      <c r="S542" s="33">
        <f>IF(COUNTIF(O$2:O542,O542)=1,R542,0)/2.5</f>
        <v>0</v>
      </c>
    </row>
    <row r="543" spans="1:19" ht="18" customHeight="1" x14ac:dyDescent="0.25">
      <c r="A543" s="7" t="s">
        <v>43</v>
      </c>
      <c r="B543" s="8">
        <v>1</v>
      </c>
      <c r="C543" s="9">
        <v>452</v>
      </c>
      <c r="D543" s="29">
        <f>C543+IF(INDEX('Справочник по %'!B:B,(MATCH(A543,'Справочник по %'!A:A,0)))="кол-во",B543*INDEX('Справочник по %'!C:C,(MATCH(A543,'Справочник по %'!A:A,0))),ОТЧЕТ!C543*INDEX('Справочник по %'!C:C,(MATCH(A543,'Справочник по %'!A:A,0))))/100</f>
        <v>497.2</v>
      </c>
      <c r="E543" s="29">
        <f>IF(ОТЧЕТ!A543="SKU3",C543+ОТЧЕТ!C543*0.2,C543+ОТЧЕТ!C543*0.15)</f>
        <v>519.79999999999995</v>
      </c>
      <c r="F543" s="7" t="s">
        <v>1409</v>
      </c>
      <c r="G543" s="7">
        <v>2724155394</v>
      </c>
      <c r="H543" s="20" t="s">
        <v>50</v>
      </c>
      <c r="I543" s="22">
        <f>INDEX('Справочник Сети'!B:B,(MATCH(G543,'Справочник Сети'!C:C,0)))</f>
        <v>0</v>
      </c>
      <c r="J543" s="7" t="s">
        <v>1400</v>
      </c>
      <c r="K543" s="7" t="s">
        <v>400</v>
      </c>
      <c r="L543" s="7" t="s">
        <v>51</v>
      </c>
      <c r="M543" s="31">
        <v>45725</v>
      </c>
      <c r="N543" s="7" t="s">
        <v>1410</v>
      </c>
      <c r="O543" s="8">
        <v>2630</v>
      </c>
      <c r="P543" s="24">
        <v>3734</v>
      </c>
      <c r="Q543" s="22">
        <f>IF(COUNTIFS(A$2:A543,A543,I$2:I543,I543)=1,1,0)</f>
        <v>0</v>
      </c>
      <c r="R543" s="22">
        <f t="shared" si="8"/>
        <v>23</v>
      </c>
      <c r="S543" s="33">
        <f>IF(COUNTIF(O$2:O543,O543)=1,R543,0)/2.5</f>
        <v>0</v>
      </c>
    </row>
    <row r="544" spans="1:19" ht="18" customHeight="1" x14ac:dyDescent="0.25">
      <c r="A544" s="7" t="s">
        <v>43</v>
      </c>
      <c r="B544" s="8">
        <v>1</v>
      </c>
      <c r="C544" s="9">
        <v>464</v>
      </c>
      <c r="D544" s="29">
        <f>C544+IF(INDEX('Справочник по %'!B:B,(MATCH(A544,'Справочник по %'!A:A,0)))="кол-во",B544*INDEX('Справочник по %'!C:C,(MATCH(A544,'Справочник по %'!A:A,0))),ОТЧЕТ!C544*INDEX('Справочник по %'!C:C,(MATCH(A544,'Справочник по %'!A:A,0))))/100</f>
        <v>510.4</v>
      </c>
      <c r="E544" s="29">
        <f>IF(ОТЧЕТ!A544="SKU3",C544+ОТЧЕТ!C544*0.2,C544+ОТЧЕТ!C544*0.15)</f>
        <v>533.6</v>
      </c>
      <c r="F544" s="7" t="s">
        <v>1411</v>
      </c>
      <c r="G544" s="7">
        <v>2543102471</v>
      </c>
      <c r="H544" s="20" t="s">
        <v>1412</v>
      </c>
      <c r="I544" s="22" t="str">
        <f>INDEX('Справочник Сети'!B:B,(MATCH(G544,'Справочник Сети'!C:C,0)))</f>
        <v>Столички</v>
      </c>
      <c r="J544" s="7" t="s">
        <v>46</v>
      </c>
      <c r="K544" s="7" t="s">
        <v>710</v>
      </c>
      <c r="L544" s="7" t="s">
        <v>46</v>
      </c>
      <c r="M544" s="31">
        <v>45726</v>
      </c>
      <c r="N544" s="7" t="s">
        <v>1413</v>
      </c>
      <c r="O544" s="8">
        <v>710</v>
      </c>
      <c r="P544" s="24">
        <v>3739</v>
      </c>
      <c r="Q544" s="22">
        <f>IF(COUNTIFS(A$2:A544,A544,I$2:I544,I544)=1,1,0)</f>
        <v>0</v>
      </c>
      <c r="R544" s="22">
        <f t="shared" si="8"/>
        <v>6</v>
      </c>
      <c r="S544" s="33">
        <f>IF(COUNTIF(O$2:O544,O544)=1,R544,0)/2.5</f>
        <v>2.4</v>
      </c>
    </row>
    <row r="545" spans="1:19" ht="18" customHeight="1" x14ac:dyDescent="0.25">
      <c r="A545" s="7" t="s">
        <v>43</v>
      </c>
      <c r="B545" s="8">
        <v>1</v>
      </c>
      <c r="C545" s="9">
        <v>443</v>
      </c>
      <c r="D545" s="29">
        <f>C545+IF(INDEX('Справочник по %'!B:B,(MATCH(A545,'Справочник по %'!A:A,0)))="кол-во",B545*INDEX('Справочник по %'!C:C,(MATCH(A545,'Справочник по %'!A:A,0))),ОТЧЕТ!C545*INDEX('Справочник по %'!C:C,(MATCH(A545,'Справочник по %'!A:A,0))))/100</f>
        <v>487.3</v>
      </c>
      <c r="E545" s="29">
        <f>IF(ОТЧЕТ!A545="SKU3",C545+ОТЧЕТ!C545*0.2,C545+ОТЧЕТ!C545*0.15)</f>
        <v>509.45</v>
      </c>
      <c r="F545" s="7" t="s">
        <v>1414</v>
      </c>
      <c r="G545" s="7">
        <v>2222896536</v>
      </c>
      <c r="H545" s="20" t="s">
        <v>50</v>
      </c>
      <c r="I545" s="22" t="str">
        <f>INDEX('Справочник Сети'!B:B,(MATCH(G545,'Справочник Сети'!C:C,0)))</f>
        <v>Нео-фарм</v>
      </c>
      <c r="J545" s="7" t="s">
        <v>372</v>
      </c>
      <c r="K545" s="7" t="s">
        <v>105</v>
      </c>
      <c r="L545" s="7" t="s">
        <v>372</v>
      </c>
      <c r="M545" s="31">
        <v>45730</v>
      </c>
      <c r="N545" s="7" t="s">
        <v>1415</v>
      </c>
      <c r="O545" s="8">
        <v>1918</v>
      </c>
      <c r="P545" s="24">
        <v>3743</v>
      </c>
      <c r="Q545" s="22">
        <f>IF(COUNTIFS(A$2:A545,A545,I$2:I545,I545)=1,1,0)</f>
        <v>0</v>
      </c>
      <c r="R545" s="22">
        <f t="shared" si="8"/>
        <v>13</v>
      </c>
      <c r="S545" s="33">
        <f>IF(COUNTIF(O$2:O545,O545)=1,R545,0)/2.5</f>
        <v>0</v>
      </c>
    </row>
    <row r="546" spans="1:19" ht="18" customHeight="1" x14ac:dyDescent="0.25">
      <c r="A546" s="7" t="s">
        <v>37</v>
      </c>
      <c r="B546" s="8">
        <v>1</v>
      </c>
      <c r="C546" s="9">
        <v>487.9</v>
      </c>
      <c r="D546" s="29">
        <f>C546+IF(INDEX('Справочник по %'!B:B,(MATCH(A546,'Справочник по %'!A:A,0)))="кол-во",B546*INDEX('Справочник по %'!C:C,(MATCH(A546,'Справочник по %'!A:A,0))),ОТЧЕТ!C546*INDEX('Справочник по %'!C:C,(MATCH(A546,'Справочник по %'!A:A,0))))/100</f>
        <v>488.09999999999997</v>
      </c>
      <c r="E546" s="29">
        <f>IF(ОТЧЕТ!A546="SKU3",C546+ОТЧЕТ!C546*0.2,C546+ОТЧЕТ!C546*0.15)</f>
        <v>561.08499999999992</v>
      </c>
      <c r="F546" s="7" t="s">
        <v>1416</v>
      </c>
      <c r="G546" s="7">
        <v>5902058784</v>
      </c>
      <c r="H546" s="20" t="s">
        <v>1417</v>
      </c>
      <c r="I546" s="22" t="str">
        <f>INDEX('Справочник Сети'!B:B,(MATCH(G546,'Справочник Сети'!C:C,0)))</f>
        <v>Планета здоровья</v>
      </c>
      <c r="J546" s="7" t="s">
        <v>40</v>
      </c>
      <c r="K546" s="7" t="s">
        <v>531</v>
      </c>
      <c r="L546" s="7" t="s">
        <v>40</v>
      </c>
      <c r="M546" s="31">
        <v>45712</v>
      </c>
      <c r="N546" s="7" t="s">
        <v>1418</v>
      </c>
      <c r="O546" s="8">
        <v>753</v>
      </c>
      <c r="P546" s="24">
        <v>3746</v>
      </c>
      <c r="Q546" s="22">
        <f>IF(COUNTIFS(A$2:A546,A546,I$2:I546,I546)=1,1,0)</f>
        <v>0</v>
      </c>
      <c r="R546" s="22">
        <f t="shared" si="8"/>
        <v>2</v>
      </c>
      <c r="S546" s="33">
        <f>IF(COUNTIF(O$2:O546,O546)=1,R546,0)/2.5</f>
        <v>0.8</v>
      </c>
    </row>
    <row r="547" spans="1:19" ht="18" customHeight="1" x14ac:dyDescent="0.25">
      <c r="A547" s="7" t="s">
        <v>37</v>
      </c>
      <c r="B547" s="8">
        <v>1</v>
      </c>
      <c r="C547" s="9">
        <v>467.5</v>
      </c>
      <c r="D547" s="29">
        <f>C547+IF(INDEX('Справочник по %'!B:B,(MATCH(A547,'Справочник по %'!A:A,0)))="кол-во",B547*INDEX('Справочник по %'!C:C,(MATCH(A547,'Справочник по %'!A:A,0))),ОТЧЕТ!C547*INDEX('Справочник по %'!C:C,(MATCH(A547,'Справочник по %'!A:A,0))))/100</f>
        <v>467.7</v>
      </c>
      <c r="E547" s="29">
        <f>IF(ОТЧЕТ!A547="SKU3",C547+ОТЧЕТ!C547*0.2,C547+ОТЧЕТ!C547*0.15)</f>
        <v>537.625</v>
      </c>
      <c r="F547" s="7" t="s">
        <v>1416</v>
      </c>
      <c r="G547" s="7">
        <v>5902058784</v>
      </c>
      <c r="H547" s="20" t="s">
        <v>1417</v>
      </c>
      <c r="I547" s="22" t="str">
        <f>INDEX('Справочник Сети'!B:B,(MATCH(G547,'Справочник Сети'!C:C,0)))</f>
        <v>Планета здоровья</v>
      </c>
      <c r="J547" s="7" t="s">
        <v>40</v>
      </c>
      <c r="K547" s="7" t="s">
        <v>531</v>
      </c>
      <c r="L547" s="7" t="s">
        <v>40</v>
      </c>
      <c r="M547" s="31">
        <v>45712</v>
      </c>
      <c r="N547" s="7" t="s">
        <v>1418</v>
      </c>
      <c r="O547" s="8">
        <v>753</v>
      </c>
      <c r="P547" s="24">
        <v>3746</v>
      </c>
      <c r="Q547" s="22">
        <f>IF(COUNTIFS(A$2:A547,A547,I$2:I547,I547)=1,1,0)</f>
        <v>0</v>
      </c>
      <c r="R547" s="22">
        <f t="shared" si="8"/>
        <v>2</v>
      </c>
      <c r="S547" s="33">
        <f>IF(COUNTIF(O$2:O547,O547)=1,R547,0)/2.5</f>
        <v>0</v>
      </c>
    </row>
    <row r="548" spans="1:19" ht="18" customHeight="1" x14ac:dyDescent="0.25">
      <c r="A548" s="7" t="s">
        <v>43</v>
      </c>
      <c r="B548" s="8">
        <v>1</v>
      </c>
      <c r="C548" s="9">
        <v>404</v>
      </c>
      <c r="D548" s="29">
        <f>C548+IF(INDEX('Справочник по %'!B:B,(MATCH(A548,'Справочник по %'!A:A,0)))="кол-во",B548*INDEX('Справочник по %'!C:C,(MATCH(A548,'Справочник по %'!A:A,0))),ОТЧЕТ!C548*INDEX('Справочник по %'!C:C,(MATCH(A548,'Справочник по %'!A:A,0))))/100</f>
        <v>444.4</v>
      </c>
      <c r="E548" s="29">
        <f>IF(ОТЧЕТ!A548="SKU3",C548+ОТЧЕТ!C548*0.2,C548+ОТЧЕТ!C548*0.15)</f>
        <v>464.6</v>
      </c>
      <c r="F548" s="7" t="s">
        <v>1416</v>
      </c>
      <c r="G548" s="7">
        <v>2724146424</v>
      </c>
      <c r="H548" s="20" t="s">
        <v>50</v>
      </c>
      <c r="I548" s="22" t="str">
        <f>INDEX('Справочник Сети'!B:B,(MATCH(G548,'Справочник Сети'!C:C,0)))</f>
        <v>Столички</v>
      </c>
      <c r="J548" s="7" t="s">
        <v>1400</v>
      </c>
      <c r="K548" s="7" t="s">
        <v>1302</v>
      </c>
      <c r="L548" s="7" t="s">
        <v>51</v>
      </c>
      <c r="M548" s="31">
        <v>45725</v>
      </c>
      <c r="N548" s="7" t="s">
        <v>1419</v>
      </c>
      <c r="O548" s="8">
        <v>1025</v>
      </c>
      <c r="P548" s="24">
        <v>3747</v>
      </c>
      <c r="Q548" s="22">
        <f>IF(COUNTIFS(A$2:A548,A548,I$2:I548,I548)=1,1,0)</f>
        <v>0</v>
      </c>
      <c r="R548" s="22">
        <f t="shared" si="8"/>
        <v>3</v>
      </c>
      <c r="S548" s="33">
        <f>IF(COUNTIF(O$2:O548,O548)=1,R548,0)/2.5</f>
        <v>1.2</v>
      </c>
    </row>
    <row r="549" spans="1:19" ht="18" customHeight="1" x14ac:dyDescent="0.25">
      <c r="A549" s="7" t="s">
        <v>43</v>
      </c>
      <c r="B549" s="8">
        <v>1</v>
      </c>
      <c r="C549" s="9">
        <v>330</v>
      </c>
      <c r="D549" s="29">
        <f>C549+IF(INDEX('Справочник по %'!B:B,(MATCH(A549,'Справочник по %'!A:A,0)))="кол-во",B549*INDEX('Справочник по %'!C:C,(MATCH(A549,'Справочник по %'!A:A,0))),ОТЧЕТ!C549*INDEX('Справочник по %'!C:C,(MATCH(A549,'Справочник по %'!A:A,0))))/100</f>
        <v>363</v>
      </c>
      <c r="E549" s="29">
        <f>IF(ОТЧЕТ!A549="SKU3",C549+ОТЧЕТ!C549*0.2,C549+ОТЧЕТ!C549*0.15)</f>
        <v>379.5</v>
      </c>
      <c r="F549" s="7" t="s">
        <v>1420</v>
      </c>
      <c r="G549" s="7">
        <v>2308124789</v>
      </c>
      <c r="H549" s="20" t="s">
        <v>50</v>
      </c>
      <c r="I549" s="22">
        <f>INDEX('Справочник Сети'!B:B,(MATCH(G549,'Справочник Сети'!C:C,0)))</f>
        <v>0</v>
      </c>
      <c r="J549" s="7" t="s">
        <v>57</v>
      </c>
      <c r="K549" s="7" t="s">
        <v>947</v>
      </c>
      <c r="L549" s="7" t="s">
        <v>57</v>
      </c>
      <c r="M549" s="31">
        <v>45729</v>
      </c>
      <c r="N549" s="7" t="s">
        <v>1421</v>
      </c>
      <c r="O549" s="8">
        <v>2219</v>
      </c>
      <c r="P549" s="24">
        <v>3754</v>
      </c>
      <c r="Q549" s="22">
        <f>IF(COUNTIFS(A$2:A549,A549,I$2:I549,I549)=1,1,0)</f>
        <v>0</v>
      </c>
      <c r="R549" s="22">
        <f t="shared" si="8"/>
        <v>2</v>
      </c>
      <c r="S549" s="33">
        <f>IF(COUNTIF(O$2:O549,O549)=1,R549,0)/2.5</f>
        <v>0.8</v>
      </c>
    </row>
    <row r="550" spans="1:19" ht="18" customHeight="1" x14ac:dyDescent="0.25">
      <c r="A550" s="7" t="s">
        <v>37</v>
      </c>
      <c r="B550" s="8">
        <v>1</v>
      </c>
      <c r="C550" s="9">
        <v>696</v>
      </c>
      <c r="D550" s="29">
        <f>C550+IF(INDEX('Справочник по %'!B:B,(MATCH(A550,'Справочник по %'!A:A,0)))="кол-во",B550*INDEX('Справочник по %'!C:C,(MATCH(A550,'Справочник по %'!A:A,0))),ОТЧЕТ!C550*INDEX('Справочник по %'!C:C,(MATCH(A550,'Справочник по %'!A:A,0))))/100</f>
        <v>696.2</v>
      </c>
      <c r="E550" s="29">
        <f>IF(ОТЧЕТ!A550="SKU3",C550+ОТЧЕТ!C550*0.2,C550+ОТЧЕТ!C550*0.15)</f>
        <v>800.4</v>
      </c>
      <c r="F550" s="7" t="s">
        <v>1420</v>
      </c>
      <c r="G550" s="7">
        <v>550704589807</v>
      </c>
      <c r="H550" s="20" t="s">
        <v>50</v>
      </c>
      <c r="I550" s="22" t="str">
        <f>INDEX('Справочник Сети'!B:B,(MATCH(G550,'Справочник Сети'!C:C,0)))</f>
        <v>Столички</v>
      </c>
      <c r="J550" s="7" t="s">
        <v>251</v>
      </c>
      <c r="K550" s="7" t="s">
        <v>1422</v>
      </c>
      <c r="L550" s="7" t="s">
        <v>251</v>
      </c>
      <c r="M550" s="31">
        <v>45659</v>
      </c>
      <c r="N550" s="7" t="s">
        <v>1423</v>
      </c>
      <c r="O550" s="8">
        <v>119</v>
      </c>
      <c r="P550" s="24">
        <v>3755</v>
      </c>
      <c r="Q550" s="22">
        <f>IF(COUNTIFS(A$2:A550,A550,I$2:I550,I550)=1,1,0)</f>
        <v>0</v>
      </c>
      <c r="R550" s="22">
        <f t="shared" si="8"/>
        <v>3</v>
      </c>
      <c r="S550" s="33">
        <f>IF(COUNTIF(O$2:O550,O550)=1,R550,0)/2.5</f>
        <v>1.2</v>
      </c>
    </row>
    <row r="551" spans="1:19" ht="18" customHeight="1" x14ac:dyDescent="0.25">
      <c r="A551" s="7" t="s">
        <v>43</v>
      </c>
      <c r="B551" s="8">
        <v>1</v>
      </c>
      <c r="C551" s="9">
        <v>364.47</v>
      </c>
      <c r="D551" s="29">
        <f>C551+IF(INDEX('Справочник по %'!B:B,(MATCH(A551,'Справочник по %'!A:A,0)))="кол-во",B551*INDEX('Справочник по %'!C:C,(MATCH(A551,'Справочник по %'!A:A,0))),ОТЧЕТ!C551*INDEX('Справочник по %'!C:C,(MATCH(A551,'Справочник по %'!A:A,0))))/100</f>
        <v>400.91700000000003</v>
      </c>
      <c r="E551" s="29">
        <f>IF(ОТЧЕТ!A551="SKU3",C551+ОТЧЕТ!C551*0.2,C551+ОТЧЕТ!C551*0.15)</f>
        <v>419.14050000000003</v>
      </c>
      <c r="F551" s="7" t="s">
        <v>1424</v>
      </c>
      <c r="G551" s="7">
        <v>7732121736</v>
      </c>
      <c r="H551" s="20" t="s">
        <v>1425</v>
      </c>
      <c r="I551" s="22" t="str">
        <f>INDEX('Справочник Сети'!B:B,(MATCH(G551,'Справочник Сети'!C:C,0)))</f>
        <v>Планета здоровья</v>
      </c>
      <c r="J551" s="7" t="s">
        <v>149</v>
      </c>
      <c r="K551" s="7" t="s">
        <v>1426</v>
      </c>
      <c r="L551" s="7" t="s">
        <v>142</v>
      </c>
      <c r="M551" s="31">
        <v>45674</v>
      </c>
      <c r="N551" s="7" t="s">
        <v>1427</v>
      </c>
      <c r="O551" s="8">
        <v>403</v>
      </c>
      <c r="P551" s="24">
        <v>3759</v>
      </c>
      <c r="Q551" s="22">
        <f>IF(COUNTIFS(A$2:A551,A551,I$2:I551,I551)=1,1,0)</f>
        <v>0</v>
      </c>
      <c r="R551" s="22">
        <f t="shared" si="8"/>
        <v>2</v>
      </c>
      <c r="S551" s="33">
        <f>IF(COUNTIF(O$2:O551,O551)=1,R551,0)/2.5</f>
        <v>0.8</v>
      </c>
    </row>
    <row r="552" spans="1:19" ht="18" customHeight="1" x14ac:dyDescent="0.25">
      <c r="A552" s="7" t="s">
        <v>43</v>
      </c>
      <c r="B552" s="8">
        <v>1</v>
      </c>
      <c r="C552" s="9">
        <v>407</v>
      </c>
      <c r="D552" s="29">
        <f>C552+IF(INDEX('Справочник по %'!B:B,(MATCH(A552,'Справочник по %'!A:A,0)))="кол-во",B552*INDEX('Справочник по %'!C:C,(MATCH(A552,'Справочник по %'!A:A,0))),ОТЧЕТ!C552*INDEX('Справочник по %'!C:C,(MATCH(A552,'Справочник по %'!A:A,0))))/100</f>
        <v>447.7</v>
      </c>
      <c r="E552" s="29">
        <f>IF(ОТЧЕТ!A552="SKU3",C552+ОТЧЕТ!C552*0.2,C552+ОТЧЕТ!C552*0.15)</f>
        <v>468.05</v>
      </c>
      <c r="F552" s="7" t="s">
        <v>1428</v>
      </c>
      <c r="G552" s="7">
        <v>2308110232</v>
      </c>
      <c r="H552" s="20" t="s">
        <v>69</v>
      </c>
      <c r="I552" s="22" t="str">
        <f>INDEX('Справочник Сети'!B:B,(MATCH(G552,'Справочник Сети'!C:C,0)))</f>
        <v>Нео-фарм</v>
      </c>
      <c r="J552" s="7" t="s">
        <v>372</v>
      </c>
      <c r="K552" s="7" t="s">
        <v>1429</v>
      </c>
      <c r="L552" s="7" t="s">
        <v>372</v>
      </c>
      <c r="M552" s="31">
        <v>45730</v>
      </c>
      <c r="N552" s="7" t="s">
        <v>1430</v>
      </c>
      <c r="O552" s="8">
        <v>1523</v>
      </c>
      <c r="P552" s="24">
        <v>3763</v>
      </c>
      <c r="Q552" s="22">
        <f>IF(COUNTIFS(A$2:A552,A552,I$2:I552,I552)=1,1,0)</f>
        <v>0</v>
      </c>
      <c r="R552" s="22">
        <f t="shared" si="8"/>
        <v>5</v>
      </c>
      <c r="S552" s="33">
        <f>IF(COUNTIF(O$2:O552,O552)=1,R552,0)/2.5</f>
        <v>2</v>
      </c>
    </row>
    <row r="553" spans="1:19" ht="18" customHeight="1" x14ac:dyDescent="0.25">
      <c r="A553" s="7" t="s">
        <v>43</v>
      </c>
      <c r="B553" s="8">
        <v>1</v>
      </c>
      <c r="C553" s="9">
        <v>385</v>
      </c>
      <c r="D553" s="29">
        <f>C553+IF(INDEX('Справочник по %'!B:B,(MATCH(A553,'Справочник по %'!A:A,0)))="кол-во",B553*INDEX('Справочник по %'!C:C,(MATCH(A553,'Справочник по %'!A:A,0))),ОТЧЕТ!C553*INDEX('Справочник по %'!C:C,(MATCH(A553,'Справочник по %'!A:A,0))))/100</f>
        <v>423.5</v>
      </c>
      <c r="E553" s="29">
        <f>IF(ОТЧЕТ!A553="SKU3",C553+ОТЧЕТ!C553*0.2,C553+ОТЧЕТ!C553*0.15)</f>
        <v>442.75</v>
      </c>
      <c r="F553" s="7" t="s">
        <v>1431</v>
      </c>
      <c r="G553" s="7">
        <v>2466189073</v>
      </c>
      <c r="H553" s="20" t="s">
        <v>1071</v>
      </c>
      <c r="I553" s="22" t="str">
        <f>INDEX('Справочник Сети'!B:B,(MATCH(G553,'Справочник Сети'!C:C,0)))</f>
        <v>Нео-фарм</v>
      </c>
      <c r="J553" s="7" t="s">
        <v>96</v>
      </c>
      <c r="K553" s="7" t="s">
        <v>1063</v>
      </c>
      <c r="L553" s="7" t="s">
        <v>96</v>
      </c>
      <c r="M553" s="31">
        <v>45727</v>
      </c>
      <c r="N553" s="7" t="s">
        <v>1432</v>
      </c>
      <c r="O553" s="8">
        <v>3553</v>
      </c>
      <c r="P553" s="24">
        <v>3765</v>
      </c>
      <c r="Q553" s="22">
        <f>IF(COUNTIFS(A$2:A553,A553,I$2:I553,I553)=1,1,0)</f>
        <v>0</v>
      </c>
      <c r="R553" s="22">
        <f t="shared" si="8"/>
        <v>1</v>
      </c>
      <c r="S553" s="33">
        <f>IF(COUNTIF(O$2:O553,O553)=1,R553,0)/2.5</f>
        <v>0.4</v>
      </c>
    </row>
    <row r="554" spans="1:19" ht="18" customHeight="1" x14ac:dyDescent="0.25">
      <c r="A554" s="7" t="s">
        <v>37</v>
      </c>
      <c r="B554" s="8">
        <v>1</v>
      </c>
      <c r="C554" s="9">
        <v>748</v>
      </c>
      <c r="D554" s="29">
        <f>C554+IF(INDEX('Справочник по %'!B:B,(MATCH(A554,'Справочник по %'!A:A,0)))="кол-во",B554*INDEX('Справочник по %'!C:C,(MATCH(A554,'Справочник по %'!A:A,0))),ОТЧЕТ!C554*INDEX('Справочник по %'!C:C,(MATCH(A554,'Справочник по %'!A:A,0))))/100</f>
        <v>748.2</v>
      </c>
      <c r="E554" s="29">
        <f>IF(ОТЧЕТ!A554="SKU3",C554+ОТЧЕТ!C554*0.2,C554+ОТЧЕТ!C554*0.15)</f>
        <v>860.2</v>
      </c>
      <c r="F554" s="7" t="s">
        <v>1433</v>
      </c>
      <c r="G554" s="7">
        <v>231703122520</v>
      </c>
      <c r="H554" s="20" t="s">
        <v>161</v>
      </c>
      <c r="I554" s="22" t="str">
        <f>INDEX('Справочник Сети'!B:B,(MATCH(G554,'Справочник Сети'!C:C,0)))</f>
        <v>Столички</v>
      </c>
      <c r="J554" s="7" t="s">
        <v>74</v>
      </c>
      <c r="K554" s="7" t="s">
        <v>1434</v>
      </c>
      <c r="L554" s="7" t="s">
        <v>74</v>
      </c>
      <c r="M554" s="31">
        <v>45661</v>
      </c>
      <c r="N554" s="7" t="s">
        <v>1435</v>
      </c>
      <c r="O554" s="8">
        <v>785</v>
      </c>
      <c r="P554" s="24">
        <v>3767</v>
      </c>
      <c r="Q554" s="22">
        <f>IF(COUNTIFS(A$2:A554,A554,I$2:I554,I554)=1,1,0)</f>
        <v>0</v>
      </c>
      <c r="R554" s="22">
        <f t="shared" si="8"/>
        <v>3</v>
      </c>
      <c r="S554" s="33">
        <f>IF(COUNTIF(O$2:O554,O554)=1,R554,0)/2.5</f>
        <v>0</v>
      </c>
    </row>
    <row r="555" spans="1:19" ht="18" customHeight="1" x14ac:dyDescent="0.25">
      <c r="A555" s="7" t="s">
        <v>43</v>
      </c>
      <c r="B555" s="8">
        <v>1</v>
      </c>
      <c r="C555" s="9">
        <v>536</v>
      </c>
      <c r="D555" s="29">
        <f>C555+IF(INDEX('Справочник по %'!B:B,(MATCH(A555,'Справочник по %'!A:A,0)))="кол-во",B555*INDEX('Справочник по %'!C:C,(MATCH(A555,'Справочник по %'!A:A,0))),ОТЧЕТ!C555*INDEX('Справочник по %'!C:C,(MATCH(A555,'Справочник по %'!A:A,0))))/100</f>
        <v>589.6</v>
      </c>
      <c r="E555" s="29">
        <f>IF(ОТЧЕТ!A555="SKU3",C555+ОТЧЕТ!C555*0.2,C555+ОТЧЕТ!C555*0.15)</f>
        <v>616.4</v>
      </c>
      <c r="F555" s="7" t="s">
        <v>1433</v>
      </c>
      <c r="G555" s="7">
        <v>7705947629</v>
      </c>
      <c r="H555" s="20" t="s">
        <v>50</v>
      </c>
      <c r="I555" s="22" t="str">
        <f>INDEX('Справочник Сети'!B:B,(MATCH(G555,'Справочник Сети'!C:C,0)))</f>
        <v>36,6</v>
      </c>
      <c r="J555" s="7" t="s">
        <v>104</v>
      </c>
      <c r="K555" s="7" t="s">
        <v>419</v>
      </c>
      <c r="L555" s="7" t="s">
        <v>104</v>
      </c>
      <c r="M555" s="31">
        <v>45693</v>
      </c>
      <c r="N555" s="7" t="s">
        <v>1436</v>
      </c>
      <c r="O555" s="8">
        <v>620</v>
      </c>
      <c r="P555" s="24">
        <v>3768</v>
      </c>
      <c r="Q555" s="22">
        <f>IF(COUNTIFS(A$2:A555,A555,I$2:I555,I555)=1,1,0)</f>
        <v>0</v>
      </c>
      <c r="R555" s="22">
        <f t="shared" si="8"/>
        <v>4</v>
      </c>
      <c r="S555" s="33">
        <f>IF(COUNTIF(O$2:O555,O555)=1,R555,0)/2.5</f>
        <v>0</v>
      </c>
    </row>
    <row r="556" spans="1:19" ht="18" customHeight="1" x14ac:dyDescent="0.25">
      <c r="A556" s="7" t="s">
        <v>43</v>
      </c>
      <c r="B556" s="8">
        <v>1</v>
      </c>
      <c r="C556" s="9">
        <v>450.5</v>
      </c>
      <c r="D556" s="29">
        <f>C556+IF(INDEX('Справочник по %'!B:B,(MATCH(A556,'Справочник по %'!A:A,0)))="кол-во",B556*INDEX('Справочник по %'!C:C,(MATCH(A556,'Справочник по %'!A:A,0))),ОТЧЕТ!C556*INDEX('Справочник по %'!C:C,(MATCH(A556,'Справочник по %'!A:A,0))))/100</f>
        <v>495.55</v>
      </c>
      <c r="E556" s="29">
        <f>IF(ОТЧЕТ!A556="SKU3",C556+ОТЧЕТ!C556*0.2,C556+ОТЧЕТ!C556*0.15)</f>
        <v>518.07500000000005</v>
      </c>
      <c r="F556" s="7" t="s">
        <v>1433</v>
      </c>
      <c r="G556" s="7">
        <v>6162056128</v>
      </c>
      <c r="H556" s="20" t="s">
        <v>852</v>
      </c>
      <c r="I556" s="22">
        <f>INDEX('Справочник Сети'!B:B,(MATCH(G556,'Справочник Сети'!C:C,0)))</f>
        <v>0</v>
      </c>
      <c r="J556" s="7" t="s">
        <v>520</v>
      </c>
      <c r="K556" s="7" t="s">
        <v>1437</v>
      </c>
      <c r="L556" s="7" t="s">
        <v>520</v>
      </c>
      <c r="M556" s="31">
        <v>45697</v>
      </c>
      <c r="N556" s="7" t="s">
        <v>1438</v>
      </c>
      <c r="O556" s="8">
        <v>1978</v>
      </c>
      <c r="P556" s="24">
        <v>3769</v>
      </c>
      <c r="Q556" s="22">
        <f>IF(COUNTIFS(A$2:A556,A556,I$2:I556,I556)=1,1,0)</f>
        <v>0</v>
      </c>
      <c r="R556" s="22">
        <f t="shared" si="8"/>
        <v>1</v>
      </c>
      <c r="S556" s="33">
        <f>IF(COUNTIF(O$2:O556,O556)=1,R556,0)/2.5</f>
        <v>0.4</v>
      </c>
    </row>
    <row r="557" spans="1:19" ht="18" customHeight="1" x14ac:dyDescent="0.25">
      <c r="A557" s="7" t="s">
        <v>43</v>
      </c>
      <c r="B557" s="8">
        <v>1</v>
      </c>
      <c r="C557" s="9">
        <v>384</v>
      </c>
      <c r="D557" s="29">
        <f>C557+IF(INDEX('Справочник по %'!B:B,(MATCH(A557,'Справочник по %'!A:A,0)))="кол-во",B557*INDEX('Справочник по %'!C:C,(MATCH(A557,'Справочник по %'!A:A,0))),ОТЧЕТ!C557*INDEX('Справочник по %'!C:C,(MATCH(A557,'Справочник по %'!A:A,0))))/100</f>
        <v>422.4</v>
      </c>
      <c r="E557" s="29">
        <f>IF(ОТЧЕТ!A557="SKU3",C557+ОТЧЕТ!C557*0.2,C557+ОТЧЕТ!C557*0.15)</f>
        <v>441.6</v>
      </c>
      <c r="F557" s="7" t="s">
        <v>1433</v>
      </c>
      <c r="G557" s="7">
        <v>2310212231</v>
      </c>
      <c r="H557" s="20" t="s">
        <v>69</v>
      </c>
      <c r="I557" s="22" t="str">
        <f>INDEX('Справочник Сети'!B:B,(MATCH(G557,'Справочник Сети'!C:C,0)))</f>
        <v>Нео-фарм</v>
      </c>
      <c r="J557" s="7" t="s">
        <v>70</v>
      </c>
      <c r="K557" s="7" t="s">
        <v>1358</v>
      </c>
      <c r="L557" s="7" t="s">
        <v>70</v>
      </c>
      <c r="M557" s="31">
        <v>45728</v>
      </c>
      <c r="N557" s="7" t="s">
        <v>1439</v>
      </c>
      <c r="O557" s="8">
        <v>3575</v>
      </c>
      <c r="P557" s="24">
        <v>3774</v>
      </c>
      <c r="Q557" s="22">
        <f>IF(COUNTIFS(A$2:A557,A557,I$2:I557,I557)=1,1,0)</f>
        <v>0</v>
      </c>
      <c r="R557" s="22">
        <f t="shared" si="8"/>
        <v>2</v>
      </c>
      <c r="S557" s="33">
        <f>IF(COUNTIF(O$2:O557,O557)=1,R557,0)/2.5</f>
        <v>0.8</v>
      </c>
    </row>
    <row r="558" spans="1:19" ht="18" customHeight="1" x14ac:dyDescent="0.25">
      <c r="A558" s="7" t="s">
        <v>43</v>
      </c>
      <c r="B558" s="8">
        <v>1</v>
      </c>
      <c r="C558" s="9">
        <v>435</v>
      </c>
      <c r="D558" s="29">
        <f>C558+IF(INDEX('Справочник по %'!B:B,(MATCH(A558,'Справочник по %'!A:A,0)))="кол-во",B558*INDEX('Справочник по %'!C:C,(MATCH(A558,'Справочник по %'!A:A,0))),ОТЧЕТ!C558*INDEX('Справочник по %'!C:C,(MATCH(A558,'Справочник по %'!A:A,0))))/100</f>
        <v>478.5</v>
      </c>
      <c r="E558" s="29">
        <f>IF(ОТЧЕТ!A558="SKU3",C558+ОТЧЕТ!C558*0.2,C558+ОТЧЕТ!C558*0.15)</f>
        <v>500.25</v>
      </c>
      <c r="F558" s="7" t="s">
        <v>1433</v>
      </c>
      <c r="G558" s="7">
        <v>3443012297</v>
      </c>
      <c r="H558" s="20" t="s">
        <v>1440</v>
      </c>
      <c r="I558" s="22">
        <f>INDEX('Справочник Сети'!B:B,(MATCH(G558,'Справочник Сети'!C:C,0)))</f>
        <v>0</v>
      </c>
      <c r="J558" s="7" t="s">
        <v>193</v>
      </c>
      <c r="K558" s="7" t="s">
        <v>1220</v>
      </c>
      <c r="L558" s="7" t="s">
        <v>193</v>
      </c>
      <c r="M558" s="31">
        <v>45718</v>
      </c>
      <c r="N558" s="7" t="s">
        <v>1439</v>
      </c>
      <c r="O558" s="8">
        <v>2459</v>
      </c>
      <c r="P558" s="24">
        <v>3775</v>
      </c>
      <c r="Q558" s="22">
        <f>IF(COUNTIFS(A$2:A558,A558,I$2:I558,I558)=1,1,0)</f>
        <v>0</v>
      </c>
      <c r="R558" s="22">
        <f t="shared" si="8"/>
        <v>1</v>
      </c>
      <c r="S558" s="33">
        <f>IF(COUNTIF(O$2:O558,O558)=1,R558,0)/2.5</f>
        <v>0.4</v>
      </c>
    </row>
    <row r="559" spans="1:19" ht="18" customHeight="1" x14ac:dyDescent="0.25">
      <c r="A559" s="7" t="s">
        <v>43</v>
      </c>
      <c r="B559" s="8">
        <v>1</v>
      </c>
      <c r="C559" s="9">
        <v>495</v>
      </c>
      <c r="D559" s="29">
        <f>C559+IF(INDEX('Справочник по %'!B:B,(MATCH(A559,'Справочник по %'!A:A,0)))="кол-во",B559*INDEX('Справочник по %'!C:C,(MATCH(A559,'Справочник по %'!A:A,0))),ОТЧЕТ!C559*INDEX('Справочник по %'!C:C,(MATCH(A559,'Справочник по %'!A:A,0))))/100</f>
        <v>544.5</v>
      </c>
      <c r="E559" s="29">
        <f>IF(ОТЧЕТ!A559="SKU3",C559+ОТЧЕТ!C559*0.2,C559+ОТЧЕТ!C559*0.15)</f>
        <v>569.25</v>
      </c>
      <c r="F559" s="7" t="s">
        <v>1433</v>
      </c>
      <c r="G559" s="7">
        <v>7733709256</v>
      </c>
      <c r="H559" s="20" t="s">
        <v>1441</v>
      </c>
      <c r="I559" s="22">
        <f>INDEX('Справочник Сети'!B:B,(MATCH(G559,'Справочник Сети'!C:C,0)))</f>
        <v>0</v>
      </c>
      <c r="J559" s="7" t="s">
        <v>353</v>
      </c>
      <c r="K559" s="7" t="s">
        <v>1442</v>
      </c>
      <c r="L559" s="7" t="s">
        <v>353</v>
      </c>
      <c r="M559" s="31">
        <v>45672</v>
      </c>
      <c r="N559" s="7" t="s">
        <v>1443</v>
      </c>
      <c r="O559" s="8">
        <v>1319</v>
      </c>
      <c r="P559" s="24">
        <v>3776</v>
      </c>
      <c r="Q559" s="22">
        <f>IF(COUNTIFS(A$2:A559,A559,I$2:I559,I559)=1,1,0)</f>
        <v>0</v>
      </c>
      <c r="R559" s="22">
        <f t="shared" si="8"/>
        <v>4</v>
      </c>
      <c r="S559" s="33">
        <f>IF(COUNTIF(O$2:O559,O559)=1,R559,0)/2.5</f>
        <v>1.6</v>
      </c>
    </row>
    <row r="560" spans="1:19" ht="18" customHeight="1" x14ac:dyDescent="0.25">
      <c r="A560" s="7" t="s">
        <v>43</v>
      </c>
      <c r="B560" s="8">
        <v>1</v>
      </c>
      <c r="C560" s="9">
        <v>620</v>
      </c>
      <c r="D560" s="29">
        <f>C560+IF(INDEX('Справочник по %'!B:B,(MATCH(A560,'Справочник по %'!A:A,0)))="кол-во",B560*INDEX('Справочник по %'!C:C,(MATCH(A560,'Справочник по %'!A:A,0))),ОТЧЕТ!C560*INDEX('Справочник по %'!C:C,(MATCH(A560,'Справочник по %'!A:A,0))))/100</f>
        <v>682</v>
      </c>
      <c r="E560" s="29">
        <f>IF(ОТЧЕТ!A560="SKU3",C560+ОТЧЕТ!C560*0.2,C560+ОТЧЕТ!C560*0.15)</f>
        <v>713</v>
      </c>
      <c r="F560" s="7" t="s">
        <v>1433</v>
      </c>
      <c r="G560" s="7">
        <v>2801183906</v>
      </c>
      <c r="H560" s="20" t="s">
        <v>50</v>
      </c>
      <c r="I560" s="22" t="str">
        <f>INDEX('Справочник Сети'!B:B,(MATCH(G560,'Справочник Сети'!C:C,0)))</f>
        <v>Нео-фарм</v>
      </c>
      <c r="J560" s="7" t="s">
        <v>193</v>
      </c>
      <c r="K560" s="7" t="s">
        <v>373</v>
      </c>
      <c r="L560" s="7" t="s">
        <v>193</v>
      </c>
      <c r="M560" s="31">
        <v>45718</v>
      </c>
      <c r="N560" s="7" t="s">
        <v>1444</v>
      </c>
      <c r="O560" s="8">
        <v>950</v>
      </c>
      <c r="P560" s="24">
        <v>3777</v>
      </c>
      <c r="Q560" s="22">
        <f>IF(COUNTIFS(A$2:A560,A560,I$2:I560,I560)=1,1,0)</f>
        <v>0</v>
      </c>
      <c r="R560" s="22">
        <f t="shared" si="8"/>
        <v>1</v>
      </c>
      <c r="S560" s="33">
        <f>IF(COUNTIF(O$2:O560,O560)=1,R560,0)/2.5</f>
        <v>0.4</v>
      </c>
    </row>
    <row r="561" spans="1:19" ht="18" customHeight="1" x14ac:dyDescent="0.25">
      <c r="A561" s="7" t="s">
        <v>43</v>
      </c>
      <c r="B561" s="8">
        <v>1</v>
      </c>
      <c r="C561" s="9">
        <v>420</v>
      </c>
      <c r="D561" s="29">
        <f>C561+IF(INDEX('Справочник по %'!B:B,(MATCH(A561,'Справочник по %'!A:A,0)))="кол-во",B561*INDEX('Справочник по %'!C:C,(MATCH(A561,'Справочник по %'!A:A,0))),ОТЧЕТ!C561*INDEX('Справочник по %'!C:C,(MATCH(A561,'Справочник по %'!A:A,0))))/100</f>
        <v>462</v>
      </c>
      <c r="E561" s="29">
        <f>IF(ОТЧЕТ!A561="SKU3",C561+ОТЧЕТ!C561*0.2,C561+ОТЧЕТ!C561*0.15)</f>
        <v>483</v>
      </c>
      <c r="F561" s="7" t="s">
        <v>1445</v>
      </c>
      <c r="G561" s="7">
        <v>6679106128</v>
      </c>
      <c r="H561" s="20" t="s">
        <v>50</v>
      </c>
      <c r="I561" s="22">
        <f>INDEX('Справочник Сети'!B:B,(MATCH(G561,'Справочник Сети'!C:C,0)))</f>
        <v>0</v>
      </c>
      <c r="J561" s="7" t="s">
        <v>106</v>
      </c>
      <c r="K561" s="7" t="s">
        <v>1230</v>
      </c>
      <c r="L561" s="7" t="s">
        <v>133</v>
      </c>
      <c r="M561" s="31">
        <v>45695</v>
      </c>
      <c r="N561" s="7" t="s">
        <v>1446</v>
      </c>
      <c r="O561" s="8">
        <v>3163</v>
      </c>
      <c r="P561" s="24">
        <v>3784</v>
      </c>
      <c r="Q561" s="22">
        <f>IF(COUNTIFS(A$2:A561,A561,I$2:I561,I561)=1,1,0)</f>
        <v>0</v>
      </c>
      <c r="R561" s="22">
        <f t="shared" si="8"/>
        <v>2</v>
      </c>
      <c r="S561" s="33">
        <f>IF(COUNTIF(O$2:O561,O561)=1,R561,0)/2.5</f>
        <v>0.8</v>
      </c>
    </row>
    <row r="562" spans="1:19" ht="18" customHeight="1" x14ac:dyDescent="0.25">
      <c r="A562" s="7" t="s">
        <v>43</v>
      </c>
      <c r="B562" s="8">
        <v>1</v>
      </c>
      <c r="C562" s="9">
        <v>419.9</v>
      </c>
      <c r="D562" s="29">
        <f>C562+IF(INDEX('Справочник по %'!B:B,(MATCH(A562,'Справочник по %'!A:A,0)))="кол-во",B562*INDEX('Справочник по %'!C:C,(MATCH(A562,'Справочник по %'!A:A,0))),ОТЧЕТ!C562*INDEX('Справочник по %'!C:C,(MATCH(A562,'Справочник по %'!A:A,0))))/100</f>
        <v>461.89</v>
      </c>
      <c r="E562" s="29">
        <f>IF(ОТЧЕТ!A562="SKU3",C562+ОТЧЕТ!C562*0.2,C562+ОТЧЕТ!C562*0.15)</f>
        <v>482.88499999999999</v>
      </c>
      <c r="F562" s="7" t="s">
        <v>1445</v>
      </c>
      <c r="G562" s="7">
        <v>7204146152</v>
      </c>
      <c r="H562" s="20" t="s">
        <v>1009</v>
      </c>
      <c r="I562" s="22" t="str">
        <f>INDEX('Справочник Сети'!B:B,(MATCH(G562,'Справочник Сети'!C:C,0)))</f>
        <v>36,6</v>
      </c>
      <c r="J562" s="7" t="s">
        <v>104</v>
      </c>
      <c r="K562" s="7" t="s">
        <v>531</v>
      </c>
      <c r="L562" s="7" t="s">
        <v>106</v>
      </c>
      <c r="M562" s="31">
        <v>45694</v>
      </c>
      <c r="N562" s="7" t="s">
        <v>1447</v>
      </c>
      <c r="O562" s="8">
        <v>771</v>
      </c>
      <c r="P562" s="24">
        <v>3785</v>
      </c>
      <c r="Q562" s="22">
        <f>IF(COUNTIFS(A$2:A562,A562,I$2:I562,I562)=1,1,0)</f>
        <v>0</v>
      </c>
      <c r="R562" s="22">
        <f t="shared" si="8"/>
        <v>5</v>
      </c>
      <c r="S562" s="33">
        <f>IF(COUNTIF(O$2:O562,O562)=1,R562,0)/2.5</f>
        <v>2</v>
      </c>
    </row>
    <row r="563" spans="1:19" ht="18" customHeight="1" x14ac:dyDescent="0.25">
      <c r="A563" s="7" t="s">
        <v>43</v>
      </c>
      <c r="B563" s="8">
        <v>1</v>
      </c>
      <c r="C563" s="9">
        <v>456</v>
      </c>
      <c r="D563" s="29">
        <f>C563+IF(INDEX('Справочник по %'!B:B,(MATCH(A563,'Справочник по %'!A:A,0)))="кол-во",B563*INDEX('Справочник по %'!C:C,(MATCH(A563,'Справочник по %'!A:A,0))),ОТЧЕТ!C563*INDEX('Справочник по %'!C:C,(MATCH(A563,'Справочник по %'!A:A,0))))/100</f>
        <v>501.6</v>
      </c>
      <c r="E563" s="29">
        <f>IF(ОТЧЕТ!A563="SKU3",C563+ОТЧЕТ!C563*0.2,C563+ОТЧЕТ!C563*0.15)</f>
        <v>524.4</v>
      </c>
      <c r="F563" s="7" t="s">
        <v>1448</v>
      </c>
      <c r="G563" s="7">
        <v>9102260029</v>
      </c>
      <c r="H563" s="20" t="s">
        <v>1449</v>
      </c>
      <c r="I563" s="22">
        <f>INDEX('Справочник Сети'!B:B,(MATCH(G563,'Справочник Сети'!C:C,0)))</f>
        <v>0</v>
      </c>
      <c r="J563" s="7" t="s">
        <v>737</v>
      </c>
      <c r="K563" s="7" t="s">
        <v>1450</v>
      </c>
      <c r="L563" s="7" t="s">
        <v>315</v>
      </c>
      <c r="M563" s="31">
        <v>45670</v>
      </c>
      <c r="N563" s="7" t="s">
        <v>1451</v>
      </c>
      <c r="O563" s="8">
        <v>2420</v>
      </c>
      <c r="P563" s="24">
        <v>3787</v>
      </c>
      <c r="Q563" s="22">
        <f>IF(COUNTIFS(A$2:A563,A563,I$2:I563,I563)=1,1,0)</f>
        <v>0</v>
      </c>
      <c r="R563" s="22">
        <f t="shared" si="8"/>
        <v>3</v>
      </c>
      <c r="S563" s="33">
        <f>IF(COUNTIF(O$2:O563,O563)=1,R563,0)/2.5</f>
        <v>1.2</v>
      </c>
    </row>
    <row r="564" spans="1:19" ht="18" customHeight="1" x14ac:dyDescent="0.25">
      <c r="A564" s="7" t="s">
        <v>43</v>
      </c>
      <c r="B564" s="8">
        <v>1</v>
      </c>
      <c r="C564" s="9">
        <v>357</v>
      </c>
      <c r="D564" s="29">
        <f>C564+IF(INDEX('Справочник по %'!B:B,(MATCH(A564,'Справочник по %'!A:A,0)))="кол-во",B564*INDEX('Справочник по %'!C:C,(MATCH(A564,'Справочник по %'!A:A,0))),ОТЧЕТ!C564*INDEX('Справочник по %'!C:C,(MATCH(A564,'Справочник по %'!A:A,0))))/100</f>
        <v>392.7</v>
      </c>
      <c r="E564" s="29">
        <f>IF(ОТЧЕТ!A564="SKU3",C564+ОТЧЕТ!C564*0.2,C564+ОТЧЕТ!C564*0.15)</f>
        <v>410.55</v>
      </c>
      <c r="F564" s="7" t="s">
        <v>1452</v>
      </c>
      <c r="G564" s="7">
        <v>2308120424</v>
      </c>
      <c r="H564" s="20" t="s">
        <v>50</v>
      </c>
      <c r="I564" s="22">
        <f>INDEX('Справочник Сети'!B:B,(MATCH(G564,'Справочник Сети'!C:C,0)))</f>
        <v>0</v>
      </c>
      <c r="J564" s="7" t="s">
        <v>57</v>
      </c>
      <c r="K564" s="7" t="s">
        <v>1453</v>
      </c>
      <c r="L564" s="7" t="s">
        <v>372</v>
      </c>
      <c r="M564" s="31">
        <v>45730</v>
      </c>
      <c r="N564" s="7" t="s">
        <v>1454</v>
      </c>
      <c r="O564" s="8">
        <v>742</v>
      </c>
      <c r="P564" s="24">
        <v>3788</v>
      </c>
      <c r="Q564" s="22">
        <f>IF(COUNTIFS(A$2:A564,A564,I$2:I564,I564)=1,1,0)</f>
        <v>0</v>
      </c>
      <c r="R564" s="22">
        <f t="shared" si="8"/>
        <v>1</v>
      </c>
      <c r="S564" s="33">
        <f>IF(COUNTIF(O$2:O564,O564)=1,R564,0)/2.5</f>
        <v>0.4</v>
      </c>
    </row>
    <row r="565" spans="1:19" ht="18" customHeight="1" x14ac:dyDescent="0.25">
      <c r="A565" s="7" t="s">
        <v>37</v>
      </c>
      <c r="B565" s="8">
        <v>1</v>
      </c>
      <c r="C565" s="9">
        <v>710</v>
      </c>
      <c r="D565" s="29">
        <f>C565+IF(INDEX('Справочник по %'!B:B,(MATCH(A565,'Справочник по %'!A:A,0)))="кол-во",B565*INDEX('Справочник по %'!C:C,(MATCH(A565,'Справочник по %'!A:A,0))),ОТЧЕТ!C565*INDEX('Справочник по %'!C:C,(MATCH(A565,'Справочник по %'!A:A,0))))/100</f>
        <v>710.2</v>
      </c>
      <c r="E565" s="29">
        <f>IF(ОТЧЕТ!A565="SKU3",C565+ОТЧЕТ!C565*0.2,C565+ОТЧЕТ!C565*0.15)</f>
        <v>816.5</v>
      </c>
      <c r="F565" s="7" t="s">
        <v>1455</v>
      </c>
      <c r="G565" s="7">
        <v>9204016527</v>
      </c>
      <c r="H565" s="20" t="s">
        <v>1456</v>
      </c>
      <c r="I565" s="22">
        <f>INDEX('Справочник Сети'!B:B,(MATCH(G565,'Справочник Сети'!C:C,0)))</f>
        <v>0</v>
      </c>
      <c r="J565" s="7" t="s">
        <v>239</v>
      </c>
      <c r="K565" s="7" t="s">
        <v>1457</v>
      </c>
      <c r="L565" s="7" t="s">
        <v>239</v>
      </c>
      <c r="M565" s="31">
        <v>45662</v>
      </c>
      <c r="N565" s="7" t="s">
        <v>1458</v>
      </c>
      <c r="O565" s="8">
        <v>3248</v>
      </c>
      <c r="P565" s="24">
        <v>3795</v>
      </c>
      <c r="Q565" s="22">
        <f>IF(COUNTIFS(A$2:A565,A565,I$2:I565,I565)=1,1,0)</f>
        <v>0</v>
      </c>
      <c r="R565" s="22">
        <f t="shared" si="8"/>
        <v>1</v>
      </c>
      <c r="S565" s="33">
        <f>IF(COUNTIF(O$2:O565,O565)=1,R565,0)/2.5</f>
        <v>0.4</v>
      </c>
    </row>
    <row r="566" spans="1:19" ht="18" customHeight="1" x14ac:dyDescent="0.25">
      <c r="A566" s="7" t="s">
        <v>43</v>
      </c>
      <c r="B566" s="8">
        <v>1</v>
      </c>
      <c r="C566" s="9">
        <v>409</v>
      </c>
      <c r="D566" s="29">
        <f>C566+IF(INDEX('Справочник по %'!B:B,(MATCH(A566,'Справочник по %'!A:A,0)))="кол-во",B566*INDEX('Справочник по %'!C:C,(MATCH(A566,'Справочник по %'!A:A,0))),ОТЧЕТ!C566*INDEX('Справочник по %'!C:C,(MATCH(A566,'Справочник по %'!A:A,0))))/100</f>
        <v>449.9</v>
      </c>
      <c r="E566" s="29">
        <f>IF(ОТЧЕТ!A566="SKU3",C566+ОТЧЕТ!C566*0.2,C566+ОТЧЕТ!C566*0.15)</f>
        <v>470.35</v>
      </c>
      <c r="F566" s="7" t="s">
        <v>1455</v>
      </c>
      <c r="G566" s="7">
        <v>7814443325</v>
      </c>
      <c r="H566" s="20" t="s">
        <v>50</v>
      </c>
      <c r="I566" s="22" t="str">
        <f>INDEX('Справочник Сети'!B:B,(MATCH(G566,'Справочник Сети'!C:C,0)))</f>
        <v>Планета здоровья</v>
      </c>
      <c r="J566" s="7" t="s">
        <v>121</v>
      </c>
      <c r="K566" s="7" t="s">
        <v>1459</v>
      </c>
      <c r="L566" s="7" t="s">
        <v>121</v>
      </c>
      <c r="M566" s="31">
        <v>45671</v>
      </c>
      <c r="N566" s="7" t="s">
        <v>1460</v>
      </c>
      <c r="O566" s="8">
        <v>1106</v>
      </c>
      <c r="P566" s="24">
        <v>3796</v>
      </c>
      <c r="Q566" s="22">
        <f>IF(COUNTIFS(A$2:A566,A566,I$2:I566,I566)=1,1,0)</f>
        <v>0</v>
      </c>
      <c r="R566" s="22">
        <f t="shared" si="8"/>
        <v>1</v>
      </c>
      <c r="S566" s="33">
        <f>IF(COUNTIF(O$2:O566,O566)=1,R566,0)/2.5</f>
        <v>0.4</v>
      </c>
    </row>
    <row r="567" spans="1:19" ht="18" customHeight="1" x14ac:dyDescent="0.25">
      <c r="A567" s="7" t="s">
        <v>43</v>
      </c>
      <c r="B567" s="8">
        <v>1</v>
      </c>
      <c r="C567" s="9">
        <v>452</v>
      </c>
      <c r="D567" s="29">
        <f>C567+IF(INDEX('Справочник по %'!B:B,(MATCH(A567,'Справочник по %'!A:A,0)))="кол-во",B567*INDEX('Справочник по %'!C:C,(MATCH(A567,'Справочник по %'!A:A,0))),ОТЧЕТ!C567*INDEX('Справочник по %'!C:C,(MATCH(A567,'Справочник по %'!A:A,0))))/100</f>
        <v>497.2</v>
      </c>
      <c r="E567" s="29">
        <f>IF(ОТЧЕТ!A567="SKU3",C567+ОТЧЕТ!C567*0.2,C567+ОТЧЕТ!C567*0.15)</f>
        <v>519.79999999999995</v>
      </c>
      <c r="F567" s="7" t="s">
        <v>1461</v>
      </c>
      <c r="G567" s="7">
        <v>5405074850</v>
      </c>
      <c r="H567" s="20" t="s">
        <v>50</v>
      </c>
      <c r="I567" s="22" t="str">
        <f>INDEX('Справочник Сети'!B:B,(MATCH(G567,'Справочник Сети'!C:C,0)))</f>
        <v>Ригла</v>
      </c>
      <c r="J567" s="7" t="s">
        <v>92</v>
      </c>
      <c r="K567" s="7" t="s">
        <v>47</v>
      </c>
      <c r="L567" s="7" t="s">
        <v>92</v>
      </c>
      <c r="M567" s="31">
        <v>45714</v>
      </c>
      <c r="N567" s="7" t="s">
        <v>1462</v>
      </c>
      <c r="O567" s="8">
        <v>2899</v>
      </c>
      <c r="P567" s="24">
        <v>3809</v>
      </c>
      <c r="Q567" s="22">
        <f>IF(COUNTIFS(A$2:A567,A567,I$2:I567,I567)=1,1,0)</f>
        <v>0</v>
      </c>
      <c r="R567" s="22">
        <f t="shared" si="8"/>
        <v>2</v>
      </c>
      <c r="S567" s="33">
        <f>IF(COUNTIF(O$2:O567,O567)=1,R567,0)/2.5</f>
        <v>0.8</v>
      </c>
    </row>
    <row r="568" spans="1:19" ht="18" customHeight="1" x14ac:dyDescent="0.25">
      <c r="A568" s="7" t="s">
        <v>43</v>
      </c>
      <c r="B568" s="8">
        <v>1</v>
      </c>
      <c r="C568" s="9">
        <v>399</v>
      </c>
      <c r="D568" s="29">
        <f>C568+IF(INDEX('Справочник по %'!B:B,(MATCH(A568,'Справочник по %'!A:A,0)))="кол-во",B568*INDEX('Справочник по %'!C:C,(MATCH(A568,'Справочник по %'!A:A,0))),ОТЧЕТ!C568*INDEX('Справочник по %'!C:C,(MATCH(A568,'Справочник по %'!A:A,0))))/100</f>
        <v>438.9</v>
      </c>
      <c r="E568" s="29">
        <f>IF(ОТЧЕТ!A568="SKU3",C568+ОТЧЕТ!C568*0.2,C568+ОТЧЕТ!C568*0.15)</f>
        <v>458.85</v>
      </c>
      <c r="F568" s="7" t="s">
        <v>1461</v>
      </c>
      <c r="G568" s="7">
        <v>7716997445</v>
      </c>
      <c r="H568" s="20" t="s">
        <v>167</v>
      </c>
      <c r="I568" s="22" t="str">
        <f>INDEX('Справочник Сети'!B:B,(MATCH(G568,'Справочник Сети'!C:C,0)))</f>
        <v>Столички</v>
      </c>
      <c r="J568" s="7" t="s">
        <v>168</v>
      </c>
      <c r="K568" s="7" t="s">
        <v>1463</v>
      </c>
      <c r="L568" s="7" t="s">
        <v>168</v>
      </c>
      <c r="M568" s="31">
        <v>45676</v>
      </c>
      <c r="N568" s="7" t="s">
        <v>1464</v>
      </c>
      <c r="O568" s="8">
        <v>133</v>
      </c>
      <c r="P568" s="24">
        <v>3811</v>
      </c>
      <c r="Q568" s="22">
        <f>IF(COUNTIFS(A$2:A568,A568,I$2:I568,I568)=1,1,0)</f>
        <v>0</v>
      </c>
      <c r="R568" s="22">
        <f t="shared" si="8"/>
        <v>14</v>
      </c>
      <c r="S568" s="33">
        <f>IF(COUNTIF(O$2:O568,O568)=1,R568,0)/2.5</f>
        <v>0</v>
      </c>
    </row>
    <row r="569" spans="1:19" ht="18" customHeight="1" x14ac:dyDescent="0.25">
      <c r="A569" s="7" t="s">
        <v>43</v>
      </c>
      <c r="B569" s="8">
        <v>1</v>
      </c>
      <c r="C569" s="9">
        <v>428.47</v>
      </c>
      <c r="D569" s="29">
        <f>C569+IF(INDEX('Справочник по %'!B:B,(MATCH(A569,'Справочник по %'!A:A,0)))="кол-во",B569*INDEX('Справочник по %'!C:C,(MATCH(A569,'Справочник по %'!A:A,0))),ОТЧЕТ!C569*INDEX('Справочник по %'!C:C,(MATCH(A569,'Справочник по %'!A:A,0))))/100</f>
        <v>471.31700000000001</v>
      </c>
      <c r="E569" s="29">
        <f>IF(ОТЧЕТ!A569="SKU3",C569+ОТЧЕТ!C569*0.2,C569+ОТЧЕТ!C569*0.15)</f>
        <v>492.7405</v>
      </c>
      <c r="F569" s="7" t="s">
        <v>1461</v>
      </c>
      <c r="G569" s="7">
        <v>7709068298</v>
      </c>
      <c r="H569" s="20" t="s">
        <v>1465</v>
      </c>
      <c r="I569" s="22" t="str">
        <f>INDEX('Справочник Сети'!B:B,(MATCH(G569,'Справочник Сети'!C:C,0)))</f>
        <v>36,6</v>
      </c>
      <c r="J569" s="7" t="s">
        <v>504</v>
      </c>
      <c r="K569" s="7" t="s">
        <v>1466</v>
      </c>
      <c r="L569" s="7" t="s">
        <v>504</v>
      </c>
      <c r="M569" s="31">
        <v>45690</v>
      </c>
      <c r="N569" s="7" t="s">
        <v>1467</v>
      </c>
      <c r="O569" s="8">
        <v>2971</v>
      </c>
      <c r="P569" s="24">
        <v>3812</v>
      </c>
      <c r="Q569" s="22">
        <f>IF(COUNTIFS(A$2:A569,A569,I$2:I569,I569)=1,1,0)</f>
        <v>0</v>
      </c>
      <c r="R569" s="22">
        <f t="shared" si="8"/>
        <v>3</v>
      </c>
      <c r="S569" s="33">
        <f>IF(COUNTIF(O$2:O569,O569)=1,R569,0)/2.5</f>
        <v>0</v>
      </c>
    </row>
    <row r="570" spans="1:19" ht="18" customHeight="1" x14ac:dyDescent="0.25">
      <c r="A570" s="7" t="s">
        <v>43</v>
      </c>
      <c r="B570" s="8">
        <v>1</v>
      </c>
      <c r="C570" s="9">
        <v>359.39</v>
      </c>
      <c r="D570" s="29">
        <f>C570+IF(INDEX('Справочник по %'!B:B,(MATCH(A570,'Справочник по %'!A:A,0)))="кол-во",B570*INDEX('Справочник по %'!C:C,(MATCH(A570,'Справочник по %'!A:A,0))),ОТЧЕТ!C570*INDEX('Справочник по %'!C:C,(MATCH(A570,'Справочник по %'!A:A,0))))/100</f>
        <v>395.32899999999995</v>
      </c>
      <c r="E570" s="29">
        <f>IF(ОТЧЕТ!A570="SKU3",C570+ОТЧЕТ!C570*0.2,C570+ОТЧЕТ!C570*0.15)</f>
        <v>413.29849999999999</v>
      </c>
      <c r="F570" s="7" t="s">
        <v>1461</v>
      </c>
      <c r="G570" s="7">
        <v>7709068298</v>
      </c>
      <c r="H570" s="20" t="s">
        <v>1465</v>
      </c>
      <c r="I570" s="22" t="str">
        <f>INDEX('Справочник Сети'!B:B,(MATCH(G570,'Справочник Сети'!C:C,0)))</f>
        <v>36,6</v>
      </c>
      <c r="J570" s="7" t="s">
        <v>504</v>
      </c>
      <c r="K570" s="7" t="s">
        <v>1466</v>
      </c>
      <c r="L570" s="7" t="s">
        <v>504</v>
      </c>
      <c r="M570" s="31">
        <v>45690</v>
      </c>
      <c r="N570" s="7" t="s">
        <v>1467</v>
      </c>
      <c r="O570" s="8">
        <v>2971</v>
      </c>
      <c r="P570" s="24">
        <v>3812</v>
      </c>
      <c r="Q570" s="22">
        <f>IF(COUNTIFS(A$2:A570,A570,I$2:I570,I570)=1,1,0)</f>
        <v>0</v>
      </c>
      <c r="R570" s="22">
        <f t="shared" si="8"/>
        <v>3</v>
      </c>
      <c r="S570" s="33">
        <f>IF(COUNTIF(O$2:O570,O570)=1,R570,0)/2.5</f>
        <v>0</v>
      </c>
    </row>
    <row r="571" spans="1:19" ht="18" customHeight="1" x14ac:dyDescent="0.25">
      <c r="A571" s="7" t="s">
        <v>43</v>
      </c>
      <c r="B571" s="8">
        <v>1</v>
      </c>
      <c r="C571" s="9">
        <v>395.6</v>
      </c>
      <c r="D571" s="29">
        <f>C571+IF(INDEX('Справочник по %'!B:B,(MATCH(A571,'Справочник по %'!A:A,0)))="кол-во",B571*INDEX('Справочник по %'!C:C,(MATCH(A571,'Справочник по %'!A:A,0))),ОТЧЕТ!C571*INDEX('Справочник по %'!C:C,(MATCH(A571,'Справочник по %'!A:A,0))))/100</f>
        <v>435.16</v>
      </c>
      <c r="E571" s="29">
        <f>IF(ОТЧЕТ!A571="SKU3",C571+ОТЧЕТ!C571*0.2,C571+ОТЧЕТ!C571*0.15)</f>
        <v>454.94000000000005</v>
      </c>
      <c r="F571" s="7" t="s">
        <v>1461</v>
      </c>
      <c r="G571" s="7">
        <v>3906115197</v>
      </c>
      <c r="H571" s="20" t="s">
        <v>1468</v>
      </c>
      <c r="I571" s="22">
        <f>INDEX('Справочник Сети'!B:B,(MATCH(G571,'Справочник Сети'!C:C,0)))</f>
        <v>0</v>
      </c>
      <c r="J571" s="7" t="s">
        <v>155</v>
      </c>
      <c r="K571" s="7" t="s">
        <v>1469</v>
      </c>
      <c r="L571" s="7" t="s">
        <v>155</v>
      </c>
      <c r="M571" s="31">
        <v>45716</v>
      </c>
      <c r="N571" s="7" t="s">
        <v>1470</v>
      </c>
      <c r="O571" s="8">
        <v>973</v>
      </c>
      <c r="P571" s="24">
        <v>3814</v>
      </c>
      <c r="Q571" s="22">
        <f>IF(COUNTIFS(A$2:A571,A571,I$2:I571,I571)=1,1,0)</f>
        <v>0</v>
      </c>
      <c r="R571" s="22">
        <f t="shared" si="8"/>
        <v>1</v>
      </c>
      <c r="S571" s="33">
        <f>IF(COUNTIF(O$2:O571,O571)=1,R571,0)/2.5</f>
        <v>0.4</v>
      </c>
    </row>
    <row r="572" spans="1:19" ht="18" customHeight="1" x14ac:dyDescent="0.25">
      <c r="A572" s="7" t="s">
        <v>43</v>
      </c>
      <c r="B572" s="8">
        <v>1</v>
      </c>
      <c r="C572" s="9">
        <v>493</v>
      </c>
      <c r="D572" s="29">
        <f>C572+IF(INDEX('Справочник по %'!B:B,(MATCH(A572,'Справочник по %'!A:A,0)))="кол-во",B572*INDEX('Справочник по %'!C:C,(MATCH(A572,'Справочник по %'!A:A,0))),ОТЧЕТ!C572*INDEX('Справочник по %'!C:C,(MATCH(A572,'Справочник по %'!A:A,0))))/100</f>
        <v>542.29999999999995</v>
      </c>
      <c r="E572" s="29">
        <f>IF(ОТЧЕТ!A572="SKU3",C572+ОТЧЕТ!C572*0.2,C572+ОТЧЕТ!C572*0.15)</f>
        <v>566.95000000000005</v>
      </c>
      <c r="F572" s="7" t="s">
        <v>1461</v>
      </c>
      <c r="G572" s="7">
        <v>6162043915</v>
      </c>
      <c r="H572" s="20" t="s">
        <v>1331</v>
      </c>
      <c r="I572" s="22">
        <f>INDEX('Справочник Сети'!B:B,(MATCH(G572,'Справочник Сети'!C:C,0)))</f>
        <v>0</v>
      </c>
      <c r="J572" s="7" t="s">
        <v>520</v>
      </c>
      <c r="K572" s="7" t="s">
        <v>1471</v>
      </c>
      <c r="L572" s="7" t="s">
        <v>520</v>
      </c>
      <c r="M572" s="31">
        <v>45697</v>
      </c>
      <c r="N572" s="7" t="s">
        <v>1472</v>
      </c>
      <c r="O572" s="8">
        <v>1671</v>
      </c>
      <c r="P572" s="24">
        <v>3815</v>
      </c>
      <c r="Q572" s="22">
        <f>IF(COUNTIFS(A$2:A572,A572,I$2:I572,I572)=1,1,0)</f>
        <v>0</v>
      </c>
      <c r="R572" s="22">
        <f t="shared" si="8"/>
        <v>2</v>
      </c>
      <c r="S572" s="33">
        <f>IF(COUNTIF(O$2:O572,O572)=1,R572,0)/2.5</f>
        <v>0</v>
      </c>
    </row>
    <row r="573" spans="1:19" ht="18" customHeight="1" x14ac:dyDescent="0.25">
      <c r="A573" s="7" t="s">
        <v>43</v>
      </c>
      <c r="B573" s="8">
        <v>1</v>
      </c>
      <c r="C573" s="9">
        <v>404</v>
      </c>
      <c r="D573" s="29">
        <f>C573+IF(INDEX('Справочник по %'!B:B,(MATCH(A573,'Справочник по %'!A:A,0)))="кол-во",B573*INDEX('Справочник по %'!C:C,(MATCH(A573,'Справочник по %'!A:A,0))),ОТЧЕТ!C573*INDEX('Справочник по %'!C:C,(MATCH(A573,'Справочник по %'!A:A,0))))/100</f>
        <v>444.4</v>
      </c>
      <c r="E573" s="29">
        <f>IF(ОТЧЕТ!A573="SKU3",C573+ОТЧЕТ!C573*0.2,C573+ОТЧЕТ!C573*0.15)</f>
        <v>464.6</v>
      </c>
      <c r="F573" s="7" t="s">
        <v>1461</v>
      </c>
      <c r="G573" s="7">
        <v>6453161631</v>
      </c>
      <c r="H573" s="20" t="s">
        <v>50</v>
      </c>
      <c r="I573" s="22" t="str">
        <f>INDEX('Справочник Сети'!B:B,(MATCH(G573,'Справочник Сети'!C:C,0)))</f>
        <v>Планета здоровья</v>
      </c>
      <c r="J573" s="7" t="s">
        <v>133</v>
      </c>
      <c r="K573" s="7" t="s">
        <v>1473</v>
      </c>
      <c r="L573" s="7" t="s">
        <v>133</v>
      </c>
      <c r="M573" s="31">
        <v>45695</v>
      </c>
      <c r="N573" s="7" t="s">
        <v>1474</v>
      </c>
      <c r="O573" s="8">
        <v>531</v>
      </c>
      <c r="P573" s="24">
        <v>3818</v>
      </c>
      <c r="Q573" s="22">
        <f>IF(COUNTIFS(A$2:A573,A573,I$2:I573,I573)=1,1,0)</f>
        <v>0</v>
      </c>
      <c r="R573" s="22">
        <f t="shared" si="8"/>
        <v>3</v>
      </c>
      <c r="S573" s="33">
        <f>IF(COUNTIF(O$2:O573,O573)=1,R573,0)/2.5</f>
        <v>1.2</v>
      </c>
    </row>
    <row r="574" spans="1:19" ht="18" customHeight="1" x14ac:dyDescent="0.25">
      <c r="A574" s="7" t="s">
        <v>43</v>
      </c>
      <c r="B574" s="8">
        <v>1</v>
      </c>
      <c r="C574" s="9">
        <v>415.9</v>
      </c>
      <c r="D574" s="29">
        <f>C574+IF(INDEX('Справочник по %'!B:B,(MATCH(A574,'Справочник по %'!A:A,0)))="кол-во",B574*INDEX('Справочник по %'!C:C,(MATCH(A574,'Справочник по %'!A:A,0))),ОТЧЕТ!C574*INDEX('Справочник по %'!C:C,(MATCH(A574,'Справочник по %'!A:A,0))))/100</f>
        <v>457.49</v>
      </c>
      <c r="E574" s="29">
        <f>IF(ОТЧЕТ!A574="SKU3",C574+ОТЧЕТ!C574*0.2,C574+ОТЧЕТ!C574*0.15)</f>
        <v>478.28499999999997</v>
      </c>
      <c r="F574" s="7" t="s">
        <v>1461</v>
      </c>
      <c r="G574" s="7">
        <v>5406712093</v>
      </c>
      <c r="H574" s="20" t="s">
        <v>1475</v>
      </c>
      <c r="I574" s="22">
        <f>INDEX('Справочник Сети'!B:B,(MATCH(G574,'Справочник Сети'!C:C,0)))</f>
        <v>0</v>
      </c>
      <c r="J574" s="7" t="s">
        <v>255</v>
      </c>
      <c r="K574" s="7" t="s">
        <v>1476</v>
      </c>
      <c r="L574" s="7" t="s">
        <v>92</v>
      </c>
      <c r="M574" s="31">
        <v>45714</v>
      </c>
      <c r="N574" s="7" t="s">
        <v>1477</v>
      </c>
      <c r="O574" s="8">
        <v>3150</v>
      </c>
      <c r="P574" s="24">
        <v>3822</v>
      </c>
      <c r="Q574" s="22">
        <f>IF(COUNTIFS(A$2:A574,A574,I$2:I574,I574)=1,1,0)</f>
        <v>0</v>
      </c>
      <c r="R574" s="22">
        <f t="shared" si="8"/>
        <v>1</v>
      </c>
      <c r="S574" s="33">
        <f>IF(COUNTIF(O$2:O574,O574)=1,R574,0)/2.5</f>
        <v>0.4</v>
      </c>
    </row>
    <row r="575" spans="1:19" ht="18" customHeight="1" x14ac:dyDescent="0.25">
      <c r="A575" s="7" t="s">
        <v>43</v>
      </c>
      <c r="B575" s="8">
        <v>1</v>
      </c>
      <c r="C575" s="9">
        <v>400.87</v>
      </c>
      <c r="D575" s="29">
        <f>C575+IF(INDEX('Справочник по %'!B:B,(MATCH(A575,'Справочник по %'!A:A,0)))="кол-во",B575*INDEX('Справочник по %'!C:C,(MATCH(A575,'Справочник по %'!A:A,0))),ОТЧЕТ!C575*INDEX('Справочник по %'!C:C,(MATCH(A575,'Справочник по %'!A:A,0))))/100</f>
        <v>440.95699999999999</v>
      </c>
      <c r="E575" s="29">
        <f>IF(ОТЧЕТ!A575="SKU3",C575+ОТЧЕТ!C575*0.2,C575+ОТЧЕТ!C575*0.15)</f>
        <v>461.00049999999999</v>
      </c>
      <c r="F575" s="7" t="s">
        <v>1461</v>
      </c>
      <c r="G575" s="7">
        <v>5507102175</v>
      </c>
      <c r="H575" s="20" t="s">
        <v>50</v>
      </c>
      <c r="I575" s="22" t="str">
        <f>INDEX('Справочник Сети'!B:B,(MATCH(G575,'Справочник Сети'!C:C,0)))</f>
        <v>Столички</v>
      </c>
      <c r="J575" s="7" t="s">
        <v>255</v>
      </c>
      <c r="K575" s="7" t="s">
        <v>693</v>
      </c>
      <c r="L575" s="7" t="s">
        <v>255</v>
      </c>
      <c r="M575" s="31">
        <v>45713</v>
      </c>
      <c r="N575" s="7" t="s">
        <v>1478</v>
      </c>
      <c r="O575" s="8">
        <v>2070</v>
      </c>
      <c r="P575" s="24">
        <v>3824</v>
      </c>
      <c r="Q575" s="22">
        <f>IF(COUNTIFS(A$2:A575,A575,I$2:I575,I575)=1,1,0)</f>
        <v>0</v>
      </c>
      <c r="R575" s="22">
        <f t="shared" si="8"/>
        <v>2</v>
      </c>
      <c r="S575" s="33">
        <f>IF(COUNTIF(O$2:O575,O575)=1,R575,0)/2.5</f>
        <v>0.8</v>
      </c>
    </row>
    <row r="576" spans="1:19" ht="18" customHeight="1" x14ac:dyDescent="0.25">
      <c r="A576" s="7" t="s">
        <v>37</v>
      </c>
      <c r="B576" s="8">
        <v>1</v>
      </c>
      <c r="C576" s="9">
        <v>522</v>
      </c>
      <c r="D576" s="29">
        <f>C576+IF(INDEX('Справочник по %'!B:B,(MATCH(A576,'Справочник по %'!A:A,0)))="кол-во",B576*INDEX('Справочник по %'!C:C,(MATCH(A576,'Справочник по %'!A:A,0))),ОТЧЕТ!C576*INDEX('Справочник по %'!C:C,(MATCH(A576,'Справочник по %'!A:A,0))))/100</f>
        <v>522.20000000000005</v>
      </c>
      <c r="E576" s="29">
        <f>IF(ОТЧЕТ!A576="SKU3",C576+ОТЧЕТ!C576*0.2,C576+ОТЧЕТ!C576*0.15)</f>
        <v>600.29999999999995</v>
      </c>
      <c r="F576" s="7" t="s">
        <v>1479</v>
      </c>
      <c r="G576" s="7">
        <v>5906086888</v>
      </c>
      <c r="H576" s="20" t="s">
        <v>39</v>
      </c>
      <c r="I576" s="22">
        <f>INDEX('Справочник Сети'!B:B,(MATCH(G576,'Справочник Сети'!C:C,0)))</f>
        <v>0</v>
      </c>
      <c r="J576" s="7" t="s">
        <v>79</v>
      </c>
      <c r="K576" s="7" t="s">
        <v>1480</v>
      </c>
      <c r="L576" s="7" t="s">
        <v>174</v>
      </c>
      <c r="M576" s="31">
        <v>45711</v>
      </c>
      <c r="N576" s="7" t="s">
        <v>1481</v>
      </c>
      <c r="O576" s="8">
        <v>2716</v>
      </c>
      <c r="P576" s="24">
        <v>3830</v>
      </c>
      <c r="Q576" s="22">
        <f>IF(COUNTIFS(A$2:A576,A576,I$2:I576,I576)=1,1,0)</f>
        <v>0</v>
      </c>
      <c r="R576" s="22">
        <f t="shared" si="8"/>
        <v>2</v>
      </c>
      <c r="S576" s="33">
        <f>IF(COUNTIF(O$2:O576,O576)=1,R576,0)/2.5</f>
        <v>0.8</v>
      </c>
    </row>
    <row r="577" spans="1:19" ht="18" customHeight="1" x14ac:dyDescent="0.25">
      <c r="A577" s="7" t="s">
        <v>43</v>
      </c>
      <c r="B577" s="8">
        <v>1</v>
      </c>
      <c r="C577" s="9">
        <v>399</v>
      </c>
      <c r="D577" s="29">
        <f>C577+IF(INDEX('Справочник по %'!B:B,(MATCH(A577,'Справочник по %'!A:A,0)))="кол-во",B577*INDEX('Справочник по %'!C:C,(MATCH(A577,'Справочник по %'!A:A,0))),ОТЧЕТ!C577*INDEX('Справочник по %'!C:C,(MATCH(A577,'Справочник по %'!A:A,0))))/100</f>
        <v>438.9</v>
      </c>
      <c r="E577" s="29">
        <f>IF(ОТЧЕТ!A577="SKU3",C577+ОТЧЕТ!C577*0.2,C577+ОТЧЕТ!C577*0.15)</f>
        <v>458.85</v>
      </c>
      <c r="F577" s="7" t="s">
        <v>1479</v>
      </c>
      <c r="G577" s="7">
        <v>5906086888</v>
      </c>
      <c r="H577" s="20" t="s">
        <v>39</v>
      </c>
      <c r="I577" s="22">
        <f>INDEX('Справочник Сети'!B:B,(MATCH(G577,'Справочник Сети'!C:C,0)))</f>
        <v>0</v>
      </c>
      <c r="J577" s="7" t="s">
        <v>79</v>
      </c>
      <c r="K577" s="7" t="s">
        <v>1482</v>
      </c>
      <c r="L577" s="7" t="s">
        <v>174</v>
      </c>
      <c r="M577" s="31">
        <v>45711</v>
      </c>
      <c r="N577" s="7" t="s">
        <v>970</v>
      </c>
      <c r="O577" s="8">
        <v>2716</v>
      </c>
      <c r="P577" s="24">
        <v>3832</v>
      </c>
      <c r="Q577" s="22">
        <f>IF(COUNTIFS(A$2:A577,A577,I$2:I577,I577)=1,1,0)</f>
        <v>0</v>
      </c>
      <c r="R577" s="22">
        <f t="shared" si="8"/>
        <v>2</v>
      </c>
      <c r="S577" s="33">
        <f>IF(COUNTIF(O$2:O577,O577)=1,R577,0)/2.5</f>
        <v>0</v>
      </c>
    </row>
    <row r="578" spans="1:19" ht="18" customHeight="1" x14ac:dyDescent="0.25">
      <c r="A578" s="7" t="s">
        <v>37</v>
      </c>
      <c r="B578" s="8">
        <v>1</v>
      </c>
      <c r="C578" s="9">
        <v>567.5</v>
      </c>
      <c r="D578" s="29">
        <f>C578+IF(INDEX('Справочник по %'!B:B,(MATCH(A578,'Справочник по %'!A:A,0)))="кол-во",B578*INDEX('Справочник по %'!C:C,(MATCH(A578,'Справочник по %'!A:A,0))),ОТЧЕТ!C578*INDEX('Справочник по %'!C:C,(MATCH(A578,'Справочник по %'!A:A,0))))/100</f>
        <v>567.70000000000005</v>
      </c>
      <c r="E578" s="29">
        <f>IF(ОТЧЕТ!A578="SKU3",C578+ОТЧЕТ!C578*0.2,C578+ОТЧЕТ!C578*0.15)</f>
        <v>652.625</v>
      </c>
      <c r="F578" s="7" t="s">
        <v>1479</v>
      </c>
      <c r="G578" s="7">
        <v>2227005590</v>
      </c>
      <c r="H578" s="20" t="s">
        <v>1483</v>
      </c>
      <c r="I578" s="22" t="str">
        <f>INDEX('Справочник Сети'!B:B,(MATCH(G578,'Справочник Сети'!C:C,0)))</f>
        <v>Нео-фарм</v>
      </c>
      <c r="J578" s="7" t="s">
        <v>372</v>
      </c>
      <c r="K578" s="7" t="s">
        <v>385</v>
      </c>
      <c r="L578" s="7" t="s">
        <v>372</v>
      </c>
      <c r="M578" s="31">
        <v>45730</v>
      </c>
      <c r="N578" s="7" t="s">
        <v>1484</v>
      </c>
      <c r="O578" s="8">
        <v>3010</v>
      </c>
      <c r="P578" s="24">
        <v>3833</v>
      </c>
      <c r="Q578" s="22">
        <f>IF(COUNTIFS(A$2:A578,A578,I$2:I578,I578)=1,1,0)</f>
        <v>0</v>
      </c>
      <c r="R578" s="22">
        <f t="shared" si="8"/>
        <v>1</v>
      </c>
      <c r="S578" s="33">
        <f>IF(COUNTIF(O$2:O578,O578)=1,R578,0)/2.5</f>
        <v>0.4</v>
      </c>
    </row>
    <row r="579" spans="1:19" ht="18" customHeight="1" x14ac:dyDescent="0.25">
      <c r="A579" s="7" t="s">
        <v>43</v>
      </c>
      <c r="B579" s="8">
        <v>1</v>
      </c>
      <c r="C579" s="9">
        <v>438</v>
      </c>
      <c r="D579" s="29">
        <f>C579+IF(INDEX('Справочник по %'!B:B,(MATCH(A579,'Справочник по %'!A:A,0)))="кол-во",B579*INDEX('Справочник по %'!C:C,(MATCH(A579,'Справочник по %'!A:A,0))),ОТЧЕТ!C579*INDEX('Справочник по %'!C:C,(MATCH(A579,'Справочник по %'!A:A,0))))/100</f>
        <v>481.8</v>
      </c>
      <c r="E579" s="29">
        <f>IF(ОТЧЕТ!A579="SKU3",C579+ОТЧЕТ!C579*0.2,C579+ОТЧЕТ!C579*0.15)</f>
        <v>503.7</v>
      </c>
      <c r="F579" s="7" t="s">
        <v>1479</v>
      </c>
      <c r="G579" s="7">
        <v>7709068298</v>
      </c>
      <c r="H579" s="20" t="s">
        <v>1485</v>
      </c>
      <c r="I579" s="22" t="str">
        <f>INDEX('Справочник Сети'!B:B,(MATCH(G579,'Справочник Сети'!C:C,0)))</f>
        <v>36,6</v>
      </c>
      <c r="J579" s="7" t="s">
        <v>504</v>
      </c>
      <c r="K579" s="7" t="s">
        <v>1486</v>
      </c>
      <c r="L579" s="7" t="s">
        <v>504</v>
      </c>
      <c r="M579" s="31">
        <v>45690</v>
      </c>
      <c r="N579" s="7" t="s">
        <v>1487</v>
      </c>
      <c r="O579" s="8">
        <v>2145</v>
      </c>
      <c r="P579" s="24">
        <v>3834</v>
      </c>
      <c r="Q579" s="22">
        <f>IF(COUNTIFS(A$2:A579,A579,I$2:I579,I579)=1,1,0)</f>
        <v>0</v>
      </c>
      <c r="R579" s="22">
        <f t="shared" ref="R579:R642" si="9">COUNTIF(O:O,O579)</f>
        <v>1</v>
      </c>
      <c r="S579" s="33">
        <f>IF(COUNTIF(O$2:O579,O579)=1,R579,0)/2.5</f>
        <v>0.4</v>
      </c>
    </row>
    <row r="580" spans="1:19" ht="18" customHeight="1" x14ac:dyDescent="0.25">
      <c r="A580" s="7" t="s">
        <v>37</v>
      </c>
      <c r="B580" s="8">
        <v>1</v>
      </c>
      <c r="C580" s="9">
        <v>649</v>
      </c>
      <c r="D580" s="29">
        <f>C580+IF(INDEX('Справочник по %'!B:B,(MATCH(A580,'Справочник по %'!A:A,0)))="кол-во",B580*INDEX('Справочник по %'!C:C,(MATCH(A580,'Справочник по %'!A:A,0))),ОТЧЕТ!C580*INDEX('Справочник по %'!C:C,(MATCH(A580,'Справочник по %'!A:A,0))))/100</f>
        <v>649.20000000000005</v>
      </c>
      <c r="E580" s="29">
        <f>IF(ОТЧЕТ!A580="SKU3",C580+ОТЧЕТ!C580*0.2,C580+ОТЧЕТ!C580*0.15)</f>
        <v>746.35</v>
      </c>
      <c r="F580" s="7" t="s">
        <v>1488</v>
      </c>
      <c r="G580" s="7">
        <v>7806510994</v>
      </c>
      <c r="H580" s="20" t="s">
        <v>50</v>
      </c>
      <c r="I580" s="22" t="str">
        <f>INDEX('Справочник Сети'!B:B,(MATCH(G580,'Справочник Сети'!C:C,0)))</f>
        <v>Ригла</v>
      </c>
      <c r="J580" s="7" t="s">
        <v>353</v>
      </c>
      <c r="K580" s="7" t="s">
        <v>1075</v>
      </c>
      <c r="L580" s="7" t="s">
        <v>353</v>
      </c>
      <c r="M580" s="31">
        <v>45672</v>
      </c>
      <c r="N580" s="7" t="s">
        <v>1489</v>
      </c>
      <c r="O580" s="8">
        <v>1575</v>
      </c>
      <c r="P580" s="24">
        <v>3836</v>
      </c>
      <c r="Q580" s="22">
        <f>IF(COUNTIFS(A$2:A580,A580,I$2:I580,I580)=1,1,0)</f>
        <v>0</v>
      </c>
      <c r="R580" s="22">
        <f t="shared" si="9"/>
        <v>2</v>
      </c>
      <c r="S580" s="33">
        <f>IF(COUNTIF(O$2:O580,O580)=1,R580,0)/2.5</f>
        <v>0.8</v>
      </c>
    </row>
    <row r="581" spans="1:19" ht="18" customHeight="1" x14ac:dyDescent="0.25">
      <c r="A581" s="7" t="s">
        <v>37</v>
      </c>
      <c r="B581" s="8">
        <v>1</v>
      </c>
      <c r="C581" s="9">
        <v>605</v>
      </c>
      <c r="D581" s="29">
        <f>C581+IF(INDEX('Справочник по %'!B:B,(MATCH(A581,'Справочник по %'!A:A,0)))="кол-во",B581*INDEX('Справочник по %'!C:C,(MATCH(A581,'Справочник по %'!A:A,0))),ОТЧЕТ!C581*INDEX('Справочник по %'!C:C,(MATCH(A581,'Справочник по %'!A:A,0))))/100</f>
        <v>605.20000000000005</v>
      </c>
      <c r="E581" s="29">
        <f>IF(ОТЧЕТ!A581="SKU3",C581+ОТЧЕТ!C581*0.2,C581+ОТЧЕТ!C581*0.15)</f>
        <v>695.75</v>
      </c>
      <c r="F581" s="7" t="s">
        <v>1490</v>
      </c>
      <c r="G581" s="7">
        <v>5906126795</v>
      </c>
      <c r="H581" s="20" t="s">
        <v>511</v>
      </c>
      <c r="I581" s="22">
        <f>INDEX('Справочник Сети'!B:B,(MATCH(G581,'Справочник Сети'!C:C,0)))</f>
        <v>0</v>
      </c>
      <c r="J581" s="7" t="s">
        <v>1491</v>
      </c>
      <c r="K581" s="7" t="s">
        <v>1218</v>
      </c>
      <c r="L581" s="7" t="s">
        <v>1492</v>
      </c>
      <c r="M581" s="31">
        <v>45709</v>
      </c>
      <c r="N581" s="7" t="s">
        <v>1493</v>
      </c>
      <c r="O581" s="8">
        <v>1642</v>
      </c>
      <c r="P581" s="24">
        <v>3837</v>
      </c>
      <c r="Q581" s="22">
        <f>IF(COUNTIFS(A$2:A581,A581,I$2:I581,I581)=1,1,0)</f>
        <v>0</v>
      </c>
      <c r="R581" s="22">
        <f t="shared" si="9"/>
        <v>1</v>
      </c>
      <c r="S581" s="33">
        <f>IF(COUNTIF(O$2:O581,O581)=1,R581,0)/2.5</f>
        <v>0.4</v>
      </c>
    </row>
    <row r="582" spans="1:19" ht="18" customHeight="1" x14ac:dyDescent="0.25">
      <c r="A582" s="7" t="s">
        <v>43</v>
      </c>
      <c r="B582" s="8">
        <v>1</v>
      </c>
      <c r="C582" s="9">
        <v>421.95</v>
      </c>
      <c r="D582" s="29">
        <f>C582+IF(INDEX('Справочник по %'!B:B,(MATCH(A582,'Справочник по %'!A:A,0)))="кол-во",B582*INDEX('Справочник по %'!C:C,(MATCH(A582,'Справочник по %'!A:A,0))),ОТЧЕТ!C582*INDEX('Справочник по %'!C:C,(MATCH(A582,'Справочник по %'!A:A,0))))/100</f>
        <v>464.14499999999998</v>
      </c>
      <c r="E582" s="29">
        <f>IF(ОТЧЕТ!A582="SKU3",C582+ОТЧЕТ!C582*0.2,C582+ОТЧЕТ!C582*0.15)</f>
        <v>485.24250000000001</v>
      </c>
      <c r="F582" s="7" t="s">
        <v>1494</v>
      </c>
      <c r="G582" s="7">
        <v>2465327355</v>
      </c>
      <c r="H582" s="20" t="s">
        <v>50</v>
      </c>
      <c r="I582" s="22" t="str">
        <f>INDEX('Справочник Сети'!B:B,(MATCH(G582,'Справочник Сети'!C:C,0)))</f>
        <v>Планета здоровья</v>
      </c>
      <c r="J582" s="7" t="s">
        <v>96</v>
      </c>
      <c r="K582" s="7" t="s">
        <v>1495</v>
      </c>
      <c r="L582" s="7" t="s">
        <v>96</v>
      </c>
      <c r="M582" s="31">
        <v>45727</v>
      </c>
      <c r="N582" s="7" t="s">
        <v>1496</v>
      </c>
      <c r="O582" s="8">
        <v>3069</v>
      </c>
      <c r="P582" s="24">
        <v>3838</v>
      </c>
      <c r="Q582" s="22">
        <f>IF(COUNTIFS(A$2:A582,A582,I$2:I582,I582)=1,1,0)</f>
        <v>0</v>
      </c>
      <c r="R582" s="22">
        <f t="shared" si="9"/>
        <v>4</v>
      </c>
      <c r="S582" s="33">
        <f>IF(COUNTIF(O$2:O582,O582)=1,R582,0)/2.5</f>
        <v>0</v>
      </c>
    </row>
    <row r="583" spans="1:19" ht="18" customHeight="1" x14ac:dyDescent="0.25">
      <c r="A583" s="7" t="s">
        <v>37</v>
      </c>
      <c r="B583" s="8">
        <v>1</v>
      </c>
      <c r="C583" s="9">
        <v>611.26</v>
      </c>
      <c r="D583" s="29">
        <f>C583+IF(INDEX('Справочник по %'!B:B,(MATCH(A583,'Справочник по %'!A:A,0)))="кол-во",B583*INDEX('Справочник по %'!C:C,(MATCH(A583,'Справочник по %'!A:A,0))),ОТЧЕТ!C583*INDEX('Справочник по %'!C:C,(MATCH(A583,'Справочник по %'!A:A,0))))/100</f>
        <v>611.46</v>
      </c>
      <c r="E583" s="29">
        <f>IF(ОТЧЕТ!A583="SKU3",C583+ОТЧЕТ!C583*0.2,C583+ОТЧЕТ!C583*0.15)</f>
        <v>702.94899999999996</v>
      </c>
      <c r="F583" s="7" t="s">
        <v>1494</v>
      </c>
      <c r="G583" s="7">
        <v>235100187194</v>
      </c>
      <c r="H583" s="20" t="s">
        <v>91</v>
      </c>
      <c r="I583" s="22" t="str">
        <f>INDEX('Справочник Сети'!B:B,(MATCH(G583,'Справочник Сети'!C:C,0)))</f>
        <v>Нео-фарм</v>
      </c>
      <c r="J583" s="7" t="s">
        <v>74</v>
      </c>
      <c r="K583" s="7" t="s">
        <v>293</v>
      </c>
      <c r="L583" s="7" t="s">
        <v>74</v>
      </c>
      <c r="M583" s="31">
        <v>45661</v>
      </c>
      <c r="N583" s="7" t="s">
        <v>1497</v>
      </c>
      <c r="O583" s="8">
        <v>1092</v>
      </c>
      <c r="P583" s="24">
        <v>3839</v>
      </c>
      <c r="Q583" s="22">
        <f>IF(COUNTIFS(A$2:A583,A583,I$2:I583,I583)=1,1,0)</f>
        <v>0</v>
      </c>
      <c r="R583" s="22">
        <f t="shared" si="9"/>
        <v>5</v>
      </c>
      <c r="S583" s="33">
        <f>IF(COUNTIF(O$2:O583,O583)=1,R583,0)/2.5</f>
        <v>2</v>
      </c>
    </row>
    <row r="584" spans="1:19" ht="18" customHeight="1" x14ac:dyDescent="0.25">
      <c r="A584" s="7" t="s">
        <v>43</v>
      </c>
      <c r="B584" s="8">
        <v>1</v>
      </c>
      <c r="C584" s="9">
        <v>438</v>
      </c>
      <c r="D584" s="29">
        <f>C584+IF(INDEX('Справочник по %'!B:B,(MATCH(A584,'Справочник по %'!A:A,0)))="кол-во",B584*INDEX('Справочник по %'!C:C,(MATCH(A584,'Справочник по %'!A:A,0))),ОТЧЕТ!C584*INDEX('Справочник по %'!C:C,(MATCH(A584,'Справочник по %'!A:A,0))))/100</f>
        <v>481.8</v>
      </c>
      <c r="E584" s="29">
        <f>IF(ОТЧЕТ!A584="SKU3",C584+ОТЧЕТ!C584*0.2,C584+ОТЧЕТ!C584*0.15)</f>
        <v>503.7</v>
      </c>
      <c r="F584" s="7" t="s">
        <v>1494</v>
      </c>
      <c r="G584" s="7">
        <v>6658518667</v>
      </c>
      <c r="H584" s="20" t="s">
        <v>1498</v>
      </c>
      <c r="I584" s="22">
        <f>INDEX('Справочник Сети'!B:B,(MATCH(G584,'Справочник Сети'!C:C,0)))</f>
        <v>0</v>
      </c>
      <c r="J584" s="7" t="s">
        <v>133</v>
      </c>
      <c r="K584" s="7" t="s">
        <v>1499</v>
      </c>
      <c r="L584" s="7" t="s">
        <v>133</v>
      </c>
      <c r="M584" s="31">
        <v>45695</v>
      </c>
      <c r="N584" s="7" t="s">
        <v>1500</v>
      </c>
      <c r="O584" s="8">
        <v>1949</v>
      </c>
      <c r="P584" s="24">
        <v>3841</v>
      </c>
      <c r="Q584" s="22">
        <f>IF(COUNTIFS(A$2:A584,A584,I$2:I584,I584)=1,1,0)</f>
        <v>0</v>
      </c>
      <c r="R584" s="22">
        <f t="shared" si="9"/>
        <v>1</v>
      </c>
      <c r="S584" s="33">
        <f>IF(COUNTIF(O$2:O584,O584)=1,R584,0)/2.5</f>
        <v>0.4</v>
      </c>
    </row>
    <row r="585" spans="1:19" ht="18" customHeight="1" x14ac:dyDescent="0.25">
      <c r="A585" s="7" t="s">
        <v>37</v>
      </c>
      <c r="B585" s="8">
        <v>1</v>
      </c>
      <c r="C585" s="9">
        <v>560</v>
      </c>
      <c r="D585" s="29">
        <f>C585+IF(INDEX('Справочник по %'!B:B,(MATCH(A585,'Справочник по %'!A:A,0)))="кол-во",B585*INDEX('Справочник по %'!C:C,(MATCH(A585,'Справочник по %'!A:A,0))),ОТЧЕТ!C585*INDEX('Справочник по %'!C:C,(MATCH(A585,'Справочник по %'!A:A,0))))/100</f>
        <v>560.20000000000005</v>
      </c>
      <c r="E585" s="29">
        <f>IF(ОТЧЕТ!A585="SKU3",C585+ОТЧЕТ!C585*0.2,C585+ОТЧЕТ!C585*0.15)</f>
        <v>644</v>
      </c>
      <c r="F585" s="7" t="s">
        <v>1494</v>
      </c>
      <c r="G585" s="7">
        <v>5504206024</v>
      </c>
      <c r="H585" s="20" t="s">
        <v>50</v>
      </c>
      <c r="I585" s="22">
        <f>INDEX('Справочник Сети'!B:B,(MATCH(G585,'Справочник Сети'!C:C,0)))</f>
        <v>0</v>
      </c>
      <c r="J585" s="7" t="s">
        <v>255</v>
      </c>
      <c r="K585" s="7" t="s">
        <v>710</v>
      </c>
      <c r="L585" s="7" t="s">
        <v>255</v>
      </c>
      <c r="M585" s="31">
        <v>45713</v>
      </c>
      <c r="N585" s="7" t="s">
        <v>1501</v>
      </c>
      <c r="O585" s="8">
        <v>3568</v>
      </c>
      <c r="P585" s="24">
        <v>3846</v>
      </c>
      <c r="Q585" s="22">
        <f>IF(COUNTIFS(A$2:A585,A585,I$2:I585,I585)=1,1,0)</f>
        <v>0</v>
      </c>
      <c r="R585" s="22">
        <f t="shared" si="9"/>
        <v>1</v>
      </c>
      <c r="S585" s="33">
        <f>IF(COUNTIF(O$2:O585,O585)=1,R585,0)/2.5</f>
        <v>0.4</v>
      </c>
    </row>
    <row r="586" spans="1:19" ht="18" customHeight="1" x14ac:dyDescent="0.25">
      <c r="A586" s="7" t="s">
        <v>43</v>
      </c>
      <c r="B586" s="8">
        <v>1</v>
      </c>
      <c r="C586" s="9">
        <v>379.4</v>
      </c>
      <c r="D586" s="29">
        <f>C586+IF(INDEX('Справочник по %'!B:B,(MATCH(A586,'Справочник по %'!A:A,0)))="кол-во",B586*INDEX('Справочник по %'!C:C,(MATCH(A586,'Справочник по %'!A:A,0))),ОТЧЕТ!C586*INDEX('Справочник по %'!C:C,(MATCH(A586,'Справочник по %'!A:A,0))))/100</f>
        <v>417.34</v>
      </c>
      <c r="E586" s="29">
        <f>IF(ОТЧЕТ!A586="SKU3",C586+ОТЧЕТ!C586*0.2,C586+ОТЧЕТ!C586*0.15)</f>
        <v>436.30999999999995</v>
      </c>
      <c r="F586" s="7" t="s">
        <v>1494</v>
      </c>
      <c r="G586" s="7">
        <v>7731334851</v>
      </c>
      <c r="H586" s="20" t="s">
        <v>1502</v>
      </c>
      <c r="I586" s="22" t="str">
        <f>INDEX('Справочник Сети'!B:B,(MATCH(G586,'Справочник Сети'!C:C,0)))</f>
        <v>Планета здоровья</v>
      </c>
      <c r="J586" s="7" t="s">
        <v>142</v>
      </c>
      <c r="K586" s="7" t="s">
        <v>1503</v>
      </c>
      <c r="L586" s="7" t="s">
        <v>142</v>
      </c>
      <c r="M586" s="31">
        <v>45674</v>
      </c>
      <c r="N586" s="7" t="s">
        <v>1504</v>
      </c>
      <c r="O586" s="8">
        <v>3546</v>
      </c>
      <c r="P586" s="24">
        <v>3848</v>
      </c>
      <c r="Q586" s="22">
        <f>IF(COUNTIFS(A$2:A586,A586,I$2:I586,I586)=1,1,0)</f>
        <v>0</v>
      </c>
      <c r="R586" s="22">
        <f t="shared" si="9"/>
        <v>1</v>
      </c>
      <c r="S586" s="33">
        <f>IF(COUNTIF(O$2:O586,O586)=1,R586,0)/2.5</f>
        <v>0.4</v>
      </c>
    </row>
    <row r="587" spans="1:19" ht="18" customHeight="1" x14ac:dyDescent="0.25">
      <c r="A587" s="7" t="s">
        <v>43</v>
      </c>
      <c r="B587" s="8">
        <v>1</v>
      </c>
      <c r="C587" s="9">
        <v>379</v>
      </c>
      <c r="D587" s="29">
        <f>C587+IF(INDEX('Справочник по %'!B:B,(MATCH(A587,'Справочник по %'!A:A,0)))="кол-во",B587*INDEX('Справочник по %'!C:C,(MATCH(A587,'Справочник по %'!A:A,0))),ОТЧЕТ!C587*INDEX('Справочник по %'!C:C,(MATCH(A587,'Справочник по %'!A:A,0))))/100</f>
        <v>416.9</v>
      </c>
      <c r="E587" s="29">
        <f>IF(ОТЧЕТ!A587="SKU3",C587+ОТЧЕТ!C587*0.2,C587+ОТЧЕТ!C587*0.15)</f>
        <v>435.85</v>
      </c>
      <c r="F587" s="7" t="s">
        <v>1494</v>
      </c>
      <c r="G587" s="7">
        <v>7728339546</v>
      </c>
      <c r="H587" s="20" t="s">
        <v>410</v>
      </c>
      <c r="I587" s="22" t="str">
        <f>INDEX('Справочник Сети'!B:B,(MATCH(G587,'Справочник Сети'!C:C,0)))</f>
        <v>Планета здоровья</v>
      </c>
      <c r="J587" s="7" t="s">
        <v>142</v>
      </c>
      <c r="K587" s="7" t="s">
        <v>976</v>
      </c>
      <c r="L587" s="7" t="s">
        <v>142</v>
      </c>
      <c r="M587" s="31">
        <v>45674</v>
      </c>
      <c r="N587" s="7" t="s">
        <v>1505</v>
      </c>
      <c r="O587" s="8">
        <v>3271</v>
      </c>
      <c r="P587" s="24">
        <v>3853</v>
      </c>
      <c r="Q587" s="22">
        <f>IF(COUNTIFS(A$2:A587,A587,I$2:I587,I587)=1,1,0)</f>
        <v>0</v>
      </c>
      <c r="R587" s="22">
        <f t="shared" si="9"/>
        <v>4</v>
      </c>
      <c r="S587" s="33">
        <f>IF(COUNTIF(O$2:O587,O587)=1,R587,0)/2.5</f>
        <v>0</v>
      </c>
    </row>
    <row r="588" spans="1:19" ht="18" customHeight="1" x14ac:dyDescent="0.25">
      <c r="A588" s="7" t="s">
        <v>43</v>
      </c>
      <c r="B588" s="8">
        <v>1</v>
      </c>
      <c r="C588" s="9">
        <v>379</v>
      </c>
      <c r="D588" s="29">
        <f>C588+IF(INDEX('Справочник по %'!B:B,(MATCH(A588,'Справочник по %'!A:A,0)))="кол-во",B588*INDEX('Справочник по %'!C:C,(MATCH(A588,'Справочник по %'!A:A,0))),ОТЧЕТ!C588*INDEX('Справочник по %'!C:C,(MATCH(A588,'Справочник по %'!A:A,0))))/100</f>
        <v>416.9</v>
      </c>
      <c r="E588" s="29">
        <f>IF(ОТЧЕТ!A588="SKU3",C588+ОТЧЕТ!C588*0.2,C588+ОТЧЕТ!C588*0.15)</f>
        <v>435.85</v>
      </c>
      <c r="F588" s="7" t="s">
        <v>1494</v>
      </c>
      <c r="G588" s="7">
        <v>7706795062</v>
      </c>
      <c r="H588" s="20" t="s">
        <v>1506</v>
      </c>
      <c r="I588" s="22" t="str">
        <f>INDEX('Справочник Сети'!B:B,(MATCH(G588,'Справочник Сети'!C:C,0)))</f>
        <v>Планета здоровья</v>
      </c>
      <c r="J588" s="7" t="s">
        <v>87</v>
      </c>
      <c r="K588" s="7" t="s">
        <v>1507</v>
      </c>
      <c r="L588" s="7" t="s">
        <v>87</v>
      </c>
      <c r="M588" s="31">
        <v>45691</v>
      </c>
      <c r="N588" s="7" t="s">
        <v>1508</v>
      </c>
      <c r="O588" s="8">
        <v>2547</v>
      </c>
      <c r="P588" s="24">
        <v>3855</v>
      </c>
      <c r="Q588" s="22">
        <f>IF(COUNTIFS(A$2:A588,A588,I$2:I588,I588)=1,1,0)</f>
        <v>0</v>
      </c>
      <c r="R588" s="22">
        <f t="shared" si="9"/>
        <v>2</v>
      </c>
      <c r="S588" s="33">
        <f>IF(COUNTIF(O$2:O588,O588)=1,R588,0)/2.5</f>
        <v>0.8</v>
      </c>
    </row>
    <row r="589" spans="1:19" ht="18" customHeight="1" x14ac:dyDescent="0.25">
      <c r="A589" s="7" t="s">
        <v>43</v>
      </c>
      <c r="B589" s="8">
        <v>1</v>
      </c>
      <c r="C589" s="9">
        <v>491</v>
      </c>
      <c r="D589" s="29">
        <f>C589+IF(INDEX('Справочник по %'!B:B,(MATCH(A589,'Справочник по %'!A:A,0)))="кол-во",B589*INDEX('Справочник по %'!C:C,(MATCH(A589,'Справочник по %'!A:A,0))),ОТЧЕТ!C589*INDEX('Справочник по %'!C:C,(MATCH(A589,'Справочник по %'!A:A,0))))/100</f>
        <v>540.1</v>
      </c>
      <c r="E589" s="29">
        <f>IF(ОТЧЕТ!A589="SKU3",C589+ОТЧЕТ!C589*0.2,C589+ОТЧЕТ!C589*0.15)</f>
        <v>564.65</v>
      </c>
      <c r="F589" s="7" t="s">
        <v>1494</v>
      </c>
      <c r="G589" s="7">
        <v>5903090325</v>
      </c>
      <c r="H589" s="20" t="s">
        <v>39</v>
      </c>
      <c r="I589" s="22" t="str">
        <f>INDEX('Справочник Сети'!B:B,(MATCH(G589,'Справочник Сети'!C:C,0)))</f>
        <v>Планета здоровья</v>
      </c>
      <c r="J589" s="7" t="s">
        <v>40</v>
      </c>
      <c r="K589" s="7" t="s">
        <v>1061</v>
      </c>
      <c r="L589" s="7" t="s">
        <v>40</v>
      </c>
      <c r="M589" s="31">
        <v>45712</v>
      </c>
      <c r="N589" s="7" t="s">
        <v>1509</v>
      </c>
      <c r="O589" s="8">
        <v>3648</v>
      </c>
      <c r="P589" s="24">
        <v>3861</v>
      </c>
      <c r="Q589" s="22">
        <f>IF(COUNTIFS(A$2:A589,A589,I$2:I589,I589)=1,1,0)</f>
        <v>0</v>
      </c>
      <c r="R589" s="22">
        <f t="shared" si="9"/>
        <v>1</v>
      </c>
      <c r="S589" s="33">
        <f>IF(COUNTIF(O$2:O589,O589)=1,R589,0)/2.5</f>
        <v>0.4</v>
      </c>
    </row>
    <row r="590" spans="1:19" ht="18" customHeight="1" x14ac:dyDescent="0.25">
      <c r="A590" s="7" t="s">
        <v>43</v>
      </c>
      <c r="B590" s="8">
        <v>1</v>
      </c>
      <c r="C590" s="9">
        <v>479</v>
      </c>
      <c r="D590" s="29">
        <f>C590+IF(INDEX('Справочник по %'!B:B,(MATCH(A590,'Справочник по %'!A:A,0)))="кол-во",B590*INDEX('Справочник по %'!C:C,(MATCH(A590,'Справочник по %'!A:A,0))),ОТЧЕТ!C590*INDEX('Справочник по %'!C:C,(MATCH(A590,'Справочник по %'!A:A,0))))/100</f>
        <v>526.9</v>
      </c>
      <c r="E590" s="29">
        <f>IF(ОТЧЕТ!A590="SKU3",C590+ОТЧЕТ!C590*0.2,C590+ОТЧЕТ!C590*0.15)</f>
        <v>550.85</v>
      </c>
      <c r="F590" s="7" t="s">
        <v>1494</v>
      </c>
      <c r="G590" s="7">
        <v>2543102471</v>
      </c>
      <c r="H590" s="20" t="s">
        <v>1050</v>
      </c>
      <c r="I590" s="22" t="str">
        <f>INDEX('Справочник Сети'!B:B,(MATCH(G590,'Справочник Сети'!C:C,0)))</f>
        <v>Столички</v>
      </c>
      <c r="J590" s="7" t="s">
        <v>46</v>
      </c>
      <c r="K590" s="7" t="s">
        <v>639</v>
      </c>
      <c r="L590" s="7" t="s">
        <v>46</v>
      </c>
      <c r="M590" s="31">
        <v>45726</v>
      </c>
      <c r="N590" s="7" t="s">
        <v>1510</v>
      </c>
      <c r="O590" s="8">
        <v>946</v>
      </c>
      <c r="P590" s="24">
        <v>3865</v>
      </c>
      <c r="Q590" s="22">
        <f>IF(COUNTIFS(A$2:A590,A590,I$2:I590,I590)=1,1,0)</f>
        <v>0</v>
      </c>
      <c r="R590" s="22">
        <f t="shared" si="9"/>
        <v>2</v>
      </c>
      <c r="S590" s="33">
        <f>IF(COUNTIF(O$2:O590,O590)=1,R590,0)/2.5</f>
        <v>0</v>
      </c>
    </row>
    <row r="591" spans="1:19" ht="18" customHeight="1" x14ac:dyDescent="0.25">
      <c r="A591" s="7" t="s">
        <v>43</v>
      </c>
      <c r="B591" s="8">
        <v>1</v>
      </c>
      <c r="C591" s="9">
        <v>527</v>
      </c>
      <c r="D591" s="29">
        <f>C591+IF(INDEX('Справочник по %'!B:B,(MATCH(A591,'Справочник по %'!A:A,0)))="кол-во",B591*INDEX('Справочник по %'!C:C,(MATCH(A591,'Справочник по %'!A:A,0))),ОТЧЕТ!C591*INDEX('Справочник по %'!C:C,(MATCH(A591,'Справочник по %'!A:A,0))))/100</f>
        <v>579.70000000000005</v>
      </c>
      <c r="E591" s="29">
        <f>IF(ОТЧЕТ!A591="SKU3",C591+ОТЧЕТ!C591*0.2,C591+ОТЧЕТ!C591*0.15)</f>
        <v>606.04999999999995</v>
      </c>
      <c r="F591" s="7" t="s">
        <v>1494</v>
      </c>
      <c r="G591" s="7">
        <v>7705947629</v>
      </c>
      <c r="H591" s="20" t="s">
        <v>50</v>
      </c>
      <c r="I591" s="22" t="str">
        <f>INDEX('Справочник Сети'!B:B,(MATCH(G591,'Справочник Сети'!C:C,0)))</f>
        <v>36,6</v>
      </c>
      <c r="J591" s="7" t="s">
        <v>104</v>
      </c>
      <c r="K591" s="7" t="s">
        <v>983</v>
      </c>
      <c r="L591" s="7" t="s">
        <v>104</v>
      </c>
      <c r="M591" s="31">
        <v>45693</v>
      </c>
      <c r="N591" s="7" t="s">
        <v>1511</v>
      </c>
      <c r="O591" s="8">
        <v>1629</v>
      </c>
      <c r="P591" s="24">
        <v>3867</v>
      </c>
      <c r="Q591" s="22">
        <f>IF(COUNTIFS(A$2:A591,A591,I$2:I591,I591)=1,1,0)</f>
        <v>0</v>
      </c>
      <c r="R591" s="22">
        <f t="shared" si="9"/>
        <v>8</v>
      </c>
      <c r="S591" s="33">
        <f>IF(COUNTIF(O$2:O591,O591)=1,R591,0)/2.5</f>
        <v>3.2</v>
      </c>
    </row>
    <row r="592" spans="1:19" ht="18" customHeight="1" x14ac:dyDescent="0.25">
      <c r="A592" s="7" t="s">
        <v>43</v>
      </c>
      <c r="B592" s="8">
        <v>1</v>
      </c>
      <c r="C592" s="9">
        <v>456</v>
      </c>
      <c r="D592" s="29">
        <f>C592+IF(INDEX('Справочник по %'!B:B,(MATCH(A592,'Справочник по %'!A:A,0)))="кол-во",B592*INDEX('Справочник по %'!C:C,(MATCH(A592,'Справочник по %'!A:A,0))),ОТЧЕТ!C592*INDEX('Справочник по %'!C:C,(MATCH(A592,'Справочник по %'!A:A,0))))/100</f>
        <v>501.6</v>
      </c>
      <c r="E592" s="29">
        <f>IF(ОТЧЕТ!A592="SKU3",C592+ОТЧЕТ!C592*0.2,C592+ОТЧЕТ!C592*0.15)</f>
        <v>524.4</v>
      </c>
      <c r="F592" s="7" t="s">
        <v>1494</v>
      </c>
      <c r="G592" s="7">
        <v>7705947629</v>
      </c>
      <c r="H592" s="20" t="s">
        <v>50</v>
      </c>
      <c r="I592" s="22" t="str">
        <f>INDEX('Справочник Сети'!B:B,(MATCH(G592,'Справочник Сети'!C:C,0)))</f>
        <v>36,6</v>
      </c>
      <c r="J592" s="7" t="s">
        <v>104</v>
      </c>
      <c r="K592" s="7" t="s">
        <v>983</v>
      </c>
      <c r="L592" s="7" t="s">
        <v>104</v>
      </c>
      <c r="M592" s="31">
        <v>45693</v>
      </c>
      <c r="N592" s="7" t="s">
        <v>1511</v>
      </c>
      <c r="O592" s="8">
        <v>1629</v>
      </c>
      <c r="P592" s="24">
        <v>3867</v>
      </c>
      <c r="Q592" s="22">
        <f>IF(COUNTIFS(A$2:A592,A592,I$2:I592,I592)=1,1,0)</f>
        <v>0</v>
      </c>
      <c r="R592" s="22">
        <f t="shared" si="9"/>
        <v>8</v>
      </c>
      <c r="S592" s="33">
        <f>IF(COUNTIF(O$2:O592,O592)=1,R592,0)/2.5</f>
        <v>0</v>
      </c>
    </row>
    <row r="593" spans="1:19" ht="18" customHeight="1" x14ac:dyDescent="0.25">
      <c r="A593" s="7" t="s">
        <v>43</v>
      </c>
      <c r="B593" s="8">
        <v>1</v>
      </c>
      <c r="C593" s="9">
        <v>385</v>
      </c>
      <c r="D593" s="29">
        <f>C593+IF(INDEX('Справочник по %'!B:B,(MATCH(A593,'Справочник по %'!A:A,0)))="кол-во",B593*INDEX('Справочник по %'!C:C,(MATCH(A593,'Справочник по %'!A:A,0))),ОТЧЕТ!C593*INDEX('Справочник по %'!C:C,(MATCH(A593,'Справочник по %'!A:A,0))))/100</f>
        <v>423.5</v>
      </c>
      <c r="E593" s="29">
        <f>IF(ОТЧЕТ!A593="SKU3",C593+ОТЧЕТ!C593*0.2,C593+ОТЧЕТ!C593*0.15)</f>
        <v>442.75</v>
      </c>
      <c r="F593" s="7" t="s">
        <v>1512</v>
      </c>
      <c r="G593" s="7">
        <v>3123296586</v>
      </c>
      <c r="H593" s="20" t="s">
        <v>192</v>
      </c>
      <c r="I593" s="22" t="str">
        <f>INDEX('Справочник Сети'!B:B,(MATCH(G593,'Справочник Сети'!C:C,0)))</f>
        <v>Столички</v>
      </c>
      <c r="J593" s="7" t="s">
        <v>193</v>
      </c>
      <c r="K593" s="7" t="s">
        <v>1513</v>
      </c>
      <c r="L593" s="7" t="s">
        <v>193</v>
      </c>
      <c r="M593" s="31">
        <v>45718</v>
      </c>
      <c r="N593" s="7" t="s">
        <v>1514</v>
      </c>
      <c r="O593" s="8">
        <v>3050</v>
      </c>
      <c r="P593" s="24">
        <v>3871</v>
      </c>
      <c r="Q593" s="22">
        <f>IF(COUNTIFS(A$2:A593,A593,I$2:I593,I593)=1,1,0)</f>
        <v>0</v>
      </c>
      <c r="R593" s="22">
        <f t="shared" si="9"/>
        <v>10</v>
      </c>
      <c r="S593" s="33">
        <f>IF(COUNTIF(O$2:O593,O593)=1,R593,0)/2.5</f>
        <v>0</v>
      </c>
    </row>
    <row r="594" spans="1:19" ht="18" customHeight="1" x14ac:dyDescent="0.25">
      <c r="A594" s="7" t="s">
        <v>43</v>
      </c>
      <c r="B594" s="8">
        <v>1</v>
      </c>
      <c r="C594" s="9">
        <v>515</v>
      </c>
      <c r="D594" s="29">
        <f>C594+IF(INDEX('Справочник по %'!B:B,(MATCH(A594,'Справочник по %'!A:A,0)))="кол-во",B594*INDEX('Справочник по %'!C:C,(MATCH(A594,'Справочник по %'!A:A,0))),ОТЧЕТ!C594*INDEX('Справочник по %'!C:C,(MATCH(A594,'Справочник по %'!A:A,0))))/100</f>
        <v>566.5</v>
      </c>
      <c r="E594" s="29">
        <f>IF(ОТЧЕТ!A594="SKU3",C594+ОТЧЕТ!C594*0.2,C594+ОТЧЕТ!C594*0.15)</f>
        <v>592.25</v>
      </c>
      <c r="F594" s="7" t="s">
        <v>1512</v>
      </c>
      <c r="G594" s="7">
        <v>7814139847</v>
      </c>
      <c r="H594" s="20" t="s">
        <v>50</v>
      </c>
      <c r="I594" s="22" t="str">
        <f>INDEX('Справочник Сети'!B:B,(MATCH(G594,'Справочник Сети'!C:C,0)))</f>
        <v>Планета здоровья</v>
      </c>
      <c r="J594" s="7" t="s">
        <v>121</v>
      </c>
      <c r="K594" s="7" t="s">
        <v>1515</v>
      </c>
      <c r="L594" s="7" t="s">
        <v>121</v>
      </c>
      <c r="M594" s="31">
        <v>45671</v>
      </c>
      <c r="N594" s="7" t="s">
        <v>1516</v>
      </c>
      <c r="O594" s="8">
        <v>469</v>
      </c>
      <c r="P594" s="24">
        <v>3878</v>
      </c>
      <c r="Q594" s="22">
        <f>IF(COUNTIFS(A$2:A594,A594,I$2:I594,I594)=1,1,0)</f>
        <v>0</v>
      </c>
      <c r="R594" s="22">
        <f t="shared" si="9"/>
        <v>5</v>
      </c>
      <c r="S594" s="33">
        <f>IF(COUNTIF(O$2:O594,O594)=1,R594,0)/2.5</f>
        <v>0</v>
      </c>
    </row>
    <row r="595" spans="1:19" ht="18" customHeight="1" x14ac:dyDescent="0.25">
      <c r="A595" s="7" t="s">
        <v>43</v>
      </c>
      <c r="B595" s="8">
        <v>1</v>
      </c>
      <c r="C595" s="9">
        <v>417.57</v>
      </c>
      <c r="D595" s="29">
        <f>C595+IF(INDEX('Справочник по %'!B:B,(MATCH(A595,'Справочник по %'!A:A,0)))="кол-во",B595*INDEX('Справочник по %'!C:C,(MATCH(A595,'Справочник по %'!A:A,0))),ОТЧЕТ!C595*INDEX('Справочник по %'!C:C,(MATCH(A595,'Справочник по %'!A:A,0))))/100</f>
        <v>459.327</v>
      </c>
      <c r="E595" s="29">
        <f>IF(ОТЧЕТ!A595="SKU3",C595+ОТЧЕТ!C595*0.2,C595+ОТЧЕТ!C595*0.15)</f>
        <v>480.20549999999997</v>
      </c>
      <c r="F595" s="7" t="s">
        <v>1512</v>
      </c>
      <c r="G595" s="7">
        <v>9102037817</v>
      </c>
      <c r="H595" s="20" t="s">
        <v>1517</v>
      </c>
      <c r="I595" s="22">
        <f>INDEX('Справочник Сети'!B:B,(MATCH(G595,'Справочник Сети'!C:C,0)))</f>
        <v>0</v>
      </c>
      <c r="J595" s="7" t="s">
        <v>315</v>
      </c>
      <c r="K595" s="7" t="s">
        <v>1003</v>
      </c>
      <c r="L595" s="7" t="s">
        <v>315</v>
      </c>
      <c r="M595" s="31">
        <v>45670</v>
      </c>
      <c r="N595" s="7" t="s">
        <v>1518</v>
      </c>
      <c r="O595" s="8">
        <v>342</v>
      </c>
      <c r="P595" s="24">
        <v>3880</v>
      </c>
      <c r="Q595" s="22">
        <f>IF(COUNTIFS(A$2:A595,A595,I$2:I595,I595)=1,1,0)</f>
        <v>0</v>
      </c>
      <c r="R595" s="22">
        <f t="shared" si="9"/>
        <v>1</v>
      </c>
      <c r="S595" s="33">
        <f>IF(COUNTIF(O$2:O595,O595)=1,R595,0)/2.5</f>
        <v>0.4</v>
      </c>
    </row>
    <row r="596" spans="1:19" ht="18" customHeight="1" x14ac:dyDescent="0.25">
      <c r="A596" s="7" t="s">
        <v>43</v>
      </c>
      <c r="B596" s="8">
        <v>1</v>
      </c>
      <c r="C596" s="9">
        <v>465</v>
      </c>
      <c r="D596" s="29">
        <f>C596+IF(INDEX('Справочник по %'!B:B,(MATCH(A596,'Справочник по %'!A:A,0)))="кол-во",B596*INDEX('Справочник по %'!C:C,(MATCH(A596,'Справочник по %'!A:A,0))),ОТЧЕТ!C596*INDEX('Справочник по %'!C:C,(MATCH(A596,'Справочник по %'!A:A,0))))/100</f>
        <v>511.5</v>
      </c>
      <c r="E596" s="29">
        <f>IF(ОТЧЕТ!A596="SKU3",C596+ОТЧЕТ!C596*0.2,C596+ОТЧЕТ!C596*0.15)</f>
        <v>534.75</v>
      </c>
      <c r="F596" s="7" t="s">
        <v>1512</v>
      </c>
      <c r="G596" s="7">
        <v>1650016360</v>
      </c>
      <c r="H596" s="20" t="s">
        <v>1519</v>
      </c>
      <c r="I596" s="22">
        <f>INDEX('Справочник Сети'!B:B,(MATCH(G596,'Справочник Сети'!C:C,0)))</f>
        <v>0</v>
      </c>
      <c r="J596" s="7" t="s">
        <v>335</v>
      </c>
      <c r="K596" s="7" t="s">
        <v>1520</v>
      </c>
      <c r="L596" s="7" t="s">
        <v>335</v>
      </c>
      <c r="M596" s="31">
        <v>45731</v>
      </c>
      <c r="N596" s="7" t="s">
        <v>1521</v>
      </c>
      <c r="O596" s="8">
        <v>3057</v>
      </c>
      <c r="P596" s="24">
        <v>3881</v>
      </c>
      <c r="Q596" s="22">
        <f>IF(COUNTIFS(A$2:A596,A596,I$2:I596,I596)=1,1,0)</f>
        <v>0</v>
      </c>
      <c r="R596" s="22">
        <f t="shared" si="9"/>
        <v>1</v>
      </c>
      <c r="S596" s="33">
        <f>IF(COUNTIF(O$2:O596,O596)=1,R596,0)/2.5</f>
        <v>0.4</v>
      </c>
    </row>
    <row r="597" spans="1:19" ht="18" customHeight="1" x14ac:dyDescent="0.25">
      <c r="A597" s="7" t="s">
        <v>37</v>
      </c>
      <c r="B597" s="8">
        <v>1</v>
      </c>
      <c r="C597" s="9">
        <v>600.70000000000005</v>
      </c>
      <c r="D597" s="29">
        <f>C597+IF(INDEX('Справочник по %'!B:B,(MATCH(A597,'Справочник по %'!A:A,0)))="кол-во",B597*INDEX('Справочник по %'!C:C,(MATCH(A597,'Справочник по %'!A:A,0))),ОТЧЕТ!C597*INDEX('Справочник по %'!C:C,(MATCH(A597,'Справочник по %'!A:A,0))))/100</f>
        <v>600.90000000000009</v>
      </c>
      <c r="E597" s="29">
        <f>IF(ОТЧЕТ!A597="SKU3",C597+ОТЧЕТ!C597*0.2,C597+ОТЧЕТ!C597*0.15)</f>
        <v>690.80500000000006</v>
      </c>
      <c r="F597" s="7" t="s">
        <v>1512</v>
      </c>
      <c r="G597" s="7">
        <v>7840411560</v>
      </c>
      <c r="H597" s="20" t="s">
        <v>491</v>
      </c>
      <c r="I597" s="22" t="str">
        <f>INDEX('Справочник Сети'!B:B,(MATCH(G597,'Справочник Сети'!C:C,0)))</f>
        <v>Столички</v>
      </c>
      <c r="J597" s="7" t="s">
        <v>315</v>
      </c>
      <c r="K597" s="7" t="s">
        <v>616</v>
      </c>
      <c r="L597" s="7" t="s">
        <v>315</v>
      </c>
      <c r="M597" s="31">
        <v>45670</v>
      </c>
      <c r="N597" s="7" t="s">
        <v>1522</v>
      </c>
      <c r="O597" s="8">
        <v>891</v>
      </c>
      <c r="P597" s="24">
        <v>3882</v>
      </c>
      <c r="Q597" s="22">
        <f>IF(COUNTIFS(A$2:A597,A597,I$2:I597,I597)=1,1,0)</f>
        <v>0</v>
      </c>
      <c r="R597" s="22">
        <f t="shared" si="9"/>
        <v>1</v>
      </c>
      <c r="S597" s="33">
        <f>IF(COUNTIF(O$2:O597,O597)=1,R597,0)/2.5</f>
        <v>0.4</v>
      </c>
    </row>
    <row r="598" spans="1:19" ht="18" customHeight="1" x14ac:dyDescent="0.25">
      <c r="A598" s="7" t="s">
        <v>37</v>
      </c>
      <c r="B598" s="8">
        <v>1</v>
      </c>
      <c r="C598" s="9">
        <v>682</v>
      </c>
      <c r="D598" s="29">
        <f>C598+IF(INDEX('Справочник по %'!B:B,(MATCH(A598,'Справочник по %'!A:A,0)))="кол-во",B598*INDEX('Справочник по %'!C:C,(MATCH(A598,'Справочник по %'!A:A,0))),ОТЧЕТ!C598*INDEX('Справочник по %'!C:C,(MATCH(A598,'Справочник по %'!A:A,0))))/100</f>
        <v>682.2</v>
      </c>
      <c r="E598" s="29">
        <f>IF(ОТЧЕТ!A598="SKU3",C598+ОТЧЕТ!C598*0.2,C598+ОТЧЕТ!C598*0.15)</f>
        <v>784.3</v>
      </c>
      <c r="F598" s="7" t="s">
        <v>1512</v>
      </c>
      <c r="G598" s="7">
        <v>7816221906</v>
      </c>
      <c r="H598" s="20" t="s">
        <v>50</v>
      </c>
      <c r="I598" s="22" t="str">
        <f>INDEX('Справочник Сети'!B:B,(MATCH(G598,'Справочник Сети'!C:C,0)))</f>
        <v>Ригла</v>
      </c>
      <c r="J598" s="7" t="s">
        <v>121</v>
      </c>
      <c r="K598" s="7" t="s">
        <v>1003</v>
      </c>
      <c r="L598" s="7" t="s">
        <v>121</v>
      </c>
      <c r="M598" s="31">
        <v>45671</v>
      </c>
      <c r="N598" s="7" t="s">
        <v>1523</v>
      </c>
      <c r="O598" s="8">
        <v>3039</v>
      </c>
      <c r="P598" s="24">
        <v>3883</v>
      </c>
      <c r="Q598" s="22">
        <f>IF(COUNTIFS(A$2:A598,A598,I$2:I598,I598)=1,1,0)</f>
        <v>0</v>
      </c>
      <c r="R598" s="22">
        <f t="shared" si="9"/>
        <v>2</v>
      </c>
      <c r="S598" s="33">
        <f>IF(COUNTIF(O$2:O598,O598)=1,R598,0)/2.5</f>
        <v>0.8</v>
      </c>
    </row>
    <row r="599" spans="1:19" ht="18" customHeight="1" x14ac:dyDescent="0.25">
      <c r="A599" s="7" t="s">
        <v>43</v>
      </c>
      <c r="B599" s="8">
        <v>1</v>
      </c>
      <c r="C599" s="9">
        <v>387</v>
      </c>
      <c r="D599" s="29">
        <f>C599+IF(INDEX('Справочник по %'!B:B,(MATCH(A599,'Справочник по %'!A:A,0)))="кол-во",B599*INDEX('Справочник по %'!C:C,(MATCH(A599,'Справочник по %'!A:A,0))),ОТЧЕТ!C599*INDEX('Справочник по %'!C:C,(MATCH(A599,'Справочник по %'!A:A,0))))/100</f>
        <v>425.7</v>
      </c>
      <c r="E599" s="29">
        <f>IF(ОТЧЕТ!A599="SKU3",C599+ОТЧЕТ!C599*0.2,C599+ОТЧЕТ!C599*0.15)</f>
        <v>445.05</v>
      </c>
      <c r="F599" s="7" t="s">
        <v>1512</v>
      </c>
      <c r="G599" s="7">
        <v>7706795062</v>
      </c>
      <c r="H599" s="20" t="s">
        <v>327</v>
      </c>
      <c r="I599" s="22" t="str">
        <f>INDEX('Справочник Сети'!B:B,(MATCH(G599,'Справочник Сети'!C:C,0)))</f>
        <v>Планета здоровья</v>
      </c>
      <c r="J599" s="7" t="s">
        <v>87</v>
      </c>
      <c r="K599" s="7" t="s">
        <v>505</v>
      </c>
      <c r="L599" s="7" t="s">
        <v>87</v>
      </c>
      <c r="M599" s="31">
        <v>45691</v>
      </c>
      <c r="N599" s="7" t="s">
        <v>1524</v>
      </c>
      <c r="O599" s="8">
        <v>1689</v>
      </c>
      <c r="P599" s="24">
        <v>3885</v>
      </c>
      <c r="Q599" s="22">
        <f>IF(COUNTIFS(A$2:A599,A599,I$2:I599,I599)=1,1,0)</f>
        <v>0</v>
      </c>
      <c r="R599" s="22">
        <f t="shared" si="9"/>
        <v>6</v>
      </c>
      <c r="S599" s="33">
        <f>IF(COUNTIF(O$2:O599,O599)=1,R599,0)/2.5</f>
        <v>2.4</v>
      </c>
    </row>
    <row r="600" spans="1:19" ht="18" customHeight="1" x14ac:dyDescent="0.25">
      <c r="A600" s="7" t="s">
        <v>43</v>
      </c>
      <c r="B600" s="8">
        <v>1</v>
      </c>
      <c r="C600" s="9">
        <v>405</v>
      </c>
      <c r="D600" s="29">
        <f>C600+IF(INDEX('Справочник по %'!B:B,(MATCH(A600,'Справочник по %'!A:A,0)))="кол-во",B600*INDEX('Справочник по %'!C:C,(MATCH(A600,'Справочник по %'!A:A,0))),ОТЧЕТ!C600*INDEX('Справочник по %'!C:C,(MATCH(A600,'Справочник по %'!A:A,0))))/100</f>
        <v>445.5</v>
      </c>
      <c r="E600" s="29">
        <f>IF(ОТЧЕТ!A600="SKU3",C600+ОТЧЕТ!C600*0.2,C600+ОТЧЕТ!C600*0.15)</f>
        <v>465.75</v>
      </c>
      <c r="F600" s="7" t="s">
        <v>1512</v>
      </c>
      <c r="G600" s="7">
        <v>2225105670</v>
      </c>
      <c r="H600" s="20" t="s">
        <v>69</v>
      </c>
      <c r="I600" s="22" t="str">
        <f>INDEX('Справочник Сети'!B:B,(MATCH(G600,'Справочник Сети'!C:C,0)))</f>
        <v>Столички</v>
      </c>
      <c r="J600" s="7" t="s">
        <v>372</v>
      </c>
      <c r="K600" s="7" t="s">
        <v>1525</v>
      </c>
      <c r="L600" s="7" t="s">
        <v>372</v>
      </c>
      <c r="M600" s="31">
        <v>45730</v>
      </c>
      <c r="N600" s="7" t="s">
        <v>1526</v>
      </c>
      <c r="O600" s="8">
        <v>2099</v>
      </c>
      <c r="P600" s="24">
        <v>3890</v>
      </c>
      <c r="Q600" s="22">
        <f>IF(COUNTIFS(A$2:A600,A600,I$2:I600,I600)=1,1,0)</f>
        <v>0</v>
      </c>
      <c r="R600" s="22">
        <f t="shared" si="9"/>
        <v>2</v>
      </c>
      <c r="S600" s="33">
        <f>IF(COUNTIF(O$2:O600,O600)=1,R600,0)/2.5</f>
        <v>0</v>
      </c>
    </row>
    <row r="601" spans="1:19" ht="18" customHeight="1" x14ac:dyDescent="0.25">
      <c r="A601" s="7" t="s">
        <v>43</v>
      </c>
      <c r="B601" s="8">
        <v>1</v>
      </c>
      <c r="C601" s="9">
        <v>402</v>
      </c>
      <c r="D601" s="29">
        <f>C601+IF(INDEX('Справочник по %'!B:B,(MATCH(A601,'Справочник по %'!A:A,0)))="кол-во",B601*INDEX('Справочник по %'!C:C,(MATCH(A601,'Справочник по %'!A:A,0))),ОТЧЕТ!C601*INDEX('Справочник по %'!C:C,(MATCH(A601,'Справочник по %'!A:A,0))))/100</f>
        <v>442.2</v>
      </c>
      <c r="E601" s="29">
        <f>IF(ОТЧЕТ!A601="SKU3",C601+ОТЧЕТ!C601*0.2,C601+ОТЧЕТ!C601*0.15)</f>
        <v>462.3</v>
      </c>
      <c r="F601" s="7" t="s">
        <v>1512</v>
      </c>
      <c r="G601" s="7">
        <v>7705947629</v>
      </c>
      <c r="H601" s="20" t="s">
        <v>50</v>
      </c>
      <c r="I601" s="22" t="str">
        <f>INDEX('Справочник Сети'!B:B,(MATCH(G601,'Справочник Сети'!C:C,0)))</f>
        <v>36,6</v>
      </c>
      <c r="J601" s="7" t="s">
        <v>116</v>
      </c>
      <c r="K601" s="7" t="s">
        <v>97</v>
      </c>
      <c r="L601" s="7" t="s">
        <v>104</v>
      </c>
      <c r="M601" s="31">
        <v>45693</v>
      </c>
      <c r="N601" s="7" t="s">
        <v>1527</v>
      </c>
      <c r="O601" s="8">
        <v>3162</v>
      </c>
      <c r="P601" s="24">
        <v>3891</v>
      </c>
      <c r="Q601" s="22">
        <f>IF(COUNTIFS(A$2:A601,A601,I$2:I601,I601)=1,1,0)</f>
        <v>0</v>
      </c>
      <c r="R601" s="22">
        <f t="shared" si="9"/>
        <v>1</v>
      </c>
      <c r="S601" s="33">
        <f>IF(COUNTIF(O$2:O601,O601)=1,R601,0)/2.5</f>
        <v>0.4</v>
      </c>
    </row>
    <row r="602" spans="1:19" ht="18" customHeight="1" x14ac:dyDescent="0.25">
      <c r="A602" s="7" t="s">
        <v>43</v>
      </c>
      <c r="B602" s="8">
        <v>1</v>
      </c>
      <c r="C602" s="9">
        <v>412.83</v>
      </c>
      <c r="D602" s="29">
        <f>C602+IF(INDEX('Справочник по %'!B:B,(MATCH(A602,'Справочник по %'!A:A,0)))="кол-во",B602*INDEX('Справочник по %'!C:C,(MATCH(A602,'Справочник по %'!A:A,0))),ОТЧЕТ!C602*INDEX('Справочник по %'!C:C,(MATCH(A602,'Справочник по %'!A:A,0))))/100</f>
        <v>454.113</v>
      </c>
      <c r="E602" s="29">
        <f>IF(ОТЧЕТ!A602="SKU3",C602+ОТЧЕТ!C602*0.2,C602+ОТЧЕТ!C602*0.15)</f>
        <v>474.75450000000001</v>
      </c>
      <c r="F602" s="7" t="s">
        <v>1512</v>
      </c>
      <c r="G602" s="7">
        <v>6903044867</v>
      </c>
      <c r="H602" s="20" t="s">
        <v>1528</v>
      </c>
      <c r="I602" s="22" t="str">
        <f>INDEX('Справочник Сети'!B:B,(MATCH(G602,'Справочник Сети'!C:C,0)))</f>
        <v>Ригла</v>
      </c>
      <c r="J602" s="7" t="s">
        <v>106</v>
      </c>
      <c r="K602" s="7" t="s">
        <v>1529</v>
      </c>
      <c r="L602" s="7" t="s">
        <v>106</v>
      </c>
      <c r="M602" s="31">
        <v>45694</v>
      </c>
      <c r="N602" s="7" t="s">
        <v>1530</v>
      </c>
      <c r="O602" s="8">
        <v>345</v>
      </c>
      <c r="P602" s="24">
        <v>3895</v>
      </c>
      <c r="Q602" s="22">
        <f>IF(COUNTIFS(A$2:A602,A602,I$2:I602,I602)=1,1,0)</f>
        <v>0</v>
      </c>
      <c r="R602" s="22">
        <f t="shared" si="9"/>
        <v>2</v>
      </c>
      <c r="S602" s="33">
        <f>IF(COUNTIF(O$2:O602,O602)=1,R602,0)/2.5</f>
        <v>0.8</v>
      </c>
    </row>
    <row r="603" spans="1:19" ht="18" customHeight="1" x14ac:dyDescent="0.25">
      <c r="A603" s="7" t="s">
        <v>43</v>
      </c>
      <c r="B603" s="8">
        <v>1</v>
      </c>
      <c r="C603" s="9">
        <v>471</v>
      </c>
      <c r="D603" s="29">
        <f>C603+IF(INDEX('Справочник по %'!B:B,(MATCH(A603,'Справочник по %'!A:A,0)))="кол-во",B603*INDEX('Справочник по %'!C:C,(MATCH(A603,'Справочник по %'!A:A,0))),ОТЧЕТ!C603*INDEX('Справочник по %'!C:C,(MATCH(A603,'Справочник по %'!A:A,0))))/100</f>
        <v>518.1</v>
      </c>
      <c r="E603" s="29">
        <f>IF(ОТЧЕТ!A603="SKU3",C603+ОТЧЕТ!C603*0.2,C603+ОТЧЕТ!C603*0.15)</f>
        <v>541.65</v>
      </c>
      <c r="F603" s="7" t="s">
        <v>1512</v>
      </c>
      <c r="G603" s="7">
        <v>2632087553</v>
      </c>
      <c r="H603" s="20" t="s">
        <v>91</v>
      </c>
      <c r="I603" s="22" t="str">
        <f>INDEX('Справочник Сети'!B:B,(MATCH(G603,'Справочник Сети'!C:C,0)))</f>
        <v>Ригла</v>
      </c>
      <c r="J603" s="7" t="s">
        <v>46</v>
      </c>
      <c r="K603" s="7" t="s">
        <v>1531</v>
      </c>
      <c r="L603" s="7" t="s">
        <v>46</v>
      </c>
      <c r="M603" s="31">
        <v>45726</v>
      </c>
      <c r="N603" s="7" t="s">
        <v>1532</v>
      </c>
      <c r="O603" s="8">
        <v>1150</v>
      </c>
      <c r="P603" s="24">
        <v>3897</v>
      </c>
      <c r="Q603" s="22">
        <f>IF(COUNTIFS(A$2:A603,A603,I$2:I603,I603)=1,1,0)</f>
        <v>0</v>
      </c>
      <c r="R603" s="22">
        <f t="shared" si="9"/>
        <v>3</v>
      </c>
      <c r="S603" s="33">
        <f>IF(COUNTIF(O$2:O603,O603)=1,R603,0)/2.5</f>
        <v>0</v>
      </c>
    </row>
    <row r="604" spans="1:19" ht="18" customHeight="1" x14ac:dyDescent="0.25">
      <c r="A604" s="7" t="s">
        <v>43</v>
      </c>
      <c r="B604" s="8">
        <v>1</v>
      </c>
      <c r="C604" s="9">
        <v>301.93</v>
      </c>
      <c r="D604" s="29">
        <f>C604+IF(INDEX('Справочник по %'!B:B,(MATCH(A604,'Справочник по %'!A:A,0)))="кол-во",B604*INDEX('Справочник по %'!C:C,(MATCH(A604,'Справочник по %'!A:A,0))),ОТЧЕТ!C604*INDEX('Справочник по %'!C:C,(MATCH(A604,'Справочник по %'!A:A,0))))/100</f>
        <v>332.12299999999999</v>
      </c>
      <c r="E604" s="29">
        <f>IF(ОТЧЕТ!A604="SKU3",C604+ОТЧЕТ!C604*0.2,C604+ОТЧЕТ!C604*0.15)</f>
        <v>347.21949999999998</v>
      </c>
      <c r="F604" s="7" t="s">
        <v>1512</v>
      </c>
      <c r="G604" s="7">
        <v>7705947629</v>
      </c>
      <c r="H604" s="20" t="s">
        <v>50</v>
      </c>
      <c r="I604" s="22" t="str">
        <f>INDEX('Справочник Сети'!B:B,(MATCH(G604,'Справочник Сети'!C:C,0)))</f>
        <v>36,6</v>
      </c>
      <c r="J604" s="7" t="s">
        <v>104</v>
      </c>
      <c r="K604" s="7" t="s">
        <v>316</v>
      </c>
      <c r="L604" s="7" t="s">
        <v>104</v>
      </c>
      <c r="M604" s="31">
        <v>45693</v>
      </c>
      <c r="N604" s="7" t="s">
        <v>1533</v>
      </c>
      <c r="O604" s="8">
        <v>870</v>
      </c>
      <c r="P604" s="24">
        <v>3903</v>
      </c>
      <c r="Q604" s="22">
        <f>IF(COUNTIFS(A$2:A604,A604,I$2:I604,I604)=1,1,0)</f>
        <v>0</v>
      </c>
      <c r="R604" s="22">
        <f t="shared" si="9"/>
        <v>2</v>
      </c>
      <c r="S604" s="33">
        <f>IF(COUNTIF(O$2:O604,O604)=1,R604,0)/2.5</f>
        <v>0</v>
      </c>
    </row>
    <row r="605" spans="1:19" ht="18" customHeight="1" x14ac:dyDescent="0.25">
      <c r="A605" s="7" t="s">
        <v>43</v>
      </c>
      <c r="B605" s="8">
        <v>1</v>
      </c>
      <c r="C605" s="9">
        <v>672</v>
      </c>
      <c r="D605" s="29">
        <f>C605+IF(INDEX('Справочник по %'!B:B,(MATCH(A605,'Справочник по %'!A:A,0)))="кол-во",B605*INDEX('Справочник по %'!C:C,(MATCH(A605,'Справочник по %'!A:A,0))),ОТЧЕТ!C605*INDEX('Справочник по %'!C:C,(MATCH(A605,'Справочник по %'!A:A,0))))/100</f>
        <v>739.2</v>
      </c>
      <c r="E605" s="29">
        <f>IF(ОТЧЕТ!A605="SKU3",C605+ОТЧЕТ!C605*0.2,C605+ОТЧЕТ!C605*0.15)</f>
        <v>772.8</v>
      </c>
      <c r="F605" s="7" t="s">
        <v>1512</v>
      </c>
      <c r="G605" s="7">
        <v>7705947629</v>
      </c>
      <c r="H605" s="20" t="s">
        <v>50</v>
      </c>
      <c r="I605" s="22" t="str">
        <f>INDEX('Справочник Сети'!B:B,(MATCH(G605,'Справочник Сети'!C:C,0)))</f>
        <v>36,6</v>
      </c>
      <c r="J605" s="7" t="s">
        <v>104</v>
      </c>
      <c r="K605" s="7" t="s">
        <v>525</v>
      </c>
      <c r="L605" s="7" t="s">
        <v>104</v>
      </c>
      <c r="M605" s="31">
        <v>45693</v>
      </c>
      <c r="N605" s="7" t="s">
        <v>1534</v>
      </c>
      <c r="O605" s="8">
        <v>372</v>
      </c>
      <c r="P605" s="24">
        <v>3904</v>
      </c>
      <c r="Q605" s="22">
        <f>IF(COUNTIFS(A$2:A605,A605,I$2:I605,I605)=1,1,0)</f>
        <v>0</v>
      </c>
      <c r="R605" s="22">
        <f t="shared" si="9"/>
        <v>13</v>
      </c>
      <c r="S605" s="33">
        <f>IF(COUNTIF(O$2:O605,O605)=1,R605,0)/2.5</f>
        <v>0</v>
      </c>
    </row>
    <row r="606" spans="1:19" ht="18" customHeight="1" x14ac:dyDescent="0.25">
      <c r="A606" s="7" t="s">
        <v>43</v>
      </c>
      <c r="B606" s="8">
        <v>1</v>
      </c>
      <c r="C606" s="9">
        <v>430</v>
      </c>
      <c r="D606" s="29">
        <f>C606+IF(INDEX('Справочник по %'!B:B,(MATCH(A606,'Справочник по %'!A:A,0)))="кол-во",B606*INDEX('Справочник по %'!C:C,(MATCH(A606,'Справочник по %'!A:A,0))),ОТЧЕТ!C606*INDEX('Справочник по %'!C:C,(MATCH(A606,'Справочник по %'!A:A,0))))/100</f>
        <v>473</v>
      </c>
      <c r="E606" s="29">
        <f>IF(ОТЧЕТ!A606="SKU3",C606+ОТЧЕТ!C606*0.2,C606+ОТЧЕТ!C606*0.15)</f>
        <v>494.5</v>
      </c>
      <c r="F606" s="7" t="s">
        <v>1512</v>
      </c>
      <c r="G606" s="7">
        <v>4632178758</v>
      </c>
      <c r="H606" s="20" t="s">
        <v>91</v>
      </c>
      <c r="I606" s="22" t="str">
        <f>INDEX('Справочник Сети'!B:B,(MATCH(G606,'Справочник Сети'!C:C,0)))</f>
        <v>Столички</v>
      </c>
      <c r="J606" s="7" t="s">
        <v>83</v>
      </c>
      <c r="K606" s="7" t="s">
        <v>1535</v>
      </c>
      <c r="L606" s="7" t="s">
        <v>155</v>
      </c>
      <c r="M606" s="31">
        <v>45716</v>
      </c>
      <c r="N606" s="7" t="s">
        <v>1536</v>
      </c>
      <c r="O606" s="8">
        <v>240</v>
      </c>
      <c r="P606" s="24">
        <v>3905</v>
      </c>
      <c r="Q606" s="22">
        <f>IF(COUNTIFS(A$2:A606,A606,I$2:I606,I606)=1,1,0)</f>
        <v>0</v>
      </c>
      <c r="R606" s="22">
        <f t="shared" si="9"/>
        <v>2</v>
      </c>
      <c r="S606" s="33">
        <f>IF(COUNTIF(O$2:O606,O606)=1,R606,0)/2.5</f>
        <v>0</v>
      </c>
    </row>
    <row r="607" spans="1:19" ht="18" customHeight="1" x14ac:dyDescent="0.25">
      <c r="A607" s="7" t="s">
        <v>43</v>
      </c>
      <c r="B607" s="8">
        <v>1</v>
      </c>
      <c r="C607" s="9">
        <v>467</v>
      </c>
      <c r="D607" s="29">
        <f>C607+IF(INDEX('Справочник по %'!B:B,(MATCH(A607,'Справочник по %'!A:A,0)))="кол-во",B607*INDEX('Справочник по %'!C:C,(MATCH(A607,'Справочник по %'!A:A,0))),ОТЧЕТ!C607*INDEX('Справочник по %'!C:C,(MATCH(A607,'Справочник по %'!A:A,0))))/100</f>
        <v>513.70000000000005</v>
      </c>
      <c r="E607" s="29">
        <f>IF(ОТЧЕТ!A607="SKU3",C607+ОТЧЕТ!C607*0.2,C607+ОТЧЕТ!C607*0.15)</f>
        <v>537.04999999999995</v>
      </c>
      <c r="F607" s="7" t="s">
        <v>1512</v>
      </c>
      <c r="G607" s="7">
        <v>504402998020</v>
      </c>
      <c r="H607" s="20" t="s">
        <v>91</v>
      </c>
      <c r="I607" s="22" t="str">
        <f>INDEX('Справочник Сети'!B:B,(MATCH(G607,'Справочник Сети'!C:C,0)))</f>
        <v>Нео-фарм</v>
      </c>
      <c r="J607" s="7" t="s">
        <v>251</v>
      </c>
      <c r="K607" s="7" t="s">
        <v>1537</v>
      </c>
      <c r="L607" s="7" t="s">
        <v>110</v>
      </c>
      <c r="M607" s="31">
        <v>45660</v>
      </c>
      <c r="N607" s="7" t="s">
        <v>1538</v>
      </c>
      <c r="O607" s="8">
        <v>3145</v>
      </c>
      <c r="P607" s="24">
        <v>3909</v>
      </c>
      <c r="Q607" s="22">
        <f>IF(COUNTIFS(A$2:A607,A607,I$2:I607,I607)=1,1,0)</f>
        <v>0</v>
      </c>
      <c r="R607" s="22">
        <f t="shared" si="9"/>
        <v>2</v>
      </c>
      <c r="S607" s="33">
        <f>IF(COUNTIF(O$2:O607,O607)=1,R607,0)/2.5</f>
        <v>0.8</v>
      </c>
    </row>
    <row r="608" spans="1:19" ht="18" customHeight="1" x14ac:dyDescent="0.25">
      <c r="A608" s="7" t="s">
        <v>43</v>
      </c>
      <c r="B608" s="8">
        <v>1</v>
      </c>
      <c r="C608" s="9">
        <v>400</v>
      </c>
      <c r="D608" s="29">
        <f>C608+IF(INDEX('Справочник по %'!B:B,(MATCH(A608,'Справочник по %'!A:A,0)))="кол-во",B608*INDEX('Справочник по %'!C:C,(MATCH(A608,'Справочник по %'!A:A,0))),ОТЧЕТ!C608*INDEX('Справочник по %'!C:C,(MATCH(A608,'Справочник по %'!A:A,0))))/100</f>
        <v>440</v>
      </c>
      <c r="E608" s="29">
        <f>IF(ОТЧЕТ!A608="SKU3",C608+ОТЧЕТ!C608*0.2,C608+ОТЧЕТ!C608*0.15)</f>
        <v>460</v>
      </c>
      <c r="F608" s="7" t="s">
        <v>1512</v>
      </c>
      <c r="G608" s="7">
        <v>6166128454</v>
      </c>
      <c r="H608" s="20" t="s">
        <v>402</v>
      </c>
      <c r="I608" s="22" t="str">
        <f>INDEX('Справочник Сети'!B:B,(MATCH(G608,'Справочник Сети'!C:C,0)))</f>
        <v>Планета здоровья</v>
      </c>
      <c r="J608" s="7" t="s">
        <v>203</v>
      </c>
      <c r="K608" s="7" t="s">
        <v>1539</v>
      </c>
      <c r="L608" s="7" t="s">
        <v>203</v>
      </c>
      <c r="M608" s="31">
        <v>45696</v>
      </c>
      <c r="N608" s="7" t="s">
        <v>1540</v>
      </c>
      <c r="O608" s="8">
        <v>1264</v>
      </c>
      <c r="P608" s="24">
        <v>3911</v>
      </c>
      <c r="Q608" s="22">
        <f>IF(COUNTIFS(A$2:A608,A608,I$2:I608,I608)=1,1,0)</f>
        <v>0</v>
      </c>
      <c r="R608" s="22">
        <f t="shared" si="9"/>
        <v>1</v>
      </c>
      <c r="S608" s="33">
        <f>IF(COUNTIF(O$2:O608,O608)=1,R608,0)/2.5</f>
        <v>0.4</v>
      </c>
    </row>
    <row r="609" spans="1:19" ht="18" customHeight="1" x14ac:dyDescent="0.25">
      <c r="A609" s="7" t="s">
        <v>43</v>
      </c>
      <c r="B609" s="8">
        <v>1</v>
      </c>
      <c r="C609" s="9">
        <v>443</v>
      </c>
      <c r="D609" s="29">
        <f>C609+IF(INDEX('Справочник по %'!B:B,(MATCH(A609,'Справочник по %'!A:A,0)))="кол-во",B609*INDEX('Справочник по %'!C:C,(MATCH(A609,'Справочник по %'!A:A,0))),ОТЧЕТ!C609*INDEX('Справочник по %'!C:C,(MATCH(A609,'Справочник по %'!A:A,0))))/100</f>
        <v>487.3</v>
      </c>
      <c r="E609" s="29">
        <f>IF(ОТЧЕТ!A609="SKU3",C609+ОТЧЕТ!C609*0.2,C609+ОТЧЕТ!C609*0.15)</f>
        <v>509.45</v>
      </c>
      <c r="F609" s="7" t="s">
        <v>1512</v>
      </c>
      <c r="G609" s="7">
        <v>326537584</v>
      </c>
      <c r="H609" s="20" t="s">
        <v>1541</v>
      </c>
      <c r="I609" s="22" t="str">
        <f>INDEX('Справочник Сети'!B:B,(MATCH(G609,'Справочник Сети'!C:C,0)))</f>
        <v>Планета здоровья</v>
      </c>
      <c r="J609" s="7" t="s">
        <v>362</v>
      </c>
      <c r="K609" s="7" t="s">
        <v>1542</v>
      </c>
      <c r="L609" s="7" t="s">
        <v>362</v>
      </c>
      <c r="M609" s="31">
        <v>45732</v>
      </c>
      <c r="N609" s="7" t="s">
        <v>1543</v>
      </c>
      <c r="O609" s="8">
        <v>3065</v>
      </c>
      <c r="P609" s="24">
        <v>3912</v>
      </c>
      <c r="Q609" s="22">
        <f>IF(COUNTIFS(A$2:A609,A609,I$2:I609,I609)=1,1,0)</f>
        <v>0</v>
      </c>
      <c r="R609" s="22">
        <f t="shared" si="9"/>
        <v>2</v>
      </c>
      <c r="S609" s="33">
        <f>IF(COUNTIF(O$2:O609,O609)=1,R609,0)/2.5</f>
        <v>0.8</v>
      </c>
    </row>
    <row r="610" spans="1:19" ht="18" customHeight="1" x14ac:dyDescent="0.25">
      <c r="A610" s="7" t="s">
        <v>43</v>
      </c>
      <c r="B610" s="8">
        <v>1</v>
      </c>
      <c r="C610" s="9">
        <v>370</v>
      </c>
      <c r="D610" s="29">
        <f>C610+IF(INDEX('Справочник по %'!B:B,(MATCH(A610,'Справочник по %'!A:A,0)))="кол-во",B610*INDEX('Справочник по %'!C:C,(MATCH(A610,'Справочник по %'!A:A,0))),ОТЧЕТ!C610*INDEX('Справочник по %'!C:C,(MATCH(A610,'Справочник по %'!A:A,0))))/100</f>
        <v>407</v>
      </c>
      <c r="E610" s="29">
        <f>IF(ОТЧЕТ!A610="SKU3",C610+ОТЧЕТ!C610*0.2,C610+ОТЧЕТ!C610*0.15)</f>
        <v>425.5</v>
      </c>
      <c r="F610" s="7" t="s">
        <v>1512</v>
      </c>
      <c r="G610" s="7">
        <v>4217178886</v>
      </c>
      <c r="H610" s="20" t="s">
        <v>1544</v>
      </c>
      <c r="I610" s="22" t="str">
        <f>INDEX('Справочник Сети'!B:B,(MATCH(G610,'Справочник Сети'!C:C,0)))</f>
        <v>Нео-фарм</v>
      </c>
      <c r="J610" s="7" t="s">
        <v>155</v>
      </c>
      <c r="K610" s="7" t="s">
        <v>1545</v>
      </c>
      <c r="L610" s="7" t="s">
        <v>155</v>
      </c>
      <c r="M610" s="31">
        <v>45716</v>
      </c>
      <c r="N610" s="7" t="s">
        <v>532</v>
      </c>
      <c r="O610" s="8">
        <v>3449</v>
      </c>
      <c r="P610" s="24">
        <v>3913</v>
      </c>
      <c r="Q610" s="22">
        <f>IF(COUNTIFS(A$2:A610,A610,I$2:I610,I610)=1,1,0)</f>
        <v>0</v>
      </c>
      <c r="R610" s="22">
        <f t="shared" si="9"/>
        <v>1</v>
      </c>
      <c r="S610" s="33">
        <f>IF(COUNTIF(O$2:O610,O610)=1,R610,0)/2.5</f>
        <v>0.4</v>
      </c>
    </row>
    <row r="611" spans="1:19" ht="18" customHeight="1" x14ac:dyDescent="0.25">
      <c r="A611" s="7" t="s">
        <v>37</v>
      </c>
      <c r="B611" s="8">
        <v>1</v>
      </c>
      <c r="C611" s="9">
        <v>617</v>
      </c>
      <c r="D611" s="29">
        <f>C611+IF(INDEX('Справочник по %'!B:B,(MATCH(A611,'Справочник по %'!A:A,0)))="кол-во",B611*INDEX('Справочник по %'!C:C,(MATCH(A611,'Справочник по %'!A:A,0))),ОТЧЕТ!C611*INDEX('Справочник по %'!C:C,(MATCH(A611,'Справочник по %'!A:A,0))))/100</f>
        <v>617.20000000000005</v>
      </c>
      <c r="E611" s="29">
        <f>IF(ОТЧЕТ!A611="SKU3",C611+ОТЧЕТ!C611*0.2,C611+ОТЧЕТ!C611*0.15)</f>
        <v>709.55</v>
      </c>
      <c r="F611" s="7" t="s">
        <v>1546</v>
      </c>
      <c r="G611" s="7">
        <v>2466283527</v>
      </c>
      <c r="H611" s="20" t="s">
        <v>69</v>
      </c>
      <c r="I611" s="22">
        <f>INDEX('Справочник Сети'!B:B,(MATCH(G611,'Справочник Сети'!C:C,0)))</f>
        <v>0</v>
      </c>
      <c r="J611" s="7" t="s">
        <v>96</v>
      </c>
      <c r="K611" s="7" t="s">
        <v>71</v>
      </c>
      <c r="L611" s="7" t="s">
        <v>96</v>
      </c>
      <c r="M611" s="31">
        <v>45727</v>
      </c>
      <c r="N611" s="7" t="s">
        <v>1547</v>
      </c>
      <c r="O611" s="8">
        <v>334</v>
      </c>
      <c r="P611" s="24">
        <v>3925</v>
      </c>
      <c r="Q611" s="22">
        <f>IF(COUNTIFS(A$2:A611,A611,I$2:I611,I611)=1,1,0)</f>
        <v>0</v>
      </c>
      <c r="R611" s="22">
        <f t="shared" si="9"/>
        <v>2</v>
      </c>
      <c r="S611" s="33">
        <f>IF(COUNTIF(O$2:O611,O611)=1,R611,0)/2.5</f>
        <v>0</v>
      </c>
    </row>
    <row r="612" spans="1:19" ht="18" customHeight="1" x14ac:dyDescent="0.25">
      <c r="A612" s="7" t="s">
        <v>43</v>
      </c>
      <c r="B612" s="8">
        <v>1</v>
      </c>
      <c r="C612" s="9">
        <v>454.96</v>
      </c>
      <c r="D612" s="29">
        <f>C612+IF(INDEX('Справочник по %'!B:B,(MATCH(A612,'Справочник по %'!A:A,0)))="кол-во",B612*INDEX('Справочник по %'!C:C,(MATCH(A612,'Справочник по %'!A:A,0))),ОТЧЕТ!C612*INDEX('Справочник по %'!C:C,(MATCH(A612,'Справочник по %'!A:A,0))))/100</f>
        <v>500.45599999999996</v>
      </c>
      <c r="E612" s="29">
        <f>IF(ОТЧЕТ!A612="SKU3",C612+ОТЧЕТ!C612*0.2,C612+ОТЧЕТ!C612*0.15)</f>
        <v>523.20399999999995</v>
      </c>
      <c r="F612" s="7" t="s">
        <v>1548</v>
      </c>
      <c r="G612" s="7">
        <v>6824002695</v>
      </c>
      <c r="H612" s="20" t="s">
        <v>50</v>
      </c>
      <c r="I612" s="22" t="str">
        <f>INDEX('Справочник Сети'!B:B,(MATCH(G612,'Справочник Сети'!C:C,0)))</f>
        <v>Планета здоровья</v>
      </c>
      <c r="J612" s="7" t="s">
        <v>106</v>
      </c>
      <c r="K612" s="7" t="s">
        <v>1549</v>
      </c>
      <c r="L612" s="7" t="s">
        <v>106</v>
      </c>
      <c r="M612" s="31">
        <v>45694</v>
      </c>
      <c r="N612" s="7" t="s">
        <v>1550</v>
      </c>
      <c r="O612" s="8">
        <v>2180</v>
      </c>
      <c r="P612" s="24">
        <v>3926</v>
      </c>
      <c r="Q612" s="22">
        <f>IF(COUNTIFS(A$2:A612,A612,I$2:I612,I612)=1,1,0)</f>
        <v>0</v>
      </c>
      <c r="R612" s="22">
        <f t="shared" si="9"/>
        <v>2</v>
      </c>
      <c r="S612" s="33">
        <f>IF(COUNTIF(O$2:O612,O612)=1,R612,0)/2.5</f>
        <v>0.8</v>
      </c>
    </row>
    <row r="613" spans="1:19" ht="18" customHeight="1" x14ac:dyDescent="0.25">
      <c r="A613" s="7" t="s">
        <v>43</v>
      </c>
      <c r="B613" s="8">
        <v>1</v>
      </c>
      <c r="C613" s="9">
        <v>474</v>
      </c>
      <c r="D613" s="29">
        <f>C613+IF(INDEX('Справочник по %'!B:B,(MATCH(A613,'Справочник по %'!A:A,0)))="кол-во",B613*INDEX('Справочник по %'!C:C,(MATCH(A613,'Справочник по %'!A:A,0))),ОТЧЕТ!C613*INDEX('Справочник по %'!C:C,(MATCH(A613,'Справочник по %'!A:A,0))))/100</f>
        <v>521.4</v>
      </c>
      <c r="E613" s="29">
        <f>IF(ОТЧЕТ!A613="SKU3",C613+ОТЧЕТ!C613*0.2,C613+ОТЧЕТ!C613*0.15)</f>
        <v>545.1</v>
      </c>
      <c r="F613" s="7" t="s">
        <v>1551</v>
      </c>
      <c r="G613" s="7">
        <v>6162056110</v>
      </c>
      <c r="H613" s="20" t="s">
        <v>965</v>
      </c>
      <c r="I613" s="22">
        <f>INDEX('Справочник Сети'!B:B,(MATCH(G613,'Справочник Сети'!C:C,0)))</f>
        <v>0</v>
      </c>
      <c r="J613" s="7" t="s">
        <v>520</v>
      </c>
      <c r="K613" s="7" t="s">
        <v>1552</v>
      </c>
      <c r="L613" s="7" t="s">
        <v>520</v>
      </c>
      <c r="M613" s="31">
        <v>45697</v>
      </c>
      <c r="N613" s="7" t="s">
        <v>1553</v>
      </c>
      <c r="O613" s="8">
        <v>1572</v>
      </c>
      <c r="P613" s="24">
        <v>3928</v>
      </c>
      <c r="Q613" s="22">
        <f>IF(COUNTIFS(A$2:A613,A613,I$2:I613,I613)=1,1,0)</f>
        <v>0</v>
      </c>
      <c r="R613" s="22">
        <f t="shared" si="9"/>
        <v>4</v>
      </c>
      <c r="S613" s="33">
        <f>IF(COUNTIF(O$2:O613,O613)=1,R613,0)/2.5</f>
        <v>0</v>
      </c>
    </row>
    <row r="614" spans="1:19" ht="18" customHeight="1" x14ac:dyDescent="0.25">
      <c r="A614" s="7" t="s">
        <v>37</v>
      </c>
      <c r="B614" s="8">
        <v>1</v>
      </c>
      <c r="C614" s="9">
        <v>675</v>
      </c>
      <c r="D614" s="29">
        <f>C614+IF(INDEX('Справочник по %'!B:B,(MATCH(A614,'Справочник по %'!A:A,0)))="кол-во",B614*INDEX('Справочник по %'!C:C,(MATCH(A614,'Справочник по %'!A:A,0))),ОТЧЕТ!C614*INDEX('Справочник по %'!C:C,(MATCH(A614,'Справочник по %'!A:A,0))))/100</f>
        <v>675.2</v>
      </c>
      <c r="E614" s="29">
        <f>IF(ОТЧЕТ!A614="SKU3",C614+ОТЧЕТ!C614*0.2,C614+ОТЧЕТ!C614*0.15)</f>
        <v>776.25</v>
      </c>
      <c r="F614" s="7" t="s">
        <v>1554</v>
      </c>
      <c r="G614" s="7">
        <v>7734732748</v>
      </c>
      <c r="H614" s="20" t="s">
        <v>511</v>
      </c>
      <c r="I614" s="22" t="str">
        <f>INDEX('Справочник Сети'!B:B,(MATCH(G614,'Справочник Сети'!C:C,0)))</f>
        <v>Планета здоровья</v>
      </c>
      <c r="J614" s="7" t="s">
        <v>353</v>
      </c>
      <c r="K614" s="7" t="s">
        <v>1555</v>
      </c>
      <c r="L614" s="7" t="s">
        <v>353</v>
      </c>
      <c r="M614" s="31">
        <v>45672</v>
      </c>
      <c r="N614" s="7" t="s">
        <v>1556</v>
      </c>
      <c r="O614" s="8">
        <v>3029</v>
      </c>
      <c r="P614" s="24">
        <v>3938</v>
      </c>
      <c r="Q614" s="22">
        <f>IF(COUNTIFS(A$2:A614,A614,I$2:I614,I614)=1,1,0)</f>
        <v>0</v>
      </c>
      <c r="R614" s="22">
        <f t="shared" si="9"/>
        <v>1</v>
      </c>
      <c r="S614" s="33">
        <f>IF(COUNTIF(O$2:O614,O614)=1,R614,0)/2.5</f>
        <v>0.4</v>
      </c>
    </row>
    <row r="615" spans="1:19" ht="18" customHeight="1" x14ac:dyDescent="0.25">
      <c r="A615" s="7" t="s">
        <v>43</v>
      </c>
      <c r="B615" s="8">
        <v>1</v>
      </c>
      <c r="C615" s="9">
        <v>393</v>
      </c>
      <c r="D615" s="29">
        <f>C615+IF(INDEX('Справочник по %'!B:B,(MATCH(A615,'Справочник по %'!A:A,0)))="кол-во",B615*INDEX('Справочник по %'!C:C,(MATCH(A615,'Справочник по %'!A:A,0))),ОТЧЕТ!C615*INDEX('Справочник по %'!C:C,(MATCH(A615,'Справочник по %'!A:A,0))))/100</f>
        <v>432.3</v>
      </c>
      <c r="E615" s="29">
        <f>IF(ОТЧЕТ!A615="SKU3",C615+ОТЧЕТ!C615*0.2,C615+ОТЧЕТ!C615*0.15)</f>
        <v>451.95</v>
      </c>
      <c r="F615" s="7" t="s">
        <v>1554</v>
      </c>
      <c r="G615" s="7">
        <v>7728339546</v>
      </c>
      <c r="H615" s="20" t="s">
        <v>1557</v>
      </c>
      <c r="I615" s="22" t="str">
        <f>INDEX('Справочник Сети'!B:B,(MATCH(G615,'Справочник Сети'!C:C,0)))</f>
        <v>Планета здоровья</v>
      </c>
      <c r="J615" s="7" t="s">
        <v>142</v>
      </c>
      <c r="K615" s="7" t="s">
        <v>1149</v>
      </c>
      <c r="L615" s="7" t="s">
        <v>142</v>
      </c>
      <c r="M615" s="31">
        <v>45674</v>
      </c>
      <c r="N615" s="7" t="s">
        <v>1558</v>
      </c>
      <c r="O615" s="8">
        <v>2539</v>
      </c>
      <c r="P615" s="24">
        <v>3940</v>
      </c>
      <c r="Q615" s="22">
        <f>IF(COUNTIFS(A$2:A615,A615,I$2:I615,I615)=1,1,0)</f>
        <v>0</v>
      </c>
      <c r="R615" s="22">
        <f t="shared" si="9"/>
        <v>1</v>
      </c>
      <c r="S615" s="33">
        <f>IF(COUNTIF(O$2:O615,O615)=1,R615,0)/2.5</f>
        <v>0.4</v>
      </c>
    </row>
    <row r="616" spans="1:19" ht="18" customHeight="1" x14ac:dyDescent="0.25">
      <c r="A616" s="7" t="s">
        <v>43</v>
      </c>
      <c r="B616" s="8">
        <v>1</v>
      </c>
      <c r="C616" s="9">
        <v>399</v>
      </c>
      <c r="D616" s="29">
        <f>C616+IF(INDEX('Справочник по %'!B:B,(MATCH(A616,'Справочник по %'!A:A,0)))="кол-во",B616*INDEX('Справочник по %'!C:C,(MATCH(A616,'Справочник по %'!A:A,0))),ОТЧЕТ!C616*INDEX('Справочник по %'!C:C,(MATCH(A616,'Справочник по %'!A:A,0))))/100</f>
        <v>438.9</v>
      </c>
      <c r="E616" s="29">
        <f>IF(ОТЧЕТ!A616="SKU3",C616+ОТЧЕТ!C616*0.2,C616+ОТЧЕТ!C616*0.15)</f>
        <v>458.85</v>
      </c>
      <c r="F616" s="7" t="s">
        <v>1554</v>
      </c>
      <c r="G616" s="7">
        <v>6166112687</v>
      </c>
      <c r="H616" s="20" t="s">
        <v>50</v>
      </c>
      <c r="I616" s="22">
        <f>INDEX('Справочник Сети'!B:B,(MATCH(G616,'Справочник Сети'!C:C,0)))</f>
        <v>0</v>
      </c>
      <c r="J616" s="7" t="s">
        <v>203</v>
      </c>
      <c r="K616" s="7" t="s">
        <v>605</v>
      </c>
      <c r="L616" s="7" t="s">
        <v>203</v>
      </c>
      <c r="M616" s="31">
        <v>45696</v>
      </c>
      <c r="N616" s="7" t="s">
        <v>1559</v>
      </c>
      <c r="O616" s="8">
        <v>1641</v>
      </c>
      <c r="P616" s="24">
        <v>3945</v>
      </c>
      <c r="Q616" s="22">
        <f>IF(COUNTIFS(A$2:A616,A616,I$2:I616,I616)=1,1,0)</f>
        <v>0</v>
      </c>
      <c r="R616" s="22">
        <f t="shared" si="9"/>
        <v>3</v>
      </c>
      <c r="S616" s="33">
        <f>IF(COUNTIF(O$2:O616,O616)=1,R616,0)/2.5</f>
        <v>1.2</v>
      </c>
    </row>
    <row r="617" spans="1:19" ht="18" customHeight="1" x14ac:dyDescent="0.25">
      <c r="A617" s="7" t="s">
        <v>43</v>
      </c>
      <c r="B617" s="8">
        <v>1</v>
      </c>
      <c r="C617" s="9">
        <v>431.6</v>
      </c>
      <c r="D617" s="29">
        <f>C617+IF(INDEX('Справочник по %'!B:B,(MATCH(A617,'Справочник по %'!A:A,0)))="кол-во",B617*INDEX('Справочник по %'!C:C,(MATCH(A617,'Справочник по %'!A:A,0))),ОТЧЕТ!C617*INDEX('Справочник по %'!C:C,(MATCH(A617,'Справочник по %'!A:A,0))))/100</f>
        <v>474.76</v>
      </c>
      <c r="E617" s="29">
        <f>IF(ОТЧЕТ!A617="SKU3",C617+ОТЧЕТ!C617*0.2,C617+ОТЧЕТ!C617*0.15)</f>
        <v>496.34000000000003</v>
      </c>
      <c r="F617" s="7" t="s">
        <v>1554</v>
      </c>
      <c r="G617" s="7">
        <v>3704004871</v>
      </c>
      <c r="H617" s="20" t="s">
        <v>64</v>
      </c>
      <c r="I617" s="22" t="str">
        <f>INDEX('Справочник Сети'!B:B,(MATCH(G617,'Справочник Сети'!C:C,0)))</f>
        <v>Планета здоровья</v>
      </c>
      <c r="J617" s="7" t="s">
        <v>65</v>
      </c>
      <c r="K617" s="7" t="s">
        <v>1075</v>
      </c>
      <c r="L617" s="7" t="s">
        <v>65</v>
      </c>
      <c r="M617" s="31">
        <v>45717</v>
      </c>
      <c r="N617" s="7" t="s">
        <v>1560</v>
      </c>
      <c r="O617" s="8">
        <v>3489</v>
      </c>
      <c r="P617" s="24">
        <v>3950</v>
      </c>
      <c r="Q617" s="22">
        <f>IF(COUNTIFS(A$2:A617,A617,I$2:I617,I617)=1,1,0)</f>
        <v>0</v>
      </c>
      <c r="R617" s="22">
        <f t="shared" si="9"/>
        <v>6</v>
      </c>
      <c r="S617" s="33">
        <f>IF(COUNTIF(O$2:O617,O617)=1,R617,0)/2.5</f>
        <v>0</v>
      </c>
    </row>
    <row r="618" spans="1:19" ht="18" customHeight="1" x14ac:dyDescent="0.25">
      <c r="A618" s="7" t="s">
        <v>43</v>
      </c>
      <c r="B618" s="8">
        <v>1</v>
      </c>
      <c r="C618" s="9">
        <v>415</v>
      </c>
      <c r="D618" s="29">
        <f>C618+IF(INDEX('Справочник по %'!B:B,(MATCH(A618,'Справочник по %'!A:A,0)))="кол-во",B618*INDEX('Справочник по %'!C:C,(MATCH(A618,'Справочник по %'!A:A,0))),ОТЧЕТ!C618*INDEX('Справочник по %'!C:C,(MATCH(A618,'Справочник по %'!A:A,0))))/100</f>
        <v>456.5</v>
      </c>
      <c r="E618" s="29">
        <f>IF(ОТЧЕТ!A618="SKU3",C618+ОТЧЕТ!C618*0.2,C618+ОТЧЕТ!C618*0.15)</f>
        <v>477.25</v>
      </c>
      <c r="F618" s="7" t="s">
        <v>1554</v>
      </c>
      <c r="G618" s="7">
        <v>7718908440</v>
      </c>
      <c r="H618" s="20" t="s">
        <v>91</v>
      </c>
      <c r="I618" s="22">
        <f>INDEX('Справочник Сети'!B:B,(MATCH(G618,'Справочник Сети'!C:C,0)))</f>
        <v>0</v>
      </c>
      <c r="J618" s="7" t="s">
        <v>168</v>
      </c>
      <c r="K618" s="7" t="s">
        <v>1077</v>
      </c>
      <c r="L618" s="7" t="s">
        <v>168</v>
      </c>
      <c r="M618" s="31">
        <v>45676</v>
      </c>
      <c r="N618" s="7" t="s">
        <v>1561</v>
      </c>
      <c r="O618" s="8">
        <v>3820</v>
      </c>
      <c r="P618" s="24">
        <v>3952</v>
      </c>
      <c r="Q618" s="22">
        <f>IF(COUNTIFS(A$2:A618,A618,I$2:I618,I618)=1,1,0)</f>
        <v>0</v>
      </c>
      <c r="R618" s="22">
        <f t="shared" si="9"/>
        <v>5</v>
      </c>
      <c r="S618" s="33">
        <f>IF(COUNTIF(O$2:O618,O618)=1,R618,0)/2.5</f>
        <v>0</v>
      </c>
    </row>
    <row r="619" spans="1:19" ht="18" customHeight="1" x14ac:dyDescent="0.25">
      <c r="A619" s="7" t="s">
        <v>43</v>
      </c>
      <c r="B619" s="8">
        <v>1</v>
      </c>
      <c r="C619" s="9">
        <v>506</v>
      </c>
      <c r="D619" s="29">
        <f>C619+IF(INDEX('Справочник по %'!B:B,(MATCH(A619,'Справочник по %'!A:A,0)))="кол-во",B619*INDEX('Справочник по %'!C:C,(MATCH(A619,'Справочник по %'!A:A,0))),ОТЧЕТ!C619*INDEX('Справочник по %'!C:C,(MATCH(A619,'Справочник по %'!A:A,0))))/100</f>
        <v>556.6</v>
      </c>
      <c r="E619" s="29">
        <f>IF(ОТЧЕТ!A619="SKU3",C619+ОТЧЕТ!C619*0.2,C619+ОТЧЕТ!C619*0.15)</f>
        <v>581.9</v>
      </c>
      <c r="F619" s="7" t="s">
        <v>1554</v>
      </c>
      <c r="G619" s="7">
        <v>7734732748</v>
      </c>
      <c r="H619" s="20" t="s">
        <v>39</v>
      </c>
      <c r="I619" s="22" t="str">
        <f>INDEX('Справочник Сети'!B:B,(MATCH(G619,'Справочник Сети'!C:C,0)))</f>
        <v>Планета здоровья</v>
      </c>
      <c r="J619" s="7" t="s">
        <v>353</v>
      </c>
      <c r="K619" s="7" t="s">
        <v>1562</v>
      </c>
      <c r="L619" s="7" t="s">
        <v>353</v>
      </c>
      <c r="M619" s="31">
        <v>45672</v>
      </c>
      <c r="N619" s="7" t="s">
        <v>1563</v>
      </c>
      <c r="O619" s="8">
        <v>556</v>
      </c>
      <c r="P619" s="24">
        <v>3954</v>
      </c>
      <c r="Q619" s="22">
        <f>IF(COUNTIFS(A$2:A619,A619,I$2:I619,I619)=1,1,0)</f>
        <v>0</v>
      </c>
      <c r="R619" s="22">
        <f t="shared" si="9"/>
        <v>2</v>
      </c>
      <c r="S619" s="33">
        <f>IF(COUNTIF(O$2:O619,O619)=1,R619,0)/2.5</f>
        <v>0.8</v>
      </c>
    </row>
    <row r="620" spans="1:19" ht="18" customHeight="1" x14ac:dyDescent="0.25">
      <c r="A620" s="7" t="s">
        <v>43</v>
      </c>
      <c r="B620" s="8">
        <v>1</v>
      </c>
      <c r="C620" s="9">
        <v>418</v>
      </c>
      <c r="D620" s="29">
        <f>C620+IF(INDEX('Справочник по %'!B:B,(MATCH(A620,'Справочник по %'!A:A,0)))="кол-во",B620*INDEX('Справочник по %'!C:C,(MATCH(A620,'Справочник по %'!A:A,0))),ОТЧЕТ!C620*INDEX('Справочник по %'!C:C,(MATCH(A620,'Справочник по %'!A:A,0))))/100</f>
        <v>459.8</v>
      </c>
      <c r="E620" s="29">
        <f>IF(ОТЧЕТ!A620="SKU3",C620+ОТЧЕТ!C620*0.2,C620+ОТЧЕТ!C620*0.15)</f>
        <v>480.7</v>
      </c>
      <c r="F620" s="7" t="s">
        <v>1554</v>
      </c>
      <c r="G620" s="7">
        <v>6166074953</v>
      </c>
      <c r="H620" s="20" t="s">
        <v>1564</v>
      </c>
      <c r="I620" s="22">
        <f>INDEX('Справочник Сети'!B:B,(MATCH(G620,'Справочник Сети'!C:C,0)))</f>
        <v>0</v>
      </c>
      <c r="J620" s="7" t="s">
        <v>203</v>
      </c>
      <c r="K620" s="7" t="s">
        <v>1030</v>
      </c>
      <c r="L620" s="7" t="s">
        <v>203</v>
      </c>
      <c r="M620" s="31">
        <v>45696</v>
      </c>
      <c r="N620" s="7" t="s">
        <v>1565</v>
      </c>
      <c r="O620" s="8">
        <v>1976</v>
      </c>
      <c r="P620" s="24">
        <v>3955</v>
      </c>
      <c r="Q620" s="22">
        <f>IF(COUNTIFS(A$2:A620,A620,I$2:I620,I620)=1,1,0)</f>
        <v>0</v>
      </c>
      <c r="R620" s="22">
        <f t="shared" si="9"/>
        <v>4</v>
      </c>
      <c r="S620" s="33">
        <f>IF(COUNTIF(O$2:O620,O620)=1,R620,0)/2.5</f>
        <v>0</v>
      </c>
    </row>
    <row r="621" spans="1:19" ht="18" customHeight="1" x14ac:dyDescent="0.25">
      <c r="A621" s="7" t="s">
        <v>37</v>
      </c>
      <c r="B621" s="8">
        <v>1</v>
      </c>
      <c r="C621" s="9">
        <v>571.9</v>
      </c>
      <c r="D621" s="29">
        <f>C621+IF(INDEX('Справочник по %'!B:B,(MATCH(A621,'Справочник по %'!A:A,0)))="кол-во",B621*INDEX('Справочник по %'!C:C,(MATCH(A621,'Справочник по %'!A:A,0))),ОТЧЕТ!C621*INDEX('Справочник по %'!C:C,(MATCH(A621,'Справочник по %'!A:A,0))))/100</f>
        <v>572.1</v>
      </c>
      <c r="E621" s="29">
        <f>IF(ОТЧЕТ!A621="SKU3",C621+ОТЧЕТ!C621*0.2,C621+ОТЧЕТ!C621*0.15)</f>
        <v>657.68499999999995</v>
      </c>
      <c r="F621" s="7" t="s">
        <v>1554</v>
      </c>
      <c r="G621" s="7">
        <v>7204146152</v>
      </c>
      <c r="H621" s="20" t="s">
        <v>1009</v>
      </c>
      <c r="I621" s="22" t="str">
        <f>INDEX('Справочник Сети'!B:B,(MATCH(G621,'Справочник Сети'!C:C,0)))</f>
        <v>36,6</v>
      </c>
      <c r="J621" s="7" t="s">
        <v>104</v>
      </c>
      <c r="K621" s="7" t="s">
        <v>757</v>
      </c>
      <c r="L621" s="7" t="s">
        <v>106</v>
      </c>
      <c r="M621" s="31">
        <v>45694</v>
      </c>
      <c r="N621" s="7" t="s">
        <v>1566</v>
      </c>
      <c r="O621" s="8">
        <v>771</v>
      </c>
      <c r="P621" s="24">
        <v>3956</v>
      </c>
      <c r="Q621" s="22">
        <f>IF(COUNTIFS(A$2:A621,A621,I$2:I621,I621)=1,1,0)</f>
        <v>0</v>
      </c>
      <c r="R621" s="22">
        <f t="shared" si="9"/>
        <v>5</v>
      </c>
      <c r="S621" s="33">
        <f>IF(COUNTIF(O$2:O621,O621)=1,R621,0)/2.5</f>
        <v>0</v>
      </c>
    </row>
    <row r="622" spans="1:19" ht="18" customHeight="1" x14ac:dyDescent="0.25">
      <c r="A622" s="7" t="s">
        <v>37</v>
      </c>
      <c r="B622" s="8">
        <v>1</v>
      </c>
      <c r="C622" s="9">
        <v>582</v>
      </c>
      <c r="D622" s="29">
        <f>C622+IF(INDEX('Справочник по %'!B:B,(MATCH(A622,'Справочник по %'!A:A,0)))="кол-во",B622*INDEX('Справочник по %'!C:C,(MATCH(A622,'Справочник по %'!A:A,0))),ОТЧЕТ!C622*INDEX('Справочник по %'!C:C,(MATCH(A622,'Справочник по %'!A:A,0))))/100</f>
        <v>582.20000000000005</v>
      </c>
      <c r="E622" s="29">
        <f>IF(ОТЧЕТ!A622="SKU3",C622+ОТЧЕТ!C622*0.2,C622+ОТЧЕТ!C622*0.15)</f>
        <v>669.3</v>
      </c>
      <c r="F622" s="7" t="s">
        <v>1554</v>
      </c>
      <c r="G622" s="7">
        <v>2310212231</v>
      </c>
      <c r="H622" s="20" t="s">
        <v>69</v>
      </c>
      <c r="I622" s="22" t="str">
        <f>INDEX('Справочник Сети'!B:B,(MATCH(G622,'Справочник Сети'!C:C,0)))</f>
        <v>Нео-фарм</v>
      </c>
      <c r="J622" s="7" t="s">
        <v>70</v>
      </c>
      <c r="K622" s="7" t="s">
        <v>675</v>
      </c>
      <c r="L622" s="7" t="s">
        <v>70</v>
      </c>
      <c r="M622" s="31">
        <v>45728</v>
      </c>
      <c r="N622" s="7" t="s">
        <v>1567</v>
      </c>
      <c r="O622" s="8">
        <v>1622</v>
      </c>
      <c r="P622" s="24">
        <v>3960</v>
      </c>
      <c r="Q622" s="22">
        <f>IF(COUNTIFS(A$2:A622,A622,I$2:I622,I622)=1,1,0)</f>
        <v>0</v>
      </c>
      <c r="R622" s="22">
        <f t="shared" si="9"/>
        <v>2</v>
      </c>
      <c r="S622" s="33">
        <f>IF(COUNTIF(O$2:O622,O622)=1,R622,0)/2.5</f>
        <v>0.8</v>
      </c>
    </row>
    <row r="623" spans="1:19" ht="18" customHeight="1" x14ac:dyDescent="0.25">
      <c r="A623" s="7" t="s">
        <v>37</v>
      </c>
      <c r="B623" s="8">
        <v>1</v>
      </c>
      <c r="C623" s="9">
        <v>549</v>
      </c>
      <c r="D623" s="29">
        <f>C623+IF(INDEX('Справочник по %'!B:B,(MATCH(A623,'Справочник по %'!A:A,0)))="кол-во",B623*INDEX('Справочник по %'!C:C,(MATCH(A623,'Справочник по %'!A:A,0))),ОТЧЕТ!C623*INDEX('Справочник по %'!C:C,(MATCH(A623,'Справочник по %'!A:A,0))))/100</f>
        <v>549.20000000000005</v>
      </c>
      <c r="E623" s="29">
        <f>IF(ОТЧЕТ!A623="SKU3",C623+ОТЧЕТ!C623*0.2,C623+ОТЧЕТ!C623*0.15)</f>
        <v>631.35</v>
      </c>
      <c r="F623" s="7" t="s">
        <v>1554</v>
      </c>
      <c r="G623" s="7">
        <v>2308110232</v>
      </c>
      <c r="H623" s="20" t="s">
        <v>69</v>
      </c>
      <c r="I623" s="22" t="str">
        <f>INDEX('Справочник Сети'!B:B,(MATCH(G623,'Справочник Сети'!C:C,0)))</f>
        <v>Нео-фарм</v>
      </c>
      <c r="J623" s="7" t="s">
        <v>372</v>
      </c>
      <c r="K623" s="7" t="s">
        <v>1568</v>
      </c>
      <c r="L623" s="7" t="s">
        <v>372</v>
      </c>
      <c r="M623" s="31">
        <v>45730</v>
      </c>
      <c r="N623" s="7" t="s">
        <v>1569</v>
      </c>
      <c r="O623" s="8">
        <v>706</v>
      </c>
      <c r="P623" s="24">
        <v>3963</v>
      </c>
      <c r="Q623" s="22">
        <f>IF(COUNTIFS(A$2:A623,A623,I$2:I623,I623)=1,1,0)</f>
        <v>0</v>
      </c>
      <c r="R623" s="22">
        <f t="shared" si="9"/>
        <v>1</v>
      </c>
      <c r="S623" s="33">
        <f>IF(COUNTIF(O$2:O623,O623)=1,R623,0)/2.5</f>
        <v>0.4</v>
      </c>
    </row>
    <row r="624" spans="1:19" ht="18" customHeight="1" x14ac:dyDescent="0.25">
      <c r="A624" s="7" t="s">
        <v>43</v>
      </c>
      <c r="B624" s="8">
        <v>1</v>
      </c>
      <c r="C624" s="9">
        <v>450</v>
      </c>
      <c r="D624" s="29">
        <f>C624+IF(INDEX('Справочник по %'!B:B,(MATCH(A624,'Справочник по %'!A:A,0)))="кол-во",B624*INDEX('Справочник по %'!C:C,(MATCH(A624,'Справочник по %'!A:A,0))),ОТЧЕТ!C624*INDEX('Справочник по %'!C:C,(MATCH(A624,'Справочник по %'!A:A,0))))/100</f>
        <v>495</v>
      </c>
      <c r="E624" s="29">
        <f>IF(ОТЧЕТ!A624="SKU3",C624+ОТЧЕТ!C624*0.2,C624+ОТЧЕТ!C624*0.15)</f>
        <v>517.5</v>
      </c>
      <c r="F624" s="7" t="s">
        <v>1554</v>
      </c>
      <c r="G624" s="7">
        <v>2536335901</v>
      </c>
      <c r="H624" s="20" t="s">
        <v>1570</v>
      </c>
      <c r="I624" s="22">
        <f>INDEX('Справочник Сети'!B:B,(MATCH(G624,'Справочник Сети'!C:C,0)))</f>
        <v>0</v>
      </c>
      <c r="J624" s="7" t="s">
        <v>46</v>
      </c>
      <c r="K624" s="7" t="s">
        <v>1571</v>
      </c>
      <c r="L624" s="7" t="s">
        <v>96</v>
      </c>
      <c r="M624" s="31">
        <v>45727</v>
      </c>
      <c r="N624" s="7" t="s">
        <v>1572</v>
      </c>
      <c r="O624" s="8">
        <v>1615</v>
      </c>
      <c r="P624" s="24">
        <v>3965</v>
      </c>
      <c r="Q624" s="22">
        <f>IF(COUNTIFS(A$2:A624,A624,I$2:I624,I624)=1,1,0)</f>
        <v>0</v>
      </c>
      <c r="R624" s="22">
        <f t="shared" si="9"/>
        <v>3</v>
      </c>
      <c r="S624" s="33">
        <f>IF(COUNTIF(O$2:O624,O624)=1,R624,0)/2.5</f>
        <v>1.2</v>
      </c>
    </row>
    <row r="625" spans="1:19" ht="18" customHeight="1" x14ac:dyDescent="0.25">
      <c r="A625" s="7" t="s">
        <v>43</v>
      </c>
      <c r="B625" s="8">
        <v>1</v>
      </c>
      <c r="C625" s="9">
        <v>450</v>
      </c>
      <c r="D625" s="29">
        <f>C625+IF(INDEX('Справочник по %'!B:B,(MATCH(A625,'Справочник по %'!A:A,0)))="кол-во",B625*INDEX('Справочник по %'!C:C,(MATCH(A625,'Справочник по %'!A:A,0))),ОТЧЕТ!C625*INDEX('Справочник по %'!C:C,(MATCH(A625,'Справочник по %'!A:A,0))))/100</f>
        <v>495</v>
      </c>
      <c r="E625" s="29">
        <f>IF(ОТЧЕТ!A625="SKU3",C625+ОТЧЕТ!C625*0.2,C625+ОТЧЕТ!C625*0.15)</f>
        <v>517.5</v>
      </c>
      <c r="F625" s="7" t="s">
        <v>1554</v>
      </c>
      <c r="G625" s="7">
        <v>2536335901</v>
      </c>
      <c r="H625" s="20" t="s">
        <v>1570</v>
      </c>
      <c r="I625" s="22">
        <f>INDEX('Справочник Сети'!B:B,(MATCH(G625,'Справочник Сети'!C:C,0)))</f>
        <v>0</v>
      </c>
      <c r="J625" s="7" t="s">
        <v>46</v>
      </c>
      <c r="K625" s="7" t="s">
        <v>1573</v>
      </c>
      <c r="L625" s="7" t="s">
        <v>96</v>
      </c>
      <c r="M625" s="31">
        <v>45727</v>
      </c>
      <c r="N625" s="7" t="s">
        <v>1574</v>
      </c>
      <c r="O625" s="8">
        <v>1615</v>
      </c>
      <c r="P625" s="24">
        <v>3966</v>
      </c>
      <c r="Q625" s="22">
        <f>IF(COUNTIFS(A$2:A625,A625,I$2:I625,I625)=1,1,0)</f>
        <v>0</v>
      </c>
      <c r="R625" s="22">
        <f t="shared" si="9"/>
        <v>3</v>
      </c>
      <c r="S625" s="33">
        <f>IF(COUNTIF(O$2:O625,O625)=1,R625,0)/2.5</f>
        <v>0</v>
      </c>
    </row>
    <row r="626" spans="1:19" ht="18" customHeight="1" x14ac:dyDescent="0.25">
      <c r="A626" s="7" t="s">
        <v>43</v>
      </c>
      <c r="B626" s="8">
        <v>1</v>
      </c>
      <c r="C626" s="9">
        <v>391.5</v>
      </c>
      <c r="D626" s="29">
        <f>C626+IF(INDEX('Справочник по %'!B:B,(MATCH(A626,'Справочник по %'!A:A,0)))="кол-во",B626*INDEX('Справочник по %'!C:C,(MATCH(A626,'Справочник по %'!A:A,0))),ОТЧЕТ!C626*INDEX('Справочник по %'!C:C,(MATCH(A626,'Справочник по %'!A:A,0))))/100</f>
        <v>430.65</v>
      </c>
      <c r="E626" s="29">
        <f>IF(ОТЧЕТ!A626="SKU3",C626+ОТЧЕТ!C626*0.2,C626+ОТЧЕТ!C626*0.15)</f>
        <v>450.22500000000002</v>
      </c>
      <c r="F626" s="7" t="s">
        <v>1554</v>
      </c>
      <c r="G626" s="7">
        <v>2310052764</v>
      </c>
      <c r="H626" s="20" t="s">
        <v>1575</v>
      </c>
      <c r="I626" s="22" t="str">
        <f>INDEX('Справочник Сети'!B:B,(MATCH(G626,'Справочник Сети'!C:C,0)))</f>
        <v>Планета здоровья</v>
      </c>
      <c r="J626" s="7" t="s">
        <v>57</v>
      </c>
      <c r="K626" s="7" t="s">
        <v>586</v>
      </c>
      <c r="L626" s="7" t="s">
        <v>57</v>
      </c>
      <c r="M626" s="31">
        <v>45729</v>
      </c>
      <c r="N626" s="7" t="s">
        <v>1576</v>
      </c>
      <c r="O626" s="8">
        <v>3458</v>
      </c>
      <c r="P626" s="24">
        <v>3967</v>
      </c>
      <c r="Q626" s="22">
        <f>IF(COUNTIFS(A$2:A626,A626,I$2:I626,I626)=1,1,0)</f>
        <v>0</v>
      </c>
      <c r="R626" s="22">
        <f t="shared" si="9"/>
        <v>4</v>
      </c>
      <c r="S626" s="33">
        <f>IF(COUNTIF(O$2:O626,O626)=1,R626,0)/2.5</f>
        <v>1.6</v>
      </c>
    </row>
    <row r="627" spans="1:19" ht="18" customHeight="1" x14ac:dyDescent="0.25">
      <c r="A627" s="7" t="s">
        <v>43</v>
      </c>
      <c r="B627" s="8">
        <v>1</v>
      </c>
      <c r="C627" s="9">
        <v>448.8</v>
      </c>
      <c r="D627" s="29">
        <f>C627+IF(INDEX('Справочник по %'!B:B,(MATCH(A627,'Справочник по %'!A:A,0)))="кол-во",B627*INDEX('Справочник по %'!C:C,(MATCH(A627,'Справочник по %'!A:A,0))),ОТЧЕТ!C627*INDEX('Справочник по %'!C:C,(MATCH(A627,'Справочник по %'!A:A,0))))/100</f>
        <v>493.68</v>
      </c>
      <c r="E627" s="29">
        <f>IF(ОТЧЕТ!A627="SKU3",C627+ОТЧЕТ!C627*0.2,C627+ОТЧЕТ!C627*0.15)</f>
        <v>516.12</v>
      </c>
      <c r="F627" s="7" t="s">
        <v>1554</v>
      </c>
      <c r="G627" s="7">
        <v>2466233830</v>
      </c>
      <c r="H627" s="20" t="s">
        <v>50</v>
      </c>
      <c r="I627" s="22">
        <f>INDEX('Справочник Сети'!B:B,(MATCH(G627,'Справочник Сети'!C:C,0)))</f>
        <v>0</v>
      </c>
      <c r="J627" s="7" t="s">
        <v>96</v>
      </c>
      <c r="K627" s="7" t="s">
        <v>122</v>
      </c>
      <c r="L627" s="7" t="s">
        <v>96</v>
      </c>
      <c r="M627" s="31">
        <v>45727</v>
      </c>
      <c r="N627" s="7" t="s">
        <v>1577</v>
      </c>
      <c r="O627" s="8">
        <v>1266</v>
      </c>
      <c r="P627" s="24">
        <v>3968</v>
      </c>
      <c r="Q627" s="22">
        <f>IF(COUNTIFS(A$2:A627,A627,I$2:I627,I627)=1,1,0)</f>
        <v>0</v>
      </c>
      <c r="R627" s="22">
        <f t="shared" si="9"/>
        <v>2</v>
      </c>
      <c r="S627" s="33">
        <f>IF(COUNTIF(O$2:O627,O627)=1,R627,0)/2.5</f>
        <v>0.8</v>
      </c>
    </row>
    <row r="628" spans="1:19" ht="18" customHeight="1" x14ac:dyDescent="0.25">
      <c r="A628" s="7" t="s">
        <v>43</v>
      </c>
      <c r="B628" s="8">
        <v>1</v>
      </c>
      <c r="C628" s="9">
        <v>418.88</v>
      </c>
      <c r="D628" s="29">
        <f>C628+IF(INDEX('Справочник по %'!B:B,(MATCH(A628,'Справочник по %'!A:A,0)))="кол-во",B628*INDEX('Справочник по %'!C:C,(MATCH(A628,'Справочник по %'!A:A,0))),ОТЧЕТ!C628*INDEX('Справочник по %'!C:C,(MATCH(A628,'Справочник по %'!A:A,0))))/100</f>
        <v>460.76800000000003</v>
      </c>
      <c r="E628" s="29">
        <f>IF(ОТЧЕТ!A628="SKU3",C628+ОТЧЕТ!C628*0.2,C628+ОТЧЕТ!C628*0.15)</f>
        <v>481.71199999999999</v>
      </c>
      <c r="F628" s="7" t="s">
        <v>1554</v>
      </c>
      <c r="G628" s="7">
        <v>2629011770</v>
      </c>
      <c r="H628" s="20" t="s">
        <v>1578</v>
      </c>
      <c r="I628" s="22" t="str">
        <f>INDEX('Справочник Сети'!B:B,(MATCH(G628,'Справочник Сети'!C:C,0)))</f>
        <v>Столички</v>
      </c>
      <c r="J628" s="7" t="s">
        <v>46</v>
      </c>
      <c r="K628" s="7" t="s">
        <v>1579</v>
      </c>
      <c r="L628" s="7" t="s">
        <v>46</v>
      </c>
      <c r="M628" s="31">
        <v>45726</v>
      </c>
      <c r="N628" s="7" t="s">
        <v>1580</v>
      </c>
      <c r="O628" s="8">
        <v>3483</v>
      </c>
      <c r="P628" s="24">
        <v>3969</v>
      </c>
      <c r="Q628" s="22">
        <f>IF(COUNTIFS(A$2:A628,A628,I$2:I628,I628)=1,1,0)</f>
        <v>0</v>
      </c>
      <c r="R628" s="22">
        <f t="shared" si="9"/>
        <v>3</v>
      </c>
      <c r="S628" s="33">
        <f>IF(COUNTIF(O$2:O628,O628)=1,R628,0)/2.5</f>
        <v>1.2</v>
      </c>
    </row>
    <row r="629" spans="1:19" ht="18" customHeight="1" x14ac:dyDescent="0.25">
      <c r="A629" s="7" t="s">
        <v>43</v>
      </c>
      <c r="B629" s="8">
        <v>1</v>
      </c>
      <c r="C629" s="9">
        <v>383</v>
      </c>
      <c r="D629" s="29">
        <f>C629+IF(INDEX('Справочник по %'!B:B,(MATCH(A629,'Справочник по %'!A:A,0)))="кол-во",B629*INDEX('Справочник по %'!C:C,(MATCH(A629,'Справочник по %'!A:A,0))),ОТЧЕТ!C629*INDEX('Справочник по %'!C:C,(MATCH(A629,'Справочник по %'!A:A,0))))/100</f>
        <v>421.3</v>
      </c>
      <c r="E629" s="29">
        <f>IF(ОТЧЕТ!A629="SKU3",C629+ОТЧЕТ!C629*0.2,C629+ОТЧЕТ!C629*0.15)</f>
        <v>440.45</v>
      </c>
      <c r="F629" s="7" t="s">
        <v>1581</v>
      </c>
      <c r="G629" s="7">
        <v>7706795062</v>
      </c>
      <c r="H629" s="20" t="s">
        <v>327</v>
      </c>
      <c r="I629" s="22" t="str">
        <f>INDEX('Справочник Сети'!B:B,(MATCH(G629,'Справочник Сети'!C:C,0)))</f>
        <v>Планета здоровья</v>
      </c>
      <c r="J629" s="7" t="s">
        <v>87</v>
      </c>
      <c r="K629" s="7" t="s">
        <v>1101</v>
      </c>
      <c r="L629" s="7" t="s">
        <v>87</v>
      </c>
      <c r="M629" s="31">
        <v>45691</v>
      </c>
      <c r="N629" s="7" t="s">
        <v>1582</v>
      </c>
      <c r="O629" s="8">
        <v>1689</v>
      </c>
      <c r="P629" s="24">
        <v>3970</v>
      </c>
      <c r="Q629" s="22">
        <f>IF(COUNTIFS(A$2:A629,A629,I$2:I629,I629)=1,1,0)</f>
        <v>0</v>
      </c>
      <c r="R629" s="22">
        <f t="shared" si="9"/>
        <v>6</v>
      </c>
      <c r="S629" s="33">
        <f>IF(COUNTIF(O$2:O629,O629)=1,R629,0)/2.5</f>
        <v>0</v>
      </c>
    </row>
    <row r="630" spans="1:19" ht="18" customHeight="1" x14ac:dyDescent="0.25">
      <c r="A630" s="7" t="s">
        <v>43</v>
      </c>
      <c r="B630" s="8">
        <v>1</v>
      </c>
      <c r="C630" s="9">
        <v>399.5</v>
      </c>
      <c r="D630" s="29">
        <f>C630+IF(INDEX('Справочник по %'!B:B,(MATCH(A630,'Справочник по %'!A:A,0)))="кол-во",B630*INDEX('Справочник по %'!C:C,(MATCH(A630,'Справочник по %'!A:A,0))),ОТЧЕТ!C630*INDEX('Справочник по %'!C:C,(MATCH(A630,'Справочник по %'!A:A,0))))/100</f>
        <v>439.45</v>
      </c>
      <c r="E630" s="29">
        <f>IF(ОТЧЕТ!A630="SKU3",C630+ОТЧЕТ!C630*0.2,C630+ОТЧЕТ!C630*0.15)</f>
        <v>459.42500000000001</v>
      </c>
      <c r="F630" s="7" t="s">
        <v>1581</v>
      </c>
      <c r="G630" s="7">
        <v>3801042576</v>
      </c>
      <c r="H630" s="20" t="s">
        <v>64</v>
      </c>
      <c r="I630" s="22" t="str">
        <f>INDEX('Справочник Сети'!B:B,(MATCH(G630,'Справочник Сети'!C:C,0)))</f>
        <v>Планета здоровья</v>
      </c>
      <c r="J630" s="7" t="s">
        <v>65</v>
      </c>
      <c r="K630" s="7" t="s">
        <v>66</v>
      </c>
      <c r="L630" s="7" t="s">
        <v>65</v>
      </c>
      <c r="M630" s="31">
        <v>45717</v>
      </c>
      <c r="N630" s="7" t="s">
        <v>1583</v>
      </c>
      <c r="O630" s="8">
        <v>3072</v>
      </c>
      <c r="P630" s="24">
        <v>3972</v>
      </c>
      <c r="Q630" s="22">
        <f>IF(COUNTIFS(A$2:A630,A630,I$2:I630,I630)=1,1,0)</f>
        <v>0</v>
      </c>
      <c r="R630" s="22">
        <f t="shared" si="9"/>
        <v>5</v>
      </c>
      <c r="S630" s="33">
        <f>IF(COUNTIF(O$2:O630,O630)=1,R630,0)/2.5</f>
        <v>2</v>
      </c>
    </row>
    <row r="631" spans="1:19" ht="18" customHeight="1" x14ac:dyDescent="0.25">
      <c r="A631" s="7" t="s">
        <v>43</v>
      </c>
      <c r="B631" s="8">
        <v>1</v>
      </c>
      <c r="C631" s="9">
        <v>399.5</v>
      </c>
      <c r="D631" s="29">
        <f>C631+IF(INDEX('Справочник по %'!B:B,(MATCH(A631,'Справочник по %'!A:A,0)))="кол-во",B631*INDEX('Справочник по %'!C:C,(MATCH(A631,'Справочник по %'!A:A,0))),ОТЧЕТ!C631*INDEX('Справочник по %'!C:C,(MATCH(A631,'Справочник по %'!A:A,0))))/100</f>
        <v>439.45</v>
      </c>
      <c r="E631" s="29">
        <f>IF(ОТЧЕТ!A631="SKU3",C631+ОТЧЕТ!C631*0.2,C631+ОТЧЕТ!C631*0.15)</f>
        <v>459.42500000000001</v>
      </c>
      <c r="F631" s="7" t="s">
        <v>1581</v>
      </c>
      <c r="G631" s="7">
        <v>3801042576</v>
      </c>
      <c r="H631" s="20" t="s">
        <v>64</v>
      </c>
      <c r="I631" s="22" t="str">
        <f>INDEX('Справочник Сети'!B:B,(MATCH(G631,'Справочник Сети'!C:C,0)))</f>
        <v>Планета здоровья</v>
      </c>
      <c r="J631" s="7" t="s">
        <v>65</v>
      </c>
      <c r="K631" s="7" t="s">
        <v>1584</v>
      </c>
      <c r="L631" s="7" t="s">
        <v>65</v>
      </c>
      <c r="M631" s="31">
        <v>45717</v>
      </c>
      <c r="N631" s="7" t="s">
        <v>1585</v>
      </c>
      <c r="O631" s="8">
        <v>3072</v>
      </c>
      <c r="P631" s="24">
        <v>3973</v>
      </c>
      <c r="Q631" s="22">
        <f>IF(COUNTIFS(A$2:A631,A631,I$2:I631,I631)=1,1,0)</f>
        <v>0</v>
      </c>
      <c r="R631" s="22">
        <f t="shared" si="9"/>
        <v>5</v>
      </c>
      <c r="S631" s="33">
        <f>IF(COUNTIF(O$2:O631,O631)=1,R631,0)/2.5</f>
        <v>0</v>
      </c>
    </row>
    <row r="632" spans="1:19" ht="18" customHeight="1" x14ac:dyDescent="0.25">
      <c r="A632" s="7" t="s">
        <v>43</v>
      </c>
      <c r="B632" s="8">
        <v>1</v>
      </c>
      <c r="C632" s="9">
        <v>402</v>
      </c>
      <c r="D632" s="29">
        <f>C632+IF(INDEX('Справочник по %'!B:B,(MATCH(A632,'Справочник по %'!A:A,0)))="кол-во",B632*INDEX('Справочник по %'!C:C,(MATCH(A632,'Справочник по %'!A:A,0))),ОТЧЕТ!C632*INDEX('Справочник по %'!C:C,(MATCH(A632,'Справочник по %'!A:A,0))))/100</f>
        <v>442.2</v>
      </c>
      <c r="E632" s="29">
        <f>IF(ОТЧЕТ!A632="SKU3",C632+ОТЧЕТ!C632*0.2,C632+ОТЧЕТ!C632*0.15)</f>
        <v>462.3</v>
      </c>
      <c r="F632" s="7" t="s">
        <v>1586</v>
      </c>
      <c r="G632" s="7">
        <v>7732121736</v>
      </c>
      <c r="H632" s="20" t="s">
        <v>1587</v>
      </c>
      <c r="I632" s="22" t="str">
        <f>INDEX('Справочник Сети'!B:B,(MATCH(G632,'Справочник Сети'!C:C,0)))</f>
        <v>Планета здоровья</v>
      </c>
      <c r="J632" s="7" t="s">
        <v>149</v>
      </c>
      <c r="K632" s="7" t="s">
        <v>1588</v>
      </c>
      <c r="L632" s="7" t="s">
        <v>149</v>
      </c>
      <c r="M632" s="31">
        <v>45673</v>
      </c>
      <c r="N632" s="7" t="s">
        <v>1102</v>
      </c>
      <c r="O632" s="8">
        <v>3700</v>
      </c>
      <c r="P632" s="24">
        <v>3977</v>
      </c>
      <c r="Q632" s="22">
        <f>IF(COUNTIFS(A$2:A632,A632,I$2:I632,I632)=1,1,0)</f>
        <v>0</v>
      </c>
      <c r="R632" s="22">
        <f t="shared" si="9"/>
        <v>1</v>
      </c>
      <c r="S632" s="33">
        <f>IF(COUNTIF(O$2:O632,O632)=1,R632,0)/2.5</f>
        <v>0.4</v>
      </c>
    </row>
    <row r="633" spans="1:19" ht="18" customHeight="1" x14ac:dyDescent="0.25">
      <c r="A633" s="7" t="s">
        <v>43</v>
      </c>
      <c r="B633" s="8">
        <v>1</v>
      </c>
      <c r="C633" s="9">
        <v>405</v>
      </c>
      <c r="D633" s="29">
        <f>C633+IF(INDEX('Справочник по %'!B:B,(MATCH(A633,'Справочник по %'!A:A,0)))="кол-во",B633*INDEX('Справочник по %'!C:C,(MATCH(A633,'Справочник по %'!A:A,0))),ОТЧЕТ!C633*INDEX('Справочник по %'!C:C,(MATCH(A633,'Справочник по %'!A:A,0))))/100</f>
        <v>445.5</v>
      </c>
      <c r="E633" s="29">
        <f>IF(ОТЧЕТ!A633="SKU3",C633+ОТЧЕТ!C633*0.2,C633+ОТЧЕТ!C633*0.15)</f>
        <v>465.75</v>
      </c>
      <c r="F633" s="7" t="s">
        <v>1586</v>
      </c>
      <c r="G633" s="7">
        <v>910906054486</v>
      </c>
      <c r="H633" s="20" t="s">
        <v>50</v>
      </c>
      <c r="I633" s="22" t="str">
        <f>INDEX('Справочник Сети'!B:B,(MATCH(G633,'Справочник Сети'!C:C,0)))</f>
        <v>Ригла</v>
      </c>
      <c r="J633" s="7" t="s">
        <v>322</v>
      </c>
      <c r="K633" s="7" t="s">
        <v>1589</v>
      </c>
      <c r="L633" s="7" t="s">
        <v>322</v>
      </c>
      <c r="M633" s="31">
        <v>45658</v>
      </c>
      <c r="N633" s="7" t="s">
        <v>1590</v>
      </c>
      <c r="O633" s="8">
        <v>1359</v>
      </c>
      <c r="P633" s="24">
        <v>3982</v>
      </c>
      <c r="Q633" s="22">
        <f>IF(COUNTIFS(A$2:A633,A633,I$2:I633,I633)=1,1,0)</f>
        <v>0</v>
      </c>
      <c r="R633" s="22">
        <f t="shared" si="9"/>
        <v>5</v>
      </c>
      <c r="S633" s="33">
        <f>IF(COUNTIF(O$2:O633,O633)=1,R633,0)/2.5</f>
        <v>0</v>
      </c>
    </row>
    <row r="634" spans="1:19" ht="18" customHeight="1" x14ac:dyDescent="0.25">
      <c r="A634" s="7" t="s">
        <v>43</v>
      </c>
      <c r="B634" s="8">
        <v>1</v>
      </c>
      <c r="C634" s="9">
        <v>465</v>
      </c>
      <c r="D634" s="29">
        <f>C634+IF(INDEX('Справочник по %'!B:B,(MATCH(A634,'Справочник по %'!A:A,0)))="кол-во",B634*INDEX('Справочник по %'!C:C,(MATCH(A634,'Справочник по %'!A:A,0))),ОТЧЕТ!C634*INDEX('Справочник по %'!C:C,(MATCH(A634,'Справочник по %'!A:A,0))))/100</f>
        <v>511.5</v>
      </c>
      <c r="E634" s="29">
        <f>IF(ОТЧЕТ!A634="SKU3",C634+ОТЧЕТ!C634*0.2,C634+ОТЧЕТ!C634*0.15)</f>
        <v>534.75</v>
      </c>
      <c r="F634" s="7" t="s">
        <v>1586</v>
      </c>
      <c r="G634" s="7">
        <v>773406836405</v>
      </c>
      <c r="H634" s="20" t="s">
        <v>951</v>
      </c>
      <c r="I634" s="22">
        <f>INDEX('Справочник Сети'!B:B,(MATCH(G634,'Справочник Сети'!C:C,0)))</f>
        <v>0</v>
      </c>
      <c r="J634" s="7" t="s">
        <v>322</v>
      </c>
      <c r="K634" s="7" t="s">
        <v>47</v>
      </c>
      <c r="L634" s="7" t="s">
        <v>322</v>
      </c>
      <c r="M634" s="31">
        <v>45658</v>
      </c>
      <c r="N634" s="7" t="s">
        <v>1365</v>
      </c>
      <c r="O634" s="8">
        <v>3711</v>
      </c>
      <c r="P634" s="24">
        <v>3983</v>
      </c>
      <c r="Q634" s="22">
        <f>IF(COUNTIFS(A$2:A634,A634,I$2:I634,I634)=1,1,0)</f>
        <v>0</v>
      </c>
      <c r="R634" s="22">
        <f t="shared" si="9"/>
        <v>1</v>
      </c>
      <c r="S634" s="33">
        <f>IF(COUNTIF(O$2:O634,O634)=1,R634,0)/2.5</f>
        <v>0.4</v>
      </c>
    </row>
    <row r="635" spans="1:19" ht="18" customHeight="1" x14ac:dyDescent="0.25">
      <c r="A635" s="7" t="s">
        <v>43</v>
      </c>
      <c r="B635" s="8">
        <v>1</v>
      </c>
      <c r="C635" s="9">
        <v>410</v>
      </c>
      <c r="D635" s="29">
        <f>C635+IF(INDEX('Справочник по %'!B:B,(MATCH(A635,'Справочник по %'!A:A,0)))="кол-во",B635*INDEX('Справочник по %'!C:C,(MATCH(A635,'Справочник по %'!A:A,0))),ОТЧЕТ!C635*INDEX('Справочник по %'!C:C,(MATCH(A635,'Справочник по %'!A:A,0))))/100</f>
        <v>451</v>
      </c>
      <c r="E635" s="29">
        <f>IF(ОТЧЕТ!A635="SKU3",C635+ОТЧЕТ!C635*0.2,C635+ОТЧЕТ!C635*0.15)</f>
        <v>471.5</v>
      </c>
      <c r="F635" s="7" t="s">
        <v>1586</v>
      </c>
      <c r="G635" s="7">
        <v>273908666</v>
      </c>
      <c r="H635" s="20" t="s">
        <v>1043</v>
      </c>
      <c r="I635" s="22">
        <f>INDEX('Справочник Сети'!B:B,(MATCH(G635,'Справочник Сети'!C:C,0)))</f>
        <v>0</v>
      </c>
      <c r="J635" s="7" t="s">
        <v>362</v>
      </c>
      <c r="K635" s="7" t="s">
        <v>1589</v>
      </c>
      <c r="L635" s="7" t="s">
        <v>362</v>
      </c>
      <c r="M635" s="31">
        <v>45732</v>
      </c>
      <c r="N635" s="7" t="s">
        <v>1111</v>
      </c>
      <c r="O635" s="8">
        <v>912</v>
      </c>
      <c r="P635" s="24">
        <v>3984</v>
      </c>
      <c r="Q635" s="22">
        <f>IF(COUNTIFS(A$2:A635,A635,I$2:I635,I635)=1,1,0)</f>
        <v>0</v>
      </c>
      <c r="R635" s="22">
        <f t="shared" si="9"/>
        <v>1</v>
      </c>
      <c r="S635" s="33">
        <f>IF(COUNTIF(O$2:O635,O635)=1,R635,0)/2.5</f>
        <v>0.4</v>
      </c>
    </row>
    <row r="636" spans="1:19" ht="18" customHeight="1" x14ac:dyDescent="0.25">
      <c r="A636" s="7" t="s">
        <v>43</v>
      </c>
      <c r="B636" s="8">
        <v>1</v>
      </c>
      <c r="C636" s="9">
        <v>385.9</v>
      </c>
      <c r="D636" s="29">
        <f>C636+IF(INDEX('Справочник по %'!B:B,(MATCH(A636,'Справочник по %'!A:A,0)))="кол-во",B636*INDEX('Справочник по %'!C:C,(MATCH(A636,'Справочник по %'!A:A,0))),ОТЧЕТ!C636*INDEX('Справочник по %'!C:C,(MATCH(A636,'Справочник по %'!A:A,0))))/100</f>
        <v>424.49</v>
      </c>
      <c r="E636" s="29">
        <f>IF(ОТЧЕТ!A636="SKU3",C636+ОТЧЕТ!C636*0.2,C636+ОТЧЕТ!C636*0.15)</f>
        <v>443.78499999999997</v>
      </c>
      <c r="F636" s="7" t="s">
        <v>1586</v>
      </c>
      <c r="G636" s="7">
        <v>3801042576</v>
      </c>
      <c r="H636" s="20" t="s">
        <v>761</v>
      </c>
      <c r="I636" s="22" t="str">
        <f>INDEX('Справочник Сети'!B:B,(MATCH(G636,'Справочник Сети'!C:C,0)))</f>
        <v>Планета здоровья</v>
      </c>
      <c r="J636" s="7" t="s">
        <v>65</v>
      </c>
      <c r="K636" s="7" t="s">
        <v>169</v>
      </c>
      <c r="L636" s="7" t="s">
        <v>65</v>
      </c>
      <c r="M636" s="31">
        <v>45717</v>
      </c>
      <c r="N636" s="7" t="s">
        <v>1591</v>
      </c>
      <c r="O636" s="8">
        <v>352</v>
      </c>
      <c r="P636" s="24">
        <v>3987</v>
      </c>
      <c r="Q636" s="22">
        <f>IF(COUNTIFS(A$2:A636,A636,I$2:I636,I636)=1,1,0)</f>
        <v>0</v>
      </c>
      <c r="R636" s="22">
        <f t="shared" si="9"/>
        <v>1</v>
      </c>
      <c r="S636" s="33">
        <f>IF(COUNTIF(O$2:O636,O636)=1,R636,0)/2.5</f>
        <v>0.4</v>
      </c>
    </row>
    <row r="637" spans="1:19" ht="18" customHeight="1" x14ac:dyDescent="0.25">
      <c r="A637" s="7" t="s">
        <v>43</v>
      </c>
      <c r="B637" s="8">
        <v>1</v>
      </c>
      <c r="C637" s="9">
        <v>370</v>
      </c>
      <c r="D637" s="29">
        <f>C637+IF(INDEX('Справочник по %'!B:B,(MATCH(A637,'Справочник по %'!A:A,0)))="кол-во",B637*INDEX('Справочник по %'!C:C,(MATCH(A637,'Справочник по %'!A:A,0))),ОТЧЕТ!C637*INDEX('Справочник по %'!C:C,(MATCH(A637,'Справочник по %'!A:A,0))))/100</f>
        <v>407</v>
      </c>
      <c r="E637" s="29">
        <f>IF(ОТЧЕТ!A637="SKU3",C637+ОТЧЕТ!C637*0.2,C637+ОТЧЕТ!C637*0.15)</f>
        <v>425.5</v>
      </c>
      <c r="F637" s="7" t="s">
        <v>1586</v>
      </c>
      <c r="G637" s="7">
        <v>2225105670</v>
      </c>
      <c r="H637" s="20" t="s">
        <v>69</v>
      </c>
      <c r="I637" s="22" t="str">
        <f>INDEX('Справочник Сети'!B:B,(MATCH(G637,'Справочник Сети'!C:C,0)))</f>
        <v>Столички</v>
      </c>
      <c r="J637" s="7" t="s">
        <v>372</v>
      </c>
      <c r="K637" s="7" t="s">
        <v>1313</v>
      </c>
      <c r="L637" s="7" t="s">
        <v>372</v>
      </c>
      <c r="M637" s="31">
        <v>45730</v>
      </c>
      <c r="N637" s="7" t="s">
        <v>1592</v>
      </c>
      <c r="O637" s="8">
        <v>2919</v>
      </c>
      <c r="P637" s="24">
        <v>3994</v>
      </c>
      <c r="Q637" s="22">
        <f>IF(COUNTIFS(A$2:A637,A637,I$2:I637,I637)=1,1,0)</f>
        <v>0</v>
      </c>
      <c r="R637" s="22">
        <f t="shared" si="9"/>
        <v>8</v>
      </c>
      <c r="S637" s="33">
        <f>IF(COUNTIF(O$2:O637,O637)=1,R637,0)/2.5</f>
        <v>0</v>
      </c>
    </row>
    <row r="638" spans="1:19" ht="18" customHeight="1" x14ac:dyDescent="0.25">
      <c r="A638" s="7" t="s">
        <v>43</v>
      </c>
      <c r="B638" s="8">
        <v>1</v>
      </c>
      <c r="C638" s="9">
        <v>399</v>
      </c>
      <c r="D638" s="29">
        <f>C638+IF(INDEX('Справочник по %'!B:B,(MATCH(A638,'Справочник по %'!A:A,0)))="кол-во",B638*INDEX('Справочник по %'!C:C,(MATCH(A638,'Справочник по %'!A:A,0))),ОТЧЕТ!C638*INDEX('Справочник по %'!C:C,(MATCH(A638,'Справочник по %'!A:A,0))))/100</f>
        <v>438.9</v>
      </c>
      <c r="E638" s="29">
        <f>IF(ОТЧЕТ!A638="SKU3",C638+ОТЧЕТ!C638*0.2,C638+ОТЧЕТ!C638*0.15)</f>
        <v>458.85</v>
      </c>
      <c r="F638" s="7" t="s">
        <v>1586</v>
      </c>
      <c r="G638" s="7">
        <v>3123296586</v>
      </c>
      <c r="H638" s="20" t="s">
        <v>192</v>
      </c>
      <c r="I638" s="22" t="str">
        <f>INDEX('Справочник Сети'!B:B,(MATCH(G638,'Справочник Сети'!C:C,0)))</f>
        <v>Столички</v>
      </c>
      <c r="J638" s="7" t="s">
        <v>193</v>
      </c>
      <c r="K638" s="7" t="s">
        <v>1365</v>
      </c>
      <c r="L638" s="7" t="s">
        <v>193</v>
      </c>
      <c r="M638" s="31">
        <v>45718</v>
      </c>
      <c r="N638" s="7" t="s">
        <v>1593</v>
      </c>
      <c r="O638" s="8">
        <v>3050</v>
      </c>
      <c r="P638" s="24">
        <v>3996</v>
      </c>
      <c r="Q638" s="22">
        <f>IF(COUNTIFS(A$2:A638,A638,I$2:I638,I638)=1,1,0)</f>
        <v>0</v>
      </c>
      <c r="R638" s="22">
        <f t="shared" si="9"/>
        <v>10</v>
      </c>
      <c r="S638" s="33">
        <f>IF(COUNTIF(O$2:O638,O638)=1,R638,0)/2.5</f>
        <v>0</v>
      </c>
    </row>
    <row r="639" spans="1:19" ht="18" customHeight="1" x14ac:dyDescent="0.25">
      <c r="A639" s="7" t="s">
        <v>43</v>
      </c>
      <c r="B639" s="8">
        <v>1</v>
      </c>
      <c r="C639" s="9">
        <v>419</v>
      </c>
      <c r="D639" s="29">
        <f>C639+IF(INDEX('Справочник по %'!B:B,(MATCH(A639,'Справочник по %'!A:A,0)))="кол-во",B639*INDEX('Справочник по %'!C:C,(MATCH(A639,'Справочник по %'!A:A,0))),ОТЧЕТ!C639*INDEX('Справочник по %'!C:C,(MATCH(A639,'Справочник по %'!A:A,0))))/100</f>
        <v>460.9</v>
      </c>
      <c r="E639" s="29">
        <f>IF(ОТЧЕТ!A639="SKU3",C639+ОТЧЕТ!C639*0.2,C639+ОТЧЕТ!C639*0.15)</f>
        <v>481.85</v>
      </c>
      <c r="F639" s="7" t="s">
        <v>1586</v>
      </c>
      <c r="G639" s="7">
        <v>7719136780</v>
      </c>
      <c r="H639" s="20" t="s">
        <v>1594</v>
      </c>
      <c r="I639" s="22">
        <f>INDEX('Справочник Сети'!B:B,(MATCH(G639,'Справочник Сети'!C:C,0)))</f>
        <v>0</v>
      </c>
      <c r="J639" s="7" t="s">
        <v>168</v>
      </c>
      <c r="K639" s="7" t="s">
        <v>1595</v>
      </c>
      <c r="L639" s="7" t="s">
        <v>168</v>
      </c>
      <c r="M639" s="31">
        <v>45676</v>
      </c>
      <c r="N639" s="7" t="s">
        <v>1596</v>
      </c>
      <c r="O639" s="8">
        <v>2773</v>
      </c>
      <c r="P639" s="24">
        <v>3997</v>
      </c>
      <c r="Q639" s="22">
        <f>IF(COUNTIFS(A$2:A639,A639,I$2:I639,I639)=1,1,0)</f>
        <v>0</v>
      </c>
      <c r="R639" s="22">
        <f t="shared" si="9"/>
        <v>1</v>
      </c>
      <c r="S639" s="33">
        <f>IF(COUNTIF(O$2:O639,O639)=1,R639,0)/2.5</f>
        <v>0.4</v>
      </c>
    </row>
    <row r="640" spans="1:19" ht="18" customHeight="1" x14ac:dyDescent="0.25">
      <c r="A640" s="7" t="s">
        <v>43</v>
      </c>
      <c r="B640" s="8">
        <v>1</v>
      </c>
      <c r="C640" s="9">
        <v>420</v>
      </c>
      <c r="D640" s="29">
        <f>C640+IF(INDEX('Справочник по %'!B:B,(MATCH(A640,'Справочник по %'!A:A,0)))="кол-во",B640*INDEX('Справочник по %'!C:C,(MATCH(A640,'Справочник по %'!A:A,0))),ОТЧЕТ!C640*INDEX('Справочник по %'!C:C,(MATCH(A640,'Справочник по %'!A:A,0))))/100</f>
        <v>462</v>
      </c>
      <c r="E640" s="29">
        <f>IF(ОТЧЕТ!A640="SKU3",C640+ОТЧЕТ!C640*0.2,C640+ОТЧЕТ!C640*0.15)</f>
        <v>483</v>
      </c>
      <c r="F640" s="7" t="s">
        <v>1597</v>
      </c>
      <c r="G640" s="7">
        <v>7814443325</v>
      </c>
      <c r="H640" s="20" t="s">
        <v>50</v>
      </c>
      <c r="I640" s="22" t="str">
        <f>INDEX('Справочник Сети'!B:B,(MATCH(G640,'Справочник Сети'!C:C,0)))</f>
        <v>Планета здоровья</v>
      </c>
      <c r="J640" s="7" t="s">
        <v>121</v>
      </c>
      <c r="K640" s="7" t="s">
        <v>1598</v>
      </c>
      <c r="L640" s="7" t="s">
        <v>121</v>
      </c>
      <c r="M640" s="31">
        <v>45671</v>
      </c>
      <c r="N640" s="7" t="s">
        <v>1599</v>
      </c>
      <c r="O640" s="8">
        <v>312</v>
      </c>
      <c r="P640" s="24">
        <v>4001</v>
      </c>
      <c r="Q640" s="22">
        <f>IF(COUNTIFS(A$2:A640,A640,I$2:I640,I640)=1,1,0)</f>
        <v>0</v>
      </c>
      <c r="R640" s="22">
        <f t="shared" si="9"/>
        <v>2</v>
      </c>
      <c r="S640" s="33">
        <f>IF(COUNTIF(O$2:O640,O640)=1,R640,0)/2.5</f>
        <v>0.8</v>
      </c>
    </row>
    <row r="641" spans="1:19" ht="18" customHeight="1" x14ac:dyDescent="0.25">
      <c r="A641" s="7" t="s">
        <v>43</v>
      </c>
      <c r="B641" s="8">
        <v>1</v>
      </c>
      <c r="C641" s="9">
        <v>397</v>
      </c>
      <c r="D641" s="29">
        <f>C641+IF(INDEX('Справочник по %'!B:B,(MATCH(A641,'Справочник по %'!A:A,0)))="кол-во",B641*INDEX('Справочник по %'!C:C,(MATCH(A641,'Справочник по %'!A:A,0))),ОТЧЕТ!C641*INDEX('Справочник по %'!C:C,(MATCH(A641,'Справочник по %'!A:A,0))))/100</f>
        <v>436.7</v>
      </c>
      <c r="E641" s="29">
        <f>IF(ОТЧЕТ!A641="SKU3",C641+ОТЧЕТ!C641*0.2,C641+ОТЧЕТ!C641*0.15)</f>
        <v>456.55</v>
      </c>
      <c r="F641" s="7" t="s">
        <v>1600</v>
      </c>
      <c r="G641" s="7">
        <v>2466189073</v>
      </c>
      <c r="H641" s="20" t="s">
        <v>1601</v>
      </c>
      <c r="I641" s="22" t="str">
        <f>INDEX('Справочник Сети'!B:B,(MATCH(G641,'Справочник Сети'!C:C,0)))</f>
        <v>Нео-фарм</v>
      </c>
      <c r="J641" s="7" t="s">
        <v>96</v>
      </c>
      <c r="K641" s="7" t="s">
        <v>1602</v>
      </c>
      <c r="L641" s="7" t="s">
        <v>96</v>
      </c>
      <c r="M641" s="31">
        <v>45727</v>
      </c>
      <c r="N641" s="7" t="s">
        <v>1603</v>
      </c>
      <c r="O641" s="8">
        <v>2841</v>
      </c>
      <c r="P641" s="24">
        <v>4002</v>
      </c>
      <c r="Q641" s="22">
        <f>IF(COUNTIFS(A$2:A641,A641,I$2:I641,I641)=1,1,0)</f>
        <v>0</v>
      </c>
      <c r="R641" s="22">
        <f t="shared" si="9"/>
        <v>5</v>
      </c>
      <c r="S641" s="33">
        <f>IF(COUNTIF(O$2:O641,O641)=1,R641,0)/2.5</f>
        <v>2</v>
      </c>
    </row>
    <row r="642" spans="1:19" ht="18" customHeight="1" x14ac:dyDescent="0.25">
      <c r="A642" s="7" t="s">
        <v>37</v>
      </c>
      <c r="B642" s="8">
        <v>1</v>
      </c>
      <c r="C642" s="9">
        <v>720</v>
      </c>
      <c r="D642" s="29">
        <f>C642+IF(INDEX('Справочник по %'!B:B,(MATCH(A642,'Справочник по %'!A:A,0)))="кол-во",B642*INDEX('Справочник по %'!C:C,(MATCH(A642,'Справочник по %'!A:A,0))),ОТЧЕТ!C642*INDEX('Справочник по %'!C:C,(MATCH(A642,'Справочник по %'!A:A,0))))/100</f>
        <v>720.2</v>
      </c>
      <c r="E642" s="29">
        <f>IF(ОТЧЕТ!A642="SKU3",C642+ОТЧЕТ!C642*0.2,C642+ОТЧЕТ!C642*0.15)</f>
        <v>828</v>
      </c>
      <c r="F642" s="7" t="s">
        <v>1604</v>
      </c>
      <c r="G642" s="7">
        <v>6321112412</v>
      </c>
      <c r="H642" s="20" t="s">
        <v>1605</v>
      </c>
      <c r="I642" s="22" t="str">
        <f>INDEX('Справочник Сети'!B:B,(MATCH(G642,'Справочник Сети'!C:C,0)))</f>
        <v>Планета здоровья</v>
      </c>
      <c r="J642" s="7" t="s">
        <v>133</v>
      </c>
      <c r="K642" s="7" t="s">
        <v>501</v>
      </c>
      <c r="L642" s="7" t="s">
        <v>133</v>
      </c>
      <c r="M642" s="31">
        <v>45695</v>
      </c>
      <c r="N642" s="7" t="s">
        <v>1606</v>
      </c>
      <c r="O642" s="8">
        <v>2651</v>
      </c>
      <c r="P642" s="24">
        <v>4003</v>
      </c>
      <c r="Q642" s="22">
        <f>IF(COUNTIFS(A$2:A642,A642,I$2:I642,I642)=1,1,0)</f>
        <v>0</v>
      </c>
      <c r="R642" s="22">
        <f t="shared" si="9"/>
        <v>1</v>
      </c>
      <c r="S642" s="33">
        <f>IF(COUNTIF(O$2:O642,O642)=1,R642,0)/2.5</f>
        <v>0.4</v>
      </c>
    </row>
    <row r="643" spans="1:19" ht="18" customHeight="1" x14ac:dyDescent="0.25">
      <c r="A643" s="7" t="s">
        <v>43</v>
      </c>
      <c r="B643" s="8">
        <v>1</v>
      </c>
      <c r="C643" s="9">
        <v>397</v>
      </c>
      <c r="D643" s="29">
        <f>C643+IF(INDEX('Справочник по %'!B:B,(MATCH(A643,'Справочник по %'!A:A,0)))="кол-во",B643*INDEX('Справочник по %'!C:C,(MATCH(A643,'Справочник по %'!A:A,0))),ОТЧЕТ!C643*INDEX('Справочник по %'!C:C,(MATCH(A643,'Справочник по %'!A:A,0))))/100</f>
        <v>436.7</v>
      </c>
      <c r="E643" s="29">
        <f>IF(ОТЧЕТ!A643="SKU3",C643+ОТЧЕТ!C643*0.2,C643+ОТЧЕТ!C643*0.15)</f>
        <v>456.55</v>
      </c>
      <c r="F643" s="7" t="s">
        <v>1607</v>
      </c>
      <c r="G643" s="7">
        <v>7706795062</v>
      </c>
      <c r="H643" s="20" t="s">
        <v>1608</v>
      </c>
      <c r="I643" s="22" t="str">
        <f>INDEX('Справочник Сети'!B:B,(MATCH(G643,'Справочник Сети'!C:C,0)))</f>
        <v>Планета здоровья</v>
      </c>
      <c r="J643" s="7" t="s">
        <v>87</v>
      </c>
      <c r="K643" s="7" t="s">
        <v>1365</v>
      </c>
      <c r="L643" s="7" t="s">
        <v>87</v>
      </c>
      <c r="M643" s="31">
        <v>45691</v>
      </c>
      <c r="N643" s="7" t="s">
        <v>1609</v>
      </c>
      <c r="O643" s="8">
        <v>2091</v>
      </c>
      <c r="P643" s="24">
        <v>4005</v>
      </c>
      <c r="Q643" s="22">
        <f>IF(COUNTIFS(A$2:A643,A643,I$2:I643,I643)=1,1,0)</f>
        <v>0</v>
      </c>
      <c r="R643" s="22">
        <f t="shared" ref="R643:R706" si="10">COUNTIF(O:O,O643)</f>
        <v>2</v>
      </c>
      <c r="S643" s="33">
        <f>IF(COUNTIF(O$2:O643,O643)=1,R643,0)/2.5</f>
        <v>0.8</v>
      </c>
    </row>
    <row r="644" spans="1:19" ht="18" customHeight="1" x14ac:dyDescent="0.25">
      <c r="A644" s="7" t="s">
        <v>43</v>
      </c>
      <c r="B644" s="8">
        <v>1</v>
      </c>
      <c r="C644" s="9">
        <v>395</v>
      </c>
      <c r="D644" s="29">
        <f>C644+IF(INDEX('Справочник по %'!B:B,(MATCH(A644,'Справочник по %'!A:A,0)))="кол-во",B644*INDEX('Справочник по %'!C:C,(MATCH(A644,'Справочник по %'!A:A,0))),ОТЧЕТ!C644*INDEX('Справочник по %'!C:C,(MATCH(A644,'Справочник по %'!A:A,0))))/100</f>
        <v>434.5</v>
      </c>
      <c r="E644" s="29">
        <f>IF(ОТЧЕТ!A644="SKU3",C644+ОТЧЕТ!C644*0.2,C644+ОТЧЕТ!C644*0.15)</f>
        <v>454.25</v>
      </c>
      <c r="F644" s="7" t="s">
        <v>1607</v>
      </c>
      <c r="G644" s="7">
        <v>7706795062</v>
      </c>
      <c r="H644" s="20" t="s">
        <v>1608</v>
      </c>
      <c r="I644" s="22" t="str">
        <f>INDEX('Справочник Сети'!B:B,(MATCH(G644,'Справочник Сети'!C:C,0)))</f>
        <v>Планета здоровья</v>
      </c>
      <c r="J644" s="7" t="s">
        <v>87</v>
      </c>
      <c r="K644" s="7" t="s">
        <v>1365</v>
      </c>
      <c r="L644" s="7" t="s">
        <v>87</v>
      </c>
      <c r="M644" s="31">
        <v>45691</v>
      </c>
      <c r="N644" s="7" t="s">
        <v>1609</v>
      </c>
      <c r="O644" s="8">
        <v>2091</v>
      </c>
      <c r="P644" s="24">
        <v>4005</v>
      </c>
      <c r="Q644" s="22">
        <f>IF(COUNTIFS(A$2:A644,A644,I$2:I644,I644)=1,1,0)</f>
        <v>0</v>
      </c>
      <c r="R644" s="22">
        <f t="shared" si="10"/>
        <v>2</v>
      </c>
      <c r="S644" s="33">
        <f>IF(COUNTIF(O$2:O644,O644)=1,R644,0)/2.5</f>
        <v>0</v>
      </c>
    </row>
    <row r="645" spans="1:19" ht="18" customHeight="1" x14ac:dyDescent="0.25">
      <c r="A645" s="7" t="s">
        <v>43</v>
      </c>
      <c r="B645" s="8">
        <v>1</v>
      </c>
      <c r="C645" s="9">
        <v>410.31</v>
      </c>
      <c r="D645" s="29">
        <f>C645+IF(INDEX('Справочник по %'!B:B,(MATCH(A645,'Справочник по %'!A:A,0)))="кол-во",B645*INDEX('Справочник по %'!C:C,(MATCH(A645,'Справочник по %'!A:A,0))),ОТЧЕТ!C645*INDEX('Справочник по %'!C:C,(MATCH(A645,'Справочник по %'!A:A,0))))/100</f>
        <v>451.34100000000001</v>
      </c>
      <c r="E645" s="29">
        <f>IF(ОТЧЕТ!A645="SKU3",C645+ОТЧЕТ!C645*0.2,C645+ОТЧЕТ!C645*0.15)</f>
        <v>471.85649999999998</v>
      </c>
      <c r="F645" s="7" t="s">
        <v>1610</v>
      </c>
      <c r="G645" s="7">
        <v>2466189073</v>
      </c>
      <c r="H645" s="20" t="s">
        <v>450</v>
      </c>
      <c r="I645" s="22" t="str">
        <f>INDEX('Справочник Сети'!B:B,(MATCH(G645,'Справочник Сети'!C:C,0)))</f>
        <v>Нео-фарм</v>
      </c>
      <c r="J645" s="7" t="s">
        <v>96</v>
      </c>
      <c r="K645" s="7" t="s">
        <v>591</v>
      </c>
      <c r="L645" s="7" t="s">
        <v>96</v>
      </c>
      <c r="M645" s="31">
        <v>45727</v>
      </c>
      <c r="N645" s="7" t="s">
        <v>1611</v>
      </c>
      <c r="O645" s="8">
        <v>3472</v>
      </c>
      <c r="P645" s="24">
        <v>4014</v>
      </c>
      <c r="Q645" s="22">
        <f>IF(COUNTIFS(A$2:A645,A645,I$2:I645,I645)=1,1,0)</f>
        <v>0</v>
      </c>
      <c r="R645" s="22">
        <f t="shared" si="10"/>
        <v>1</v>
      </c>
      <c r="S645" s="33">
        <f>IF(COUNTIF(O$2:O645,O645)=1,R645,0)/2.5</f>
        <v>0.4</v>
      </c>
    </row>
    <row r="646" spans="1:19" ht="18" customHeight="1" x14ac:dyDescent="0.25">
      <c r="A646" s="7" t="s">
        <v>43</v>
      </c>
      <c r="B646" s="8">
        <v>1</v>
      </c>
      <c r="C646" s="9">
        <v>550</v>
      </c>
      <c r="D646" s="29">
        <f>C646+IF(INDEX('Справочник по %'!B:B,(MATCH(A646,'Справочник по %'!A:A,0)))="кол-во",B646*INDEX('Справочник по %'!C:C,(MATCH(A646,'Справочник по %'!A:A,0))),ОТЧЕТ!C646*INDEX('Справочник по %'!C:C,(MATCH(A646,'Справочник по %'!A:A,0))))/100</f>
        <v>605</v>
      </c>
      <c r="E646" s="29">
        <f>IF(ОТЧЕТ!A646="SKU3",C646+ОТЧЕТ!C646*0.2,C646+ОТЧЕТ!C646*0.15)</f>
        <v>632.5</v>
      </c>
      <c r="F646" s="7" t="s">
        <v>1612</v>
      </c>
      <c r="G646" s="7">
        <v>2320218433</v>
      </c>
      <c r="H646" s="20" t="s">
        <v>50</v>
      </c>
      <c r="I646" s="22" t="str">
        <f>INDEX('Справочник Сети'!B:B,(MATCH(G646,'Справочник Сети'!C:C,0)))</f>
        <v>Планета здоровья</v>
      </c>
      <c r="J646" s="7" t="s">
        <v>96</v>
      </c>
      <c r="K646" s="7" t="s">
        <v>1568</v>
      </c>
      <c r="L646" s="7" t="s">
        <v>70</v>
      </c>
      <c r="M646" s="31">
        <v>45728</v>
      </c>
      <c r="N646" s="7" t="s">
        <v>1613</v>
      </c>
      <c r="O646" s="8">
        <v>3018</v>
      </c>
      <c r="P646" s="24">
        <v>4021</v>
      </c>
      <c r="Q646" s="22">
        <f>IF(COUNTIFS(A$2:A646,A646,I$2:I646,I646)=1,1,0)</f>
        <v>0</v>
      </c>
      <c r="R646" s="22">
        <f t="shared" si="10"/>
        <v>3</v>
      </c>
      <c r="S646" s="33">
        <f>IF(COUNTIF(O$2:O646,O646)=1,R646,0)/2.5</f>
        <v>1.2</v>
      </c>
    </row>
    <row r="647" spans="1:19" ht="18" customHeight="1" x14ac:dyDescent="0.25">
      <c r="A647" s="7" t="s">
        <v>43</v>
      </c>
      <c r="B647" s="8">
        <v>1</v>
      </c>
      <c r="C647" s="9">
        <v>426.8</v>
      </c>
      <c r="D647" s="29">
        <f>C647+IF(INDEX('Справочник по %'!B:B,(MATCH(A647,'Справочник по %'!A:A,0)))="кол-во",B647*INDEX('Справочник по %'!C:C,(MATCH(A647,'Справочник по %'!A:A,0))),ОТЧЕТ!C647*INDEX('Справочник по %'!C:C,(MATCH(A647,'Справочник по %'!A:A,0))))/100</f>
        <v>469.48</v>
      </c>
      <c r="E647" s="29">
        <f>IF(ОТЧЕТ!A647="SKU3",C647+ОТЧЕТ!C647*0.2,C647+ОТЧЕТ!C647*0.15)</f>
        <v>490.82</v>
      </c>
      <c r="F647" s="7" t="s">
        <v>1614</v>
      </c>
      <c r="G647" s="7">
        <v>550700455672</v>
      </c>
      <c r="H647" s="20" t="s">
        <v>50</v>
      </c>
      <c r="I647" s="22">
        <f>INDEX('Справочник Сети'!B:B,(MATCH(G647,'Справочник Сети'!C:C,0)))</f>
        <v>0</v>
      </c>
      <c r="J647" s="7" t="s">
        <v>251</v>
      </c>
      <c r="K647" s="7" t="s">
        <v>1573</v>
      </c>
      <c r="L647" s="7" t="s">
        <v>251</v>
      </c>
      <c r="M647" s="31">
        <v>45659</v>
      </c>
      <c r="N647" s="7" t="s">
        <v>1615</v>
      </c>
      <c r="O647" s="8">
        <v>2472</v>
      </c>
      <c r="P647" s="24">
        <v>4022</v>
      </c>
      <c r="Q647" s="22">
        <f>IF(COUNTIFS(A$2:A647,A647,I$2:I647,I647)=1,1,0)</f>
        <v>0</v>
      </c>
      <c r="R647" s="22">
        <f t="shared" si="10"/>
        <v>1</v>
      </c>
      <c r="S647" s="33">
        <f>IF(COUNTIF(O$2:O647,O647)=1,R647,0)/2.5</f>
        <v>0.4</v>
      </c>
    </row>
    <row r="648" spans="1:19" ht="18" customHeight="1" x14ac:dyDescent="0.25">
      <c r="A648" s="7" t="s">
        <v>37</v>
      </c>
      <c r="B648" s="8">
        <v>1</v>
      </c>
      <c r="C648" s="9">
        <v>636</v>
      </c>
      <c r="D648" s="29">
        <f>C648+IF(INDEX('Справочник по %'!B:B,(MATCH(A648,'Справочник по %'!A:A,0)))="кол-во",B648*INDEX('Справочник по %'!C:C,(MATCH(A648,'Справочник по %'!A:A,0))),ОТЧЕТ!C648*INDEX('Справочник по %'!C:C,(MATCH(A648,'Справочник по %'!A:A,0))))/100</f>
        <v>636.20000000000005</v>
      </c>
      <c r="E648" s="29">
        <f>IF(ОТЧЕТ!A648="SKU3",C648+ОТЧЕТ!C648*0.2,C648+ОТЧЕТ!C648*0.15)</f>
        <v>731.4</v>
      </c>
      <c r="F648" s="7" t="s">
        <v>1616</v>
      </c>
      <c r="G648" s="7">
        <v>7840411560</v>
      </c>
      <c r="H648" s="20" t="s">
        <v>1617</v>
      </c>
      <c r="I648" s="22" t="str">
        <f>INDEX('Справочник Сети'!B:B,(MATCH(G648,'Справочник Сети'!C:C,0)))</f>
        <v>Столички</v>
      </c>
      <c r="J648" s="7" t="s">
        <v>315</v>
      </c>
      <c r="K648" s="7" t="s">
        <v>691</v>
      </c>
      <c r="L648" s="7" t="s">
        <v>315</v>
      </c>
      <c r="M648" s="31">
        <v>45670</v>
      </c>
      <c r="N648" s="7" t="s">
        <v>1618</v>
      </c>
      <c r="O648" s="8">
        <v>751</v>
      </c>
      <c r="P648" s="24">
        <v>4023</v>
      </c>
      <c r="Q648" s="22">
        <f>IF(COUNTIFS(A$2:A648,A648,I$2:I648,I648)=1,1,0)</f>
        <v>0</v>
      </c>
      <c r="R648" s="22">
        <f t="shared" si="10"/>
        <v>1</v>
      </c>
      <c r="S648" s="33">
        <f>IF(COUNTIF(O$2:O648,O648)=1,R648,0)/2.5</f>
        <v>0.4</v>
      </c>
    </row>
    <row r="649" spans="1:19" ht="18" customHeight="1" x14ac:dyDescent="0.25">
      <c r="A649" s="7" t="s">
        <v>43</v>
      </c>
      <c r="B649" s="8">
        <v>1</v>
      </c>
      <c r="C649" s="9">
        <v>423</v>
      </c>
      <c r="D649" s="29">
        <f>C649+IF(INDEX('Справочник по %'!B:B,(MATCH(A649,'Справочник по %'!A:A,0)))="кол-во",B649*INDEX('Справочник по %'!C:C,(MATCH(A649,'Справочник по %'!A:A,0))),ОТЧЕТ!C649*INDEX('Справочник по %'!C:C,(MATCH(A649,'Справочник по %'!A:A,0))))/100</f>
        <v>465.3</v>
      </c>
      <c r="E649" s="29">
        <f>IF(ОТЧЕТ!A649="SKU3",C649+ОТЧЕТ!C649*0.2,C649+ОТЧЕТ!C649*0.15)</f>
        <v>486.45</v>
      </c>
      <c r="F649" s="7" t="s">
        <v>1619</v>
      </c>
      <c r="G649" s="7">
        <v>7814443325</v>
      </c>
      <c r="H649" s="20" t="s">
        <v>50</v>
      </c>
      <c r="I649" s="22" t="str">
        <f>INDEX('Справочник Сети'!B:B,(MATCH(G649,'Справочник Сети'!C:C,0)))</f>
        <v>Планета здоровья</v>
      </c>
      <c r="J649" s="7" t="s">
        <v>121</v>
      </c>
      <c r="K649" s="7" t="s">
        <v>1620</v>
      </c>
      <c r="L649" s="7" t="s">
        <v>121</v>
      </c>
      <c r="M649" s="31">
        <v>45671</v>
      </c>
      <c r="N649" s="7" t="s">
        <v>1621</v>
      </c>
      <c r="O649" s="8">
        <v>312</v>
      </c>
      <c r="P649" s="24">
        <v>4028</v>
      </c>
      <c r="Q649" s="22">
        <f>IF(COUNTIFS(A$2:A649,A649,I$2:I649,I649)=1,1,0)</f>
        <v>0</v>
      </c>
      <c r="R649" s="22">
        <f t="shared" si="10"/>
        <v>2</v>
      </c>
      <c r="S649" s="33">
        <f>IF(COUNTIF(O$2:O649,O649)=1,R649,0)/2.5</f>
        <v>0</v>
      </c>
    </row>
    <row r="650" spans="1:19" ht="18" customHeight="1" x14ac:dyDescent="0.25">
      <c r="A650" s="7" t="s">
        <v>43</v>
      </c>
      <c r="B650" s="8">
        <v>1</v>
      </c>
      <c r="C650" s="9">
        <v>479.5</v>
      </c>
      <c r="D650" s="29">
        <f>C650+IF(INDEX('Справочник по %'!B:B,(MATCH(A650,'Справочник по %'!A:A,0)))="кол-во",B650*INDEX('Справочник по %'!C:C,(MATCH(A650,'Справочник по %'!A:A,0))),ОТЧЕТ!C650*INDEX('Справочник по %'!C:C,(MATCH(A650,'Справочник по %'!A:A,0))))/100</f>
        <v>527.45000000000005</v>
      </c>
      <c r="E650" s="29">
        <f>IF(ОТЧЕТ!A650="SKU3",C650+ОТЧЕТ!C650*0.2,C650+ОТЧЕТ!C650*0.15)</f>
        <v>551.42499999999995</v>
      </c>
      <c r="F650" s="7" t="s">
        <v>1622</v>
      </c>
      <c r="G650" s="7">
        <v>6164202134</v>
      </c>
      <c r="H650" s="20" t="s">
        <v>402</v>
      </c>
      <c r="I650" s="22" t="str">
        <f>INDEX('Справочник Сети'!B:B,(MATCH(G650,'Справочник Сети'!C:C,0)))</f>
        <v>Столички</v>
      </c>
      <c r="J650" s="7" t="s">
        <v>520</v>
      </c>
      <c r="K650" s="7" t="s">
        <v>375</v>
      </c>
      <c r="L650" s="7" t="s">
        <v>520</v>
      </c>
      <c r="M650" s="31">
        <v>45697</v>
      </c>
      <c r="N650" s="7" t="s">
        <v>1623</v>
      </c>
      <c r="O650" s="8">
        <v>2738</v>
      </c>
      <c r="P650" s="24">
        <v>4031</v>
      </c>
      <c r="Q650" s="22">
        <f>IF(COUNTIFS(A$2:A650,A650,I$2:I650,I650)=1,1,0)</f>
        <v>0</v>
      </c>
      <c r="R650" s="22">
        <f t="shared" si="10"/>
        <v>1</v>
      </c>
      <c r="S650" s="33">
        <f>IF(COUNTIF(O$2:O650,O650)=1,R650,0)/2.5</f>
        <v>0.4</v>
      </c>
    </row>
    <row r="651" spans="1:19" ht="18" customHeight="1" x14ac:dyDescent="0.25">
      <c r="A651" s="7" t="s">
        <v>37</v>
      </c>
      <c r="B651" s="8">
        <v>1</v>
      </c>
      <c r="C651" s="9">
        <v>609</v>
      </c>
      <c r="D651" s="29">
        <f>C651+IF(INDEX('Справочник по %'!B:B,(MATCH(A651,'Справочник по %'!A:A,0)))="кол-во",B651*INDEX('Справочник по %'!C:C,(MATCH(A651,'Справочник по %'!A:A,0))),ОТЧЕТ!C651*INDEX('Справочник по %'!C:C,(MATCH(A651,'Справочник по %'!A:A,0))))/100</f>
        <v>609.20000000000005</v>
      </c>
      <c r="E651" s="29">
        <f>IF(ОТЧЕТ!A651="SKU3",C651+ОТЧЕТ!C651*0.2,C651+ОТЧЕТ!C651*0.15)</f>
        <v>700.35</v>
      </c>
      <c r="F651" s="7" t="s">
        <v>1622</v>
      </c>
      <c r="G651" s="7">
        <v>5905254762</v>
      </c>
      <c r="H651" s="20" t="s">
        <v>39</v>
      </c>
      <c r="I651" s="22" t="str">
        <f>INDEX('Справочник Сети'!B:B,(MATCH(G651,'Справочник Сети'!C:C,0)))</f>
        <v>Столички</v>
      </c>
      <c r="J651" s="7" t="s">
        <v>174</v>
      </c>
      <c r="K651" s="7" t="s">
        <v>678</v>
      </c>
      <c r="L651" s="7" t="s">
        <v>40</v>
      </c>
      <c r="M651" s="31">
        <v>45712</v>
      </c>
      <c r="N651" s="7" t="s">
        <v>1624</v>
      </c>
      <c r="O651" s="8">
        <v>2215</v>
      </c>
      <c r="P651" s="24">
        <v>4035</v>
      </c>
      <c r="Q651" s="22">
        <f>IF(COUNTIFS(A$2:A651,A651,I$2:I651,I651)=1,1,0)</f>
        <v>0</v>
      </c>
      <c r="R651" s="22">
        <f t="shared" si="10"/>
        <v>5</v>
      </c>
      <c r="S651" s="33">
        <f>IF(COUNTIF(O$2:O651,O651)=1,R651,0)/2.5</f>
        <v>0</v>
      </c>
    </row>
    <row r="652" spans="1:19" ht="18" customHeight="1" x14ac:dyDescent="0.25">
      <c r="A652" s="7" t="s">
        <v>43</v>
      </c>
      <c r="B652" s="8">
        <v>1</v>
      </c>
      <c r="C652" s="9">
        <v>338.82</v>
      </c>
      <c r="D652" s="29">
        <f>C652+IF(INDEX('Справочник по %'!B:B,(MATCH(A652,'Справочник по %'!A:A,0)))="кол-во",B652*INDEX('Справочник по %'!C:C,(MATCH(A652,'Справочник по %'!A:A,0))),ОТЧЕТ!C652*INDEX('Справочник по %'!C:C,(MATCH(A652,'Справочник по %'!A:A,0))))/100</f>
        <v>372.702</v>
      </c>
      <c r="E652" s="29">
        <f>IF(ОТЧЕТ!A652="SKU3",C652+ОТЧЕТ!C652*0.2,C652+ОТЧЕТ!C652*0.15)</f>
        <v>389.64299999999997</v>
      </c>
      <c r="F652" s="7" t="s">
        <v>1622</v>
      </c>
      <c r="G652" s="7">
        <v>2224212012</v>
      </c>
      <c r="H652" s="20" t="s">
        <v>50</v>
      </c>
      <c r="I652" s="22">
        <f>INDEX('Справочник Сети'!B:B,(MATCH(G652,'Справочник Сети'!C:C,0)))</f>
        <v>0</v>
      </c>
      <c r="J652" s="7" t="s">
        <v>372</v>
      </c>
      <c r="K652" s="7" t="s">
        <v>175</v>
      </c>
      <c r="L652" s="7" t="s">
        <v>372</v>
      </c>
      <c r="M652" s="31">
        <v>45730</v>
      </c>
      <c r="N652" s="7" t="s">
        <v>1625</v>
      </c>
      <c r="O652" s="8">
        <v>2480</v>
      </c>
      <c r="P652" s="24">
        <v>4036</v>
      </c>
      <c r="Q652" s="22">
        <f>IF(COUNTIFS(A$2:A652,A652,I$2:I652,I652)=1,1,0)</f>
        <v>0</v>
      </c>
      <c r="R652" s="22">
        <f t="shared" si="10"/>
        <v>2</v>
      </c>
      <c r="S652" s="33">
        <f>IF(COUNTIF(O$2:O652,O652)=1,R652,0)/2.5</f>
        <v>0.8</v>
      </c>
    </row>
    <row r="653" spans="1:19" ht="18" customHeight="1" x14ac:dyDescent="0.25">
      <c r="A653" s="7" t="s">
        <v>37</v>
      </c>
      <c r="B653" s="8">
        <v>1</v>
      </c>
      <c r="C653" s="9">
        <v>680</v>
      </c>
      <c r="D653" s="29">
        <f>C653+IF(INDEX('Справочник по %'!B:B,(MATCH(A653,'Справочник по %'!A:A,0)))="кол-во",B653*INDEX('Справочник по %'!C:C,(MATCH(A653,'Справочник по %'!A:A,0))),ОТЧЕТ!C653*INDEX('Справочник по %'!C:C,(MATCH(A653,'Справочник по %'!A:A,0))))/100</f>
        <v>680.2</v>
      </c>
      <c r="E653" s="29">
        <f>IF(ОТЧЕТ!A653="SKU3",C653+ОТЧЕТ!C653*0.2,C653+ОТЧЕТ!C653*0.15)</f>
        <v>782</v>
      </c>
      <c r="F653" s="7" t="s">
        <v>1626</v>
      </c>
      <c r="G653" s="7">
        <v>4703067077</v>
      </c>
      <c r="H653" s="20" t="s">
        <v>50</v>
      </c>
      <c r="I653" s="22" t="str">
        <f>INDEX('Справочник Сети'!B:B,(MATCH(G653,'Справочник Сети'!C:C,0)))</f>
        <v>Ригла</v>
      </c>
      <c r="J653" s="7" t="s">
        <v>83</v>
      </c>
      <c r="K653" s="7" t="s">
        <v>701</v>
      </c>
      <c r="L653" s="7" t="s">
        <v>83</v>
      </c>
      <c r="M653" s="31">
        <v>45715</v>
      </c>
      <c r="N653" s="7" t="s">
        <v>1627</v>
      </c>
      <c r="O653" s="8">
        <v>30</v>
      </c>
      <c r="P653" s="24">
        <v>4041</v>
      </c>
      <c r="Q653" s="22">
        <f>IF(COUNTIFS(A$2:A653,A653,I$2:I653,I653)=1,1,0)</f>
        <v>0</v>
      </c>
      <c r="R653" s="22">
        <f t="shared" si="10"/>
        <v>2</v>
      </c>
      <c r="S653" s="33">
        <f>IF(COUNTIF(O$2:O653,O653)=1,R653,0)/2.5</f>
        <v>0.8</v>
      </c>
    </row>
    <row r="654" spans="1:19" ht="18" customHeight="1" x14ac:dyDescent="0.25">
      <c r="A654" s="7" t="s">
        <v>37</v>
      </c>
      <c r="B654" s="8">
        <v>1</v>
      </c>
      <c r="C654" s="9">
        <v>414.26</v>
      </c>
      <c r="D654" s="29">
        <f>C654+IF(INDEX('Справочник по %'!B:B,(MATCH(A654,'Справочник по %'!A:A,0)))="кол-во",B654*INDEX('Справочник по %'!C:C,(MATCH(A654,'Справочник по %'!A:A,0))),ОТЧЕТ!C654*INDEX('Справочник по %'!C:C,(MATCH(A654,'Справочник по %'!A:A,0))))/100</f>
        <v>414.46</v>
      </c>
      <c r="E654" s="29">
        <f>IF(ОТЧЕТ!A654="SKU3",C654+ОТЧЕТ!C654*0.2,C654+ОТЧЕТ!C654*0.15)</f>
        <v>476.399</v>
      </c>
      <c r="F654" s="7" t="s">
        <v>1626</v>
      </c>
      <c r="G654" s="7">
        <v>5906088959</v>
      </c>
      <c r="H654" s="20" t="s">
        <v>1628</v>
      </c>
      <c r="I654" s="22">
        <f>INDEX('Справочник Сети'!B:B,(MATCH(G654,'Справочник Сети'!C:C,0)))</f>
        <v>0</v>
      </c>
      <c r="J654" s="7" t="s">
        <v>79</v>
      </c>
      <c r="K654" s="7" t="s">
        <v>1028</v>
      </c>
      <c r="L654" s="7" t="s">
        <v>174</v>
      </c>
      <c r="M654" s="31">
        <v>45711</v>
      </c>
      <c r="N654" s="7" t="s">
        <v>1629</v>
      </c>
      <c r="O654" s="8">
        <v>1157</v>
      </c>
      <c r="P654" s="24">
        <v>4043</v>
      </c>
      <c r="Q654" s="22">
        <f>IF(COUNTIFS(A$2:A654,A654,I$2:I654,I654)=1,1,0)</f>
        <v>0</v>
      </c>
      <c r="R654" s="22">
        <f t="shared" si="10"/>
        <v>1</v>
      </c>
      <c r="S654" s="33">
        <f>IF(COUNTIF(O$2:O654,O654)=1,R654,0)/2.5</f>
        <v>0.4</v>
      </c>
    </row>
    <row r="655" spans="1:19" ht="18" customHeight="1" x14ac:dyDescent="0.25">
      <c r="A655" s="7" t="s">
        <v>43</v>
      </c>
      <c r="B655" s="8">
        <v>1</v>
      </c>
      <c r="C655" s="9">
        <v>396</v>
      </c>
      <c r="D655" s="29">
        <f>C655+IF(INDEX('Справочник по %'!B:B,(MATCH(A655,'Справочник по %'!A:A,0)))="кол-во",B655*INDEX('Справочник по %'!C:C,(MATCH(A655,'Справочник по %'!A:A,0))),ОТЧЕТ!C655*INDEX('Справочник по %'!C:C,(MATCH(A655,'Справочник по %'!A:A,0))))/100</f>
        <v>435.6</v>
      </c>
      <c r="E655" s="29">
        <f>IF(ОТЧЕТ!A655="SKU3",C655+ОТЧЕТ!C655*0.2,C655+ОТЧЕТ!C655*0.15)</f>
        <v>455.4</v>
      </c>
      <c r="F655" s="7" t="s">
        <v>1630</v>
      </c>
      <c r="G655" s="7">
        <v>6453161631</v>
      </c>
      <c r="H655" s="20" t="s">
        <v>50</v>
      </c>
      <c r="I655" s="22" t="str">
        <f>INDEX('Справочник Сети'!B:B,(MATCH(G655,'Справочник Сети'!C:C,0)))</f>
        <v>Планета здоровья</v>
      </c>
      <c r="J655" s="7" t="s">
        <v>133</v>
      </c>
      <c r="K655" s="7" t="s">
        <v>1631</v>
      </c>
      <c r="L655" s="7" t="s">
        <v>133</v>
      </c>
      <c r="M655" s="31">
        <v>45695</v>
      </c>
      <c r="N655" s="7" t="s">
        <v>1632</v>
      </c>
      <c r="O655" s="8">
        <v>535</v>
      </c>
      <c r="P655" s="24">
        <v>4059</v>
      </c>
      <c r="Q655" s="22">
        <f>IF(COUNTIFS(A$2:A655,A655,I$2:I655,I655)=1,1,0)</f>
        <v>0</v>
      </c>
      <c r="R655" s="22">
        <f t="shared" si="10"/>
        <v>3</v>
      </c>
      <c r="S655" s="33">
        <f>IF(COUNTIF(O$2:O655,O655)=1,R655,0)/2.5</f>
        <v>1.2</v>
      </c>
    </row>
    <row r="656" spans="1:19" ht="18" customHeight="1" x14ac:dyDescent="0.25">
      <c r="A656" s="7" t="s">
        <v>43</v>
      </c>
      <c r="B656" s="8">
        <v>1</v>
      </c>
      <c r="C656" s="9">
        <v>402</v>
      </c>
      <c r="D656" s="29">
        <f>C656+IF(INDEX('Справочник по %'!B:B,(MATCH(A656,'Справочник по %'!A:A,0)))="кол-во",B656*INDEX('Справочник по %'!C:C,(MATCH(A656,'Справочник по %'!A:A,0))),ОТЧЕТ!C656*INDEX('Справочник по %'!C:C,(MATCH(A656,'Справочник по %'!A:A,0))))/100</f>
        <v>442.2</v>
      </c>
      <c r="E656" s="29">
        <f>IF(ОТЧЕТ!A656="SKU3",C656+ОТЧЕТ!C656*0.2,C656+ОТЧЕТ!C656*0.15)</f>
        <v>462.3</v>
      </c>
      <c r="F656" s="7" t="s">
        <v>1630</v>
      </c>
      <c r="G656" s="7">
        <v>4710012294</v>
      </c>
      <c r="H656" s="20" t="s">
        <v>50</v>
      </c>
      <c r="I656" s="22" t="str">
        <f>INDEX('Справочник Сети'!B:B,(MATCH(G656,'Справочник Сети'!C:C,0)))</f>
        <v>Планета здоровья</v>
      </c>
      <c r="J656" s="7" t="s">
        <v>83</v>
      </c>
      <c r="K656" s="7" t="s">
        <v>651</v>
      </c>
      <c r="L656" s="7" t="s">
        <v>83</v>
      </c>
      <c r="M656" s="31">
        <v>45715</v>
      </c>
      <c r="N656" s="7" t="s">
        <v>1633</v>
      </c>
      <c r="O656" s="8">
        <v>1111</v>
      </c>
      <c r="P656" s="24">
        <v>4061</v>
      </c>
      <c r="Q656" s="22">
        <f>IF(COUNTIFS(A$2:A656,A656,I$2:I656,I656)=1,1,0)</f>
        <v>0</v>
      </c>
      <c r="R656" s="22">
        <f t="shared" si="10"/>
        <v>1</v>
      </c>
      <c r="S656" s="33">
        <f>IF(COUNTIF(O$2:O656,O656)=1,R656,0)/2.5</f>
        <v>0.4</v>
      </c>
    </row>
    <row r="657" spans="1:19" ht="18" customHeight="1" x14ac:dyDescent="0.25">
      <c r="A657" s="7" t="s">
        <v>43</v>
      </c>
      <c r="B657" s="8">
        <v>1</v>
      </c>
      <c r="C657" s="9">
        <v>415.9</v>
      </c>
      <c r="D657" s="29">
        <f>C657+IF(INDEX('Справочник по %'!B:B,(MATCH(A657,'Справочник по %'!A:A,0)))="кол-во",B657*INDEX('Справочник по %'!C:C,(MATCH(A657,'Справочник по %'!A:A,0))),ОТЧЕТ!C657*INDEX('Справочник по %'!C:C,(MATCH(A657,'Справочник по %'!A:A,0))))/100</f>
        <v>457.49</v>
      </c>
      <c r="E657" s="29">
        <f>IF(ОТЧЕТ!A657="SKU3",C657+ОТЧЕТ!C657*0.2,C657+ОТЧЕТ!C657*0.15)</f>
        <v>478.28499999999997</v>
      </c>
      <c r="F657" s="7" t="s">
        <v>1634</v>
      </c>
      <c r="G657" s="7">
        <v>1834051861</v>
      </c>
      <c r="H657" s="20" t="s">
        <v>1635</v>
      </c>
      <c r="I657" s="22">
        <f>INDEX('Справочник Сети'!B:B,(MATCH(G657,'Справочник Сети'!C:C,0)))</f>
        <v>0</v>
      </c>
      <c r="J657" s="7" t="s">
        <v>372</v>
      </c>
      <c r="K657" s="7" t="s">
        <v>759</v>
      </c>
      <c r="L657" s="7" t="s">
        <v>335</v>
      </c>
      <c r="M657" s="31">
        <v>45731</v>
      </c>
      <c r="N657" s="7" t="s">
        <v>1636</v>
      </c>
      <c r="O657" s="8">
        <v>2524</v>
      </c>
      <c r="P657" s="24">
        <v>4068</v>
      </c>
      <c r="Q657" s="22">
        <f>IF(COUNTIFS(A$2:A657,A657,I$2:I657,I657)=1,1,0)</f>
        <v>0</v>
      </c>
      <c r="R657" s="22">
        <f t="shared" si="10"/>
        <v>1</v>
      </c>
      <c r="S657" s="33">
        <f>IF(COUNTIF(O$2:O657,O657)=1,R657,0)/2.5</f>
        <v>0.4</v>
      </c>
    </row>
    <row r="658" spans="1:19" ht="18" customHeight="1" x14ac:dyDescent="0.25">
      <c r="A658" s="7" t="s">
        <v>43</v>
      </c>
      <c r="B658" s="8">
        <v>1</v>
      </c>
      <c r="C658" s="9">
        <v>316</v>
      </c>
      <c r="D658" s="29">
        <f>C658+IF(INDEX('Справочник по %'!B:B,(MATCH(A658,'Справочник по %'!A:A,0)))="кол-во",B658*INDEX('Справочник по %'!C:C,(MATCH(A658,'Справочник по %'!A:A,0))),ОТЧЕТ!C658*INDEX('Справочник по %'!C:C,(MATCH(A658,'Справочник по %'!A:A,0))))/100</f>
        <v>347.6</v>
      </c>
      <c r="E658" s="29">
        <f>IF(ОТЧЕТ!A658="SKU3",C658+ОТЧЕТ!C658*0.2,C658+ОТЧЕТ!C658*0.15)</f>
        <v>363.4</v>
      </c>
      <c r="F658" s="7" t="s">
        <v>1634</v>
      </c>
      <c r="G658" s="7">
        <v>5916030161</v>
      </c>
      <c r="H658" s="20" t="s">
        <v>511</v>
      </c>
      <c r="I658" s="22">
        <f>INDEX('Справочник Сети'!B:B,(MATCH(G658,'Справочник Сети'!C:C,0)))</f>
        <v>0</v>
      </c>
      <c r="J658" s="7" t="s">
        <v>520</v>
      </c>
      <c r="K658" s="7" t="s">
        <v>1305</v>
      </c>
      <c r="L658" s="7" t="s">
        <v>520</v>
      </c>
      <c r="M658" s="31">
        <v>45697</v>
      </c>
      <c r="N658" s="7" t="s">
        <v>1637</v>
      </c>
      <c r="O658" s="8">
        <v>401</v>
      </c>
      <c r="P658" s="24">
        <v>4069</v>
      </c>
      <c r="Q658" s="22">
        <f>IF(COUNTIFS(A$2:A658,A658,I$2:I658,I658)=1,1,0)</f>
        <v>0</v>
      </c>
      <c r="R658" s="22">
        <f t="shared" si="10"/>
        <v>1</v>
      </c>
      <c r="S658" s="33">
        <f>IF(COUNTIF(O$2:O658,O658)=1,R658,0)/2.5</f>
        <v>0.4</v>
      </c>
    </row>
    <row r="659" spans="1:19" ht="18" customHeight="1" x14ac:dyDescent="0.25">
      <c r="A659" s="7" t="s">
        <v>43</v>
      </c>
      <c r="B659" s="8">
        <v>1</v>
      </c>
      <c r="C659" s="9">
        <v>386</v>
      </c>
      <c r="D659" s="29">
        <f>C659+IF(INDEX('Справочник по %'!B:B,(MATCH(A659,'Справочник по %'!A:A,0)))="кол-во",B659*INDEX('Справочник по %'!C:C,(MATCH(A659,'Справочник по %'!A:A,0))),ОТЧЕТ!C659*INDEX('Справочник по %'!C:C,(MATCH(A659,'Справочник по %'!A:A,0))))/100</f>
        <v>424.6</v>
      </c>
      <c r="E659" s="29">
        <f>IF(ОТЧЕТ!A659="SKU3",C659+ОТЧЕТ!C659*0.2,C659+ОТЧЕТ!C659*0.15)</f>
        <v>443.9</v>
      </c>
      <c r="F659" s="7" t="s">
        <v>1638</v>
      </c>
      <c r="G659" s="7">
        <v>3801042576</v>
      </c>
      <c r="H659" s="20" t="s">
        <v>64</v>
      </c>
      <c r="I659" s="22" t="str">
        <f>INDEX('Справочник Сети'!B:B,(MATCH(G659,'Справочник Сети'!C:C,0)))</f>
        <v>Планета здоровья</v>
      </c>
      <c r="J659" s="7" t="s">
        <v>65</v>
      </c>
      <c r="K659" s="7" t="s">
        <v>1639</v>
      </c>
      <c r="L659" s="7" t="s">
        <v>65</v>
      </c>
      <c r="M659" s="31">
        <v>45717</v>
      </c>
      <c r="N659" s="7" t="s">
        <v>1640</v>
      </c>
      <c r="O659" s="8">
        <v>2531</v>
      </c>
      <c r="P659" s="24">
        <v>4071</v>
      </c>
      <c r="Q659" s="22">
        <f>IF(COUNTIFS(A$2:A659,A659,I$2:I659,I659)=1,1,0)</f>
        <v>0</v>
      </c>
      <c r="R659" s="22">
        <f t="shared" si="10"/>
        <v>5</v>
      </c>
      <c r="S659" s="33">
        <f>IF(COUNTIF(O$2:O659,O659)=1,R659,0)/2.5</f>
        <v>0</v>
      </c>
    </row>
    <row r="660" spans="1:19" ht="18" customHeight="1" x14ac:dyDescent="0.25">
      <c r="A660" s="7" t="s">
        <v>43</v>
      </c>
      <c r="B660" s="8">
        <v>1</v>
      </c>
      <c r="C660" s="9">
        <v>491</v>
      </c>
      <c r="D660" s="29">
        <f>C660+IF(INDEX('Справочник по %'!B:B,(MATCH(A660,'Справочник по %'!A:A,0)))="кол-во",B660*INDEX('Справочник по %'!C:C,(MATCH(A660,'Справочник по %'!A:A,0))),ОТЧЕТ!C660*INDEX('Справочник по %'!C:C,(MATCH(A660,'Справочник по %'!A:A,0))))/100</f>
        <v>540.1</v>
      </c>
      <c r="E660" s="29">
        <f>IF(ОТЧЕТ!A660="SKU3",C660+ОТЧЕТ!C660*0.2,C660+ОТЧЕТ!C660*0.15)</f>
        <v>564.65</v>
      </c>
      <c r="F660" s="7" t="s">
        <v>1638</v>
      </c>
      <c r="G660" s="7">
        <v>5902058784</v>
      </c>
      <c r="H660" s="20" t="s">
        <v>39</v>
      </c>
      <c r="I660" s="22" t="str">
        <f>INDEX('Справочник Сети'!B:B,(MATCH(G660,'Справочник Сети'!C:C,0)))</f>
        <v>Планета здоровья</v>
      </c>
      <c r="J660" s="7" t="s">
        <v>40</v>
      </c>
      <c r="K660" s="7" t="s">
        <v>330</v>
      </c>
      <c r="L660" s="7" t="s">
        <v>40</v>
      </c>
      <c r="M660" s="31">
        <v>45712</v>
      </c>
      <c r="N660" s="7" t="s">
        <v>1641</v>
      </c>
      <c r="O660" s="8">
        <v>2614</v>
      </c>
      <c r="P660" s="24">
        <v>4073</v>
      </c>
      <c r="Q660" s="22">
        <f>IF(COUNTIFS(A$2:A660,A660,I$2:I660,I660)=1,1,0)</f>
        <v>0</v>
      </c>
      <c r="R660" s="22">
        <f t="shared" si="10"/>
        <v>1</v>
      </c>
      <c r="S660" s="33">
        <f>IF(COUNTIF(O$2:O660,O660)=1,R660,0)/2.5</f>
        <v>0.4</v>
      </c>
    </row>
    <row r="661" spans="1:19" ht="18" customHeight="1" x14ac:dyDescent="0.25">
      <c r="A661" s="7" t="s">
        <v>43</v>
      </c>
      <c r="B661" s="8">
        <v>1</v>
      </c>
      <c r="C661" s="9">
        <v>374</v>
      </c>
      <c r="D661" s="29">
        <f>C661+IF(INDEX('Справочник по %'!B:B,(MATCH(A661,'Справочник по %'!A:A,0)))="кол-во",B661*INDEX('Справочник по %'!C:C,(MATCH(A661,'Справочник по %'!A:A,0))),ОТЧЕТ!C661*INDEX('Справочник по %'!C:C,(MATCH(A661,'Справочник по %'!A:A,0))))/100</f>
        <v>411.4</v>
      </c>
      <c r="E661" s="29">
        <f>IF(ОТЧЕТ!A661="SKU3",C661+ОТЧЕТ!C661*0.2,C661+ОТЧЕТ!C661*0.15)</f>
        <v>430.1</v>
      </c>
      <c r="F661" s="7" t="s">
        <v>1638</v>
      </c>
      <c r="G661" s="7">
        <v>7706795062</v>
      </c>
      <c r="H661" s="20" t="s">
        <v>99</v>
      </c>
      <c r="I661" s="22" t="str">
        <f>INDEX('Справочник Сети'!B:B,(MATCH(G661,'Справочник Сети'!C:C,0)))</f>
        <v>Планета здоровья</v>
      </c>
      <c r="J661" s="7" t="s">
        <v>87</v>
      </c>
      <c r="K661" s="7" t="s">
        <v>1642</v>
      </c>
      <c r="L661" s="7" t="s">
        <v>87</v>
      </c>
      <c r="M661" s="31">
        <v>45691</v>
      </c>
      <c r="N661" s="7" t="s">
        <v>1643</v>
      </c>
      <c r="O661" s="8">
        <v>3604</v>
      </c>
      <c r="P661" s="24">
        <v>4074</v>
      </c>
      <c r="Q661" s="22">
        <f>IF(COUNTIFS(A$2:A661,A661,I$2:I661,I661)=1,1,0)</f>
        <v>0</v>
      </c>
      <c r="R661" s="22">
        <f t="shared" si="10"/>
        <v>3</v>
      </c>
      <c r="S661" s="33">
        <f>IF(COUNTIF(O$2:O661,O661)=1,R661,0)/2.5</f>
        <v>0</v>
      </c>
    </row>
    <row r="662" spans="1:19" ht="18" customHeight="1" x14ac:dyDescent="0.25">
      <c r="A662" s="7" t="s">
        <v>43</v>
      </c>
      <c r="B662" s="8">
        <v>1</v>
      </c>
      <c r="C662" s="9">
        <v>500</v>
      </c>
      <c r="D662" s="29">
        <f>C662+IF(INDEX('Справочник по %'!B:B,(MATCH(A662,'Справочник по %'!A:A,0)))="кол-во",B662*INDEX('Справочник по %'!C:C,(MATCH(A662,'Справочник по %'!A:A,0))),ОТЧЕТ!C662*INDEX('Справочник по %'!C:C,(MATCH(A662,'Справочник по %'!A:A,0))))/100</f>
        <v>550</v>
      </c>
      <c r="E662" s="29">
        <f>IF(ОТЧЕТ!A662="SKU3",C662+ОТЧЕТ!C662*0.2,C662+ОТЧЕТ!C662*0.15)</f>
        <v>575</v>
      </c>
      <c r="F662" s="7" t="s">
        <v>1644</v>
      </c>
      <c r="G662" s="7">
        <v>4725000407</v>
      </c>
      <c r="H662" s="20" t="s">
        <v>1645</v>
      </c>
      <c r="I662" s="22">
        <f>INDEX('Справочник Сети'!B:B,(MATCH(G662,'Справочник Сети'!C:C,0)))</f>
        <v>0</v>
      </c>
      <c r="J662" s="7" t="s">
        <v>83</v>
      </c>
      <c r="K662" s="7" t="s">
        <v>770</v>
      </c>
      <c r="L662" s="7" t="s">
        <v>83</v>
      </c>
      <c r="M662" s="31">
        <v>45715</v>
      </c>
      <c r="N662" s="7" t="s">
        <v>1646</v>
      </c>
      <c r="O662" s="8">
        <v>1117</v>
      </c>
      <c r="P662" s="24">
        <v>4077</v>
      </c>
      <c r="Q662" s="22">
        <f>IF(COUNTIFS(A$2:A662,A662,I$2:I662,I662)=1,1,0)</f>
        <v>0</v>
      </c>
      <c r="R662" s="22">
        <f t="shared" si="10"/>
        <v>1</v>
      </c>
      <c r="S662" s="33">
        <f>IF(COUNTIF(O$2:O662,O662)=1,R662,0)/2.5</f>
        <v>0.4</v>
      </c>
    </row>
    <row r="663" spans="1:19" ht="18" customHeight="1" x14ac:dyDescent="0.25">
      <c r="A663" s="7" t="s">
        <v>43</v>
      </c>
      <c r="B663" s="8">
        <v>1</v>
      </c>
      <c r="C663" s="9">
        <v>454</v>
      </c>
      <c r="D663" s="29">
        <f>C663+IF(INDEX('Справочник по %'!B:B,(MATCH(A663,'Справочник по %'!A:A,0)))="кол-во",B663*INDEX('Справочник по %'!C:C,(MATCH(A663,'Справочник по %'!A:A,0))),ОТЧЕТ!C663*INDEX('Справочник по %'!C:C,(MATCH(A663,'Справочник по %'!A:A,0))))/100</f>
        <v>499.4</v>
      </c>
      <c r="E663" s="29">
        <f>IF(ОТЧЕТ!A663="SKU3",C663+ОТЧЕТ!C663*0.2,C663+ОТЧЕТ!C663*0.15)</f>
        <v>522.1</v>
      </c>
      <c r="F663" s="7" t="s">
        <v>1644</v>
      </c>
      <c r="G663" s="7">
        <v>7706795062</v>
      </c>
      <c r="H663" s="20" t="s">
        <v>1647</v>
      </c>
      <c r="I663" s="22" t="str">
        <f>INDEX('Справочник Сети'!B:B,(MATCH(G663,'Справочник Сети'!C:C,0)))</f>
        <v>Планета здоровья</v>
      </c>
      <c r="J663" s="7" t="s">
        <v>87</v>
      </c>
      <c r="K663" s="7" t="s">
        <v>770</v>
      </c>
      <c r="L663" s="7" t="s">
        <v>87</v>
      </c>
      <c r="M663" s="31">
        <v>45691</v>
      </c>
      <c r="N663" s="7" t="s">
        <v>1648</v>
      </c>
      <c r="O663" s="8">
        <v>2565</v>
      </c>
      <c r="P663" s="24">
        <v>4078</v>
      </c>
      <c r="Q663" s="22">
        <f>IF(COUNTIFS(A$2:A663,A663,I$2:I663,I663)=1,1,0)</f>
        <v>0</v>
      </c>
      <c r="R663" s="22">
        <f t="shared" si="10"/>
        <v>1</v>
      </c>
      <c r="S663" s="33">
        <f>IF(COUNTIF(O$2:O663,O663)=1,R663,0)/2.5</f>
        <v>0.4</v>
      </c>
    </row>
    <row r="664" spans="1:19" ht="18" customHeight="1" x14ac:dyDescent="0.25">
      <c r="A664" s="7" t="s">
        <v>43</v>
      </c>
      <c r="B664" s="8">
        <v>1</v>
      </c>
      <c r="C664" s="9">
        <v>407.31</v>
      </c>
      <c r="D664" s="29">
        <f>C664+IF(INDEX('Справочник по %'!B:B,(MATCH(A664,'Справочник по %'!A:A,0)))="кол-во",B664*INDEX('Справочник по %'!C:C,(MATCH(A664,'Справочник по %'!A:A,0))),ОТЧЕТ!C664*INDEX('Справочник по %'!C:C,(MATCH(A664,'Справочник по %'!A:A,0))))/100</f>
        <v>448.041</v>
      </c>
      <c r="E664" s="29">
        <f>IF(ОТЧЕТ!A664="SKU3",C664+ОТЧЕТ!C664*0.2,C664+ОТЧЕТ!C664*0.15)</f>
        <v>468.40649999999999</v>
      </c>
      <c r="F664" s="7" t="s">
        <v>1644</v>
      </c>
      <c r="G664" s="7">
        <v>5751039272</v>
      </c>
      <c r="H664" s="20" t="s">
        <v>91</v>
      </c>
      <c r="I664" s="22" t="str">
        <f>INDEX('Справочник Сети'!B:B,(MATCH(G664,'Справочник Сети'!C:C,0)))</f>
        <v>Столички</v>
      </c>
      <c r="J664" s="7" t="s">
        <v>40</v>
      </c>
      <c r="K664" s="7" t="s">
        <v>550</v>
      </c>
      <c r="L664" s="7" t="s">
        <v>255</v>
      </c>
      <c r="M664" s="31">
        <v>45713</v>
      </c>
      <c r="N664" s="7" t="s">
        <v>1649</v>
      </c>
      <c r="O664" s="8">
        <v>2291</v>
      </c>
      <c r="P664" s="24">
        <v>4079</v>
      </c>
      <c r="Q664" s="22">
        <f>IF(COUNTIFS(A$2:A664,A664,I$2:I664,I664)=1,1,0)</f>
        <v>0</v>
      </c>
      <c r="R664" s="22">
        <f t="shared" si="10"/>
        <v>1</v>
      </c>
      <c r="S664" s="33">
        <f>IF(COUNTIF(O$2:O664,O664)=1,R664,0)/2.5</f>
        <v>0.4</v>
      </c>
    </row>
    <row r="665" spans="1:19" ht="18" customHeight="1" x14ac:dyDescent="0.25">
      <c r="A665" s="7" t="s">
        <v>43</v>
      </c>
      <c r="B665" s="8">
        <v>1</v>
      </c>
      <c r="C665" s="9">
        <v>422.55</v>
      </c>
      <c r="D665" s="29">
        <f>C665+IF(INDEX('Справочник по %'!B:B,(MATCH(A665,'Справочник по %'!A:A,0)))="кол-во",B665*INDEX('Справочник по %'!C:C,(MATCH(A665,'Справочник по %'!A:A,0))),ОТЧЕТ!C665*INDEX('Справочник по %'!C:C,(MATCH(A665,'Справочник по %'!A:A,0))))/100</f>
        <v>464.80500000000001</v>
      </c>
      <c r="E665" s="29">
        <f>IF(ОТЧЕТ!A665="SKU3",C665+ОТЧЕТ!C665*0.2,C665+ОТЧЕТ!C665*0.15)</f>
        <v>485.9325</v>
      </c>
      <c r="F665" s="7" t="s">
        <v>1650</v>
      </c>
      <c r="G665" s="7">
        <v>235100187194</v>
      </c>
      <c r="H665" s="20" t="s">
        <v>91</v>
      </c>
      <c r="I665" s="22" t="str">
        <f>INDEX('Справочник Сети'!B:B,(MATCH(G665,'Справочник Сети'!C:C,0)))</f>
        <v>Нео-фарм</v>
      </c>
      <c r="J665" s="7" t="s">
        <v>74</v>
      </c>
      <c r="K665" s="7" t="s">
        <v>969</v>
      </c>
      <c r="L665" s="7" t="s">
        <v>74</v>
      </c>
      <c r="M665" s="31">
        <v>45661</v>
      </c>
      <c r="N665" s="7" t="s">
        <v>1651</v>
      </c>
      <c r="O665" s="8">
        <v>1092</v>
      </c>
      <c r="P665" s="24">
        <v>4082</v>
      </c>
      <c r="Q665" s="22">
        <f>IF(COUNTIFS(A$2:A665,A665,I$2:I665,I665)=1,1,0)</f>
        <v>0</v>
      </c>
      <c r="R665" s="22">
        <f t="shared" si="10"/>
        <v>5</v>
      </c>
      <c r="S665" s="33">
        <f>IF(COUNTIF(O$2:O665,O665)=1,R665,0)/2.5</f>
        <v>0</v>
      </c>
    </row>
    <row r="666" spans="1:19" ht="18" customHeight="1" x14ac:dyDescent="0.25">
      <c r="A666" s="7" t="s">
        <v>43</v>
      </c>
      <c r="B666" s="8">
        <v>1</v>
      </c>
      <c r="C666" s="9">
        <v>449.89</v>
      </c>
      <c r="D666" s="29">
        <f>C666+IF(INDEX('Справочник по %'!B:B,(MATCH(A666,'Справочник по %'!A:A,0)))="кол-во",B666*INDEX('Справочник по %'!C:C,(MATCH(A666,'Справочник по %'!A:A,0))),ОТЧЕТ!C666*INDEX('Справочник по %'!C:C,(MATCH(A666,'Справочник по %'!A:A,0))))/100</f>
        <v>494.87899999999996</v>
      </c>
      <c r="E666" s="29">
        <f>IF(ОТЧЕТ!A666="SKU3",C666+ОТЧЕТ!C666*0.2,C666+ОТЧЕТ!C666*0.15)</f>
        <v>517.37349999999992</v>
      </c>
      <c r="F666" s="7" t="s">
        <v>1652</v>
      </c>
      <c r="G666" s="7">
        <v>6800011891</v>
      </c>
      <c r="H666" s="20" t="s">
        <v>50</v>
      </c>
      <c r="I666" s="22">
        <f>INDEX('Справочник Сети'!B:B,(MATCH(G666,'Справочник Сети'!C:C,0)))</f>
        <v>0</v>
      </c>
      <c r="J666" s="7" t="s">
        <v>106</v>
      </c>
      <c r="K666" s="7" t="s">
        <v>308</v>
      </c>
      <c r="L666" s="7" t="s">
        <v>106</v>
      </c>
      <c r="M666" s="31">
        <v>45694</v>
      </c>
      <c r="N666" s="7" t="s">
        <v>1653</v>
      </c>
      <c r="O666" s="8">
        <v>2069</v>
      </c>
      <c r="P666" s="24">
        <v>4084</v>
      </c>
      <c r="Q666" s="22">
        <f>IF(COUNTIFS(A$2:A666,A666,I$2:I666,I666)=1,1,0)</f>
        <v>0</v>
      </c>
      <c r="R666" s="22">
        <f t="shared" si="10"/>
        <v>1</v>
      </c>
      <c r="S666" s="33">
        <f>IF(COUNTIF(O$2:O666,O666)=1,R666,0)/2.5</f>
        <v>0.4</v>
      </c>
    </row>
    <row r="667" spans="1:19" ht="18" customHeight="1" x14ac:dyDescent="0.25">
      <c r="A667" s="7" t="s">
        <v>37</v>
      </c>
      <c r="B667" s="8">
        <v>1</v>
      </c>
      <c r="C667" s="9">
        <v>589.9</v>
      </c>
      <c r="D667" s="29">
        <f>C667+IF(INDEX('Справочник по %'!B:B,(MATCH(A667,'Справочник по %'!A:A,0)))="кол-во",B667*INDEX('Справочник по %'!C:C,(MATCH(A667,'Справочник по %'!A:A,0))),ОТЧЕТ!C667*INDEX('Справочник по %'!C:C,(MATCH(A667,'Справочник по %'!A:A,0))))/100</f>
        <v>590.1</v>
      </c>
      <c r="E667" s="29">
        <f>IF(ОТЧЕТ!A667="SKU3",C667+ОТЧЕТ!C667*0.2,C667+ОТЧЕТ!C667*0.15)</f>
        <v>678.38499999999999</v>
      </c>
      <c r="F667" s="7" t="s">
        <v>1654</v>
      </c>
      <c r="G667" s="7">
        <v>7204146152</v>
      </c>
      <c r="H667" s="20" t="s">
        <v>1655</v>
      </c>
      <c r="I667" s="22" t="str">
        <f>INDEX('Справочник Сети'!B:B,(MATCH(G667,'Справочник Сети'!C:C,0)))</f>
        <v>36,6</v>
      </c>
      <c r="J667" s="7" t="s">
        <v>104</v>
      </c>
      <c r="K667" s="7" t="s">
        <v>1299</v>
      </c>
      <c r="L667" s="7" t="s">
        <v>106</v>
      </c>
      <c r="M667" s="31">
        <v>45694</v>
      </c>
      <c r="N667" s="7" t="s">
        <v>1656</v>
      </c>
      <c r="O667" s="8">
        <v>871</v>
      </c>
      <c r="P667" s="24">
        <v>4087</v>
      </c>
      <c r="Q667" s="22">
        <f>IF(COUNTIFS(A$2:A667,A667,I$2:I667,I667)=1,1,0)</f>
        <v>0</v>
      </c>
      <c r="R667" s="22">
        <f t="shared" si="10"/>
        <v>4</v>
      </c>
      <c r="S667" s="33">
        <f>IF(COUNTIF(O$2:O667,O667)=1,R667,0)/2.5</f>
        <v>1.6</v>
      </c>
    </row>
    <row r="668" spans="1:19" ht="18" customHeight="1" x14ac:dyDescent="0.25">
      <c r="A668" s="7" t="s">
        <v>37</v>
      </c>
      <c r="B668" s="8">
        <v>1</v>
      </c>
      <c r="C668" s="9">
        <v>697</v>
      </c>
      <c r="D668" s="29">
        <f>C668+IF(INDEX('Справочник по %'!B:B,(MATCH(A668,'Справочник по %'!A:A,0)))="кол-во",B668*INDEX('Справочник по %'!C:C,(MATCH(A668,'Справочник по %'!A:A,0))),ОТЧЕТ!C668*INDEX('Справочник по %'!C:C,(MATCH(A668,'Справочник по %'!A:A,0))))/100</f>
        <v>697.2</v>
      </c>
      <c r="E668" s="29">
        <f>IF(ОТЧЕТ!A668="SKU3",C668+ОТЧЕТ!C668*0.2,C668+ОТЧЕТ!C668*0.15)</f>
        <v>801.55</v>
      </c>
      <c r="F668" s="7" t="s">
        <v>1654</v>
      </c>
      <c r="G668" s="7">
        <v>4702057044</v>
      </c>
      <c r="H668" s="20" t="s">
        <v>50</v>
      </c>
      <c r="I668" s="22" t="str">
        <f>INDEX('Справочник Сети'!B:B,(MATCH(G668,'Справочник Сети'!C:C,0)))</f>
        <v>Ригла</v>
      </c>
      <c r="J668" s="7" t="s">
        <v>83</v>
      </c>
      <c r="K668" s="7" t="s">
        <v>1657</v>
      </c>
      <c r="L668" s="7" t="s">
        <v>83</v>
      </c>
      <c r="M668" s="31">
        <v>45715</v>
      </c>
      <c r="N668" s="7" t="s">
        <v>1658</v>
      </c>
      <c r="O668" s="8">
        <v>2988</v>
      </c>
      <c r="P668" s="24">
        <v>4088</v>
      </c>
      <c r="Q668" s="22">
        <f>IF(COUNTIFS(A$2:A668,A668,I$2:I668,I668)=1,1,0)</f>
        <v>0</v>
      </c>
      <c r="R668" s="22">
        <f t="shared" si="10"/>
        <v>4</v>
      </c>
      <c r="S668" s="33">
        <f>IF(COUNTIF(O$2:O668,O668)=1,R668,0)/2.5</f>
        <v>1.6</v>
      </c>
    </row>
    <row r="669" spans="1:19" ht="18" customHeight="1" x14ac:dyDescent="0.25">
      <c r="A669" s="7" t="s">
        <v>37</v>
      </c>
      <c r="B669" s="8">
        <v>1</v>
      </c>
      <c r="C669" s="9">
        <v>697</v>
      </c>
      <c r="D669" s="29">
        <f>C669+IF(INDEX('Справочник по %'!B:B,(MATCH(A669,'Справочник по %'!A:A,0)))="кол-во",B669*INDEX('Справочник по %'!C:C,(MATCH(A669,'Справочник по %'!A:A,0))),ОТЧЕТ!C669*INDEX('Справочник по %'!C:C,(MATCH(A669,'Справочник по %'!A:A,0))))/100</f>
        <v>697.2</v>
      </c>
      <c r="E669" s="29">
        <f>IF(ОТЧЕТ!A669="SKU3",C669+ОТЧЕТ!C669*0.2,C669+ОТЧЕТ!C669*0.15)</f>
        <v>801.55</v>
      </c>
      <c r="F669" s="7" t="s">
        <v>1654</v>
      </c>
      <c r="G669" s="7">
        <v>4702057044</v>
      </c>
      <c r="H669" s="20" t="s">
        <v>50</v>
      </c>
      <c r="I669" s="22" t="str">
        <f>INDEX('Справочник Сети'!B:B,(MATCH(G669,'Справочник Сети'!C:C,0)))</f>
        <v>Ригла</v>
      </c>
      <c r="J669" s="7" t="s">
        <v>83</v>
      </c>
      <c r="K669" s="7" t="s">
        <v>1657</v>
      </c>
      <c r="L669" s="7" t="s">
        <v>83</v>
      </c>
      <c r="M669" s="31">
        <v>45715</v>
      </c>
      <c r="N669" s="7" t="s">
        <v>1658</v>
      </c>
      <c r="O669" s="8">
        <v>2988</v>
      </c>
      <c r="P669" s="24">
        <v>4088</v>
      </c>
      <c r="Q669" s="22">
        <f>IF(COUNTIFS(A$2:A669,A669,I$2:I669,I669)=1,1,0)</f>
        <v>0</v>
      </c>
      <c r="R669" s="22">
        <f t="shared" si="10"/>
        <v>4</v>
      </c>
      <c r="S669" s="33">
        <f>IF(COUNTIF(O$2:O669,O669)=1,R669,0)/2.5</f>
        <v>0</v>
      </c>
    </row>
    <row r="670" spans="1:19" ht="18" customHeight="1" x14ac:dyDescent="0.25">
      <c r="A670" s="7" t="s">
        <v>43</v>
      </c>
      <c r="B670" s="8">
        <v>1</v>
      </c>
      <c r="C670" s="9">
        <v>510</v>
      </c>
      <c r="D670" s="29">
        <f>C670+IF(INDEX('Справочник по %'!B:B,(MATCH(A670,'Справочник по %'!A:A,0)))="кол-во",B670*INDEX('Справочник по %'!C:C,(MATCH(A670,'Справочник по %'!A:A,0))),ОТЧЕТ!C670*INDEX('Справочник по %'!C:C,(MATCH(A670,'Справочник по %'!A:A,0))))/100</f>
        <v>561</v>
      </c>
      <c r="E670" s="29">
        <f>IF(ОТЧЕТ!A670="SKU3",C670+ОТЧЕТ!C670*0.2,C670+ОТЧЕТ!C670*0.15)</f>
        <v>586.5</v>
      </c>
      <c r="F670" s="7" t="s">
        <v>1654</v>
      </c>
      <c r="G670" s="7">
        <v>7802611649</v>
      </c>
      <c r="H670" s="20" t="s">
        <v>1659</v>
      </c>
      <c r="I670" s="22" t="str">
        <f>INDEX('Справочник Сети'!B:B,(MATCH(G670,'Справочник Сети'!C:C,0)))</f>
        <v>Планета здоровья</v>
      </c>
      <c r="J670" s="7" t="s">
        <v>353</v>
      </c>
      <c r="K670" s="7" t="s">
        <v>379</v>
      </c>
      <c r="L670" s="7" t="s">
        <v>353</v>
      </c>
      <c r="M670" s="31">
        <v>45672</v>
      </c>
      <c r="N670" s="7" t="s">
        <v>1660</v>
      </c>
      <c r="O670" s="8">
        <v>1824</v>
      </c>
      <c r="P670" s="24">
        <v>4089</v>
      </c>
      <c r="Q670" s="22">
        <f>IF(COUNTIFS(A$2:A670,A670,I$2:I670,I670)=1,1,0)</f>
        <v>0</v>
      </c>
      <c r="R670" s="22">
        <f t="shared" si="10"/>
        <v>1</v>
      </c>
      <c r="S670" s="33">
        <f>IF(COUNTIF(O$2:O670,O670)=1,R670,0)/2.5</f>
        <v>0.4</v>
      </c>
    </row>
    <row r="671" spans="1:19" ht="18" customHeight="1" x14ac:dyDescent="0.25">
      <c r="A671" s="7" t="s">
        <v>43</v>
      </c>
      <c r="B671" s="8">
        <v>1</v>
      </c>
      <c r="C671" s="9">
        <v>382</v>
      </c>
      <c r="D671" s="29">
        <f>C671+IF(INDEX('Справочник по %'!B:B,(MATCH(A671,'Справочник по %'!A:A,0)))="кол-во",B671*INDEX('Справочник по %'!C:C,(MATCH(A671,'Справочник по %'!A:A,0))),ОТЧЕТ!C671*INDEX('Справочник по %'!C:C,(MATCH(A671,'Справочник по %'!A:A,0))))/100</f>
        <v>420.2</v>
      </c>
      <c r="E671" s="29">
        <f>IF(ОТЧЕТ!A671="SKU3",C671+ОТЧЕТ!C671*0.2,C671+ОТЧЕТ!C671*0.15)</f>
        <v>439.3</v>
      </c>
      <c r="F671" s="7" t="s">
        <v>1654</v>
      </c>
      <c r="G671" s="7">
        <v>7706795062</v>
      </c>
      <c r="H671" s="20" t="s">
        <v>327</v>
      </c>
      <c r="I671" s="22" t="str">
        <f>INDEX('Справочник Сети'!B:B,(MATCH(G671,'Справочник Сети'!C:C,0)))</f>
        <v>Планета здоровья</v>
      </c>
      <c r="J671" s="7" t="s">
        <v>87</v>
      </c>
      <c r="K671" s="7" t="s">
        <v>162</v>
      </c>
      <c r="L671" s="7" t="s">
        <v>87</v>
      </c>
      <c r="M671" s="31">
        <v>45691</v>
      </c>
      <c r="N671" s="7" t="s">
        <v>1661</v>
      </c>
      <c r="O671" s="8">
        <v>1689</v>
      </c>
      <c r="P671" s="24">
        <v>4091</v>
      </c>
      <c r="Q671" s="22">
        <f>IF(COUNTIFS(A$2:A671,A671,I$2:I671,I671)=1,1,0)</f>
        <v>0</v>
      </c>
      <c r="R671" s="22">
        <f t="shared" si="10"/>
        <v>6</v>
      </c>
      <c r="S671" s="33">
        <f>IF(COUNTIF(O$2:O671,O671)=1,R671,0)/2.5</f>
        <v>0</v>
      </c>
    </row>
    <row r="672" spans="1:19" ht="18" customHeight="1" x14ac:dyDescent="0.25">
      <c r="A672" s="7" t="s">
        <v>43</v>
      </c>
      <c r="B672" s="8">
        <v>1</v>
      </c>
      <c r="C672" s="9">
        <v>580</v>
      </c>
      <c r="D672" s="29">
        <f>C672+IF(INDEX('Справочник по %'!B:B,(MATCH(A672,'Справочник по %'!A:A,0)))="кол-во",B672*INDEX('Справочник по %'!C:C,(MATCH(A672,'Справочник по %'!A:A,0))),ОТЧЕТ!C672*INDEX('Справочник по %'!C:C,(MATCH(A672,'Справочник по %'!A:A,0))))/100</f>
        <v>638</v>
      </c>
      <c r="E672" s="29">
        <f>IF(ОТЧЕТ!A672="SKU3",C672+ОТЧЕТ!C672*0.2,C672+ОТЧЕТ!C672*0.15)</f>
        <v>667</v>
      </c>
      <c r="F672" s="7" t="s">
        <v>1654</v>
      </c>
      <c r="G672" s="7">
        <v>2801240230</v>
      </c>
      <c r="H672" s="20" t="s">
        <v>50</v>
      </c>
      <c r="I672" s="22">
        <f>INDEX('Справочник Сети'!B:B,(MATCH(G672,'Справочник Сети'!C:C,0)))</f>
        <v>0</v>
      </c>
      <c r="J672" s="7" t="s">
        <v>193</v>
      </c>
      <c r="K672" s="7" t="s">
        <v>1662</v>
      </c>
      <c r="L672" s="7" t="s">
        <v>193</v>
      </c>
      <c r="M672" s="31">
        <v>45718</v>
      </c>
      <c r="N672" s="7" t="s">
        <v>1663</v>
      </c>
      <c r="O672" s="8">
        <v>537</v>
      </c>
      <c r="P672" s="24">
        <v>4093</v>
      </c>
      <c r="Q672" s="22">
        <f>IF(COUNTIFS(A$2:A672,A672,I$2:I672,I672)=1,1,0)</f>
        <v>0</v>
      </c>
      <c r="R672" s="22">
        <f t="shared" si="10"/>
        <v>1</v>
      </c>
      <c r="S672" s="33">
        <f>IF(COUNTIF(O$2:O672,O672)=1,R672,0)/2.5</f>
        <v>0.4</v>
      </c>
    </row>
    <row r="673" spans="1:19" ht="18" customHeight="1" x14ac:dyDescent="0.25">
      <c r="A673" s="7" t="s">
        <v>43</v>
      </c>
      <c r="B673" s="8">
        <v>1</v>
      </c>
      <c r="C673" s="9">
        <v>365</v>
      </c>
      <c r="D673" s="29">
        <f>C673+IF(INDEX('Справочник по %'!B:B,(MATCH(A673,'Справочник по %'!A:A,0)))="кол-во",B673*INDEX('Справочник по %'!C:C,(MATCH(A673,'Справочник по %'!A:A,0))),ОТЧЕТ!C673*INDEX('Справочник по %'!C:C,(MATCH(A673,'Справочник по %'!A:A,0))))/100</f>
        <v>401.5</v>
      </c>
      <c r="E673" s="29">
        <f>IF(ОТЧЕТ!A673="SKU3",C673+ОТЧЕТ!C673*0.2,C673+ОТЧЕТ!C673*0.15)</f>
        <v>419.75</v>
      </c>
      <c r="F673" s="7" t="s">
        <v>1654</v>
      </c>
      <c r="G673" s="7">
        <v>7726551610</v>
      </c>
      <c r="H673" s="20" t="s">
        <v>50</v>
      </c>
      <c r="I673" s="22" t="str">
        <f>INDEX('Справочник Сети'!B:B,(MATCH(G673,'Справочник Сети'!C:C,0)))</f>
        <v>Столички</v>
      </c>
      <c r="J673" s="7" t="s">
        <v>142</v>
      </c>
      <c r="K673" s="7" t="s">
        <v>1010</v>
      </c>
      <c r="L673" s="7" t="s">
        <v>185</v>
      </c>
      <c r="M673" s="31">
        <v>45675</v>
      </c>
      <c r="N673" s="7" t="s">
        <v>1664</v>
      </c>
      <c r="O673" s="8">
        <v>3310</v>
      </c>
      <c r="P673" s="24">
        <v>4095</v>
      </c>
      <c r="Q673" s="22">
        <f>IF(COUNTIFS(A$2:A673,A673,I$2:I673,I673)=1,1,0)</f>
        <v>0</v>
      </c>
      <c r="R673" s="22">
        <f t="shared" si="10"/>
        <v>3</v>
      </c>
      <c r="S673" s="33">
        <f>IF(COUNTIF(O$2:O673,O673)=1,R673,0)/2.5</f>
        <v>1.2</v>
      </c>
    </row>
    <row r="674" spans="1:19" ht="18" customHeight="1" x14ac:dyDescent="0.25">
      <c r="A674" s="7" t="s">
        <v>43</v>
      </c>
      <c r="B674" s="8">
        <v>1</v>
      </c>
      <c r="C674" s="9">
        <v>427.5</v>
      </c>
      <c r="D674" s="29">
        <f>C674+IF(INDEX('Справочник по %'!B:B,(MATCH(A674,'Справочник по %'!A:A,0)))="кол-во",B674*INDEX('Справочник по %'!C:C,(MATCH(A674,'Справочник по %'!A:A,0))),ОТЧЕТ!C674*INDEX('Справочник по %'!C:C,(MATCH(A674,'Справочник по %'!A:A,0))))/100</f>
        <v>470.25</v>
      </c>
      <c r="E674" s="29">
        <f>IF(ОТЧЕТ!A674="SKU3",C674+ОТЧЕТ!C674*0.2,C674+ОТЧЕТ!C674*0.15)</f>
        <v>491.625</v>
      </c>
      <c r="F674" s="7" t="s">
        <v>1654</v>
      </c>
      <c r="G674" s="7">
        <v>910900095729</v>
      </c>
      <c r="H674" s="20" t="s">
        <v>1046</v>
      </c>
      <c r="I674" s="22">
        <f>INDEX('Справочник Сети'!B:B,(MATCH(G674,'Справочник Сети'!C:C,0)))</f>
        <v>0</v>
      </c>
      <c r="J674" s="7" t="s">
        <v>322</v>
      </c>
      <c r="K674" s="7" t="s">
        <v>1665</v>
      </c>
      <c r="L674" s="7" t="s">
        <v>322</v>
      </c>
      <c r="M674" s="31">
        <v>45658</v>
      </c>
      <c r="N674" s="7" t="s">
        <v>1666</v>
      </c>
      <c r="O674" s="8">
        <v>3127</v>
      </c>
      <c r="P674" s="24">
        <v>4101</v>
      </c>
      <c r="Q674" s="22">
        <f>IF(COUNTIFS(A$2:A674,A674,I$2:I674,I674)=1,1,0)</f>
        <v>0</v>
      </c>
      <c r="R674" s="22">
        <f t="shared" si="10"/>
        <v>4</v>
      </c>
      <c r="S674" s="33">
        <f>IF(COUNTIF(O$2:O674,O674)=1,R674,0)/2.5</f>
        <v>1.6</v>
      </c>
    </row>
    <row r="675" spans="1:19" ht="18" customHeight="1" x14ac:dyDescent="0.25">
      <c r="A675" s="7" t="s">
        <v>37</v>
      </c>
      <c r="B675" s="8">
        <v>1</v>
      </c>
      <c r="C675" s="9">
        <v>702</v>
      </c>
      <c r="D675" s="29">
        <f>C675+IF(INDEX('Справочник по %'!B:B,(MATCH(A675,'Справочник по %'!A:A,0)))="кол-во",B675*INDEX('Справочник по %'!C:C,(MATCH(A675,'Справочник по %'!A:A,0))),ОТЧЕТ!C675*INDEX('Справочник по %'!C:C,(MATCH(A675,'Справочник по %'!A:A,0))))/100</f>
        <v>702.2</v>
      </c>
      <c r="E675" s="29">
        <f>IF(ОТЧЕТ!A675="SKU3",C675+ОТЧЕТ!C675*0.2,C675+ОТЧЕТ!C675*0.15)</f>
        <v>807.3</v>
      </c>
      <c r="F675" s="7" t="s">
        <v>1654</v>
      </c>
      <c r="G675" s="7">
        <v>7726551610</v>
      </c>
      <c r="H675" s="20" t="s">
        <v>50</v>
      </c>
      <c r="I675" s="22" t="str">
        <f>INDEX('Справочник Сети'!B:B,(MATCH(G675,'Справочник Сети'!C:C,0)))</f>
        <v>Столички</v>
      </c>
      <c r="J675" s="7" t="s">
        <v>142</v>
      </c>
      <c r="K675" s="7" t="s">
        <v>642</v>
      </c>
      <c r="L675" s="7" t="s">
        <v>185</v>
      </c>
      <c r="M675" s="31">
        <v>45675</v>
      </c>
      <c r="N675" s="7" t="s">
        <v>1667</v>
      </c>
      <c r="O675" s="8">
        <v>3310</v>
      </c>
      <c r="P675" s="24">
        <v>4102</v>
      </c>
      <c r="Q675" s="22">
        <f>IF(COUNTIFS(A$2:A675,A675,I$2:I675,I675)=1,1,0)</f>
        <v>0</v>
      </c>
      <c r="R675" s="22">
        <f t="shared" si="10"/>
        <v>3</v>
      </c>
      <c r="S675" s="33">
        <f>IF(COUNTIF(O$2:O675,O675)=1,R675,0)/2.5</f>
        <v>0</v>
      </c>
    </row>
    <row r="676" spans="1:19" ht="18" customHeight="1" x14ac:dyDescent="0.25">
      <c r="A676" s="7" t="s">
        <v>43</v>
      </c>
      <c r="B676" s="8">
        <v>1</v>
      </c>
      <c r="C676" s="9">
        <v>454.9</v>
      </c>
      <c r="D676" s="29">
        <f>C676+IF(INDEX('Справочник по %'!B:B,(MATCH(A676,'Справочник по %'!A:A,0)))="кол-во",B676*INDEX('Справочник по %'!C:C,(MATCH(A676,'Справочник по %'!A:A,0))),ОТЧЕТ!C676*INDEX('Справочник по %'!C:C,(MATCH(A676,'Справочник по %'!A:A,0))))/100</f>
        <v>500.39</v>
      </c>
      <c r="E676" s="29">
        <f>IF(ОТЧЕТ!A676="SKU3",C676+ОТЧЕТ!C676*0.2,C676+ОТЧЕТ!C676*0.15)</f>
        <v>523.13499999999999</v>
      </c>
      <c r="F676" s="7" t="s">
        <v>1654</v>
      </c>
      <c r="G676" s="7">
        <v>390768010380</v>
      </c>
      <c r="H676" s="20" t="s">
        <v>1668</v>
      </c>
      <c r="I676" s="22">
        <f>INDEX('Справочник Сети'!B:B,(MATCH(G676,'Справочник Сети'!C:C,0)))</f>
        <v>0</v>
      </c>
      <c r="J676" s="7" t="s">
        <v>110</v>
      </c>
      <c r="K676" s="7" t="s">
        <v>1669</v>
      </c>
      <c r="L676" s="7" t="s">
        <v>110</v>
      </c>
      <c r="M676" s="31">
        <v>45660</v>
      </c>
      <c r="N676" s="7" t="s">
        <v>1670</v>
      </c>
      <c r="O676" s="8">
        <v>576</v>
      </c>
      <c r="P676" s="24">
        <v>4103</v>
      </c>
      <c r="Q676" s="22">
        <f>IF(COUNTIFS(A$2:A676,A676,I$2:I676,I676)=1,1,0)</f>
        <v>0</v>
      </c>
      <c r="R676" s="22">
        <f t="shared" si="10"/>
        <v>1</v>
      </c>
      <c r="S676" s="33">
        <f>IF(COUNTIF(O$2:O676,O676)=1,R676,0)/2.5</f>
        <v>0.4</v>
      </c>
    </row>
    <row r="677" spans="1:19" ht="18" customHeight="1" x14ac:dyDescent="0.25">
      <c r="A677" s="7" t="s">
        <v>43</v>
      </c>
      <c r="B677" s="8">
        <v>1</v>
      </c>
      <c r="C677" s="9">
        <v>500</v>
      </c>
      <c r="D677" s="29">
        <f>C677+IF(INDEX('Справочник по %'!B:B,(MATCH(A677,'Справочник по %'!A:A,0)))="кол-во",B677*INDEX('Справочник по %'!C:C,(MATCH(A677,'Справочник по %'!A:A,0))),ОТЧЕТ!C677*INDEX('Справочник по %'!C:C,(MATCH(A677,'Справочник по %'!A:A,0))))/100</f>
        <v>550</v>
      </c>
      <c r="E677" s="29">
        <f>IF(ОТЧЕТ!A677="SKU3",C677+ОТЧЕТ!C677*0.2,C677+ОТЧЕТ!C677*0.15)</f>
        <v>575</v>
      </c>
      <c r="F677" s="7" t="s">
        <v>1654</v>
      </c>
      <c r="G677" s="7">
        <v>4632170357</v>
      </c>
      <c r="H677" s="20" t="s">
        <v>153</v>
      </c>
      <c r="I677" s="22" t="str">
        <f>INDEX('Справочник Сети'!B:B,(MATCH(G677,'Справочник Сети'!C:C,0)))</f>
        <v>Столички</v>
      </c>
      <c r="J677" s="7" t="s">
        <v>83</v>
      </c>
      <c r="K677" s="7" t="s">
        <v>1671</v>
      </c>
      <c r="L677" s="7" t="s">
        <v>155</v>
      </c>
      <c r="M677" s="31">
        <v>45716</v>
      </c>
      <c r="N677" s="7" t="s">
        <v>1672</v>
      </c>
      <c r="O677" s="8">
        <v>707</v>
      </c>
      <c r="P677" s="24">
        <v>4104</v>
      </c>
      <c r="Q677" s="22">
        <f>IF(COUNTIFS(A$2:A677,A677,I$2:I677,I677)=1,1,0)</f>
        <v>0</v>
      </c>
      <c r="R677" s="22">
        <f t="shared" si="10"/>
        <v>4</v>
      </c>
      <c r="S677" s="33">
        <f>IF(COUNTIF(O$2:O677,O677)=1,R677,0)/2.5</f>
        <v>1.6</v>
      </c>
    </row>
    <row r="678" spans="1:19" ht="18" customHeight="1" x14ac:dyDescent="0.25">
      <c r="A678" s="7" t="s">
        <v>43</v>
      </c>
      <c r="B678" s="8">
        <v>1</v>
      </c>
      <c r="C678" s="9">
        <v>400.58</v>
      </c>
      <c r="D678" s="29">
        <f>C678+IF(INDEX('Справочник по %'!B:B,(MATCH(A678,'Справочник по %'!A:A,0)))="кол-во",B678*INDEX('Справочник по %'!C:C,(MATCH(A678,'Справочник по %'!A:A,0))),ОТЧЕТ!C678*INDEX('Справочник по %'!C:C,(MATCH(A678,'Справочник по %'!A:A,0))))/100</f>
        <v>440.63799999999998</v>
      </c>
      <c r="E678" s="29">
        <f>IF(ОТЧЕТ!A678="SKU3",C678+ОТЧЕТ!C678*0.2,C678+ОТЧЕТ!C678*0.15)</f>
        <v>460.66699999999997</v>
      </c>
      <c r="F678" s="7" t="s">
        <v>1654</v>
      </c>
      <c r="G678" s="7">
        <v>5507102175</v>
      </c>
      <c r="H678" s="20" t="s">
        <v>50</v>
      </c>
      <c r="I678" s="22" t="str">
        <f>INDEX('Справочник Сети'!B:B,(MATCH(G678,'Справочник Сети'!C:C,0)))</f>
        <v>Столички</v>
      </c>
      <c r="J678" s="7" t="s">
        <v>255</v>
      </c>
      <c r="K678" s="7" t="s">
        <v>1673</v>
      </c>
      <c r="L678" s="7" t="s">
        <v>255</v>
      </c>
      <c r="M678" s="31">
        <v>45713</v>
      </c>
      <c r="N678" s="7" t="s">
        <v>1674</v>
      </c>
      <c r="O678" s="8">
        <v>2070</v>
      </c>
      <c r="P678" s="24">
        <v>4105</v>
      </c>
      <c r="Q678" s="22">
        <f>IF(COUNTIFS(A$2:A678,A678,I$2:I678,I678)=1,1,0)</f>
        <v>0</v>
      </c>
      <c r="R678" s="22">
        <f t="shared" si="10"/>
        <v>2</v>
      </c>
      <c r="S678" s="33">
        <f>IF(COUNTIF(O$2:O678,O678)=1,R678,0)/2.5</f>
        <v>0</v>
      </c>
    </row>
    <row r="679" spans="1:19" ht="18" customHeight="1" x14ac:dyDescent="0.25">
      <c r="A679" s="7" t="s">
        <v>43</v>
      </c>
      <c r="B679" s="8">
        <v>1</v>
      </c>
      <c r="C679" s="9">
        <v>415</v>
      </c>
      <c r="D679" s="29">
        <f>C679+IF(INDEX('Справочник по %'!B:B,(MATCH(A679,'Справочник по %'!A:A,0)))="кол-во",B679*INDEX('Справочник по %'!C:C,(MATCH(A679,'Справочник по %'!A:A,0))),ОТЧЕТ!C679*INDEX('Справочник по %'!C:C,(MATCH(A679,'Справочник по %'!A:A,0))))/100</f>
        <v>456.5</v>
      </c>
      <c r="E679" s="29">
        <f>IF(ОТЧЕТ!A679="SKU3",C679+ОТЧЕТ!C679*0.2,C679+ОТЧЕТ!C679*0.15)</f>
        <v>477.25</v>
      </c>
      <c r="F679" s="7" t="s">
        <v>1654</v>
      </c>
      <c r="G679" s="7">
        <v>2310096546</v>
      </c>
      <c r="H679" s="20" t="s">
        <v>69</v>
      </c>
      <c r="I679" s="22" t="str">
        <f>INDEX('Справочник Сети'!B:B,(MATCH(G679,'Справочник Сети'!C:C,0)))</f>
        <v>36,6</v>
      </c>
      <c r="J679" s="7" t="s">
        <v>57</v>
      </c>
      <c r="K679" s="7" t="s">
        <v>1675</v>
      </c>
      <c r="L679" s="7" t="s">
        <v>57</v>
      </c>
      <c r="M679" s="31">
        <v>45729</v>
      </c>
      <c r="N679" s="7" t="s">
        <v>1676</v>
      </c>
      <c r="O679" s="8">
        <v>325</v>
      </c>
      <c r="P679" s="24">
        <v>4106</v>
      </c>
      <c r="Q679" s="22">
        <f>IF(COUNTIFS(A$2:A679,A679,I$2:I679,I679)=1,1,0)</f>
        <v>0</v>
      </c>
      <c r="R679" s="22">
        <f t="shared" si="10"/>
        <v>2</v>
      </c>
      <c r="S679" s="33">
        <f>IF(COUNTIF(O$2:O679,O679)=1,R679,0)/2.5</f>
        <v>0.8</v>
      </c>
    </row>
    <row r="680" spans="1:19" ht="18" customHeight="1" x14ac:dyDescent="0.25">
      <c r="A680" s="7" t="s">
        <v>43</v>
      </c>
      <c r="B680" s="8">
        <v>1</v>
      </c>
      <c r="C680" s="9">
        <v>395</v>
      </c>
      <c r="D680" s="29">
        <f>C680+IF(INDEX('Справочник по %'!B:B,(MATCH(A680,'Справочник по %'!A:A,0)))="кол-во",B680*INDEX('Справочник по %'!C:C,(MATCH(A680,'Справочник по %'!A:A,0))),ОТЧЕТ!C680*INDEX('Справочник по %'!C:C,(MATCH(A680,'Справочник по %'!A:A,0))))/100</f>
        <v>434.5</v>
      </c>
      <c r="E680" s="29">
        <f>IF(ОТЧЕТ!A680="SKU3",C680+ОТЧЕТ!C680*0.2,C680+ОТЧЕТ!C680*0.15)</f>
        <v>454.25</v>
      </c>
      <c r="F680" s="7" t="s">
        <v>1654</v>
      </c>
      <c r="G680" s="7">
        <v>6802003590</v>
      </c>
      <c r="H680" s="20" t="s">
        <v>1285</v>
      </c>
      <c r="I680" s="22">
        <f>INDEX('Справочник Сети'!B:B,(MATCH(G680,'Справочник Сети'!C:C,0)))</f>
        <v>0</v>
      </c>
      <c r="J680" s="7" t="s">
        <v>106</v>
      </c>
      <c r="K680" s="7" t="s">
        <v>996</v>
      </c>
      <c r="L680" s="7" t="s">
        <v>106</v>
      </c>
      <c r="M680" s="31">
        <v>45694</v>
      </c>
      <c r="N680" s="7" t="s">
        <v>317</v>
      </c>
      <c r="O680" s="8">
        <v>2794</v>
      </c>
      <c r="P680" s="24">
        <v>4110</v>
      </c>
      <c r="Q680" s="22">
        <f>IF(COUNTIFS(A$2:A680,A680,I$2:I680,I680)=1,1,0)</f>
        <v>0</v>
      </c>
      <c r="R680" s="22">
        <f t="shared" si="10"/>
        <v>1</v>
      </c>
      <c r="S680" s="33">
        <f>IF(COUNTIF(O$2:O680,O680)=1,R680,0)/2.5</f>
        <v>0.4</v>
      </c>
    </row>
    <row r="681" spans="1:19" ht="18" customHeight="1" x14ac:dyDescent="0.25">
      <c r="A681" s="7" t="s">
        <v>43</v>
      </c>
      <c r="B681" s="8">
        <v>1</v>
      </c>
      <c r="C681" s="9">
        <v>468</v>
      </c>
      <c r="D681" s="29">
        <f>C681+IF(INDEX('Справочник по %'!B:B,(MATCH(A681,'Справочник по %'!A:A,0)))="кол-во",B681*INDEX('Справочник по %'!C:C,(MATCH(A681,'Справочник по %'!A:A,0))),ОТЧЕТ!C681*INDEX('Справочник по %'!C:C,(MATCH(A681,'Справочник по %'!A:A,0))))/100</f>
        <v>514.79999999999995</v>
      </c>
      <c r="E681" s="29">
        <f>IF(ОТЧЕТ!A681="SKU3",C681+ОТЧЕТ!C681*0.2,C681+ОТЧЕТ!C681*0.15)</f>
        <v>538.20000000000005</v>
      </c>
      <c r="F681" s="7" t="s">
        <v>1654</v>
      </c>
      <c r="G681" s="7">
        <v>6166074953</v>
      </c>
      <c r="H681" s="20" t="s">
        <v>1677</v>
      </c>
      <c r="I681" s="22">
        <f>INDEX('Справочник Сети'!B:B,(MATCH(G681,'Справочник Сети'!C:C,0)))</f>
        <v>0</v>
      </c>
      <c r="J681" s="7" t="s">
        <v>203</v>
      </c>
      <c r="K681" s="7" t="s">
        <v>1678</v>
      </c>
      <c r="L681" s="7" t="s">
        <v>203</v>
      </c>
      <c r="M681" s="31">
        <v>45696</v>
      </c>
      <c r="N681" s="7" t="s">
        <v>1679</v>
      </c>
      <c r="O681" s="8">
        <v>2641</v>
      </c>
      <c r="P681" s="24">
        <v>4113</v>
      </c>
      <c r="Q681" s="22">
        <f>IF(COUNTIFS(A$2:A681,A681,I$2:I681,I681)=1,1,0)</f>
        <v>0</v>
      </c>
      <c r="R681" s="22">
        <f t="shared" si="10"/>
        <v>2</v>
      </c>
      <c r="S681" s="33">
        <f>IF(COUNTIF(O$2:O681,O681)=1,R681,0)/2.5</f>
        <v>0.8</v>
      </c>
    </row>
    <row r="682" spans="1:19" ht="18" customHeight="1" x14ac:dyDescent="0.25">
      <c r="A682" s="7" t="s">
        <v>43</v>
      </c>
      <c r="B682" s="8">
        <v>1</v>
      </c>
      <c r="C682" s="9">
        <v>477</v>
      </c>
      <c r="D682" s="29">
        <f>C682+IF(INDEX('Справочник по %'!B:B,(MATCH(A682,'Справочник по %'!A:A,0)))="кол-во",B682*INDEX('Справочник по %'!C:C,(MATCH(A682,'Справочник по %'!A:A,0))),ОТЧЕТ!C682*INDEX('Справочник по %'!C:C,(MATCH(A682,'Справочник по %'!A:A,0))))/100</f>
        <v>524.70000000000005</v>
      </c>
      <c r="E682" s="29">
        <f>IF(ОТЧЕТ!A682="SKU3",C682+ОТЧЕТ!C682*0.2,C682+ОТЧЕТ!C682*0.15)</f>
        <v>548.54999999999995</v>
      </c>
      <c r="F682" s="7" t="s">
        <v>1654</v>
      </c>
      <c r="G682" s="7">
        <v>2460202627</v>
      </c>
      <c r="H682" s="20" t="s">
        <v>50</v>
      </c>
      <c r="I682" s="22">
        <f>INDEX('Справочник Сети'!B:B,(MATCH(G682,'Справочник Сети'!C:C,0)))</f>
        <v>0</v>
      </c>
      <c r="J682" s="7" t="s">
        <v>96</v>
      </c>
      <c r="K682" s="7" t="s">
        <v>1163</v>
      </c>
      <c r="L682" s="7" t="s">
        <v>96</v>
      </c>
      <c r="M682" s="31">
        <v>45727</v>
      </c>
      <c r="N682" s="7" t="s">
        <v>1680</v>
      </c>
      <c r="O682" s="8">
        <v>79</v>
      </c>
      <c r="P682" s="24">
        <v>4114</v>
      </c>
      <c r="Q682" s="22">
        <f>IF(COUNTIFS(A$2:A682,A682,I$2:I682,I682)=1,1,0)</f>
        <v>0</v>
      </c>
      <c r="R682" s="22">
        <f t="shared" si="10"/>
        <v>3</v>
      </c>
      <c r="S682" s="33">
        <f>IF(COUNTIF(O$2:O682,O682)=1,R682,0)/2.5</f>
        <v>1.2</v>
      </c>
    </row>
    <row r="683" spans="1:19" ht="18" customHeight="1" x14ac:dyDescent="0.25">
      <c r="A683" s="7" t="s">
        <v>43</v>
      </c>
      <c r="B683" s="8">
        <v>1</v>
      </c>
      <c r="C683" s="9">
        <v>434</v>
      </c>
      <c r="D683" s="29">
        <f>C683+IF(INDEX('Справочник по %'!B:B,(MATCH(A683,'Справочник по %'!A:A,0)))="кол-во",B683*INDEX('Справочник по %'!C:C,(MATCH(A683,'Справочник по %'!A:A,0))),ОТЧЕТ!C683*INDEX('Справочник по %'!C:C,(MATCH(A683,'Справочник по %'!A:A,0))))/100</f>
        <v>477.4</v>
      </c>
      <c r="E683" s="29">
        <f>IF(ОТЧЕТ!A683="SKU3",C683+ОТЧЕТ!C683*0.2,C683+ОТЧЕТ!C683*0.15)</f>
        <v>499.1</v>
      </c>
      <c r="F683" s="7" t="s">
        <v>1654</v>
      </c>
      <c r="G683" s="7">
        <v>6722000089</v>
      </c>
      <c r="H683" s="20" t="s">
        <v>50</v>
      </c>
      <c r="I683" s="22">
        <f>INDEX('Справочник Сети'!B:B,(MATCH(G683,'Справочник Сети'!C:C,0)))</f>
        <v>0</v>
      </c>
      <c r="J683" s="7" t="s">
        <v>106</v>
      </c>
      <c r="K683" s="7" t="s">
        <v>1289</v>
      </c>
      <c r="L683" s="7" t="s">
        <v>106</v>
      </c>
      <c r="M683" s="31">
        <v>45694</v>
      </c>
      <c r="N683" s="7" t="s">
        <v>1681</v>
      </c>
      <c r="O683" s="8">
        <v>2340</v>
      </c>
      <c r="P683" s="24">
        <v>4118</v>
      </c>
      <c r="Q683" s="22">
        <f>IF(COUNTIFS(A$2:A683,A683,I$2:I683,I683)=1,1,0)</f>
        <v>0</v>
      </c>
      <c r="R683" s="22">
        <f t="shared" si="10"/>
        <v>2</v>
      </c>
      <c r="S683" s="33">
        <f>IF(COUNTIF(O$2:O683,O683)=1,R683,0)/2.5</f>
        <v>0.8</v>
      </c>
    </row>
    <row r="684" spans="1:19" ht="18" customHeight="1" x14ac:dyDescent="0.25">
      <c r="A684" s="7" t="s">
        <v>43</v>
      </c>
      <c r="B684" s="8">
        <v>1</v>
      </c>
      <c r="C684" s="9">
        <v>391</v>
      </c>
      <c r="D684" s="29">
        <f>C684+IF(INDEX('Справочник по %'!B:B,(MATCH(A684,'Справочник по %'!A:A,0)))="кол-во",B684*INDEX('Справочник по %'!C:C,(MATCH(A684,'Справочник по %'!A:A,0))),ОТЧЕТ!C684*INDEX('Справочник по %'!C:C,(MATCH(A684,'Справочник по %'!A:A,0))))/100</f>
        <v>430.1</v>
      </c>
      <c r="E684" s="29">
        <f>IF(ОТЧЕТ!A684="SKU3",C684+ОТЧЕТ!C684*0.2,C684+ОТЧЕТ!C684*0.15)</f>
        <v>449.65</v>
      </c>
      <c r="F684" s="7" t="s">
        <v>1682</v>
      </c>
      <c r="G684" s="7">
        <v>230907071819</v>
      </c>
      <c r="H684" s="20" t="s">
        <v>1683</v>
      </c>
      <c r="I684" s="22">
        <f>INDEX('Справочник Сети'!B:B,(MATCH(G684,'Справочник Сети'!C:C,0)))</f>
        <v>0</v>
      </c>
      <c r="J684" s="7" t="s">
        <v>74</v>
      </c>
      <c r="K684" s="7" t="s">
        <v>525</v>
      </c>
      <c r="L684" s="7" t="s">
        <v>74</v>
      </c>
      <c r="M684" s="31">
        <v>45661</v>
      </c>
      <c r="N684" s="7" t="s">
        <v>1684</v>
      </c>
      <c r="O684" s="8">
        <v>3268</v>
      </c>
      <c r="P684" s="24">
        <v>4122</v>
      </c>
      <c r="Q684" s="22">
        <f>IF(COUNTIFS(A$2:A684,A684,I$2:I684,I684)=1,1,0)</f>
        <v>0</v>
      </c>
      <c r="R684" s="22">
        <f t="shared" si="10"/>
        <v>5</v>
      </c>
      <c r="S684" s="33">
        <f>IF(COUNTIF(O$2:O684,O684)=1,R684,0)/2.5</f>
        <v>0</v>
      </c>
    </row>
    <row r="685" spans="1:19" ht="18" customHeight="1" x14ac:dyDescent="0.25">
      <c r="A685" s="7" t="s">
        <v>43</v>
      </c>
      <c r="B685" s="8">
        <v>1</v>
      </c>
      <c r="C685" s="9">
        <v>405</v>
      </c>
      <c r="D685" s="29">
        <f>C685+IF(INDEX('Справочник по %'!B:B,(MATCH(A685,'Справочник по %'!A:A,0)))="кол-во",B685*INDEX('Справочник по %'!C:C,(MATCH(A685,'Справочник по %'!A:A,0))),ОТЧЕТ!C685*INDEX('Справочник по %'!C:C,(MATCH(A685,'Справочник по %'!A:A,0))))/100</f>
        <v>445.5</v>
      </c>
      <c r="E685" s="29">
        <f>IF(ОТЧЕТ!A685="SKU3",C685+ОТЧЕТ!C685*0.2,C685+ОТЧЕТ!C685*0.15)</f>
        <v>465.75</v>
      </c>
      <c r="F685" s="7" t="s">
        <v>1682</v>
      </c>
      <c r="G685" s="7">
        <v>6000009727</v>
      </c>
      <c r="H685" s="20" t="s">
        <v>1685</v>
      </c>
      <c r="I685" s="22">
        <f>INDEX('Справочник Сети'!B:B,(MATCH(G685,'Справочник Сети'!C:C,0)))</f>
        <v>0</v>
      </c>
      <c r="J685" s="7" t="s">
        <v>520</v>
      </c>
      <c r="K685" s="7" t="s">
        <v>1568</v>
      </c>
      <c r="L685" s="7" t="s">
        <v>520</v>
      </c>
      <c r="M685" s="31">
        <v>45697</v>
      </c>
      <c r="N685" s="7" t="s">
        <v>1686</v>
      </c>
      <c r="O685" s="8">
        <v>3374</v>
      </c>
      <c r="P685" s="24">
        <v>4123</v>
      </c>
      <c r="Q685" s="22">
        <f>IF(COUNTIFS(A$2:A685,A685,I$2:I685,I685)=1,1,0)</f>
        <v>0</v>
      </c>
      <c r="R685" s="22">
        <f t="shared" si="10"/>
        <v>1</v>
      </c>
      <c r="S685" s="33">
        <f>IF(COUNTIF(O$2:O685,O685)=1,R685,0)/2.5</f>
        <v>0.4</v>
      </c>
    </row>
    <row r="686" spans="1:19" ht="18" customHeight="1" x14ac:dyDescent="0.25">
      <c r="A686" s="7" t="s">
        <v>37</v>
      </c>
      <c r="B686" s="8">
        <v>1</v>
      </c>
      <c r="C686" s="9">
        <v>546</v>
      </c>
      <c r="D686" s="29">
        <f>C686+IF(INDEX('Справочник по %'!B:B,(MATCH(A686,'Справочник по %'!A:A,0)))="кол-во",B686*INDEX('Справочник по %'!C:C,(MATCH(A686,'Справочник по %'!A:A,0))),ОТЧЕТ!C686*INDEX('Справочник по %'!C:C,(MATCH(A686,'Справочник по %'!A:A,0))))/100</f>
        <v>546.20000000000005</v>
      </c>
      <c r="E686" s="29">
        <f>IF(ОТЧЕТ!A686="SKU3",C686+ОТЧЕТ!C686*0.2,C686+ОТЧЕТ!C686*0.15)</f>
        <v>627.9</v>
      </c>
      <c r="F686" s="7" t="s">
        <v>1682</v>
      </c>
      <c r="G686" s="7">
        <v>7706795062</v>
      </c>
      <c r="H686" s="20" t="s">
        <v>470</v>
      </c>
      <c r="I686" s="22" t="str">
        <f>INDEX('Справочник Сети'!B:B,(MATCH(G686,'Справочник Сети'!C:C,0)))</f>
        <v>Планета здоровья</v>
      </c>
      <c r="J686" s="7" t="s">
        <v>87</v>
      </c>
      <c r="K686" s="7" t="s">
        <v>1687</v>
      </c>
      <c r="L686" s="7" t="s">
        <v>87</v>
      </c>
      <c r="M686" s="31">
        <v>45691</v>
      </c>
      <c r="N686" s="7" t="s">
        <v>1688</v>
      </c>
      <c r="O686" s="8">
        <v>2109</v>
      </c>
      <c r="P686" s="24">
        <v>4126</v>
      </c>
      <c r="Q686" s="22">
        <f>IF(COUNTIFS(A$2:A686,A686,I$2:I686,I686)=1,1,0)</f>
        <v>0</v>
      </c>
      <c r="R686" s="22">
        <f t="shared" si="10"/>
        <v>3</v>
      </c>
      <c r="S686" s="33">
        <f>IF(COUNTIF(O$2:O686,O686)=1,R686,0)/2.5</f>
        <v>0</v>
      </c>
    </row>
    <row r="687" spans="1:19" ht="18" customHeight="1" x14ac:dyDescent="0.25">
      <c r="A687" s="7" t="s">
        <v>37</v>
      </c>
      <c r="B687" s="8">
        <v>1</v>
      </c>
      <c r="C687" s="9">
        <v>704.85</v>
      </c>
      <c r="D687" s="29">
        <f>C687+IF(INDEX('Справочник по %'!B:B,(MATCH(A687,'Справочник по %'!A:A,0)))="кол-во",B687*INDEX('Справочник по %'!C:C,(MATCH(A687,'Справочник по %'!A:A,0))),ОТЧЕТ!C687*INDEX('Справочник по %'!C:C,(MATCH(A687,'Справочник по %'!A:A,0))))/100</f>
        <v>705.05000000000007</v>
      </c>
      <c r="E687" s="29">
        <f>IF(ОТЧЕТ!A687="SKU3",C687+ОТЧЕТ!C687*0.2,C687+ОТЧЕТ!C687*0.15)</f>
        <v>810.57749999999999</v>
      </c>
      <c r="F687" s="7" t="s">
        <v>1682</v>
      </c>
      <c r="G687" s="7">
        <v>7814139847</v>
      </c>
      <c r="H687" s="20" t="s">
        <v>50</v>
      </c>
      <c r="I687" s="22" t="str">
        <f>INDEX('Справочник Сети'!B:B,(MATCH(G687,'Справочник Сети'!C:C,0)))</f>
        <v>Планета здоровья</v>
      </c>
      <c r="J687" s="7" t="s">
        <v>121</v>
      </c>
      <c r="K687" s="7" t="s">
        <v>55</v>
      </c>
      <c r="L687" s="7" t="s">
        <v>121</v>
      </c>
      <c r="M687" s="31">
        <v>45671</v>
      </c>
      <c r="N687" s="7" t="s">
        <v>1689</v>
      </c>
      <c r="O687" s="8">
        <v>2855</v>
      </c>
      <c r="P687" s="24">
        <v>4130</v>
      </c>
      <c r="Q687" s="22">
        <f>IF(COUNTIFS(A$2:A687,A687,I$2:I687,I687)=1,1,0)</f>
        <v>0</v>
      </c>
      <c r="R687" s="22">
        <f t="shared" si="10"/>
        <v>5</v>
      </c>
      <c r="S687" s="33">
        <f>IF(COUNTIF(O$2:O687,O687)=1,R687,0)/2.5</f>
        <v>2</v>
      </c>
    </row>
    <row r="688" spans="1:19" ht="18" customHeight="1" x14ac:dyDescent="0.25">
      <c r="A688" s="7" t="s">
        <v>43</v>
      </c>
      <c r="B688" s="8">
        <v>1</v>
      </c>
      <c r="C688" s="9">
        <v>395.2</v>
      </c>
      <c r="D688" s="29">
        <f>C688+IF(INDEX('Справочник по %'!B:B,(MATCH(A688,'Справочник по %'!A:A,0)))="кол-во",B688*INDEX('Справочник по %'!C:C,(MATCH(A688,'Справочник по %'!A:A,0))),ОТЧЕТ!C688*INDEX('Справочник по %'!C:C,(MATCH(A688,'Справочник по %'!A:A,0))))/100</f>
        <v>434.71999999999997</v>
      </c>
      <c r="E688" s="29">
        <f>IF(ОТЧЕТ!A688="SKU3",C688+ОТЧЕТ!C688*0.2,C688+ОТЧЕТ!C688*0.15)</f>
        <v>454.47999999999996</v>
      </c>
      <c r="F688" s="7" t="s">
        <v>1690</v>
      </c>
      <c r="G688" s="7">
        <v>6452127074</v>
      </c>
      <c r="H688" s="20" t="s">
        <v>1691</v>
      </c>
      <c r="I688" s="22">
        <f>INDEX('Справочник Сети'!B:B,(MATCH(G688,'Справочник Сети'!C:C,0)))</f>
        <v>0</v>
      </c>
      <c r="J688" s="7" t="s">
        <v>133</v>
      </c>
      <c r="K688" s="7" t="s">
        <v>1571</v>
      </c>
      <c r="L688" s="7" t="s">
        <v>133</v>
      </c>
      <c r="M688" s="31">
        <v>45695</v>
      </c>
      <c r="N688" s="7" t="s">
        <v>1692</v>
      </c>
      <c r="O688" s="8">
        <v>3416</v>
      </c>
      <c r="P688" s="24">
        <v>4132</v>
      </c>
      <c r="Q688" s="22">
        <f>IF(COUNTIFS(A$2:A688,A688,I$2:I688,I688)=1,1,0)</f>
        <v>0</v>
      </c>
      <c r="R688" s="22">
        <f t="shared" si="10"/>
        <v>1</v>
      </c>
      <c r="S688" s="33">
        <f>IF(COUNTIF(O$2:O688,O688)=1,R688,0)/2.5</f>
        <v>0.4</v>
      </c>
    </row>
    <row r="689" spans="1:19" ht="18" customHeight="1" x14ac:dyDescent="0.25">
      <c r="A689" s="7" t="s">
        <v>43</v>
      </c>
      <c r="B689" s="8">
        <v>1</v>
      </c>
      <c r="C689" s="9">
        <v>490</v>
      </c>
      <c r="D689" s="29">
        <f>C689+IF(INDEX('Справочник по %'!B:B,(MATCH(A689,'Справочник по %'!A:A,0)))="кол-во",B689*INDEX('Справочник по %'!C:C,(MATCH(A689,'Справочник по %'!A:A,0))),ОТЧЕТ!C689*INDEX('Справочник по %'!C:C,(MATCH(A689,'Справочник по %'!A:A,0))))/100</f>
        <v>539</v>
      </c>
      <c r="E689" s="29">
        <f>IF(ОТЧЕТ!A689="SKU3",C689+ОТЧЕТ!C689*0.2,C689+ОТЧЕТ!C689*0.15)</f>
        <v>563.5</v>
      </c>
      <c r="F689" s="7" t="s">
        <v>1690</v>
      </c>
      <c r="G689" s="7">
        <v>7838435820</v>
      </c>
      <c r="H689" s="20" t="s">
        <v>1693</v>
      </c>
      <c r="I689" s="22">
        <f>INDEX('Справочник Сети'!B:B,(MATCH(G689,'Справочник Сети'!C:C,0)))</f>
        <v>0</v>
      </c>
      <c r="J689" s="7" t="s">
        <v>121</v>
      </c>
      <c r="K689" s="7" t="s">
        <v>1687</v>
      </c>
      <c r="L689" s="7" t="s">
        <v>121</v>
      </c>
      <c r="M689" s="31">
        <v>45671</v>
      </c>
      <c r="N689" s="7" t="s">
        <v>1694</v>
      </c>
      <c r="O689" s="8">
        <v>3653</v>
      </c>
      <c r="P689" s="24">
        <v>4133</v>
      </c>
      <c r="Q689" s="22">
        <f>IF(COUNTIFS(A$2:A689,A689,I$2:I689,I689)=1,1,0)</f>
        <v>0</v>
      </c>
      <c r="R689" s="22">
        <f t="shared" si="10"/>
        <v>1</v>
      </c>
      <c r="S689" s="33">
        <f>IF(COUNTIF(O$2:O689,O689)=1,R689,0)/2.5</f>
        <v>0.4</v>
      </c>
    </row>
    <row r="690" spans="1:19" ht="18" customHeight="1" x14ac:dyDescent="0.25">
      <c r="A690" s="7" t="s">
        <v>37</v>
      </c>
      <c r="B690" s="8">
        <v>1</v>
      </c>
      <c r="C690" s="9">
        <v>680</v>
      </c>
      <c r="D690" s="29">
        <f>C690+IF(INDEX('Справочник по %'!B:B,(MATCH(A690,'Справочник по %'!A:A,0)))="кол-во",B690*INDEX('Справочник по %'!C:C,(MATCH(A690,'Справочник по %'!A:A,0))),ОТЧЕТ!C690*INDEX('Справочник по %'!C:C,(MATCH(A690,'Справочник по %'!A:A,0))))/100</f>
        <v>680.2</v>
      </c>
      <c r="E690" s="29">
        <f>IF(ОТЧЕТ!A690="SKU3",C690+ОТЧЕТ!C690*0.2,C690+ОТЧЕТ!C690*0.15)</f>
        <v>782</v>
      </c>
      <c r="F690" s="7" t="s">
        <v>1695</v>
      </c>
      <c r="G690" s="7">
        <v>7839300921</v>
      </c>
      <c r="H690" s="20" t="s">
        <v>50</v>
      </c>
      <c r="I690" s="22" t="str">
        <f>INDEX('Справочник Сети'!B:B,(MATCH(G690,'Справочник Сети'!C:C,0)))</f>
        <v>Планета здоровья</v>
      </c>
      <c r="J690" s="7" t="s">
        <v>121</v>
      </c>
      <c r="K690" s="7" t="s">
        <v>373</v>
      </c>
      <c r="L690" s="7" t="s">
        <v>121</v>
      </c>
      <c r="M690" s="31">
        <v>45671</v>
      </c>
      <c r="N690" s="7" t="s">
        <v>1696</v>
      </c>
      <c r="O690" s="8">
        <v>2838</v>
      </c>
      <c r="P690" s="24">
        <v>4134</v>
      </c>
      <c r="Q690" s="22">
        <f>IF(COUNTIFS(A$2:A690,A690,I$2:I690,I690)=1,1,0)</f>
        <v>0</v>
      </c>
      <c r="R690" s="22">
        <f t="shared" si="10"/>
        <v>1</v>
      </c>
      <c r="S690" s="33">
        <f>IF(COUNTIF(O$2:O690,O690)=1,R690,0)/2.5</f>
        <v>0.4</v>
      </c>
    </row>
    <row r="691" spans="1:19" ht="18" customHeight="1" x14ac:dyDescent="0.25">
      <c r="A691" s="7" t="s">
        <v>43</v>
      </c>
      <c r="B691" s="8">
        <v>1</v>
      </c>
      <c r="C691" s="9">
        <v>372.2</v>
      </c>
      <c r="D691" s="29">
        <f>C691+IF(INDEX('Справочник по %'!B:B,(MATCH(A691,'Справочник по %'!A:A,0)))="кол-во",B691*INDEX('Справочник по %'!C:C,(MATCH(A691,'Справочник по %'!A:A,0))),ОТЧЕТ!C691*INDEX('Справочник по %'!C:C,(MATCH(A691,'Справочник по %'!A:A,0))))/100</f>
        <v>409.41999999999996</v>
      </c>
      <c r="E691" s="29">
        <f>IF(ОТЧЕТ!A691="SKU3",C691+ОТЧЕТ!C691*0.2,C691+ОТЧЕТ!C691*0.15)</f>
        <v>428.03</v>
      </c>
      <c r="F691" s="7" t="s">
        <v>1695</v>
      </c>
      <c r="G691" s="7">
        <v>7714844316</v>
      </c>
      <c r="H691" s="20" t="s">
        <v>50</v>
      </c>
      <c r="I691" s="22" t="str">
        <f>INDEX('Справочник Сети'!B:B,(MATCH(G691,'Справочник Сети'!C:C,0)))</f>
        <v>Планета здоровья</v>
      </c>
      <c r="J691" s="7" t="s">
        <v>504</v>
      </c>
      <c r="K691" s="7" t="s">
        <v>1165</v>
      </c>
      <c r="L691" s="7" t="s">
        <v>504</v>
      </c>
      <c r="M691" s="31">
        <v>45690</v>
      </c>
      <c r="N691" s="7" t="s">
        <v>1697</v>
      </c>
      <c r="O691" s="8">
        <v>1950</v>
      </c>
      <c r="P691" s="24">
        <v>4135</v>
      </c>
      <c r="Q691" s="22">
        <f>IF(COUNTIFS(A$2:A691,A691,I$2:I691,I691)=1,1,0)</f>
        <v>0</v>
      </c>
      <c r="R691" s="22">
        <f t="shared" si="10"/>
        <v>1</v>
      </c>
      <c r="S691" s="33">
        <f>IF(COUNTIF(O$2:O691,O691)=1,R691,0)/2.5</f>
        <v>0.4</v>
      </c>
    </row>
    <row r="692" spans="1:19" ht="18" customHeight="1" x14ac:dyDescent="0.25">
      <c r="A692" s="7" t="s">
        <v>43</v>
      </c>
      <c r="B692" s="8">
        <v>1</v>
      </c>
      <c r="C692" s="9">
        <v>453</v>
      </c>
      <c r="D692" s="29">
        <f>C692+IF(INDEX('Справочник по %'!B:B,(MATCH(A692,'Справочник по %'!A:A,0)))="кол-во",B692*INDEX('Справочник по %'!C:C,(MATCH(A692,'Справочник по %'!A:A,0))),ОТЧЕТ!C692*INDEX('Справочник по %'!C:C,(MATCH(A692,'Справочник по %'!A:A,0))))/100</f>
        <v>498.3</v>
      </c>
      <c r="E692" s="29">
        <f>IF(ОТЧЕТ!A692="SKU3",C692+ОТЧЕТ!C692*0.2,C692+ОТЧЕТ!C692*0.15)</f>
        <v>520.95000000000005</v>
      </c>
      <c r="F692" s="7" t="s">
        <v>1698</v>
      </c>
      <c r="G692" s="7">
        <v>9724043037</v>
      </c>
      <c r="H692" s="20" t="s">
        <v>50</v>
      </c>
      <c r="I692" s="22">
        <f>INDEX('Справочник Сети'!B:B,(MATCH(G692,'Справочник Сети'!C:C,0)))</f>
        <v>0</v>
      </c>
      <c r="J692" s="7" t="s">
        <v>74</v>
      </c>
      <c r="K692" s="7" t="s">
        <v>1699</v>
      </c>
      <c r="L692" s="7" t="s">
        <v>239</v>
      </c>
      <c r="M692" s="31">
        <v>45662</v>
      </c>
      <c r="N692" s="7" t="s">
        <v>1700</v>
      </c>
      <c r="O692" s="8">
        <v>1534</v>
      </c>
      <c r="P692" s="24">
        <v>4138</v>
      </c>
      <c r="Q692" s="22">
        <f>IF(COUNTIFS(A$2:A692,A692,I$2:I692,I692)=1,1,0)</f>
        <v>0</v>
      </c>
      <c r="R692" s="22">
        <f t="shared" si="10"/>
        <v>4</v>
      </c>
      <c r="S692" s="33">
        <f>IF(COUNTIF(O$2:O692,O692)=1,R692,0)/2.5</f>
        <v>1.6</v>
      </c>
    </row>
    <row r="693" spans="1:19" ht="18" customHeight="1" x14ac:dyDescent="0.25">
      <c r="A693" s="7" t="s">
        <v>37</v>
      </c>
      <c r="B693" s="8">
        <v>1</v>
      </c>
      <c r="C693" s="9">
        <v>640.25</v>
      </c>
      <c r="D693" s="29">
        <f>C693+IF(INDEX('Справочник по %'!B:B,(MATCH(A693,'Справочник по %'!A:A,0)))="кол-во",B693*INDEX('Справочник по %'!C:C,(MATCH(A693,'Справочник по %'!A:A,0))),ОТЧЕТ!C693*INDEX('Справочник по %'!C:C,(MATCH(A693,'Справочник по %'!A:A,0))))/100</f>
        <v>640.45000000000005</v>
      </c>
      <c r="E693" s="29">
        <f>IF(ОТЧЕТ!A693="SKU3",C693+ОТЧЕТ!C693*0.2,C693+ОТЧЕТ!C693*0.15)</f>
        <v>736.28750000000002</v>
      </c>
      <c r="F693" s="7" t="s">
        <v>1701</v>
      </c>
      <c r="G693" s="7">
        <v>6673189456</v>
      </c>
      <c r="H693" s="20" t="s">
        <v>132</v>
      </c>
      <c r="I693" s="22" t="str">
        <f>INDEX('Справочник Сети'!B:B,(MATCH(G693,'Справочник Сети'!C:C,0)))</f>
        <v>Столички</v>
      </c>
      <c r="J693" s="7" t="s">
        <v>133</v>
      </c>
      <c r="K693" s="7" t="s">
        <v>80</v>
      </c>
      <c r="L693" s="7" t="s">
        <v>133</v>
      </c>
      <c r="M693" s="31">
        <v>45695</v>
      </c>
      <c r="N693" s="7" t="s">
        <v>1702</v>
      </c>
      <c r="O693" s="8">
        <v>1786</v>
      </c>
      <c r="P693" s="24">
        <v>4143</v>
      </c>
      <c r="Q693" s="22">
        <f>IF(COUNTIFS(A$2:A693,A693,I$2:I693,I693)=1,1,0)</f>
        <v>0</v>
      </c>
      <c r="R693" s="22">
        <f t="shared" si="10"/>
        <v>1</v>
      </c>
      <c r="S693" s="33">
        <f>IF(COUNTIF(O$2:O693,O693)=1,R693,0)/2.5</f>
        <v>0.4</v>
      </c>
    </row>
    <row r="694" spans="1:19" ht="18" customHeight="1" x14ac:dyDescent="0.25">
      <c r="A694" s="7" t="s">
        <v>43</v>
      </c>
      <c r="B694" s="8">
        <v>1</v>
      </c>
      <c r="C694" s="9">
        <v>395</v>
      </c>
      <c r="D694" s="29">
        <f>C694+IF(INDEX('Справочник по %'!B:B,(MATCH(A694,'Справочник по %'!A:A,0)))="кол-во",B694*INDEX('Справочник по %'!C:C,(MATCH(A694,'Справочник по %'!A:A,0))),ОТЧЕТ!C694*INDEX('Справочник по %'!C:C,(MATCH(A694,'Справочник по %'!A:A,0))))/100</f>
        <v>434.5</v>
      </c>
      <c r="E694" s="29">
        <f>IF(ОТЧЕТ!A694="SKU3",C694+ОТЧЕТ!C694*0.2,C694+ОТЧЕТ!C694*0.15)</f>
        <v>454.25</v>
      </c>
      <c r="F694" s="7" t="s">
        <v>1703</v>
      </c>
      <c r="G694" s="7">
        <v>5249123031</v>
      </c>
      <c r="H694" s="20" t="s">
        <v>50</v>
      </c>
      <c r="I694" s="22" t="str">
        <f>INDEX('Справочник Сети'!B:B,(MATCH(G694,'Справочник Сети'!C:C,0)))</f>
        <v>Столички</v>
      </c>
      <c r="J694" s="7" t="s">
        <v>92</v>
      </c>
      <c r="K694" s="7" t="s">
        <v>738</v>
      </c>
      <c r="L694" s="7" t="s">
        <v>92</v>
      </c>
      <c r="M694" s="31">
        <v>45714</v>
      </c>
      <c r="N694" s="7" t="s">
        <v>1704</v>
      </c>
      <c r="O694" s="8">
        <v>3097</v>
      </c>
      <c r="P694" s="24">
        <v>4149</v>
      </c>
      <c r="Q694" s="22">
        <f>IF(COUNTIFS(A$2:A694,A694,I$2:I694,I694)=1,1,0)</f>
        <v>0</v>
      </c>
      <c r="R694" s="22">
        <f t="shared" si="10"/>
        <v>2</v>
      </c>
      <c r="S694" s="33">
        <f>IF(COUNTIF(O$2:O694,O694)=1,R694,0)/2.5</f>
        <v>0.8</v>
      </c>
    </row>
    <row r="695" spans="1:19" ht="18" customHeight="1" x14ac:dyDescent="0.25">
      <c r="A695" s="7" t="s">
        <v>43</v>
      </c>
      <c r="B695" s="8">
        <v>1</v>
      </c>
      <c r="C695" s="9">
        <v>416</v>
      </c>
      <c r="D695" s="29">
        <f>C695+IF(INDEX('Справочник по %'!B:B,(MATCH(A695,'Справочник по %'!A:A,0)))="кол-во",B695*INDEX('Справочник по %'!C:C,(MATCH(A695,'Справочник по %'!A:A,0))),ОТЧЕТ!C695*INDEX('Справочник по %'!C:C,(MATCH(A695,'Справочник по %'!A:A,0))))/100</f>
        <v>457.6</v>
      </c>
      <c r="E695" s="29">
        <f>IF(ОТЧЕТ!A695="SKU3",C695+ОТЧЕТ!C695*0.2,C695+ОТЧЕТ!C695*0.15)</f>
        <v>478.4</v>
      </c>
      <c r="F695" s="7" t="s">
        <v>1703</v>
      </c>
      <c r="G695" s="7">
        <v>7724211288</v>
      </c>
      <c r="H695" s="20" t="s">
        <v>1705</v>
      </c>
      <c r="I695" s="22" t="str">
        <f>INDEX('Справочник Сети'!B:B,(MATCH(G695,'Справочник Сети'!C:C,0)))</f>
        <v>Планета здоровья</v>
      </c>
      <c r="J695" s="7" t="s">
        <v>185</v>
      </c>
      <c r="K695" s="7" t="s">
        <v>316</v>
      </c>
      <c r="L695" s="7" t="s">
        <v>185</v>
      </c>
      <c r="M695" s="31">
        <v>45675</v>
      </c>
      <c r="N695" s="7" t="s">
        <v>1706</v>
      </c>
      <c r="O695" s="8">
        <v>708</v>
      </c>
      <c r="P695" s="24">
        <v>4152</v>
      </c>
      <c r="Q695" s="22">
        <f>IF(COUNTIFS(A$2:A695,A695,I$2:I695,I695)=1,1,0)</f>
        <v>0</v>
      </c>
      <c r="R695" s="22">
        <f t="shared" si="10"/>
        <v>1</v>
      </c>
      <c r="S695" s="33">
        <f>IF(COUNTIF(O$2:O695,O695)=1,R695,0)/2.5</f>
        <v>0.4</v>
      </c>
    </row>
    <row r="696" spans="1:19" ht="18" customHeight="1" x14ac:dyDescent="0.25">
      <c r="A696" s="7" t="s">
        <v>43</v>
      </c>
      <c r="B696" s="8">
        <v>1</v>
      </c>
      <c r="C696" s="9">
        <v>382.5</v>
      </c>
      <c r="D696" s="29">
        <f>C696+IF(INDEX('Справочник по %'!B:B,(MATCH(A696,'Справочник по %'!A:A,0)))="кол-во",B696*INDEX('Справочник по %'!C:C,(MATCH(A696,'Справочник по %'!A:A,0))),ОТЧЕТ!C696*INDEX('Справочник по %'!C:C,(MATCH(A696,'Справочник по %'!A:A,0))))/100</f>
        <v>420.75</v>
      </c>
      <c r="E696" s="29">
        <f>IF(ОТЧЕТ!A696="SKU3",C696+ОТЧЕТ!C696*0.2,C696+ОТЧЕТ!C696*0.15)</f>
        <v>439.875</v>
      </c>
      <c r="F696" s="7" t="s">
        <v>1707</v>
      </c>
      <c r="G696" s="7">
        <v>5401957526</v>
      </c>
      <c r="H696" s="20" t="s">
        <v>1708</v>
      </c>
      <c r="I696" s="22">
        <f>INDEX('Справочник Сети'!B:B,(MATCH(G696,'Справочник Сети'!C:C,0)))</f>
        <v>0</v>
      </c>
      <c r="J696" s="7" t="s">
        <v>92</v>
      </c>
      <c r="K696" s="7" t="s">
        <v>158</v>
      </c>
      <c r="L696" s="7" t="s">
        <v>92</v>
      </c>
      <c r="M696" s="31">
        <v>45714</v>
      </c>
      <c r="N696" s="7" t="s">
        <v>1709</v>
      </c>
      <c r="O696" s="8">
        <v>1617</v>
      </c>
      <c r="P696" s="24">
        <v>4154</v>
      </c>
      <c r="Q696" s="22">
        <f>IF(COUNTIFS(A$2:A696,A696,I$2:I696,I696)=1,1,0)</f>
        <v>0</v>
      </c>
      <c r="R696" s="22">
        <f t="shared" si="10"/>
        <v>1</v>
      </c>
      <c r="S696" s="33">
        <f>IF(COUNTIF(O$2:O696,O696)=1,R696,0)/2.5</f>
        <v>0.4</v>
      </c>
    </row>
    <row r="697" spans="1:19" ht="18" customHeight="1" x14ac:dyDescent="0.25">
      <c r="A697" s="7" t="s">
        <v>37</v>
      </c>
      <c r="B697" s="8">
        <v>1</v>
      </c>
      <c r="C697" s="9">
        <v>546</v>
      </c>
      <c r="D697" s="29">
        <f>C697+IF(INDEX('Справочник по %'!B:B,(MATCH(A697,'Справочник по %'!A:A,0)))="кол-во",B697*INDEX('Справочник по %'!C:C,(MATCH(A697,'Справочник по %'!A:A,0))),ОТЧЕТ!C697*INDEX('Справочник по %'!C:C,(MATCH(A697,'Справочник по %'!A:A,0))))/100</f>
        <v>546.20000000000005</v>
      </c>
      <c r="E697" s="29">
        <f>IF(ОТЧЕТ!A697="SKU3",C697+ОТЧЕТ!C697*0.2,C697+ОТЧЕТ!C697*0.15)</f>
        <v>627.9</v>
      </c>
      <c r="F697" s="7" t="s">
        <v>1707</v>
      </c>
      <c r="G697" s="7">
        <v>7706795062</v>
      </c>
      <c r="H697" s="20" t="s">
        <v>1154</v>
      </c>
      <c r="I697" s="22" t="str">
        <f>INDEX('Справочник Сети'!B:B,(MATCH(G697,'Справочник Сети'!C:C,0)))</f>
        <v>Планета здоровья</v>
      </c>
      <c r="J697" s="7" t="s">
        <v>87</v>
      </c>
      <c r="K697" s="7" t="s">
        <v>1710</v>
      </c>
      <c r="L697" s="7" t="s">
        <v>116</v>
      </c>
      <c r="M697" s="31">
        <v>45692</v>
      </c>
      <c r="N697" s="7" t="s">
        <v>1711</v>
      </c>
      <c r="O697" s="8">
        <v>1203</v>
      </c>
      <c r="P697" s="24">
        <v>4155</v>
      </c>
      <c r="Q697" s="22">
        <f>IF(COUNTIFS(A$2:A697,A697,I$2:I697,I697)=1,1,0)</f>
        <v>0</v>
      </c>
      <c r="R697" s="22">
        <f t="shared" si="10"/>
        <v>3</v>
      </c>
      <c r="S697" s="33">
        <f>IF(COUNTIF(O$2:O697,O697)=1,R697,0)/2.5</f>
        <v>0</v>
      </c>
    </row>
    <row r="698" spans="1:19" ht="18" customHeight="1" x14ac:dyDescent="0.25">
      <c r="A698" s="7" t="s">
        <v>37</v>
      </c>
      <c r="B698" s="8">
        <v>1</v>
      </c>
      <c r="C698" s="9">
        <v>540</v>
      </c>
      <c r="D698" s="29">
        <f>C698+IF(INDEX('Справочник по %'!B:B,(MATCH(A698,'Справочник по %'!A:A,0)))="кол-во",B698*INDEX('Справочник по %'!C:C,(MATCH(A698,'Справочник по %'!A:A,0))),ОТЧЕТ!C698*INDEX('Справочник по %'!C:C,(MATCH(A698,'Справочник по %'!A:A,0))))/100</f>
        <v>540.20000000000005</v>
      </c>
      <c r="E698" s="29">
        <f>IF(ОТЧЕТ!A698="SKU3",C698+ОТЧЕТ!C698*0.2,C698+ОТЧЕТ!C698*0.15)</f>
        <v>621</v>
      </c>
      <c r="F698" s="7" t="s">
        <v>1707</v>
      </c>
      <c r="G698" s="7">
        <v>7706795062</v>
      </c>
      <c r="H698" s="20" t="s">
        <v>1154</v>
      </c>
      <c r="I698" s="22" t="str">
        <f>INDEX('Справочник Сети'!B:B,(MATCH(G698,'Справочник Сети'!C:C,0)))</f>
        <v>Планета здоровья</v>
      </c>
      <c r="J698" s="7" t="s">
        <v>87</v>
      </c>
      <c r="K698" s="7" t="s">
        <v>1072</v>
      </c>
      <c r="L698" s="7" t="s">
        <v>116</v>
      </c>
      <c r="M698" s="31">
        <v>45692</v>
      </c>
      <c r="N698" s="7" t="s">
        <v>1712</v>
      </c>
      <c r="O698" s="8">
        <v>1203</v>
      </c>
      <c r="P698" s="24">
        <v>4156</v>
      </c>
      <c r="Q698" s="22">
        <f>IF(COUNTIFS(A$2:A698,A698,I$2:I698,I698)=1,1,0)</f>
        <v>0</v>
      </c>
      <c r="R698" s="22">
        <f t="shared" si="10"/>
        <v>3</v>
      </c>
      <c r="S698" s="33">
        <f>IF(COUNTIF(O$2:O698,O698)=1,R698,0)/2.5</f>
        <v>0</v>
      </c>
    </row>
    <row r="699" spans="1:19" ht="18" customHeight="1" x14ac:dyDescent="0.25">
      <c r="A699" s="7" t="s">
        <v>43</v>
      </c>
      <c r="B699" s="8">
        <v>1</v>
      </c>
      <c r="C699" s="9">
        <v>452.9</v>
      </c>
      <c r="D699" s="29">
        <f>C699+IF(INDEX('Справочник по %'!B:B,(MATCH(A699,'Справочник по %'!A:A,0)))="кол-во",B699*INDEX('Справочник по %'!C:C,(MATCH(A699,'Справочник по %'!A:A,0))),ОТЧЕТ!C699*INDEX('Справочник по %'!C:C,(MATCH(A699,'Справочник по %'!A:A,0))))/100</f>
        <v>498.19</v>
      </c>
      <c r="E699" s="29">
        <f>IF(ОТЧЕТ!A699="SKU3",C699+ОТЧЕТ!C699*0.2,C699+ОТЧЕТ!C699*0.15)</f>
        <v>520.83499999999992</v>
      </c>
      <c r="F699" s="7" t="s">
        <v>1707</v>
      </c>
      <c r="G699" s="7">
        <v>5249123031</v>
      </c>
      <c r="H699" s="20" t="s">
        <v>50</v>
      </c>
      <c r="I699" s="22" t="str">
        <f>INDEX('Справочник Сети'!B:B,(MATCH(G699,'Справочник Сети'!C:C,0)))</f>
        <v>Столички</v>
      </c>
      <c r="J699" s="7" t="s">
        <v>92</v>
      </c>
      <c r="K699" s="7" t="s">
        <v>1713</v>
      </c>
      <c r="L699" s="7" t="s">
        <v>92</v>
      </c>
      <c r="M699" s="31">
        <v>45714</v>
      </c>
      <c r="N699" s="7" t="s">
        <v>1714</v>
      </c>
      <c r="O699" s="8">
        <v>3097</v>
      </c>
      <c r="P699" s="24">
        <v>4159</v>
      </c>
      <c r="Q699" s="22">
        <f>IF(COUNTIFS(A$2:A699,A699,I$2:I699,I699)=1,1,0)</f>
        <v>0</v>
      </c>
      <c r="R699" s="22">
        <f t="shared" si="10"/>
        <v>2</v>
      </c>
      <c r="S699" s="33">
        <f>IF(COUNTIF(O$2:O699,O699)=1,R699,0)/2.5</f>
        <v>0</v>
      </c>
    </row>
    <row r="700" spans="1:19" ht="18" customHeight="1" x14ac:dyDescent="0.25">
      <c r="A700" s="7" t="s">
        <v>37</v>
      </c>
      <c r="B700" s="8">
        <v>1</v>
      </c>
      <c r="C700" s="9">
        <v>597</v>
      </c>
      <c r="D700" s="29">
        <f>C700+IF(INDEX('Справочник по %'!B:B,(MATCH(A700,'Справочник по %'!A:A,0)))="кол-во",B700*INDEX('Справочник по %'!C:C,(MATCH(A700,'Справочник по %'!A:A,0))),ОТЧЕТ!C700*INDEX('Справочник по %'!C:C,(MATCH(A700,'Справочник по %'!A:A,0))))/100</f>
        <v>597.20000000000005</v>
      </c>
      <c r="E700" s="29">
        <f>IF(ОТЧЕТ!A700="SKU3",C700+ОТЧЕТ!C700*0.2,C700+ОТЧЕТ!C700*0.15)</f>
        <v>686.55</v>
      </c>
      <c r="F700" s="7" t="s">
        <v>1707</v>
      </c>
      <c r="G700" s="7">
        <v>7722765724</v>
      </c>
      <c r="H700" s="20" t="s">
        <v>464</v>
      </c>
      <c r="I700" s="22">
        <f>INDEX('Справочник Сети'!B:B,(MATCH(G700,'Справочник Сети'!C:C,0)))</f>
        <v>0</v>
      </c>
      <c r="J700" s="7" t="s">
        <v>185</v>
      </c>
      <c r="K700" s="7" t="s">
        <v>1103</v>
      </c>
      <c r="L700" s="7" t="s">
        <v>185</v>
      </c>
      <c r="M700" s="31">
        <v>45675</v>
      </c>
      <c r="N700" s="7" t="s">
        <v>1715</v>
      </c>
      <c r="O700" s="8">
        <v>3309</v>
      </c>
      <c r="P700" s="24">
        <v>4162</v>
      </c>
      <c r="Q700" s="22">
        <f>IF(COUNTIFS(A$2:A700,A700,I$2:I700,I700)=1,1,0)</f>
        <v>0</v>
      </c>
      <c r="R700" s="22">
        <f t="shared" si="10"/>
        <v>1</v>
      </c>
      <c r="S700" s="33">
        <f>IF(COUNTIF(O$2:O700,O700)=1,R700,0)/2.5</f>
        <v>0.4</v>
      </c>
    </row>
    <row r="701" spans="1:19" ht="18" customHeight="1" x14ac:dyDescent="0.25">
      <c r="A701" s="7" t="s">
        <v>43</v>
      </c>
      <c r="B701" s="8">
        <v>1</v>
      </c>
      <c r="C701" s="9">
        <v>359</v>
      </c>
      <c r="D701" s="29">
        <f>C701+IF(INDEX('Справочник по %'!B:B,(MATCH(A701,'Справочник по %'!A:A,0)))="кол-во",B701*INDEX('Справочник по %'!C:C,(MATCH(A701,'Справочник по %'!A:A,0))),ОТЧЕТ!C701*INDEX('Справочник по %'!C:C,(MATCH(A701,'Справочник по %'!A:A,0))))/100</f>
        <v>394.9</v>
      </c>
      <c r="E701" s="29">
        <f>IF(ОТЧЕТ!A701="SKU3",C701+ОТЧЕТ!C701*0.2,C701+ОТЧЕТ!C701*0.15)</f>
        <v>412.85</v>
      </c>
      <c r="F701" s="7" t="s">
        <v>1716</v>
      </c>
      <c r="G701" s="7">
        <v>5902058784</v>
      </c>
      <c r="H701" s="20" t="s">
        <v>39</v>
      </c>
      <c r="I701" s="22" t="str">
        <f>INDEX('Справочник Сети'!B:B,(MATCH(G701,'Справочник Сети'!C:C,0)))</f>
        <v>Планета здоровья</v>
      </c>
      <c r="J701" s="7" t="s">
        <v>40</v>
      </c>
      <c r="K701" s="7" t="s">
        <v>1717</v>
      </c>
      <c r="L701" s="7" t="s">
        <v>40</v>
      </c>
      <c r="M701" s="31">
        <v>45712</v>
      </c>
      <c r="N701" s="7" t="s">
        <v>1718</v>
      </c>
      <c r="O701" s="8">
        <v>1384</v>
      </c>
      <c r="P701" s="24">
        <v>4165</v>
      </c>
      <c r="Q701" s="22">
        <f>IF(COUNTIFS(A$2:A701,A701,I$2:I701,I701)=1,1,0)</f>
        <v>0</v>
      </c>
      <c r="R701" s="22">
        <f t="shared" si="10"/>
        <v>1</v>
      </c>
      <c r="S701" s="33">
        <f>IF(COUNTIF(O$2:O701,O701)=1,R701,0)/2.5</f>
        <v>0.4</v>
      </c>
    </row>
    <row r="702" spans="1:19" ht="18" customHeight="1" x14ac:dyDescent="0.25">
      <c r="A702" s="7" t="s">
        <v>43</v>
      </c>
      <c r="B702" s="8">
        <v>1</v>
      </c>
      <c r="C702" s="9">
        <v>435</v>
      </c>
      <c r="D702" s="29">
        <f>C702+IF(INDEX('Справочник по %'!B:B,(MATCH(A702,'Справочник по %'!A:A,0)))="кол-во",B702*INDEX('Справочник по %'!C:C,(MATCH(A702,'Справочник по %'!A:A,0))),ОТЧЕТ!C702*INDEX('Справочник по %'!C:C,(MATCH(A702,'Справочник по %'!A:A,0))))/100</f>
        <v>478.5</v>
      </c>
      <c r="E702" s="29">
        <f>IF(ОТЧЕТ!A702="SKU3",C702+ОТЧЕТ!C702*0.2,C702+ОТЧЕТ!C702*0.15)</f>
        <v>500.25</v>
      </c>
      <c r="F702" s="7" t="s">
        <v>1719</v>
      </c>
      <c r="G702" s="7">
        <v>2204092892</v>
      </c>
      <c r="H702" s="20" t="s">
        <v>50</v>
      </c>
      <c r="I702" s="22">
        <f>INDEX('Справочник Сети'!B:B,(MATCH(G702,'Справочник Сети'!C:C,0)))</f>
        <v>0</v>
      </c>
      <c r="J702" s="7" t="s">
        <v>372</v>
      </c>
      <c r="K702" s="7" t="s">
        <v>1720</v>
      </c>
      <c r="L702" s="7" t="s">
        <v>372</v>
      </c>
      <c r="M702" s="31">
        <v>45730</v>
      </c>
      <c r="N702" s="7" t="s">
        <v>1721</v>
      </c>
      <c r="O702" s="8">
        <v>161</v>
      </c>
      <c r="P702" s="24">
        <v>4167</v>
      </c>
      <c r="Q702" s="22">
        <f>IF(COUNTIFS(A$2:A702,A702,I$2:I702,I702)=1,1,0)</f>
        <v>0</v>
      </c>
      <c r="R702" s="22">
        <f t="shared" si="10"/>
        <v>2</v>
      </c>
      <c r="S702" s="33">
        <f>IF(COUNTIF(O$2:O702,O702)=1,R702,0)/2.5</f>
        <v>0.8</v>
      </c>
    </row>
    <row r="703" spans="1:19" ht="18" customHeight="1" x14ac:dyDescent="0.25">
      <c r="A703" s="7" t="s">
        <v>37</v>
      </c>
      <c r="B703" s="8">
        <v>1</v>
      </c>
      <c r="C703" s="9">
        <v>589.9</v>
      </c>
      <c r="D703" s="29">
        <f>C703+IF(INDEX('Справочник по %'!B:B,(MATCH(A703,'Справочник по %'!A:A,0)))="кол-во",B703*INDEX('Справочник по %'!C:C,(MATCH(A703,'Справочник по %'!A:A,0))),ОТЧЕТ!C703*INDEX('Справочник по %'!C:C,(MATCH(A703,'Справочник по %'!A:A,0))))/100</f>
        <v>590.1</v>
      </c>
      <c r="E703" s="29">
        <f>IF(ОТЧЕТ!A703="SKU3",C703+ОТЧЕТ!C703*0.2,C703+ОТЧЕТ!C703*0.15)</f>
        <v>678.38499999999999</v>
      </c>
      <c r="F703" s="7" t="s">
        <v>1722</v>
      </c>
      <c r="G703" s="7">
        <v>7204146152</v>
      </c>
      <c r="H703" s="20" t="s">
        <v>1009</v>
      </c>
      <c r="I703" s="22" t="str">
        <f>INDEX('Справочник Сети'!B:B,(MATCH(G703,'Справочник Сети'!C:C,0)))</f>
        <v>36,6</v>
      </c>
      <c r="J703" s="7" t="s">
        <v>104</v>
      </c>
      <c r="K703" s="7" t="s">
        <v>621</v>
      </c>
      <c r="L703" s="7" t="s">
        <v>106</v>
      </c>
      <c r="M703" s="31">
        <v>45694</v>
      </c>
      <c r="N703" s="7" t="s">
        <v>1723</v>
      </c>
      <c r="O703" s="8">
        <v>771</v>
      </c>
      <c r="P703" s="24">
        <v>4168</v>
      </c>
      <c r="Q703" s="22">
        <f>IF(COUNTIFS(A$2:A703,A703,I$2:I703,I703)=1,1,0)</f>
        <v>0</v>
      </c>
      <c r="R703" s="22">
        <f t="shared" si="10"/>
        <v>5</v>
      </c>
      <c r="S703" s="33">
        <f>IF(COUNTIF(O$2:O703,O703)=1,R703,0)/2.5</f>
        <v>0</v>
      </c>
    </row>
    <row r="704" spans="1:19" ht="18" customHeight="1" x14ac:dyDescent="0.25">
      <c r="A704" s="7" t="s">
        <v>43</v>
      </c>
      <c r="B704" s="8">
        <v>1</v>
      </c>
      <c r="C704" s="9">
        <v>396.9</v>
      </c>
      <c r="D704" s="29">
        <f>C704+IF(INDEX('Справочник по %'!B:B,(MATCH(A704,'Справочник по %'!A:A,0)))="кол-во",B704*INDEX('Справочник по %'!C:C,(MATCH(A704,'Справочник по %'!A:A,0))),ОТЧЕТ!C704*INDEX('Справочник по %'!C:C,(MATCH(A704,'Справочник по %'!A:A,0))))/100</f>
        <v>436.59</v>
      </c>
      <c r="E704" s="29">
        <f>IF(ОТЧЕТ!A704="SKU3",C704+ОТЧЕТ!C704*0.2,C704+ОТЧЕТ!C704*0.15)</f>
        <v>456.43499999999995</v>
      </c>
      <c r="F704" s="7" t="s">
        <v>1722</v>
      </c>
      <c r="G704" s="7">
        <v>2466189073</v>
      </c>
      <c r="H704" s="20" t="s">
        <v>1724</v>
      </c>
      <c r="I704" s="22" t="str">
        <f>INDEX('Справочник Сети'!B:B,(MATCH(G704,'Справочник Сети'!C:C,0)))</f>
        <v>Нео-фарм</v>
      </c>
      <c r="J704" s="7" t="s">
        <v>96</v>
      </c>
      <c r="K704" s="7" t="s">
        <v>1720</v>
      </c>
      <c r="L704" s="7" t="s">
        <v>96</v>
      </c>
      <c r="M704" s="31">
        <v>45727</v>
      </c>
      <c r="N704" s="7" t="s">
        <v>1725</v>
      </c>
      <c r="O704" s="8">
        <v>175</v>
      </c>
      <c r="P704" s="24">
        <v>4169</v>
      </c>
      <c r="Q704" s="22">
        <f>IF(COUNTIFS(A$2:A704,A704,I$2:I704,I704)=1,1,0)</f>
        <v>0</v>
      </c>
      <c r="R704" s="22">
        <f t="shared" si="10"/>
        <v>2</v>
      </c>
      <c r="S704" s="33">
        <f>IF(COUNTIF(O$2:O704,O704)=1,R704,0)/2.5</f>
        <v>0.8</v>
      </c>
    </row>
    <row r="705" spans="1:19" ht="18" customHeight="1" x14ac:dyDescent="0.25">
      <c r="A705" s="7" t="s">
        <v>37</v>
      </c>
      <c r="B705" s="8">
        <v>1</v>
      </c>
      <c r="C705" s="9">
        <v>673</v>
      </c>
      <c r="D705" s="29">
        <f>C705+IF(INDEX('Справочник по %'!B:B,(MATCH(A705,'Справочник по %'!A:A,0)))="кол-во",B705*INDEX('Справочник по %'!C:C,(MATCH(A705,'Справочник по %'!A:A,0))),ОТЧЕТ!C705*INDEX('Справочник по %'!C:C,(MATCH(A705,'Справочник по %'!A:A,0))))/100</f>
        <v>673.2</v>
      </c>
      <c r="E705" s="29">
        <f>IF(ОТЧЕТ!A705="SKU3",C705+ОТЧЕТ!C705*0.2,C705+ОТЧЕТ!C705*0.15)</f>
        <v>773.95</v>
      </c>
      <c r="F705" s="7" t="s">
        <v>1722</v>
      </c>
      <c r="G705" s="7">
        <v>4705071640</v>
      </c>
      <c r="H705" s="20" t="s">
        <v>50</v>
      </c>
      <c r="I705" s="22" t="str">
        <f>INDEX('Справочник Сети'!B:B,(MATCH(G705,'Справочник Сети'!C:C,0)))</f>
        <v>Планета здоровья</v>
      </c>
      <c r="J705" s="7" t="s">
        <v>83</v>
      </c>
      <c r="K705" s="7" t="s">
        <v>1678</v>
      </c>
      <c r="L705" s="7" t="s">
        <v>83</v>
      </c>
      <c r="M705" s="31">
        <v>45715</v>
      </c>
      <c r="N705" s="7" t="s">
        <v>1726</v>
      </c>
      <c r="O705" s="8">
        <v>3007</v>
      </c>
      <c r="P705" s="24">
        <v>4174</v>
      </c>
      <c r="Q705" s="22">
        <f>IF(COUNTIFS(A$2:A705,A705,I$2:I705,I705)=1,1,0)</f>
        <v>0</v>
      </c>
      <c r="R705" s="22">
        <f t="shared" si="10"/>
        <v>2</v>
      </c>
      <c r="S705" s="33">
        <f>IF(COUNTIF(O$2:O705,O705)=1,R705,0)/2.5</f>
        <v>0.8</v>
      </c>
    </row>
    <row r="706" spans="1:19" ht="18" customHeight="1" x14ac:dyDescent="0.25">
      <c r="A706" s="7" t="s">
        <v>43</v>
      </c>
      <c r="B706" s="8">
        <v>1</v>
      </c>
      <c r="C706" s="9">
        <v>400.81</v>
      </c>
      <c r="D706" s="29">
        <f>C706+IF(INDEX('Справочник по %'!B:B,(MATCH(A706,'Справочник по %'!A:A,0)))="кол-во",B706*INDEX('Справочник по %'!C:C,(MATCH(A706,'Справочник по %'!A:A,0))),ОТЧЕТ!C706*INDEX('Справочник по %'!C:C,(MATCH(A706,'Справочник по %'!A:A,0))))/100</f>
        <v>440.89100000000002</v>
      </c>
      <c r="E706" s="29">
        <f>IF(ОТЧЕТ!A706="SKU3",C706+ОТЧЕТ!C706*0.2,C706+ОТЧЕТ!C706*0.15)</f>
        <v>460.93150000000003</v>
      </c>
      <c r="F706" s="7" t="s">
        <v>1727</v>
      </c>
      <c r="G706" s="7">
        <v>2222896536</v>
      </c>
      <c r="H706" s="20" t="s">
        <v>50</v>
      </c>
      <c r="I706" s="22" t="str">
        <f>INDEX('Справочник Сети'!B:B,(MATCH(G706,'Справочник Сети'!C:C,0)))</f>
        <v>Нео-фарм</v>
      </c>
      <c r="J706" s="7" t="s">
        <v>372</v>
      </c>
      <c r="K706" s="7" t="s">
        <v>254</v>
      </c>
      <c r="L706" s="7" t="s">
        <v>372</v>
      </c>
      <c r="M706" s="31">
        <v>45730</v>
      </c>
      <c r="N706" s="7" t="s">
        <v>1728</v>
      </c>
      <c r="O706" s="8">
        <v>1918</v>
      </c>
      <c r="P706" s="24">
        <v>4183</v>
      </c>
      <c r="Q706" s="22">
        <f>IF(COUNTIFS(A$2:A706,A706,I$2:I706,I706)=1,1,0)</f>
        <v>0</v>
      </c>
      <c r="R706" s="22">
        <f t="shared" si="10"/>
        <v>13</v>
      </c>
      <c r="S706" s="33">
        <f>IF(COUNTIF(O$2:O706,O706)=1,R706,0)/2.5</f>
        <v>0</v>
      </c>
    </row>
    <row r="707" spans="1:19" ht="18" customHeight="1" x14ac:dyDescent="0.25">
      <c r="A707" s="7" t="s">
        <v>43</v>
      </c>
      <c r="B707" s="8">
        <v>1</v>
      </c>
      <c r="C707" s="9">
        <v>373</v>
      </c>
      <c r="D707" s="29">
        <f>C707+IF(INDEX('Справочник по %'!B:B,(MATCH(A707,'Справочник по %'!A:A,0)))="кол-во",B707*INDEX('Справочник по %'!C:C,(MATCH(A707,'Справочник по %'!A:A,0))),ОТЧЕТ!C707*INDEX('Справочник по %'!C:C,(MATCH(A707,'Справочник по %'!A:A,0))))/100</f>
        <v>410.3</v>
      </c>
      <c r="E707" s="29">
        <f>IF(ОТЧЕТ!A707="SKU3",C707+ОТЧЕТ!C707*0.2,C707+ОТЧЕТ!C707*0.15)</f>
        <v>428.95</v>
      </c>
      <c r="F707" s="7" t="s">
        <v>1729</v>
      </c>
      <c r="G707" s="7">
        <v>5038049773</v>
      </c>
      <c r="H707" s="20" t="s">
        <v>700</v>
      </c>
      <c r="I707" s="22">
        <f>INDEX('Справочник Сети'!B:B,(MATCH(G707,'Справочник Сети'!C:C,0)))</f>
        <v>0</v>
      </c>
      <c r="J707" s="7" t="s">
        <v>92</v>
      </c>
      <c r="K707" s="7" t="s">
        <v>1730</v>
      </c>
      <c r="L707" s="7" t="s">
        <v>92</v>
      </c>
      <c r="M707" s="31">
        <v>45714</v>
      </c>
      <c r="N707" s="7" t="s">
        <v>1731</v>
      </c>
      <c r="O707" s="8">
        <v>2782</v>
      </c>
      <c r="P707" s="24">
        <v>4191</v>
      </c>
      <c r="Q707" s="22">
        <f>IF(COUNTIFS(A$2:A707,A707,I$2:I707,I707)=1,1,0)</f>
        <v>0</v>
      </c>
      <c r="R707" s="22">
        <f t="shared" ref="R707:R770" si="11">COUNTIF(O:O,O707)</f>
        <v>1</v>
      </c>
      <c r="S707" s="33">
        <f>IF(COUNTIF(O$2:O707,O707)=1,R707,0)/2.5</f>
        <v>0.4</v>
      </c>
    </row>
    <row r="708" spans="1:19" ht="18" customHeight="1" x14ac:dyDescent="0.25">
      <c r="A708" s="7" t="s">
        <v>43</v>
      </c>
      <c r="B708" s="8">
        <v>1</v>
      </c>
      <c r="C708" s="9">
        <v>426.3</v>
      </c>
      <c r="D708" s="29">
        <f>C708+IF(INDEX('Справочник по %'!B:B,(MATCH(A708,'Справочник по %'!A:A,0)))="кол-во",B708*INDEX('Справочник по %'!C:C,(MATCH(A708,'Справочник по %'!A:A,0))),ОТЧЕТ!C708*INDEX('Справочник по %'!C:C,(MATCH(A708,'Справочник по %'!A:A,0))))/100</f>
        <v>468.93</v>
      </c>
      <c r="E708" s="29">
        <f>IF(ОТЧЕТ!A708="SKU3",C708+ОТЧЕТ!C708*0.2,C708+ОТЧЕТ!C708*0.15)</f>
        <v>490.245</v>
      </c>
      <c r="F708" s="7" t="s">
        <v>1729</v>
      </c>
      <c r="G708" s="7">
        <v>390602906775</v>
      </c>
      <c r="H708" s="20" t="s">
        <v>1732</v>
      </c>
      <c r="I708" s="22">
        <f>INDEX('Справочник Сети'!B:B,(MATCH(G708,'Справочник Сети'!C:C,0)))</f>
        <v>0</v>
      </c>
      <c r="J708" s="7" t="s">
        <v>110</v>
      </c>
      <c r="K708" s="7" t="s">
        <v>1289</v>
      </c>
      <c r="L708" s="7" t="s">
        <v>110</v>
      </c>
      <c r="M708" s="31">
        <v>45660</v>
      </c>
      <c r="N708" s="7" t="s">
        <v>1733</v>
      </c>
      <c r="O708" s="8">
        <v>2609</v>
      </c>
      <c r="P708" s="24">
        <v>4194</v>
      </c>
      <c r="Q708" s="22">
        <f>IF(COUNTIFS(A$2:A708,A708,I$2:I708,I708)=1,1,0)</f>
        <v>0</v>
      </c>
      <c r="R708" s="22">
        <f t="shared" si="11"/>
        <v>1</v>
      </c>
      <c r="S708" s="33">
        <f>IF(COUNTIF(O$2:O708,O708)=1,R708,0)/2.5</f>
        <v>0.4</v>
      </c>
    </row>
    <row r="709" spans="1:19" ht="18" customHeight="1" x14ac:dyDescent="0.25">
      <c r="A709" s="7" t="s">
        <v>37</v>
      </c>
      <c r="B709" s="8">
        <v>1</v>
      </c>
      <c r="C709" s="9">
        <v>644.1</v>
      </c>
      <c r="D709" s="29">
        <f>C709+IF(INDEX('Справочник по %'!B:B,(MATCH(A709,'Справочник по %'!A:A,0)))="кол-во",B709*INDEX('Справочник по %'!C:C,(MATCH(A709,'Справочник по %'!A:A,0))),ОТЧЕТ!C709*INDEX('Справочник по %'!C:C,(MATCH(A709,'Справочник по %'!A:A,0))))/100</f>
        <v>644.30000000000007</v>
      </c>
      <c r="E709" s="29">
        <f>IF(ОТЧЕТ!A709="SKU3",C709+ОТЧЕТ!C709*0.2,C709+ОТЧЕТ!C709*0.15)</f>
        <v>740.71500000000003</v>
      </c>
      <c r="F709" s="7" t="s">
        <v>1729</v>
      </c>
      <c r="G709" s="7">
        <v>7840411560</v>
      </c>
      <c r="H709" s="20" t="s">
        <v>1734</v>
      </c>
      <c r="I709" s="22" t="str">
        <f>INDEX('Справочник Сети'!B:B,(MATCH(G709,'Справочник Сети'!C:C,0)))</f>
        <v>Столички</v>
      </c>
      <c r="J709" s="7" t="s">
        <v>315</v>
      </c>
      <c r="K709" s="7" t="s">
        <v>330</v>
      </c>
      <c r="L709" s="7" t="s">
        <v>315</v>
      </c>
      <c r="M709" s="31">
        <v>45670</v>
      </c>
      <c r="N709" s="7" t="s">
        <v>1735</v>
      </c>
      <c r="O709" s="8">
        <v>1548</v>
      </c>
      <c r="P709" s="24">
        <v>4195</v>
      </c>
      <c r="Q709" s="22">
        <f>IF(COUNTIFS(A$2:A709,A709,I$2:I709,I709)=1,1,0)</f>
        <v>0</v>
      </c>
      <c r="R709" s="22">
        <f t="shared" si="11"/>
        <v>1</v>
      </c>
      <c r="S709" s="33">
        <f>IF(COUNTIF(O$2:O709,O709)=1,R709,0)/2.5</f>
        <v>0.4</v>
      </c>
    </row>
    <row r="710" spans="1:19" ht="18" customHeight="1" x14ac:dyDescent="0.25">
      <c r="A710" s="7" t="s">
        <v>43</v>
      </c>
      <c r="B710" s="8">
        <v>1</v>
      </c>
      <c r="C710" s="9">
        <v>434</v>
      </c>
      <c r="D710" s="29">
        <f>C710+IF(INDEX('Справочник по %'!B:B,(MATCH(A710,'Справочник по %'!A:A,0)))="кол-во",B710*INDEX('Справочник по %'!C:C,(MATCH(A710,'Справочник по %'!A:A,0))),ОТЧЕТ!C710*INDEX('Справочник по %'!C:C,(MATCH(A710,'Справочник по %'!A:A,0))))/100</f>
        <v>477.4</v>
      </c>
      <c r="E710" s="29">
        <f>IF(ОТЧЕТ!A710="SKU3",C710+ОТЧЕТ!C710*0.2,C710+ОТЧЕТ!C710*0.15)</f>
        <v>499.1</v>
      </c>
      <c r="F710" s="7" t="s">
        <v>1736</v>
      </c>
      <c r="G710" s="7">
        <v>9102236756</v>
      </c>
      <c r="H710" s="20" t="s">
        <v>50</v>
      </c>
      <c r="I710" s="22">
        <f>INDEX('Справочник Сети'!B:B,(MATCH(G710,'Справочник Сети'!C:C,0)))</f>
        <v>0</v>
      </c>
      <c r="J710" s="7" t="s">
        <v>737</v>
      </c>
      <c r="K710" s="7" t="s">
        <v>565</v>
      </c>
      <c r="L710" s="7" t="s">
        <v>315</v>
      </c>
      <c r="M710" s="31">
        <v>45670</v>
      </c>
      <c r="N710" s="7" t="s">
        <v>1737</v>
      </c>
      <c r="O710" s="8">
        <v>603</v>
      </c>
      <c r="P710" s="24">
        <v>4198</v>
      </c>
      <c r="Q710" s="22">
        <f>IF(COUNTIFS(A$2:A710,A710,I$2:I710,I710)=1,1,0)</f>
        <v>0</v>
      </c>
      <c r="R710" s="22">
        <f t="shared" si="11"/>
        <v>1</v>
      </c>
      <c r="S710" s="33">
        <f>IF(COUNTIF(O$2:O710,O710)=1,R710,0)/2.5</f>
        <v>0.4</v>
      </c>
    </row>
    <row r="711" spans="1:19" ht="18" customHeight="1" x14ac:dyDescent="0.25">
      <c r="A711" s="7" t="s">
        <v>43</v>
      </c>
      <c r="B711" s="8">
        <v>1</v>
      </c>
      <c r="C711" s="9">
        <v>384.23</v>
      </c>
      <c r="D711" s="29">
        <f>C711+IF(INDEX('Справочник по %'!B:B,(MATCH(A711,'Справочник по %'!A:A,0)))="кол-во",B711*INDEX('Справочник по %'!C:C,(MATCH(A711,'Справочник по %'!A:A,0))),ОТЧЕТ!C711*INDEX('Справочник по %'!C:C,(MATCH(A711,'Справочник по %'!A:A,0))))/100</f>
        <v>422.65300000000002</v>
      </c>
      <c r="E711" s="29">
        <f>IF(ОТЧЕТ!A711="SKU3",C711+ОТЧЕТ!C711*0.2,C711+ОТЧЕТ!C711*0.15)</f>
        <v>441.86450000000002</v>
      </c>
      <c r="F711" s="7" t="s">
        <v>1736</v>
      </c>
      <c r="G711" s="7">
        <v>6166125005</v>
      </c>
      <c r="H711" s="20" t="s">
        <v>1738</v>
      </c>
      <c r="I711" s="22" t="str">
        <f>INDEX('Справочник Сети'!B:B,(MATCH(G711,'Справочник Сети'!C:C,0)))</f>
        <v>Столички</v>
      </c>
      <c r="J711" s="7" t="s">
        <v>203</v>
      </c>
      <c r="K711" s="7" t="s">
        <v>224</v>
      </c>
      <c r="L711" s="7" t="s">
        <v>203</v>
      </c>
      <c r="M711" s="31">
        <v>45696</v>
      </c>
      <c r="N711" s="7" t="s">
        <v>1739</v>
      </c>
      <c r="O711" s="8">
        <v>1793</v>
      </c>
      <c r="P711" s="24">
        <v>4199</v>
      </c>
      <c r="Q711" s="22">
        <f>IF(COUNTIFS(A$2:A711,A711,I$2:I711,I711)=1,1,0)</f>
        <v>0</v>
      </c>
      <c r="R711" s="22">
        <f t="shared" si="11"/>
        <v>2</v>
      </c>
      <c r="S711" s="33">
        <f>IF(COUNTIF(O$2:O711,O711)=1,R711,0)/2.5</f>
        <v>0.8</v>
      </c>
    </row>
    <row r="712" spans="1:19" ht="18" customHeight="1" x14ac:dyDescent="0.25">
      <c r="A712" s="7" t="s">
        <v>43</v>
      </c>
      <c r="B712" s="8">
        <v>1</v>
      </c>
      <c r="C712" s="9">
        <v>459</v>
      </c>
      <c r="D712" s="29">
        <f>C712+IF(INDEX('Справочник по %'!B:B,(MATCH(A712,'Справочник по %'!A:A,0)))="кол-во",B712*INDEX('Справочник по %'!C:C,(MATCH(A712,'Справочник по %'!A:A,0))),ОТЧЕТ!C712*INDEX('Справочник по %'!C:C,(MATCH(A712,'Справочник по %'!A:A,0))))/100</f>
        <v>504.9</v>
      </c>
      <c r="E712" s="29">
        <f>IF(ОТЧЕТ!A712="SKU3",C712+ОТЧЕТ!C712*0.2,C712+ОТЧЕТ!C712*0.15)</f>
        <v>527.85</v>
      </c>
      <c r="F712" s="7" t="s">
        <v>1740</v>
      </c>
      <c r="G712" s="7">
        <v>6658501504</v>
      </c>
      <c r="H712" s="20" t="s">
        <v>91</v>
      </c>
      <c r="I712" s="22">
        <f>INDEX('Справочник Сети'!B:B,(MATCH(G712,'Справочник Сети'!C:C,0)))</f>
        <v>0</v>
      </c>
      <c r="J712" s="7" t="s">
        <v>133</v>
      </c>
      <c r="K712" s="7" t="s">
        <v>969</v>
      </c>
      <c r="L712" s="7" t="s">
        <v>133</v>
      </c>
      <c r="M712" s="31">
        <v>45695</v>
      </c>
      <c r="N712" s="7" t="s">
        <v>1741</v>
      </c>
      <c r="O712" s="8">
        <v>2574</v>
      </c>
      <c r="P712" s="24">
        <v>4202</v>
      </c>
      <c r="Q712" s="22">
        <f>IF(COUNTIFS(A$2:A712,A712,I$2:I712,I712)=1,1,0)</f>
        <v>0</v>
      </c>
      <c r="R712" s="22">
        <f t="shared" si="11"/>
        <v>1</v>
      </c>
      <c r="S712" s="33">
        <f>IF(COUNTIF(O$2:O712,O712)=1,R712,0)/2.5</f>
        <v>0.4</v>
      </c>
    </row>
    <row r="713" spans="1:19" ht="18" customHeight="1" x14ac:dyDescent="0.25">
      <c r="A713" s="7" t="s">
        <v>43</v>
      </c>
      <c r="B713" s="8">
        <v>1</v>
      </c>
      <c r="C713" s="9">
        <v>499</v>
      </c>
      <c r="D713" s="29">
        <f>C713+IF(INDEX('Справочник по %'!B:B,(MATCH(A713,'Справочник по %'!A:A,0)))="кол-во",B713*INDEX('Справочник по %'!C:C,(MATCH(A713,'Справочник по %'!A:A,0))),ОТЧЕТ!C713*INDEX('Справочник по %'!C:C,(MATCH(A713,'Справочник по %'!A:A,0))))/100</f>
        <v>548.9</v>
      </c>
      <c r="E713" s="29">
        <f>IF(ОТЧЕТ!A713="SKU3",C713+ОТЧЕТ!C713*0.2,C713+ОТЧЕТ!C713*0.15)</f>
        <v>573.85</v>
      </c>
      <c r="F713" s="7" t="s">
        <v>1740</v>
      </c>
      <c r="G713" s="7">
        <v>2225198434</v>
      </c>
      <c r="H713" s="20" t="s">
        <v>91</v>
      </c>
      <c r="I713" s="22">
        <f>INDEX('Справочник Сети'!B:B,(MATCH(G713,'Справочник Сети'!C:C,0)))</f>
        <v>0</v>
      </c>
      <c r="J713" s="7" t="s">
        <v>372</v>
      </c>
      <c r="K713" s="7" t="s">
        <v>1742</v>
      </c>
      <c r="L713" s="7" t="s">
        <v>372</v>
      </c>
      <c r="M713" s="31">
        <v>45730</v>
      </c>
      <c r="N713" s="7" t="s">
        <v>1743</v>
      </c>
      <c r="O713" s="8">
        <v>188</v>
      </c>
      <c r="P713" s="24">
        <v>4203</v>
      </c>
      <c r="Q713" s="22">
        <f>IF(COUNTIFS(A$2:A713,A713,I$2:I713,I713)=1,1,0)</f>
        <v>0</v>
      </c>
      <c r="R713" s="22">
        <f t="shared" si="11"/>
        <v>5</v>
      </c>
      <c r="S713" s="33">
        <f>IF(COUNTIF(O$2:O713,O713)=1,R713,0)/2.5</f>
        <v>0</v>
      </c>
    </row>
    <row r="714" spans="1:19" ht="18" customHeight="1" x14ac:dyDescent="0.25">
      <c r="A714" s="7" t="s">
        <v>37</v>
      </c>
      <c r="B714" s="8">
        <v>1</v>
      </c>
      <c r="C714" s="9">
        <v>536.29</v>
      </c>
      <c r="D714" s="29">
        <f>C714+IF(INDEX('Справочник по %'!B:B,(MATCH(A714,'Справочник по %'!A:A,0)))="кол-во",B714*INDEX('Справочник по %'!C:C,(MATCH(A714,'Справочник по %'!A:A,0))),ОТЧЕТ!C714*INDEX('Справочник по %'!C:C,(MATCH(A714,'Справочник по %'!A:A,0))))/100</f>
        <v>536.49</v>
      </c>
      <c r="E714" s="29">
        <f>IF(ОТЧЕТ!A714="SKU3",C714+ОТЧЕТ!C714*0.2,C714+ОТЧЕТ!C714*0.15)</f>
        <v>616.73349999999994</v>
      </c>
      <c r="F714" s="7" t="s">
        <v>1740</v>
      </c>
      <c r="G714" s="7">
        <v>7732121736</v>
      </c>
      <c r="H714" s="20" t="s">
        <v>1744</v>
      </c>
      <c r="I714" s="22" t="str">
        <f>INDEX('Справочник Сети'!B:B,(MATCH(G714,'Справочник Сети'!C:C,0)))</f>
        <v>Планета здоровья</v>
      </c>
      <c r="J714" s="7" t="s">
        <v>149</v>
      </c>
      <c r="K714" s="7" t="s">
        <v>1745</v>
      </c>
      <c r="L714" s="7" t="s">
        <v>149</v>
      </c>
      <c r="M714" s="31">
        <v>45673</v>
      </c>
      <c r="N714" s="7" t="s">
        <v>1746</v>
      </c>
      <c r="O714" s="8">
        <v>3595</v>
      </c>
      <c r="P714" s="24">
        <v>4205</v>
      </c>
      <c r="Q714" s="22">
        <f>IF(COUNTIFS(A$2:A714,A714,I$2:I714,I714)=1,1,0)</f>
        <v>0</v>
      </c>
      <c r="R714" s="22">
        <f t="shared" si="11"/>
        <v>1</v>
      </c>
      <c r="S714" s="33">
        <f>IF(COUNTIF(O$2:O714,O714)=1,R714,0)/2.5</f>
        <v>0.4</v>
      </c>
    </row>
    <row r="715" spans="1:19" ht="18" customHeight="1" x14ac:dyDescent="0.25">
      <c r="A715" s="7" t="s">
        <v>43</v>
      </c>
      <c r="B715" s="8">
        <v>1</v>
      </c>
      <c r="C715" s="9">
        <v>408</v>
      </c>
      <c r="D715" s="29">
        <f>C715+IF(INDEX('Справочник по %'!B:B,(MATCH(A715,'Справочник по %'!A:A,0)))="кол-во",B715*INDEX('Справочник по %'!C:C,(MATCH(A715,'Справочник по %'!A:A,0))),ОТЧЕТ!C715*INDEX('Справочник по %'!C:C,(MATCH(A715,'Справочник по %'!A:A,0))))/100</f>
        <v>448.8</v>
      </c>
      <c r="E715" s="29">
        <f>IF(ОТЧЕТ!A715="SKU3",C715+ОТЧЕТ!C715*0.2,C715+ОТЧЕТ!C715*0.15)</f>
        <v>469.2</v>
      </c>
      <c r="F715" s="7" t="s">
        <v>1740</v>
      </c>
      <c r="G715" s="7">
        <v>2308110232</v>
      </c>
      <c r="H715" s="20" t="s">
        <v>69</v>
      </c>
      <c r="I715" s="22" t="str">
        <f>INDEX('Справочник Сети'!B:B,(MATCH(G715,'Справочник Сети'!C:C,0)))</f>
        <v>Нео-фарм</v>
      </c>
      <c r="J715" s="7" t="s">
        <v>372</v>
      </c>
      <c r="K715" s="7" t="s">
        <v>1296</v>
      </c>
      <c r="L715" s="7" t="s">
        <v>372</v>
      </c>
      <c r="M715" s="31">
        <v>45730</v>
      </c>
      <c r="N715" s="7" t="s">
        <v>1747</v>
      </c>
      <c r="O715" s="8">
        <v>1523</v>
      </c>
      <c r="P715" s="24">
        <v>4207</v>
      </c>
      <c r="Q715" s="22">
        <f>IF(COUNTIFS(A$2:A715,A715,I$2:I715,I715)=1,1,0)</f>
        <v>0</v>
      </c>
      <c r="R715" s="22">
        <f t="shared" si="11"/>
        <v>5</v>
      </c>
      <c r="S715" s="33">
        <f>IF(COUNTIF(O$2:O715,O715)=1,R715,0)/2.5</f>
        <v>0</v>
      </c>
    </row>
    <row r="716" spans="1:19" ht="18" customHeight="1" x14ac:dyDescent="0.25">
      <c r="A716" s="7" t="s">
        <v>43</v>
      </c>
      <c r="B716" s="8">
        <v>1</v>
      </c>
      <c r="C716" s="9">
        <v>453</v>
      </c>
      <c r="D716" s="29">
        <f>C716+IF(INDEX('Справочник по %'!B:B,(MATCH(A716,'Справочник по %'!A:A,0)))="кол-во",B716*INDEX('Справочник по %'!C:C,(MATCH(A716,'Справочник по %'!A:A,0))),ОТЧЕТ!C716*INDEX('Справочник по %'!C:C,(MATCH(A716,'Справочник по %'!A:A,0))))/100</f>
        <v>498.3</v>
      </c>
      <c r="E716" s="29">
        <f>IF(ОТЧЕТ!A716="SKU3",C716+ОТЧЕТ!C716*0.2,C716+ОТЧЕТ!C716*0.15)</f>
        <v>520.95000000000005</v>
      </c>
      <c r="F716" s="7" t="s">
        <v>1740</v>
      </c>
      <c r="G716" s="7">
        <v>5405074850</v>
      </c>
      <c r="H716" s="20" t="s">
        <v>50</v>
      </c>
      <c r="I716" s="22" t="str">
        <f>INDEX('Справочник Сети'!B:B,(MATCH(G716,'Справочник Сети'!C:C,0)))</f>
        <v>Ригла</v>
      </c>
      <c r="J716" s="7" t="s">
        <v>92</v>
      </c>
      <c r="K716" s="7" t="s">
        <v>1339</v>
      </c>
      <c r="L716" s="7" t="s">
        <v>92</v>
      </c>
      <c r="M716" s="31">
        <v>45714</v>
      </c>
      <c r="N716" s="7" t="s">
        <v>1748</v>
      </c>
      <c r="O716" s="8">
        <v>2899</v>
      </c>
      <c r="P716" s="24">
        <v>4208</v>
      </c>
      <c r="Q716" s="22">
        <f>IF(COUNTIFS(A$2:A716,A716,I$2:I716,I716)=1,1,0)</f>
        <v>0</v>
      </c>
      <c r="R716" s="22">
        <f t="shared" si="11"/>
        <v>2</v>
      </c>
      <c r="S716" s="33">
        <f>IF(COUNTIF(O$2:O716,O716)=1,R716,0)/2.5</f>
        <v>0</v>
      </c>
    </row>
    <row r="717" spans="1:19" ht="18" customHeight="1" x14ac:dyDescent="0.25">
      <c r="A717" s="7" t="s">
        <v>43</v>
      </c>
      <c r="B717" s="8">
        <v>1</v>
      </c>
      <c r="C717" s="9">
        <v>519</v>
      </c>
      <c r="D717" s="29">
        <f>C717+IF(INDEX('Справочник по %'!B:B,(MATCH(A717,'Справочник по %'!A:A,0)))="кол-во",B717*INDEX('Справочник по %'!C:C,(MATCH(A717,'Справочник по %'!A:A,0))),ОТЧЕТ!C717*INDEX('Справочник по %'!C:C,(MATCH(A717,'Справочник по %'!A:A,0))))/100</f>
        <v>570.9</v>
      </c>
      <c r="E717" s="29">
        <f>IF(ОТЧЕТ!A717="SKU3",C717+ОТЧЕТ!C717*0.2,C717+ОТЧЕТ!C717*0.15)</f>
        <v>596.85</v>
      </c>
      <c r="F717" s="7" t="s">
        <v>1740</v>
      </c>
      <c r="G717" s="7">
        <v>6658371284</v>
      </c>
      <c r="H717" s="20" t="s">
        <v>69</v>
      </c>
      <c r="I717" s="22" t="str">
        <f>INDEX('Справочник Сети'!B:B,(MATCH(G717,'Справочник Сети'!C:C,0)))</f>
        <v>Планета здоровья</v>
      </c>
      <c r="J717" s="7" t="s">
        <v>133</v>
      </c>
      <c r="K717" s="7" t="s">
        <v>534</v>
      </c>
      <c r="L717" s="7" t="s">
        <v>133</v>
      </c>
      <c r="M717" s="31">
        <v>45695</v>
      </c>
      <c r="N717" s="7" t="s">
        <v>1749</v>
      </c>
      <c r="O717" s="8">
        <v>910</v>
      </c>
      <c r="P717" s="24">
        <v>4209</v>
      </c>
      <c r="Q717" s="22">
        <f>IF(COUNTIFS(A$2:A717,A717,I$2:I717,I717)=1,1,0)</f>
        <v>0</v>
      </c>
      <c r="R717" s="22">
        <f t="shared" si="11"/>
        <v>4</v>
      </c>
      <c r="S717" s="33">
        <f>IF(COUNTIF(O$2:O717,O717)=1,R717,0)/2.5</f>
        <v>1.6</v>
      </c>
    </row>
    <row r="718" spans="1:19" ht="18" customHeight="1" x14ac:dyDescent="0.25">
      <c r="A718" s="7" t="s">
        <v>43</v>
      </c>
      <c r="B718" s="8">
        <v>1</v>
      </c>
      <c r="C718" s="9">
        <v>431.58</v>
      </c>
      <c r="D718" s="29">
        <f>C718+IF(INDEX('Справочник по %'!B:B,(MATCH(A718,'Справочник по %'!A:A,0)))="кол-во",B718*INDEX('Справочник по %'!C:C,(MATCH(A718,'Справочник по %'!A:A,0))),ОТЧЕТ!C718*INDEX('Справочник по %'!C:C,(MATCH(A718,'Справочник по %'!A:A,0))))/100</f>
        <v>474.738</v>
      </c>
      <c r="E718" s="29">
        <f>IF(ОТЧЕТ!A718="SKU3",C718+ОТЧЕТ!C718*0.2,C718+ОТЧЕТ!C718*0.15)</f>
        <v>496.31700000000001</v>
      </c>
      <c r="F718" s="7" t="s">
        <v>1740</v>
      </c>
      <c r="G718" s="7">
        <v>3446042846</v>
      </c>
      <c r="H718" s="20" t="s">
        <v>319</v>
      </c>
      <c r="I718" s="22" t="str">
        <f>INDEX('Справочник Сети'!B:B,(MATCH(G718,'Справочник Сети'!C:C,0)))</f>
        <v>Столички</v>
      </c>
      <c r="J718" s="7" t="s">
        <v>193</v>
      </c>
      <c r="K718" s="7" t="s">
        <v>1750</v>
      </c>
      <c r="L718" s="7" t="s">
        <v>193</v>
      </c>
      <c r="M718" s="31">
        <v>45718</v>
      </c>
      <c r="N718" s="7" t="s">
        <v>1751</v>
      </c>
      <c r="O718" s="8">
        <v>2581</v>
      </c>
      <c r="P718" s="24">
        <v>4210</v>
      </c>
      <c r="Q718" s="22">
        <f>IF(COUNTIFS(A$2:A718,A718,I$2:I718,I718)=1,1,0)</f>
        <v>0</v>
      </c>
      <c r="R718" s="22">
        <f t="shared" si="11"/>
        <v>7</v>
      </c>
      <c r="S718" s="33">
        <f>IF(COUNTIF(O$2:O718,O718)=1,R718,0)/2.5</f>
        <v>0</v>
      </c>
    </row>
    <row r="719" spans="1:19" ht="18" customHeight="1" x14ac:dyDescent="0.25">
      <c r="A719" s="7" t="s">
        <v>37</v>
      </c>
      <c r="B719" s="8">
        <v>1</v>
      </c>
      <c r="C719" s="9">
        <v>700</v>
      </c>
      <c r="D719" s="29">
        <f>C719+IF(INDEX('Справочник по %'!B:B,(MATCH(A719,'Справочник по %'!A:A,0)))="кол-во",B719*INDEX('Справочник по %'!C:C,(MATCH(A719,'Справочник по %'!A:A,0))),ОТЧЕТ!C719*INDEX('Справочник по %'!C:C,(MATCH(A719,'Справочник по %'!A:A,0))))/100</f>
        <v>700.2</v>
      </c>
      <c r="E719" s="29">
        <f>IF(ОТЧЕТ!A719="SKU3",C719+ОТЧЕТ!C719*0.2,C719+ОТЧЕТ!C719*0.15)</f>
        <v>805</v>
      </c>
      <c r="F719" s="7" t="s">
        <v>1740</v>
      </c>
      <c r="G719" s="7">
        <v>7807048010</v>
      </c>
      <c r="H719" s="20" t="s">
        <v>50</v>
      </c>
      <c r="I719" s="22" t="str">
        <f>INDEX('Справочник Сети'!B:B,(MATCH(G719,'Справочник Сети'!C:C,0)))</f>
        <v>Планета здоровья</v>
      </c>
      <c r="J719" s="7" t="s">
        <v>353</v>
      </c>
      <c r="K719" s="7" t="s">
        <v>1752</v>
      </c>
      <c r="L719" s="7" t="s">
        <v>353</v>
      </c>
      <c r="M719" s="31">
        <v>45672</v>
      </c>
      <c r="N719" s="7" t="s">
        <v>1753</v>
      </c>
      <c r="O719" s="8">
        <v>148</v>
      </c>
      <c r="P719" s="24">
        <v>4211</v>
      </c>
      <c r="Q719" s="22">
        <f>IF(COUNTIFS(A$2:A719,A719,I$2:I719,I719)=1,1,0)</f>
        <v>0</v>
      </c>
      <c r="R719" s="22">
        <f t="shared" si="11"/>
        <v>2</v>
      </c>
      <c r="S719" s="33">
        <f>IF(COUNTIF(O$2:O719,O719)=1,R719,0)/2.5</f>
        <v>0.8</v>
      </c>
    </row>
    <row r="720" spans="1:19" ht="18" customHeight="1" x14ac:dyDescent="0.25">
      <c r="A720" s="7" t="s">
        <v>43</v>
      </c>
      <c r="B720" s="8">
        <v>1</v>
      </c>
      <c r="C720" s="9">
        <v>672</v>
      </c>
      <c r="D720" s="29">
        <f>C720+IF(INDEX('Справочник по %'!B:B,(MATCH(A720,'Справочник по %'!A:A,0)))="кол-во",B720*INDEX('Справочник по %'!C:C,(MATCH(A720,'Справочник по %'!A:A,0))),ОТЧЕТ!C720*INDEX('Справочник по %'!C:C,(MATCH(A720,'Справочник по %'!A:A,0))))/100</f>
        <v>739.2</v>
      </c>
      <c r="E720" s="29">
        <f>IF(ОТЧЕТ!A720="SKU3",C720+ОТЧЕТ!C720*0.2,C720+ОТЧЕТ!C720*0.15)</f>
        <v>772.8</v>
      </c>
      <c r="F720" s="7" t="s">
        <v>1754</v>
      </c>
      <c r="G720" s="7">
        <v>7705947629</v>
      </c>
      <c r="H720" s="20" t="s">
        <v>50</v>
      </c>
      <c r="I720" s="22" t="str">
        <f>INDEX('Справочник Сети'!B:B,(MATCH(G720,'Справочник Сети'!C:C,0)))</f>
        <v>36,6</v>
      </c>
      <c r="J720" s="7" t="s">
        <v>104</v>
      </c>
      <c r="K720" s="7" t="s">
        <v>858</v>
      </c>
      <c r="L720" s="7" t="s">
        <v>104</v>
      </c>
      <c r="M720" s="31">
        <v>45693</v>
      </c>
      <c r="N720" s="7" t="s">
        <v>1755</v>
      </c>
      <c r="O720" s="8">
        <v>372</v>
      </c>
      <c r="P720" s="24">
        <v>4212</v>
      </c>
      <c r="Q720" s="22">
        <f>IF(COUNTIFS(A$2:A720,A720,I$2:I720,I720)=1,1,0)</f>
        <v>0</v>
      </c>
      <c r="R720" s="22">
        <f t="shared" si="11"/>
        <v>13</v>
      </c>
      <c r="S720" s="33">
        <f>IF(COUNTIF(O$2:O720,O720)=1,R720,0)/2.5</f>
        <v>0</v>
      </c>
    </row>
    <row r="721" spans="1:19" ht="18" customHeight="1" x14ac:dyDescent="0.25">
      <c r="A721" s="7" t="s">
        <v>43</v>
      </c>
      <c r="B721" s="8">
        <v>1</v>
      </c>
      <c r="C721" s="9">
        <v>409</v>
      </c>
      <c r="D721" s="29">
        <f>C721+IF(INDEX('Справочник по %'!B:B,(MATCH(A721,'Справочник по %'!A:A,0)))="кол-во",B721*INDEX('Справочник по %'!C:C,(MATCH(A721,'Справочник по %'!A:A,0))),ОТЧЕТ!C721*INDEX('Справочник по %'!C:C,(MATCH(A721,'Справочник по %'!A:A,0))))/100</f>
        <v>449.9</v>
      </c>
      <c r="E721" s="29">
        <f>IF(ОТЧЕТ!A721="SKU3",C721+ОТЧЕТ!C721*0.2,C721+ОТЧЕТ!C721*0.15)</f>
        <v>470.35</v>
      </c>
      <c r="F721" s="7" t="s">
        <v>1756</v>
      </c>
      <c r="G721" s="7">
        <v>7721189203</v>
      </c>
      <c r="H721" s="20" t="s">
        <v>91</v>
      </c>
      <c r="I721" s="22">
        <f>INDEX('Справочник Сети'!B:B,(MATCH(G721,'Справочник Сети'!C:C,0)))</f>
        <v>0</v>
      </c>
      <c r="J721" s="7" t="s">
        <v>185</v>
      </c>
      <c r="K721" s="7" t="s">
        <v>1757</v>
      </c>
      <c r="L721" s="7" t="s">
        <v>168</v>
      </c>
      <c r="M721" s="31">
        <v>45676</v>
      </c>
      <c r="N721" s="7" t="s">
        <v>1758</v>
      </c>
      <c r="O721" s="8">
        <v>2195</v>
      </c>
      <c r="P721" s="24">
        <v>4214</v>
      </c>
      <c r="Q721" s="22">
        <f>IF(COUNTIFS(A$2:A721,A721,I$2:I721,I721)=1,1,0)</f>
        <v>0</v>
      </c>
      <c r="R721" s="22">
        <f t="shared" si="11"/>
        <v>1</v>
      </c>
      <c r="S721" s="33">
        <f>IF(COUNTIF(O$2:O721,O721)=1,R721,0)/2.5</f>
        <v>0.4</v>
      </c>
    </row>
    <row r="722" spans="1:19" ht="18" customHeight="1" x14ac:dyDescent="0.25">
      <c r="A722" s="7" t="s">
        <v>43</v>
      </c>
      <c r="B722" s="8">
        <v>1</v>
      </c>
      <c r="C722" s="9">
        <v>440</v>
      </c>
      <c r="D722" s="29">
        <f>C722+IF(INDEX('Справочник по %'!B:B,(MATCH(A722,'Справочник по %'!A:A,0)))="кол-во",B722*INDEX('Справочник по %'!C:C,(MATCH(A722,'Справочник по %'!A:A,0))),ОТЧЕТ!C722*INDEX('Справочник по %'!C:C,(MATCH(A722,'Справочник по %'!A:A,0))))/100</f>
        <v>484</v>
      </c>
      <c r="E722" s="29">
        <f>IF(ОТЧЕТ!A722="SKU3",C722+ОТЧЕТ!C722*0.2,C722+ОТЧЕТ!C722*0.15)</f>
        <v>506</v>
      </c>
      <c r="F722" s="7" t="s">
        <v>1759</v>
      </c>
      <c r="G722" s="7">
        <v>550200008740</v>
      </c>
      <c r="H722" s="20" t="s">
        <v>1760</v>
      </c>
      <c r="I722" s="22">
        <f>INDEX('Справочник Сети'!B:B,(MATCH(G722,'Справочник Сети'!C:C,0)))</f>
        <v>0</v>
      </c>
      <c r="J722" s="7" t="s">
        <v>251</v>
      </c>
      <c r="K722" s="7" t="s">
        <v>935</v>
      </c>
      <c r="L722" s="7" t="s">
        <v>110</v>
      </c>
      <c r="M722" s="31">
        <v>45660</v>
      </c>
      <c r="N722" s="7" t="s">
        <v>1761</v>
      </c>
      <c r="O722" s="8">
        <v>2984</v>
      </c>
      <c r="P722" s="24">
        <v>4216</v>
      </c>
      <c r="Q722" s="22">
        <f>IF(COUNTIFS(A$2:A722,A722,I$2:I722,I722)=1,1,0)</f>
        <v>0</v>
      </c>
      <c r="R722" s="22">
        <f t="shared" si="11"/>
        <v>1</v>
      </c>
      <c r="S722" s="33">
        <f>IF(COUNTIF(O$2:O722,O722)=1,R722,0)/2.5</f>
        <v>0.4</v>
      </c>
    </row>
    <row r="723" spans="1:19" ht="18" customHeight="1" x14ac:dyDescent="0.25">
      <c r="A723" s="7" t="s">
        <v>37</v>
      </c>
      <c r="B723" s="8">
        <v>1</v>
      </c>
      <c r="C723" s="9">
        <v>821.9</v>
      </c>
      <c r="D723" s="29">
        <f>C723+IF(INDEX('Справочник по %'!B:B,(MATCH(A723,'Справочник по %'!A:A,0)))="кол-во",B723*INDEX('Справочник по %'!C:C,(MATCH(A723,'Справочник по %'!A:A,0))),ОТЧЕТ!C723*INDEX('Справочник по %'!C:C,(MATCH(A723,'Справочник по %'!A:A,0))))/100</f>
        <v>822.1</v>
      </c>
      <c r="E723" s="29">
        <f>IF(ОТЧЕТ!A723="SKU3",C723+ОТЧЕТ!C723*0.2,C723+ОТЧЕТ!C723*0.15)</f>
        <v>945.18499999999995</v>
      </c>
      <c r="F723" s="7" t="s">
        <v>1762</v>
      </c>
      <c r="G723" s="7">
        <v>7726707307</v>
      </c>
      <c r="H723" s="20" t="s">
        <v>1763</v>
      </c>
      <c r="I723" s="22" t="str">
        <f>INDEX('Справочник Сети'!B:B,(MATCH(G723,'Справочник Сети'!C:C,0)))</f>
        <v>Ригла</v>
      </c>
      <c r="J723" s="7" t="s">
        <v>142</v>
      </c>
      <c r="K723" s="7" t="s">
        <v>667</v>
      </c>
      <c r="L723" s="7" t="s">
        <v>185</v>
      </c>
      <c r="M723" s="31">
        <v>45675</v>
      </c>
      <c r="N723" s="7" t="s">
        <v>1764</v>
      </c>
      <c r="O723" s="8">
        <v>523</v>
      </c>
      <c r="P723" s="24">
        <v>4225</v>
      </c>
      <c r="Q723" s="22">
        <f>IF(COUNTIFS(A$2:A723,A723,I$2:I723,I723)=1,1,0)</f>
        <v>0</v>
      </c>
      <c r="R723" s="22">
        <f t="shared" si="11"/>
        <v>2</v>
      </c>
      <c r="S723" s="33">
        <f>IF(COUNTIF(O$2:O723,O723)=1,R723,0)/2.5</f>
        <v>0.8</v>
      </c>
    </row>
    <row r="724" spans="1:19" ht="18" customHeight="1" x14ac:dyDescent="0.25">
      <c r="A724" s="7" t="s">
        <v>37</v>
      </c>
      <c r="B724" s="8">
        <v>1</v>
      </c>
      <c r="C724" s="9">
        <v>673</v>
      </c>
      <c r="D724" s="29">
        <f>C724+IF(INDEX('Справочник по %'!B:B,(MATCH(A724,'Справочник по %'!A:A,0)))="кол-во",B724*INDEX('Справочник по %'!C:C,(MATCH(A724,'Справочник по %'!A:A,0))),ОТЧЕТ!C724*INDEX('Справочник по %'!C:C,(MATCH(A724,'Справочник по %'!A:A,0))))/100</f>
        <v>673.2</v>
      </c>
      <c r="E724" s="29">
        <f>IF(ОТЧЕТ!A724="SKU3",C724+ОТЧЕТ!C724*0.2,C724+ОТЧЕТ!C724*0.15)</f>
        <v>773.95</v>
      </c>
      <c r="F724" s="7" t="s">
        <v>1762</v>
      </c>
      <c r="G724" s="7">
        <v>4705071640</v>
      </c>
      <c r="H724" s="20" t="s">
        <v>50</v>
      </c>
      <c r="I724" s="22" t="str">
        <f>INDEX('Справочник Сети'!B:B,(MATCH(G724,'Справочник Сети'!C:C,0)))</f>
        <v>Планета здоровья</v>
      </c>
      <c r="J724" s="7" t="s">
        <v>83</v>
      </c>
      <c r="K724" s="7" t="s">
        <v>1765</v>
      </c>
      <c r="L724" s="7" t="s">
        <v>83</v>
      </c>
      <c r="M724" s="31">
        <v>45715</v>
      </c>
      <c r="N724" s="7" t="s">
        <v>1766</v>
      </c>
      <c r="O724" s="8">
        <v>3007</v>
      </c>
      <c r="P724" s="24">
        <v>4228</v>
      </c>
      <c r="Q724" s="22">
        <f>IF(COUNTIFS(A$2:A724,A724,I$2:I724,I724)=1,1,0)</f>
        <v>0</v>
      </c>
      <c r="R724" s="22">
        <f t="shared" si="11"/>
        <v>2</v>
      </c>
      <c r="S724" s="33">
        <f>IF(COUNTIF(O$2:O724,O724)=1,R724,0)/2.5</f>
        <v>0</v>
      </c>
    </row>
    <row r="725" spans="1:19" ht="18" customHeight="1" x14ac:dyDescent="0.25">
      <c r="A725" s="7" t="s">
        <v>43</v>
      </c>
      <c r="B725" s="8">
        <v>1</v>
      </c>
      <c r="C725" s="9">
        <v>365</v>
      </c>
      <c r="D725" s="29">
        <f>C725+IF(INDEX('Справочник по %'!B:B,(MATCH(A725,'Справочник по %'!A:A,0)))="кол-во",B725*INDEX('Справочник по %'!C:C,(MATCH(A725,'Справочник по %'!A:A,0))),ОТЧЕТ!C725*INDEX('Справочник по %'!C:C,(MATCH(A725,'Справочник по %'!A:A,0))))/100</f>
        <v>401.5</v>
      </c>
      <c r="E725" s="29">
        <f>IF(ОТЧЕТ!A725="SKU3",C725+ОТЧЕТ!C725*0.2,C725+ОТЧЕТ!C725*0.15)</f>
        <v>419.75</v>
      </c>
      <c r="F725" s="7" t="s">
        <v>1767</v>
      </c>
      <c r="G725" s="7">
        <v>7706795062</v>
      </c>
      <c r="H725" s="20" t="s">
        <v>1506</v>
      </c>
      <c r="I725" s="22" t="str">
        <f>INDEX('Справочник Сети'!B:B,(MATCH(G725,'Справочник Сети'!C:C,0)))</f>
        <v>Планета здоровья</v>
      </c>
      <c r="J725" s="7" t="s">
        <v>87</v>
      </c>
      <c r="K725" s="7" t="s">
        <v>1127</v>
      </c>
      <c r="L725" s="7" t="s">
        <v>87</v>
      </c>
      <c r="M725" s="31">
        <v>45691</v>
      </c>
      <c r="N725" s="7" t="s">
        <v>1768</v>
      </c>
      <c r="O725" s="8">
        <v>2547</v>
      </c>
      <c r="P725" s="24">
        <v>4233</v>
      </c>
      <c r="Q725" s="22">
        <f>IF(COUNTIFS(A$2:A725,A725,I$2:I725,I725)=1,1,0)</f>
        <v>0</v>
      </c>
      <c r="R725" s="22">
        <f t="shared" si="11"/>
        <v>2</v>
      </c>
      <c r="S725" s="33">
        <f>IF(COUNTIF(O$2:O725,O725)=1,R725,0)/2.5</f>
        <v>0</v>
      </c>
    </row>
    <row r="726" spans="1:19" ht="18" customHeight="1" x14ac:dyDescent="0.25">
      <c r="A726" s="7" t="s">
        <v>43</v>
      </c>
      <c r="B726" s="8">
        <v>1</v>
      </c>
      <c r="C726" s="9">
        <v>398</v>
      </c>
      <c r="D726" s="29">
        <f>C726+IF(INDEX('Справочник по %'!B:B,(MATCH(A726,'Справочник по %'!A:A,0)))="кол-во",B726*INDEX('Справочник по %'!C:C,(MATCH(A726,'Справочник по %'!A:A,0))),ОТЧЕТ!C726*INDEX('Справочник по %'!C:C,(MATCH(A726,'Справочник по %'!A:A,0))))/100</f>
        <v>437.8</v>
      </c>
      <c r="E726" s="29">
        <f>IF(ОТЧЕТ!A726="SKU3",C726+ОТЧЕТ!C726*0.2,C726+ОТЧЕТ!C726*0.15)</f>
        <v>457.7</v>
      </c>
      <c r="F726" s="7" t="s">
        <v>1767</v>
      </c>
      <c r="G726" s="7">
        <v>7732121736</v>
      </c>
      <c r="H726" s="20" t="s">
        <v>1769</v>
      </c>
      <c r="I726" s="22" t="str">
        <f>INDEX('Справочник Сети'!B:B,(MATCH(G726,'Справочник Сети'!C:C,0)))</f>
        <v>Планета здоровья</v>
      </c>
      <c r="J726" s="7" t="s">
        <v>149</v>
      </c>
      <c r="K726" s="7" t="s">
        <v>1770</v>
      </c>
      <c r="L726" s="7" t="s">
        <v>149</v>
      </c>
      <c r="M726" s="31">
        <v>45673</v>
      </c>
      <c r="N726" s="7" t="s">
        <v>1771</v>
      </c>
      <c r="O726" s="8">
        <v>1901</v>
      </c>
      <c r="P726" s="24">
        <v>4239</v>
      </c>
      <c r="Q726" s="22">
        <f>IF(COUNTIFS(A$2:A726,A726,I$2:I726,I726)=1,1,0)</f>
        <v>0</v>
      </c>
      <c r="R726" s="22">
        <f t="shared" si="11"/>
        <v>1</v>
      </c>
      <c r="S726" s="33">
        <f>IF(COUNTIF(O$2:O726,O726)=1,R726,0)/2.5</f>
        <v>0.4</v>
      </c>
    </row>
    <row r="727" spans="1:19" ht="18" customHeight="1" x14ac:dyDescent="0.25">
      <c r="A727" s="7" t="s">
        <v>43</v>
      </c>
      <c r="B727" s="8">
        <v>1</v>
      </c>
      <c r="C727" s="9">
        <v>472.1</v>
      </c>
      <c r="D727" s="29">
        <f>C727+IF(INDEX('Справочник по %'!B:B,(MATCH(A727,'Справочник по %'!A:A,0)))="кол-во",B727*INDEX('Справочник по %'!C:C,(MATCH(A727,'Справочник по %'!A:A,0))),ОТЧЕТ!C727*INDEX('Справочник по %'!C:C,(MATCH(A727,'Справочник по %'!A:A,0))))/100</f>
        <v>519.31000000000006</v>
      </c>
      <c r="E727" s="29">
        <f>IF(ОТЧЕТ!A727="SKU3",C727+ОТЧЕТ!C727*0.2,C727+ОТЧЕТ!C727*0.15)</f>
        <v>542.91499999999996</v>
      </c>
      <c r="F727" s="7" t="s">
        <v>1767</v>
      </c>
      <c r="G727" s="7">
        <v>5050136454</v>
      </c>
      <c r="H727" s="20" t="s">
        <v>50</v>
      </c>
      <c r="I727" s="22" t="str">
        <f>INDEX('Справочник Сети'!B:B,(MATCH(G727,'Справочник Сети'!C:C,0)))</f>
        <v>Нео-фарм</v>
      </c>
      <c r="J727" s="7" t="s">
        <v>92</v>
      </c>
      <c r="K727" s="7" t="s">
        <v>1772</v>
      </c>
      <c r="L727" s="7" t="s">
        <v>92</v>
      </c>
      <c r="M727" s="31">
        <v>45714</v>
      </c>
      <c r="N727" s="7" t="s">
        <v>1773</v>
      </c>
      <c r="O727" s="8">
        <v>1499</v>
      </c>
      <c r="P727" s="24">
        <v>4243</v>
      </c>
      <c r="Q727" s="22">
        <f>IF(COUNTIFS(A$2:A727,A727,I$2:I727,I727)=1,1,0)</f>
        <v>0</v>
      </c>
      <c r="R727" s="22">
        <f t="shared" si="11"/>
        <v>14</v>
      </c>
      <c r="S727" s="33">
        <f>IF(COUNTIF(O$2:O727,O727)=1,R727,0)/2.5</f>
        <v>0</v>
      </c>
    </row>
    <row r="728" spans="1:19" ht="18" customHeight="1" x14ac:dyDescent="0.25">
      <c r="A728" s="7" t="s">
        <v>43</v>
      </c>
      <c r="B728" s="8">
        <v>1</v>
      </c>
      <c r="C728" s="9">
        <v>498</v>
      </c>
      <c r="D728" s="29">
        <f>C728+IF(INDEX('Справочник по %'!B:B,(MATCH(A728,'Справочник по %'!A:A,0)))="кол-во",B728*INDEX('Справочник по %'!C:C,(MATCH(A728,'Справочник по %'!A:A,0))),ОТЧЕТ!C728*INDEX('Справочник по %'!C:C,(MATCH(A728,'Справочник по %'!A:A,0))))/100</f>
        <v>547.79999999999995</v>
      </c>
      <c r="E728" s="29">
        <f>IF(ОТЧЕТ!A728="SKU3",C728+ОТЧЕТ!C728*0.2,C728+ОТЧЕТ!C728*0.15)</f>
        <v>572.70000000000005</v>
      </c>
      <c r="F728" s="7" t="s">
        <v>1767</v>
      </c>
      <c r="G728" s="7">
        <v>7805286404</v>
      </c>
      <c r="H728" s="20" t="s">
        <v>50</v>
      </c>
      <c r="I728" s="22">
        <f>INDEX('Справочник Сети'!B:B,(MATCH(G728,'Справочник Сети'!C:C,0)))</f>
        <v>0</v>
      </c>
      <c r="J728" s="7" t="s">
        <v>353</v>
      </c>
      <c r="K728" s="7" t="s">
        <v>1774</v>
      </c>
      <c r="L728" s="7" t="s">
        <v>353</v>
      </c>
      <c r="M728" s="31">
        <v>45672</v>
      </c>
      <c r="N728" s="7" t="s">
        <v>1775</v>
      </c>
      <c r="O728" s="8">
        <v>931</v>
      </c>
      <c r="P728" s="24">
        <v>4245</v>
      </c>
      <c r="Q728" s="22">
        <f>IF(COUNTIFS(A$2:A728,A728,I$2:I728,I728)=1,1,0)</f>
        <v>0</v>
      </c>
      <c r="R728" s="22">
        <f t="shared" si="11"/>
        <v>1</v>
      </c>
      <c r="S728" s="33">
        <f>IF(COUNTIF(O$2:O728,O728)=1,R728,0)/2.5</f>
        <v>0.4</v>
      </c>
    </row>
    <row r="729" spans="1:19" ht="18" customHeight="1" x14ac:dyDescent="0.25">
      <c r="A729" s="7" t="s">
        <v>43</v>
      </c>
      <c r="B729" s="8">
        <v>1</v>
      </c>
      <c r="C729" s="9">
        <v>480</v>
      </c>
      <c r="D729" s="29">
        <f>C729+IF(INDEX('Справочник по %'!B:B,(MATCH(A729,'Справочник по %'!A:A,0)))="кол-во",B729*INDEX('Справочник по %'!C:C,(MATCH(A729,'Справочник по %'!A:A,0))),ОТЧЕТ!C729*INDEX('Справочник по %'!C:C,(MATCH(A729,'Справочник по %'!A:A,0))))/100</f>
        <v>528</v>
      </c>
      <c r="E729" s="29">
        <f>IF(ОТЧЕТ!A729="SKU3",C729+ОТЧЕТ!C729*0.2,C729+ОТЧЕТ!C729*0.15)</f>
        <v>552</v>
      </c>
      <c r="F729" s="7" t="s">
        <v>1767</v>
      </c>
      <c r="G729" s="7">
        <v>253712415590</v>
      </c>
      <c r="H729" s="20" t="s">
        <v>554</v>
      </c>
      <c r="I729" s="22" t="str">
        <f>INDEX('Справочник Сети'!B:B,(MATCH(G729,'Справочник Сети'!C:C,0)))</f>
        <v>Ригла</v>
      </c>
      <c r="J729" s="7" t="s">
        <v>110</v>
      </c>
      <c r="K729" s="7" t="s">
        <v>52</v>
      </c>
      <c r="L729" s="7" t="s">
        <v>74</v>
      </c>
      <c r="M729" s="31">
        <v>45661</v>
      </c>
      <c r="N729" s="7" t="s">
        <v>1776</v>
      </c>
      <c r="O729" s="8">
        <v>2864</v>
      </c>
      <c r="P729" s="24">
        <v>4246</v>
      </c>
      <c r="Q729" s="22">
        <f>IF(COUNTIFS(A$2:A729,A729,I$2:I729,I729)=1,1,0)</f>
        <v>0</v>
      </c>
      <c r="R729" s="22">
        <f t="shared" si="11"/>
        <v>1</v>
      </c>
      <c r="S729" s="33">
        <f>IF(COUNTIF(O$2:O729,O729)=1,R729,0)/2.5</f>
        <v>0.4</v>
      </c>
    </row>
    <row r="730" spans="1:19" ht="18" customHeight="1" x14ac:dyDescent="0.25">
      <c r="A730" s="7" t="s">
        <v>37</v>
      </c>
      <c r="B730" s="8">
        <v>1</v>
      </c>
      <c r="C730" s="9">
        <v>620</v>
      </c>
      <c r="D730" s="29">
        <f>C730+IF(INDEX('Справочник по %'!B:B,(MATCH(A730,'Справочник по %'!A:A,0)))="кол-во",B730*INDEX('Справочник по %'!C:C,(MATCH(A730,'Справочник по %'!A:A,0))),ОТЧЕТ!C730*INDEX('Справочник по %'!C:C,(MATCH(A730,'Справочник по %'!A:A,0))))/100</f>
        <v>620.20000000000005</v>
      </c>
      <c r="E730" s="29">
        <f>IF(ОТЧЕТ!A730="SKU3",C730+ОТЧЕТ!C730*0.2,C730+ОТЧЕТ!C730*0.15)</f>
        <v>713</v>
      </c>
      <c r="F730" s="7" t="s">
        <v>1777</v>
      </c>
      <c r="G730" s="7">
        <v>312825165467</v>
      </c>
      <c r="H730" s="20" t="s">
        <v>1778</v>
      </c>
      <c r="I730" s="22">
        <f>INDEX('Справочник Сети'!B:B,(MATCH(G730,'Справочник Сети'!C:C,0)))</f>
        <v>0</v>
      </c>
      <c r="J730" s="7" t="s">
        <v>110</v>
      </c>
      <c r="K730" s="7" t="s">
        <v>1480</v>
      </c>
      <c r="L730" s="7" t="s">
        <v>110</v>
      </c>
      <c r="M730" s="31">
        <v>45660</v>
      </c>
      <c r="N730" s="7" t="s">
        <v>1779</v>
      </c>
      <c r="O730" s="8">
        <v>408</v>
      </c>
      <c r="P730" s="24">
        <v>4249</v>
      </c>
      <c r="Q730" s="22">
        <f>IF(COUNTIFS(A$2:A730,A730,I$2:I730,I730)=1,1,0)</f>
        <v>0</v>
      </c>
      <c r="R730" s="22">
        <f t="shared" si="11"/>
        <v>3</v>
      </c>
      <c r="S730" s="33">
        <f>IF(COUNTIF(O$2:O730,O730)=1,R730,0)/2.5</f>
        <v>1.2</v>
      </c>
    </row>
    <row r="731" spans="1:19" ht="18" customHeight="1" x14ac:dyDescent="0.25">
      <c r="A731" s="7" t="s">
        <v>43</v>
      </c>
      <c r="B731" s="8">
        <v>1</v>
      </c>
      <c r="C731" s="9">
        <v>500</v>
      </c>
      <c r="D731" s="29">
        <f>C731+IF(INDEX('Справочник по %'!B:B,(MATCH(A731,'Справочник по %'!A:A,0)))="кол-во",B731*INDEX('Справочник по %'!C:C,(MATCH(A731,'Справочник по %'!A:A,0))),ОТЧЕТ!C731*INDEX('Справочник по %'!C:C,(MATCH(A731,'Справочник по %'!A:A,0))))/100</f>
        <v>550</v>
      </c>
      <c r="E731" s="29">
        <f>IF(ОТЧЕТ!A731="SKU3",C731+ОТЧЕТ!C731*0.2,C731+ОТЧЕТ!C731*0.15)</f>
        <v>575</v>
      </c>
      <c r="F731" s="7" t="s">
        <v>1777</v>
      </c>
      <c r="G731" s="7">
        <v>9204508110</v>
      </c>
      <c r="H731" s="20" t="s">
        <v>1780</v>
      </c>
      <c r="I731" s="22">
        <f>INDEX('Справочник Сети'!B:B,(MATCH(G731,'Справочник Сети'!C:C,0)))</f>
        <v>0</v>
      </c>
      <c r="J731" s="7" t="s">
        <v>239</v>
      </c>
      <c r="K731" s="7" t="s">
        <v>1562</v>
      </c>
      <c r="L731" s="7" t="s">
        <v>239</v>
      </c>
      <c r="M731" s="31">
        <v>45662</v>
      </c>
      <c r="N731" s="7" t="s">
        <v>1781</v>
      </c>
      <c r="O731" s="8">
        <v>1620</v>
      </c>
      <c r="P731" s="24">
        <v>4253</v>
      </c>
      <c r="Q731" s="22">
        <f>IF(COUNTIFS(A$2:A731,A731,I$2:I731,I731)=1,1,0)</f>
        <v>0</v>
      </c>
      <c r="R731" s="22">
        <f t="shared" si="11"/>
        <v>3</v>
      </c>
      <c r="S731" s="33">
        <f>IF(COUNTIF(O$2:O731,O731)=1,R731,0)/2.5</f>
        <v>1.2</v>
      </c>
    </row>
    <row r="732" spans="1:19" ht="18" customHeight="1" x14ac:dyDescent="0.25">
      <c r="A732" s="7" t="s">
        <v>43</v>
      </c>
      <c r="B732" s="8">
        <v>1</v>
      </c>
      <c r="C732" s="9">
        <v>459</v>
      </c>
      <c r="D732" s="29">
        <f>C732+IF(INDEX('Справочник по %'!B:B,(MATCH(A732,'Справочник по %'!A:A,0)))="кол-во",B732*INDEX('Справочник по %'!C:C,(MATCH(A732,'Справочник по %'!A:A,0))),ОТЧЕТ!C732*INDEX('Справочник по %'!C:C,(MATCH(A732,'Справочник по %'!A:A,0))))/100</f>
        <v>504.9</v>
      </c>
      <c r="E732" s="29">
        <f>IF(ОТЧЕТ!A732="SKU3",C732+ОТЧЕТ!C732*0.2,C732+ОТЧЕТ!C732*0.15)</f>
        <v>527.85</v>
      </c>
      <c r="F732" s="7" t="s">
        <v>1777</v>
      </c>
      <c r="G732" s="7">
        <v>2301048666</v>
      </c>
      <c r="H732" s="20" t="s">
        <v>50</v>
      </c>
      <c r="I732" s="22" t="str">
        <f>INDEX('Справочник Сети'!B:B,(MATCH(G732,'Справочник Сети'!C:C,0)))</f>
        <v>Столички</v>
      </c>
      <c r="J732" s="7" t="s">
        <v>372</v>
      </c>
      <c r="K732" s="7" t="s">
        <v>1782</v>
      </c>
      <c r="L732" s="7" t="s">
        <v>372</v>
      </c>
      <c r="M732" s="31">
        <v>45730</v>
      </c>
      <c r="N732" s="7" t="s">
        <v>1783</v>
      </c>
      <c r="O732" s="8">
        <v>699</v>
      </c>
      <c r="P732" s="24">
        <v>4256</v>
      </c>
      <c r="Q732" s="22">
        <f>IF(COUNTIFS(A$2:A732,A732,I$2:I732,I732)=1,1,0)</f>
        <v>0</v>
      </c>
      <c r="R732" s="22">
        <f t="shared" si="11"/>
        <v>2</v>
      </c>
      <c r="S732" s="33">
        <f>IF(COUNTIF(O$2:O732,O732)=1,R732,0)/2.5</f>
        <v>0.8</v>
      </c>
    </row>
    <row r="733" spans="1:19" ht="18" customHeight="1" x14ac:dyDescent="0.25">
      <c r="A733" s="7" t="s">
        <v>43</v>
      </c>
      <c r="B733" s="8">
        <v>1</v>
      </c>
      <c r="C733" s="9">
        <v>397</v>
      </c>
      <c r="D733" s="29">
        <f>C733+IF(INDEX('Справочник по %'!B:B,(MATCH(A733,'Справочник по %'!A:A,0)))="кол-во",B733*INDEX('Справочник по %'!C:C,(MATCH(A733,'Справочник по %'!A:A,0))),ОТЧЕТ!C733*INDEX('Справочник по %'!C:C,(MATCH(A733,'Справочник по %'!A:A,0))))/100</f>
        <v>436.7</v>
      </c>
      <c r="E733" s="29">
        <f>IF(ОТЧЕТ!A733="SKU3",C733+ОТЧЕТ!C733*0.2,C733+ОТЧЕТ!C733*0.15)</f>
        <v>456.55</v>
      </c>
      <c r="F733" s="7" t="s">
        <v>1777</v>
      </c>
      <c r="G733" s="7">
        <v>7728339546</v>
      </c>
      <c r="H733" s="20" t="s">
        <v>1784</v>
      </c>
      <c r="I733" s="22" t="str">
        <f>INDEX('Справочник Сети'!B:B,(MATCH(G733,'Справочник Сети'!C:C,0)))</f>
        <v>Планета здоровья</v>
      </c>
      <c r="J733" s="7" t="s">
        <v>142</v>
      </c>
      <c r="K733" s="7" t="s">
        <v>635</v>
      </c>
      <c r="L733" s="7" t="s">
        <v>142</v>
      </c>
      <c r="M733" s="31">
        <v>45674</v>
      </c>
      <c r="N733" s="7" t="s">
        <v>1785</v>
      </c>
      <c r="O733" s="8">
        <v>996</v>
      </c>
      <c r="P733" s="24">
        <v>4263</v>
      </c>
      <c r="Q733" s="22">
        <f>IF(COUNTIFS(A$2:A733,A733,I$2:I733,I733)=1,1,0)</f>
        <v>0</v>
      </c>
      <c r="R733" s="22">
        <f t="shared" si="11"/>
        <v>1</v>
      </c>
      <c r="S733" s="33">
        <f>IF(COUNTIF(O$2:O733,O733)=1,R733,0)/2.5</f>
        <v>0.4</v>
      </c>
    </row>
    <row r="734" spans="1:19" ht="18" customHeight="1" x14ac:dyDescent="0.25">
      <c r="A734" s="7" t="s">
        <v>43</v>
      </c>
      <c r="B734" s="8">
        <v>1</v>
      </c>
      <c r="C734" s="9">
        <v>404</v>
      </c>
      <c r="D734" s="29">
        <f>C734+IF(INDEX('Справочник по %'!B:B,(MATCH(A734,'Справочник по %'!A:A,0)))="кол-во",B734*INDEX('Справочник по %'!C:C,(MATCH(A734,'Справочник по %'!A:A,0))),ОТЧЕТ!C734*INDEX('Справочник по %'!C:C,(MATCH(A734,'Справочник по %'!A:A,0))))/100</f>
        <v>444.4</v>
      </c>
      <c r="E734" s="29">
        <f>IF(ОТЧЕТ!A734="SKU3",C734+ОТЧЕТ!C734*0.2,C734+ОТЧЕТ!C734*0.15)</f>
        <v>464.6</v>
      </c>
      <c r="F734" s="7" t="s">
        <v>1777</v>
      </c>
      <c r="G734" s="7">
        <v>5904280086</v>
      </c>
      <c r="H734" s="20" t="s">
        <v>39</v>
      </c>
      <c r="I734" s="22">
        <f>INDEX('Справочник Сети'!B:B,(MATCH(G734,'Справочник Сети'!C:C,0)))</f>
        <v>0</v>
      </c>
      <c r="J734" s="7" t="s">
        <v>174</v>
      </c>
      <c r="K734" s="7" t="s">
        <v>1786</v>
      </c>
      <c r="L734" s="7" t="s">
        <v>40</v>
      </c>
      <c r="M734" s="31">
        <v>45712</v>
      </c>
      <c r="N734" s="7" t="s">
        <v>1787</v>
      </c>
      <c r="O734" s="8">
        <v>2116</v>
      </c>
      <c r="P734" s="24">
        <v>4264</v>
      </c>
      <c r="Q734" s="22">
        <f>IF(COUNTIFS(A$2:A734,A734,I$2:I734,I734)=1,1,0)</f>
        <v>0</v>
      </c>
      <c r="R734" s="22">
        <f t="shared" si="11"/>
        <v>1</v>
      </c>
      <c r="S734" s="33">
        <f>IF(COUNTIF(O$2:O734,O734)=1,R734,0)/2.5</f>
        <v>0.4</v>
      </c>
    </row>
    <row r="735" spans="1:19" ht="18" customHeight="1" x14ac:dyDescent="0.25">
      <c r="A735" s="7" t="s">
        <v>43</v>
      </c>
      <c r="B735" s="8">
        <v>1</v>
      </c>
      <c r="C735" s="9">
        <v>395</v>
      </c>
      <c r="D735" s="29">
        <f>C735+IF(INDEX('Справочник по %'!B:B,(MATCH(A735,'Справочник по %'!A:A,0)))="кол-во",B735*INDEX('Справочник по %'!C:C,(MATCH(A735,'Справочник по %'!A:A,0))),ОТЧЕТ!C735*INDEX('Справочник по %'!C:C,(MATCH(A735,'Справочник по %'!A:A,0))))/100</f>
        <v>434.5</v>
      </c>
      <c r="E735" s="29">
        <f>IF(ОТЧЕТ!A735="SKU3",C735+ОТЧЕТ!C735*0.2,C735+ОТЧЕТ!C735*0.15)</f>
        <v>454.25</v>
      </c>
      <c r="F735" s="7" t="s">
        <v>1777</v>
      </c>
      <c r="G735" s="7">
        <v>7732121736</v>
      </c>
      <c r="H735" s="20" t="s">
        <v>341</v>
      </c>
      <c r="I735" s="22" t="str">
        <f>INDEX('Справочник Сети'!B:B,(MATCH(G735,'Справочник Сети'!C:C,0)))</f>
        <v>Планета здоровья</v>
      </c>
      <c r="J735" s="7" t="s">
        <v>149</v>
      </c>
      <c r="K735" s="7" t="s">
        <v>1788</v>
      </c>
      <c r="L735" s="7" t="s">
        <v>149</v>
      </c>
      <c r="M735" s="31">
        <v>45673</v>
      </c>
      <c r="N735" s="7" t="s">
        <v>1789</v>
      </c>
      <c r="O735" s="8">
        <v>2131</v>
      </c>
      <c r="P735" s="24">
        <v>4265</v>
      </c>
      <c r="Q735" s="22">
        <f>IF(COUNTIFS(A$2:A735,A735,I$2:I735,I735)=1,1,0)</f>
        <v>0</v>
      </c>
      <c r="R735" s="22">
        <f t="shared" si="11"/>
        <v>5</v>
      </c>
      <c r="S735" s="33">
        <f>IF(COUNTIF(O$2:O735,O735)=1,R735,0)/2.5</f>
        <v>0</v>
      </c>
    </row>
    <row r="736" spans="1:19" ht="18" customHeight="1" x14ac:dyDescent="0.25">
      <c r="A736" s="7" t="s">
        <v>43</v>
      </c>
      <c r="B736" s="8">
        <v>1</v>
      </c>
      <c r="C736" s="9">
        <v>400.9</v>
      </c>
      <c r="D736" s="29">
        <f>C736+IF(INDEX('Справочник по %'!B:B,(MATCH(A736,'Справочник по %'!A:A,0)))="кол-во",B736*INDEX('Справочник по %'!C:C,(MATCH(A736,'Справочник по %'!A:A,0))),ОТЧЕТ!C736*INDEX('Справочник по %'!C:C,(MATCH(A736,'Справочник по %'!A:A,0))))/100</f>
        <v>440.99</v>
      </c>
      <c r="E736" s="29">
        <f>IF(ОТЧЕТ!A736="SKU3",C736+ОТЧЕТ!C736*0.2,C736+ОТЧЕТ!C736*0.15)</f>
        <v>461.03499999999997</v>
      </c>
      <c r="F736" s="7" t="s">
        <v>1777</v>
      </c>
      <c r="G736" s="7">
        <v>5507102175</v>
      </c>
      <c r="H736" s="20" t="s">
        <v>91</v>
      </c>
      <c r="I736" s="22" t="str">
        <f>INDEX('Справочник Сети'!B:B,(MATCH(G736,'Справочник Сети'!C:C,0)))</f>
        <v>Столички</v>
      </c>
      <c r="J736" s="7" t="s">
        <v>255</v>
      </c>
      <c r="K736" s="7" t="s">
        <v>1790</v>
      </c>
      <c r="L736" s="7" t="s">
        <v>255</v>
      </c>
      <c r="M736" s="31">
        <v>45713</v>
      </c>
      <c r="N736" s="7" t="s">
        <v>1791</v>
      </c>
      <c r="O736" s="8">
        <v>2912</v>
      </c>
      <c r="P736" s="24">
        <v>4266</v>
      </c>
      <c r="Q736" s="22">
        <f>IF(COUNTIFS(A$2:A736,A736,I$2:I736,I736)=1,1,0)</f>
        <v>0</v>
      </c>
      <c r="R736" s="22">
        <f t="shared" si="11"/>
        <v>3</v>
      </c>
      <c r="S736" s="33">
        <f>IF(COUNTIF(O$2:O736,O736)=1,R736,0)/2.5</f>
        <v>0</v>
      </c>
    </row>
    <row r="737" spans="1:19" ht="18" customHeight="1" x14ac:dyDescent="0.25">
      <c r="A737" s="7" t="s">
        <v>43</v>
      </c>
      <c r="B737" s="8">
        <v>1</v>
      </c>
      <c r="C737" s="9">
        <v>397</v>
      </c>
      <c r="D737" s="29">
        <f>C737+IF(INDEX('Справочник по %'!B:B,(MATCH(A737,'Справочник по %'!A:A,0)))="кол-во",B737*INDEX('Справочник по %'!C:C,(MATCH(A737,'Справочник по %'!A:A,0))),ОТЧЕТ!C737*INDEX('Справочник по %'!C:C,(MATCH(A737,'Справочник по %'!A:A,0))))/100</f>
        <v>436.7</v>
      </c>
      <c r="E737" s="29">
        <f>IF(ОТЧЕТ!A737="SKU3",C737+ОТЧЕТ!C737*0.2,C737+ОТЧЕТ!C737*0.15)</f>
        <v>456.55</v>
      </c>
      <c r="F737" s="7" t="s">
        <v>1777</v>
      </c>
      <c r="G737" s="7">
        <v>7728339546</v>
      </c>
      <c r="H737" s="20" t="s">
        <v>1792</v>
      </c>
      <c r="I737" s="22" t="str">
        <f>INDEX('Справочник Сети'!B:B,(MATCH(G737,'Справочник Сети'!C:C,0)))</f>
        <v>Планета здоровья</v>
      </c>
      <c r="J737" s="7" t="s">
        <v>142</v>
      </c>
      <c r="K737" s="7" t="s">
        <v>1793</v>
      </c>
      <c r="L737" s="7" t="s">
        <v>142</v>
      </c>
      <c r="M737" s="31">
        <v>45674</v>
      </c>
      <c r="N737" s="7" t="s">
        <v>1794</v>
      </c>
      <c r="O737" s="8">
        <v>380</v>
      </c>
      <c r="P737" s="24">
        <v>4273</v>
      </c>
      <c r="Q737" s="22">
        <f>IF(COUNTIFS(A$2:A737,A737,I$2:I737,I737)=1,1,0)</f>
        <v>0</v>
      </c>
      <c r="R737" s="22">
        <f t="shared" si="11"/>
        <v>4</v>
      </c>
      <c r="S737" s="33">
        <f>IF(COUNTIF(O$2:O737,O737)=1,R737,0)/2.5</f>
        <v>1.6</v>
      </c>
    </row>
    <row r="738" spans="1:19" ht="18" customHeight="1" x14ac:dyDescent="0.25">
      <c r="A738" s="7" t="s">
        <v>43</v>
      </c>
      <c r="B738" s="8">
        <v>1</v>
      </c>
      <c r="C738" s="9">
        <v>440.7</v>
      </c>
      <c r="D738" s="29">
        <f>C738+IF(INDEX('Справочник по %'!B:B,(MATCH(A738,'Справочник по %'!A:A,0)))="кол-во",B738*INDEX('Справочник по %'!C:C,(MATCH(A738,'Справочник по %'!A:A,0))),ОТЧЕТ!C738*INDEX('Справочник по %'!C:C,(MATCH(A738,'Справочник по %'!A:A,0))))/100</f>
        <v>484.77</v>
      </c>
      <c r="E738" s="29">
        <f>IF(ОТЧЕТ!A738="SKU3",C738+ОТЧЕТ!C738*0.2,C738+ОТЧЕТ!C738*0.15)</f>
        <v>506.80499999999995</v>
      </c>
      <c r="F738" s="7" t="s">
        <v>1777</v>
      </c>
      <c r="G738" s="7">
        <v>3704004871</v>
      </c>
      <c r="H738" s="20" t="s">
        <v>64</v>
      </c>
      <c r="I738" s="22" t="str">
        <f>INDEX('Справочник Сети'!B:B,(MATCH(G738,'Справочник Сети'!C:C,0)))</f>
        <v>Планета здоровья</v>
      </c>
      <c r="J738" s="7" t="s">
        <v>65</v>
      </c>
      <c r="K738" s="7" t="s">
        <v>1717</v>
      </c>
      <c r="L738" s="7" t="s">
        <v>65</v>
      </c>
      <c r="M738" s="31">
        <v>45717</v>
      </c>
      <c r="N738" s="7" t="s">
        <v>1795</v>
      </c>
      <c r="O738" s="8">
        <v>3489</v>
      </c>
      <c r="P738" s="24">
        <v>4274</v>
      </c>
      <c r="Q738" s="22">
        <f>IF(COUNTIFS(A$2:A738,A738,I$2:I738,I738)=1,1,0)</f>
        <v>0</v>
      </c>
      <c r="R738" s="22">
        <f t="shared" si="11"/>
        <v>6</v>
      </c>
      <c r="S738" s="33">
        <f>IF(COUNTIF(O$2:O738,O738)=1,R738,0)/2.5</f>
        <v>0</v>
      </c>
    </row>
    <row r="739" spans="1:19" ht="18" customHeight="1" x14ac:dyDescent="0.25">
      <c r="A739" s="7" t="s">
        <v>43</v>
      </c>
      <c r="B739" s="8">
        <v>1</v>
      </c>
      <c r="C739" s="9">
        <v>434</v>
      </c>
      <c r="D739" s="29">
        <f>C739+IF(INDEX('Справочник по %'!B:B,(MATCH(A739,'Справочник по %'!A:A,0)))="кол-во",B739*INDEX('Справочник по %'!C:C,(MATCH(A739,'Справочник по %'!A:A,0))),ОТЧЕТ!C739*INDEX('Справочник по %'!C:C,(MATCH(A739,'Справочник по %'!A:A,0))))/100</f>
        <v>477.4</v>
      </c>
      <c r="E739" s="29">
        <f>IF(ОТЧЕТ!A739="SKU3",C739+ОТЧЕТ!C739*0.2,C739+ОТЧЕТ!C739*0.15)</f>
        <v>499.1</v>
      </c>
      <c r="F739" s="7" t="s">
        <v>1796</v>
      </c>
      <c r="G739" s="7">
        <v>4003033989</v>
      </c>
      <c r="H739" s="20" t="s">
        <v>1797</v>
      </c>
      <c r="I739" s="22">
        <f>INDEX('Справочник Сети'!B:B,(MATCH(G739,'Справочник Сети'!C:C,0)))</f>
        <v>0</v>
      </c>
      <c r="J739" s="7" t="s">
        <v>155</v>
      </c>
      <c r="K739" s="7" t="s">
        <v>1798</v>
      </c>
      <c r="L739" s="7" t="s">
        <v>155</v>
      </c>
      <c r="M739" s="31">
        <v>45716</v>
      </c>
      <c r="N739" s="7" t="s">
        <v>1799</v>
      </c>
      <c r="O739" s="8">
        <v>1075</v>
      </c>
      <c r="P739" s="24">
        <v>4276</v>
      </c>
      <c r="Q739" s="22">
        <f>IF(COUNTIFS(A$2:A739,A739,I$2:I739,I739)=1,1,0)</f>
        <v>0</v>
      </c>
      <c r="R739" s="22">
        <f t="shared" si="11"/>
        <v>2</v>
      </c>
      <c r="S739" s="33">
        <f>IF(COUNTIF(O$2:O739,O739)=1,R739,0)/2.5</f>
        <v>0.8</v>
      </c>
    </row>
    <row r="740" spans="1:19" ht="18" customHeight="1" x14ac:dyDescent="0.25">
      <c r="A740" s="7" t="s">
        <v>37</v>
      </c>
      <c r="B740" s="8">
        <v>1</v>
      </c>
      <c r="C740" s="9">
        <v>543</v>
      </c>
      <c r="D740" s="29">
        <f>C740+IF(INDEX('Справочник по %'!B:B,(MATCH(A740,'Справочник по %'!A:A,0)))="кол-во",B740*INDEX('Справочник по %'!C:C,(MATCH(A740,'Справочник по %'!A:A,0))),ОТЧЕТ!C740*INDEX('Справочник по %'!C:C,(MATCH(A740,'Справочник по %'!A:A,0))))/100</f>
        <v>543.20000000000005</v>
      </c>
      <c r="E740" s="29">
        <f>IF(ОТЧЕТ!A740="SKU3",C740+ОТЧЕТ!C740*0.2,C740+ОТЧЕТ!C740*0.15)</f>
        <v>624.45000000000005</v>
      </c>
      <c r="F740" s="7" t="s">
        <v>1800</v>
      </c>
      <c r="G740" s="7">
        <v>7706795062</v>
      </c>
      <c r="H740" s="20" t="s">
        <v>1801</v>
      </c>
      <c r="I740" s="22" t="str">
        <f>INDEX('Справочник Сети'!B:B,(MATCH(G740,'Справочник Сети'!C:C,0)))</f>
        <v>Планета здоровья</v>
      </c>
      <c r="J740" s="7" t="s">
        <v>87</v>
      </c>
      <c r="K740" s="7" t="s">
        <v>172</v>
      </c>
      <c r="L740" s="7" t="s">
        <v>87</v>
      </c>
      <c r="M740" s="31">
        <v>45691</v>
      </c>
      <c r="N740" s="7" t="s">
        <v>1802</v>
      </c>
      <c r="O740" s="8">
        <v>3371</v>
      </c>
      <c r="P740" s="24">
        <v>4277</v>
      </c>
      <c r="Q740" s="22">
        <f>IF(COUNTIFS(A$2:A740,A740,I$2:I740,I740)=1,1,0)</f>
        <v>0</v>
      </c>
      <c r="R740" s="22">
        <f t="shared" si="11"/>
        <v>5</v>
      </c>
      <c r="S740" s="33">
        <f>IF(COUNTIF(O$2:O740,O740)=1,R740,0)/2.5</f>
        <v>2</v>
      </c>
    </row>
    <row r="741" spans="1:19" ht="18" customHeight="1" x14ac:dyDescent="0.25">
      <c r="A741" s="7" t="s">
        <v>43</v>
      </c>
      <c r="B741" s="8">
        <v>1</v>
      </c>
      <c r="C741" s="9">
        <v>450.66</v>
      </c>
      <c r="D741" s="29">
        <f>C741+IF(INDEX('Справочник по %'!B:B,(MATCH(A741,'Справочник по %'!A:A,0)))="кол-во",B741*INDEX('Справочник по %'!C:C,(MATCH(A741,'Справочник по %'!A:A,0))),ОТЧЕТ!C741*INDEX('Справочник по %'!C:C,(MATCH(A741,'Справочник по %'!A:A,0))))/100</f>
        <v>495.726</v>
      </c>
      <c r="E741" s="29">
        <f>IF(ОТЧЕТ!A741="SKU3",C741+ОТЧЕТ!C741*0.2,C741+ОТЧЕТ!C741*0.15)</f>
        <v>518.25900000000001</v>
      </c>
      <c r="F741" s="7" t="s">
        <v>1803</v>
      </c>
      <c r="G741" s="7">
        <v>2373006425</v>
      </c>
      <c r="H741" s="20" t="s">
        <v>1804</v>
      </c>
      <c r="I741" s="22" t="str">
        <f>INDEX('Справочник Сети'!B:B,(MATCH(G741,'Справочник Сети'!C:C,0)))</f>
        <v>Ригла</v>
      </c>
      <c r="J741" s="7" t="s">
        <v>96</v>
      </c>
      <c r="K741" s="7" t="s">
        <v>1805</v>
      </c>
      <c r="L741" s="7" t="s">
        <v>96</v>
      </c>
      <c r="M741" s="31">
        <v>45727</v>
      </c>
      <c r="N741" s="7" t="s">
        <v>1806</v>
      </c>
      <c r="O741" s="8">
        <v>1391</v>
      </c>
      <c r="P741" s="24">
        <v>4280</v>
      </c>
      <c r="Q741" s="22">
        <f>IF(COUNTIFS(A$2:A741,A741,I$2:I741,I741)=1,1,0)</f>
        <v>0</v>
      </c>
      <c r="R741" s="22">
        <f t="shared" si="11"/>
        <v>1</v>
      </c>
      <c r="S741" s="33">
        <f>IF(COUNTIF(O$2:O741,O741)=1,R741,0)/2.5</f>
        <v>0.4</v>
      </c>
    </row>
    <row r="742" spans="1:19" ht="18" customHeight="1" x14ac:dyDescent="0.25">
      <c r="A742" s="7" t="s">
        <v>37</v>
      </c>
      <c r="B742" s="8">
        <v>1</v>
      </c>
      <c r="C742" s="9">
        <v>690</v>
      </c>
      <c r="D742" s="29">
        <f>C742+IF(INDEX('Справочник по %'!B:B,(MATCH(A742,'Справочник по %'!A:A,0)))="кол-во",B742*INDEX('Справочник по %'!C:C,(MATCH(A742,'Справочник по %'!A:A,0))),ОТЧЕТ!C742*INDEX('Справочник по %'!C:C,(MATCH(A742,'Справочник по %'!A:A,0))))/100</f>
        <v>690.2</v>
      </c>
      <c r="E742" s="29">
        <f>IF(ОТЧЕТ!A742="SKU3",C742+ОТЧЕТ!C742*0.2,C742+ОТЧЕТ!C742*0.15)</f>
        <v>793.5</v>
      </c>
      <c r="F742" s="7" t="s">
        <v>1807</v>
      </c>
      <c r="G742" s="7">
        <v>7807048010</v>
      </c>
      <c r="H742" s="20" t="s">
        <v>50</v>
      </c>
      <c r="I742" s="22" t="str">
        <f>INDEX('Справочник Сети'!B:B,(MATCH(G742,'Справочник Сети'!C:C,0)))</f>
        <v>Планета здоровья</v>
      </c>
      <c r="J742" s="7" t="s">
        <v>353</v>
      </c>
      <c r="K742" s="7" t="s">
        <v>1808</v>
      </c>
      <c r="L742" s="7" t="s">
        <v>353</v>
      </c>
      <c r="M742" s="31">
        <v>45672</v>
      </c>
      <c r="N742" s="7" t="s">
        <v>1809</v>
      </c>
      <c r="O742" s="8">
        <v>2008</v>
      </c>
      <c r="P742" s="24">
        <v>4285</v>
      </c>
      <c r="Q742" s="22">
        <f>IF(COUNTIFS(A$2:A742,A742,I$2:I742,I742)=1,1,0)</f>
        <v>0</v>
      </c>
      <c r="R742" s="22">
        <f t="shared" si="11"/>
        <v>2</v>
      </c>
      <c r="S742" s="33">
        <f>IF(COUNTIF(O$2:O742,O742)=1,R742,0)/2.5</f>
        <v>0.8</v>
      </c>
    </row>
    <row r="743" spans="1:19" ht="18" customHeight="1" x14ac:dyDescent="0.25">
      <c r="A743" s="7" t="s">
        <v>43</v>
      </c>
      <c r="B743" s="8">
        <v>1</v>
      </c>
      <c r="C743" s="9">
        <v>430</v>
      </c>
      <c r="D743" s="29">
        <f>C743+IF(INDEX('Справочник по %'!B:B,(MATCH(A743,'Справочник по %'!A:A,0)))="кол-во",B743*INDEX('Справочник по %'!C:C,(MATCH(A743,'Справочник по %'!A:A,0))),ОТЧЕТ!C743*INDEX('Справочник по %'!C:C,(MATCH(A743,'Справочник по %'!A:A,0))))/100</f>
        <v>473</v>
      </c>
      <c r="E743" s="29">
        <f>IF(ОТЧЕТ!A743="SKU3",C743+ОТЧЕТ!C743*0.2,C743+ОТЧЕТ!C743*0.15)</f>
        <v>494.5</v>
      </c>
      <c r="F743" s="7" t="s">
        <v>1807</v>
      </c>
      <c r="G743" s="7">
        <v>9102213935</v>
      </c>
      <c r="H743" s="20" t="s">
        <v>868</v>
      </c>
      <c r="I743" s="22" t="str">
        <f>INDEX('Справочник Сети'!B:B,(MATCH(G743,'Справочник Сети'!C:C,0)))</f>
        <v>Ригла</v>
      </c>
      <c r="J743" s="7" t="s">
        <v>315</v>
      </c>
      <c r="K743" s="7" t="s">
        <v>1810</v>
      </c>
      <c r="L743" s="7" t="s">
        <v>315</v>
      </c>
      <c r="M743" s="31">
        <v>45670</v>
      </c>
      <c r="N743" s="7" t="s">
        <v>1811</v>
      </c>
      <c r="O743" s="8">
        <v>3055</v>
      </c>
      <c r="P743" s="24">
        <v>4286</v>
      </c>
      <c r="Q743" s="22">
        <f>IF(COUNTIFS(A$2:A743,A743,I$2:I743,I743)=1,1,0)</f>
        <v>0</v>
      </c>
      <c r="R743" s="22">
        <f t="shared" si="11"/>
        <v>4</v>
      </c>
      <c r="S743" s="33">
        <f>IF(COUNTIF(O$2:O743,O743)=1,R743,0)/2.5</f>
        <v>1.6</v>
      </c>
    </row>
    <row r="744" spans="1:19" ht="18" customHeight="1" x14ac:dyDescent="0.25">
      <c r="A744" s="7" t="s">
        <v>43</v>
      </c>
      <c r="B744" s="8">
        <v>1</v>
      </c>
      <c r="C744" s="9">
        <v>412</v>
      </c>
      <c r="D744" s="29">
        <f>C744+IF(INDEX('Справочник по %'!B:B,(MATCH(A744,'Справочник по %'!A:A,0)))="кол-во",B744*INDEX('Справочник по %'!C:C,(MATCH(A744,'Справочник по %'!A:A,0))),ОТЧЕТ!C744*INDEX('Справочник по %'!C:C,(MATCH(A744,'Справочник по %'!A:A,0))))/100</f>
        <v>453.2</v>
      </c>
      <c r="E744" s="29">
        <f>IF(ОТЧЕТ!A744="SKU3",C744+ОТЧЕТ!C744*0.2,C744+ОТЧЕТ!C744*0.15)</f>
        <v>473.8</v>
      </c>
      <c r="F744" s="7" t="s">
        <v>1807</v>
      </c>
      <c r="G744" s="7">
        <v>2308110232</v>
      </c>
      <c r="H744" s="20" t="s">
        <v>69</v>
      </c>
      <c r="I744" s="22" t="str">
        <f>INDEX('Справочник Сети'!B:B,(MATCH(G744,'Справочник Сети'!C:C,0)))</f>
        <v>Нео-фарм</v>
      </c>
      <c r="J744" s="7" t="s">
        <v>372</v>
      </c>
      <c r="K744" s="7" t="s">
        <v>1812</v>
      </c>
      <c r="L744" s="7" t="s">
        <v>372</v>
      </c>
      <c r="M744" s="31">
        <v>45730</v>
      </c>
      <c r="N744" s="7" t="s">
        <v>1813</v>
      </c>
      <c r="O744" s="8">
        <v>1523</v>
      </c>
      <c r="P744" s="24">
        <v>4287</v>
      </c>
      <c r="Q744" s="22">
        <f>IF(COUNTIFS(A$2:A744,A744,I$2:I744,I744)=1,1,0)</f>
        <v>0</v>
      </c>
      <c r="R744" s="22">
        <f t="shared" si="11"/>
        <v>5</v>
      </c>
      <c r="S744" s="33">
        <f>IF(COUNTIF(O$2:O744,O744)=1,R744,0)/2.5</f>
        <v>0</v>
      </c>
    </row>
    <row r="745" spans="1:19" ht="18" customHeight="1" x14ac:dyDescent="0.25">
      <c r="A745" s="7" t="s">
        <v>37</v>
      </c>
      <c r="B745" s="8">
        <v>1</v>
      </c>
      <c r="C745" s="9">
        <v>608</v>
      </c>
      <c r="D745" s="29">
        <f>C745+IF(INDEX('Справочник по %'!B:B,(MATCH(A745,'Справочник по %'!A:A,0)))="кол-во",B745*INDEX('Справочник по %'!C:C,(MATCH(A745,'Справочник по %'!A:A,0))),ОТЧЕТ!C745*INDEX('Справочник по %'!C:C,(MATCH(A745,'Справочник по %'!A:A,0))))/100</f>
        <v>608.20000000000005</v>
      </c>
      <c r="E745" s="29">
        <f>IF(ОТЧЕТ!A745="SKU3",C745+ОТЧЕТ!C745*0.2,C745+ОТЧЕТ!C745*0.15)</f>
        <v>699.2</v>
      </c>
      <c r="F745" s="7" t="s">
        <v>1807</v>
      </c>
      <c r="G745" s="7">
        <v>910800091897</v>
      </c>
      <c r="H745" s="20" t="s">
        <v>1046</v>
      </c>
      <c r="I745" s="22">
        <f>INDEX('Справочник Сети'!B:B,(MATCH(G745,'Справочник Сети'!C:C,0)))</f>
        <v>0</v>
      </c>
      <c r="J745" s="7" t="s">
        <v>322</v>
      </c>
      <c r="K745" s="7" t="s">
        <v>1124</v>
      </c>
      <c r="L745" s="7" t="s">
        <v>322</v>
      </c>
      <c r="M745" s="31">
        <v>45658</v>
      </c>
      <c r="N745" s="7" t="s">
        <v>1814</v>
      </c>
      <c r="O745" s="8">
        <v>2630</v>
      </c>
      <c r="P745" s="24">
        <v>4288</v>
      </c>
      <c r="Q745" s="22">
        <f>IF(COUNTIFS(A$2:A745,A745,I$2:I745,I745)=1,1,0)</f>
        <v>0</v>
      </c>
      <c r="R745" s="22">
        <f t="shared" si="11"/>
        <v>23</v>
      </c>
      <c r="S745" s="33">
        <f>IF(COUNTIF(O$2:O745,O745)=1,R745,0)/2.5</f>
        <v>0</v>
      </c>
    </row>
    <row r="746" spans="1:19" ht="18" customHeight="1" x14ac:dyDescent="0.25">
      <c r="A746" s="7" t="s">
        <v>43</v>
      </c>
      <c r="B746" s="8">
        <v>1</v>
      </c>
      <c r="C746" s="9">
        <v>399</v>
      </c>
      <c r="D746" s="29">
        <f>C746+IF(INDEX('Справочник по %'!B:B,(MATCH(A746,'Справочник по %'!A:A,0)))="кол-во",B746*INDEX('Справочник по %'!C:C,(MATCH(A746,'Справочник по %'!A:A,0))),ОТЧЕТ!C746*INDEX('Справочник по %'!C:C,(MATCH(A746,'Справочник по %'!A:A,0))))/100</f>
        <v>438.9</v>
      </c>
      <c r="E746" s="29">
        <f>IF(ОТЧЕТ!A746="SKU3",C746+ОТЧЕТ!C746*0.2,C746+ОТЧЕТ!C746*0.15)</f>
        <v>458.85</v>
      </c>
      <c r="F746" s="7" t="s">
        <v>1807</v>
      </c>
      <c r="G746" s="7">
        <v>3123296586</v>
      </c>
      <c r="H746" s="20" t="s">
        <v>192</v>
      </c>
      <c r="I746" s="22" t="str">
        <f>INDEX('Справочник Сети'!B:B,(MATCH(G746,'Справочник Сети'!C:C,0)))</f>
        <v>Столички</v>
      </c>
      <c r="J746" s="7" t="s">
        <v>193</v>
      </c>
      <c r="K746" s="7" t="s">
        <v>1815</v>
      </c>
      <c r="L746" s="7" t="s">
        <v>193</v>
      </c>
      <c r="M746" s="31">
        <v>45718</v>
      </c>
      <c r="N746" s="7" t="s">
        <v>1816</v>
      </c>
      <c r="O746" s="8">
        <v>3050</v>
      </c>
      <c r="P746" s="24">
        <v>4289</v>
      </c>
      <c r="Q746" s="22">
        <f>IF(COUNTIFS(A$2:A746,A746,I$2:I746,I746)=1,1,0)</f>
        <v>0</v>
      </c>
      <c r="R746" s="22">
        <f t="shared" si="11"/>
        <v>10</v>
      </c>
      <c r="S746" s="33">
        <f>IF(COUNTIF(O$2:O746,O746)=1,R746,0)/2.5</f>
        <v>0</v>
      </c>
    </row>
    <row r="747" spans="1:19" ht="18" customHeight="1" x14ac:dyDescent="0.25">
      <c r="A747" s="7" t="s">
        <v>43</v>
      </c>
      <c r="B747" s="8">
        <v>1</v>
      </c>
      <c r="C747" s="9">
        <v>414</v>
      </c>
      <c r="D747" s="29">
        <f>C747+IF(INDEX('Справочник по %'!B:B,(MATCH(A747,'Справочник по %'!A:A,0)))="кол-во",B747*INDEX('Справочник по %'!C:C,(MATCH(A747,'Справочник по %'!A:A,0))),ОТЧЕТ!C747*INDEX('Справочник по %'!C:C,(MATCH(A747,'Справочник по %'!A:A,0))))/100</f>
        <v>455.4</v>
      </c>
      <c r="E747" s="29">
        <f>IF(ОТЧЕТ!A747="SKU3",C747+ОТЧЕТ!C747*0.2,C747+ОТЧЕТ!C747*0.15)</f>
        <v>476.1</v>
      </c>
      <c r="F747" s="7" t="s">
        <v>1807</v>
      </c>
      <c r="G747" s="7">
        <v>4710012294</v>
      </c>
      <c r="H747" s="20" t="s">
        <v>50</v>
      </c>
      <c r="I747" s="22" t="str">
        <f>INDEX('Справочник Сети'!B:B,(MATCH(G747,'Справочник Сети'!C:C,0)))</f>
        <v>Планета здоровья</v>
      </c>
      <c r="J747" s="7" t="s">
        <v>83</v>
      </c>
      <c r="K747" s="7" t="s">
        <v>1817</v>
      </c>
      <c r="L747" s="7" t="s">
        <v>83</v>
      </c>
      <c r="M747" s="31">
        <v>45715</v>
      </c>
      <c r="N747" s="7" t="s">
        <v>1818</v>
      </c>
      <c r="O747" s="8">
        <v>258</v>
      </c>
      <c r="P747" s="24">
        <v>4292</v>
      </c>
      <c r="Q747" s="22">
        <f>IF(COUNTIFS(A$2:A747,A747,I$2:I747,I747)=1,1,0)</f>
        <v>0</v>
      </c>
      <c r="R747" s="22">
        <f t="shared" si="11"/>
        <v>1</v>
      </c>
      <c r="S747" s="33">
        <f>IF(COUNTIF(O$2:O747,O747)=1,R747,0)/2.5</f>
        <v>0.4</v>
      </c>
    </row>
    <row r="748" spans="1:19" ht="18" customHeight="1" x14ac:dyDescent="0.25">
      <c r="A748" s="7" t="s">
        <v>43</v>
      </c>
      <c r="B748" s="8">
        <v>1</v>
      </c>
      <c r="C748" s="9">
        <v>402</v>
      </c>
      <c r="D748" s="29">
        <f>C748+IF(INDEX('Справочник по %'!B:B,(MATCH(A748,'Справочник по %'!A:A,0)))="кол-во",B748*INDEX('Справочник по %'!C:C,(MATCH(A748,'Справочник по %'!A:A,0))),ОТЧЕТ!C748*INDEX('Справочник по %'!C:C,(MATCH(A748,'Справочник по %'!A:A,0))))/100</f>
        <v>442.2</v>
      </c>
      <c r="E748" s="29">
        <f>IF(ОТЧЕТ!A748="SKU3",C748+ОТЧЕТ!C748*0.2,C748+ОТЧЕТ!C748*0.15)</f>
        <v>462.3</v>
      </c>
      <c r="F748" s="7" t="s">
        <v>1807</v>
      </c>
      <c r="G748" s="7">
        <v>6166045261</v>
      </c>
      <c r="H748" s="20" t="s">
        <v>1819</v>
      </c>
      <c r="I748" s="22" t="str">
        <f>INDEX('Справочник Сети'!B:B,(MATCH(G748,'Справочник Сети'!C:C,0)))</f>
        <v>Столички</v>
      </c>
      <c r="J748" s="7" t="s">
        <v>203</v>
      </c>
      <c r="K748" s="7" t="s">
        <v>1810</v>
      </c>
      <c r="L748" s="7" t="s">
        <v>520</v>
      </c>
      <c r="M748" s="31">
        <v>45697</v>
      </c>
      <c r="N748" s="7" t="s">
        <v>1820</v>
      </c>
      <c r="O748" s="8">
        <v>3182</v>
      </c>
      <c r="P748" s="24">
        <v>4297</v>
      </c>
      <c r="Q748" s="22">
        <f>IF(COUNTIFS(A$2:A748,A748,I$2:I748,I748)=1,1,0)</f>
        <v>0</v>
      </c>
      <c r="R748" s="22">
        <f t="shared" si="11"/>
        <v>2</v>
      </c>
      <c r="S748" s="33">
        <f>IF(COUNTIF(O$2:O748,O748)=1,R748,0)/2.5</f>
        <v>0.8</v>
      </c>
    </row>
    <row r="749" spans="1:19" ht="18" customHeight="1" x14ac:dyDescent="0.25">
      <c r="A749" s="7" t="s">
        <v>43</v>
      </c>
      <c r="B749" s="8">
        <v>1</v>
      </c>
      <c r="C749" s="9">
        <v>308</v>
      </c>
      <c r="D749" s="29">
        <f>C749+IF(INDEX('Справочник по %'!B:B,(MATCH(A749,'Справочник по %'!A:A,0)))="кол-во",B749*INDEX('Справочник по %'!C:C,(MATCH(A749,'Справочник по %'!A:A,0))),ОТЧЕТ!C749*INDEX('Справочник по %'!C:C,(MATCH(A749,'Справочник по %'!A:A,0))))/100</f>
        <v>338.8</v>
      </c>
      <c r="E749" s="29">
        <f>IF(ОТЧЕТ!A749="SKU3",C749+ОТЧЕТ!C749*0.2,C749+ОТЧЕТ!C749*0.15)</f>
        <v>354.2</v>
      </c>
      <c r="F749" s="7" t="s">
        <v>1807</v>
      </c>
      <c r="G749" s="7">
        <v>5903072982</v>
      </c>
      <c r="H749" s="20" t="s">
        <v>658</v>
      </c>
      <c r="I749" s="22" t="str">
        <f>INDEX('Справочник Сети'!B:B,(MATCH(G749,'Справочник Сети'!C:C,0)))</f>
        <v>Планета здоровья</v>
      </c>
      <c r="J749" s="7" t="s">
        <v>40</v>
      </c>
      <c r="K749" s="7" t="s">
        <v>1821</v>
      </c>
      <c r="L749" s="7" t="s">
        <v>40</v>
      </c>
      <c r="M749" s="31">
        <v>45712</v>
      </c>
      <c r="N749" s="7" t="s">
        <v>1822</v>
      </c>
      <c r="O749" s="8">
        <v>2135</v>
      </c>
      <c r="P749" s="24">
        <v>4299</v>
      </c>
      <c r="Q749" s="22">
        <f>IF(COUNTIFS(A$2:A749,A749,I$2:I749,I749)=1,1,0)</f>
        <v>0</v>
      </c>
      <c r="R749" s="22">
        <f t="shared" si="11"/>
        <v>1</v>
      </c>
      <c r="S749" s="33">
        <f>IF(COUNTIF(O$2:O749,O749)=1,R749,0)/2.5</f>
        <v>0.4</v>
      </c>
    </row>
    <row r="750" spans="1:19" ht="18" customHeight="1" x14ac:dyDescent="0.25">
      <c r="A750" s="7" t="s">
        <v>43</v>
      </c>
      <c r="B750" s="8">
        <v>1</v>
      </c>
      <c r="C750" s="9">
        <v>425</v>
      </c>
      <c r="D750" s="29">
        <f>C750+IF(INDEX('Справочник по %'!B:B,(MATCH(A750,'Справочник по %'!A:A,0)))="кол-во",B750*INDEX('Справочник по %'!C:C,(MATCH(A750,'Справочник по %'!A:A,0))),ОТЧЕТ!C750*INDEX('Справочник по %'!C:C,(MATCH(A750,'Справочник по %'!A:A,0))))/100</f>
        <v>467.5</v>
      </c>
      <c r="E750" s="29">
        <f>IF(ОТЧЕТ!A750="SKU3",C750+ОТЧЕТ!C750*0.2,C750+ОТЧЕТ!C750*0.15)</f>
        <v>488.75</v>
      </c>
      <c r="F750" s="7" t="s">
        <v>1807</v>
      </c>
      <c r="G750" s="7">
        <v>260319124100</v>
      </c>
      <c r="H750" s="20" t="s">
        <v>50</v>
      </c>
      <c r="I750" s="22" t="str">
        <f>INDEX('Справочник Сети'!B:B,(MATCH(G750,'Справочник Сети'!C:C,0)))</f>
        <v>Планета здоровья</v>
      </c>
      <c r="J750" s="7" t="s">
        <v>110</v>
      </c>
      <c r="K750" s="7" t="s">
        <v>1823</v>
      </c>
      <c r="L750" s="7" t="s">
        <v>74</v>
      </c>
      <c r="M750" s="31">
        <v>45661</v>
      </c>
      <c r="N750" s="7" t="s">
        <v>1824</v>
      </c>
      <c r="O750" s="8">
        <v>1020</v>
      </c>
      <c r="P750" s="24">
        <v>4301</v>
      </c>
      <c r="Q750" s="22">
        <f>IF(COUNTIFS(A$2:A750,A750,I$2:I750,I750)=1,1,0)</f>
        <v>0</v>
      </c>
      <c r="R750" s="22">
        <f t="shared" si="11"/>
        <v>2</v>
      </c>
      <c r="S750" s="33">
        <f>IF(COUNTIF(O$2:O750,O750)=1,R750,0)/2.5</f>
        <v>0.8</v>
      </c>
    </row>
    <row r="751" spans="1:19" ht="18" customHeight="1" x14ac:dyDescent="0.25">
      <c r="A751" s="7" t="s">
        <v>43</v>
      </c>
      <c r="B751" s="8">
        <v>1</v>
      </c>
      <c r="C751" s="9">
        <v>401</v>
      </c>
      <c r="D751" s="29">
        <f>C751+IF(INDEX('Справочник по %'!B:B,(MATCH(A751,'Справочник по %'!A:A,0)))="кол-во",B751*INDEX('Справочник по %'!C:C,(MATCH(A751,'Справочник по %'!A:A,0))),ОТЧЕТ!C751*INDEX('Справочник по %'!C:C,(MATCH(A751,'Справочник по %'!A:A,0))))/100</f>
        <v>441.1</v>
      </c>
      <c r="E751" s="29">
        <f>IF(ОТЧЕТ!A751="SKU3",C751+ОТЧЕТ!C751*0.2,C751+ОТЧЕТ!C751*0.15)</f>
        <v>461.15</v>
      </c>
      <c r="F751" s="7" t="s">
        <v>1807</v>
      </c>
      <c r="G751" s="7">
        <v>2308110232</v>
      </c>
      <c r="H751" s="20" t="s">
        <v>69</v>
      </c>
      <c r="I751" s="22" t="str">
        <f>INDEX('Справочник Сети'!B:B,(MATCH(G751,'Справочник Сети'!C:C,0)))</f>
        <v>Нео-фарм</v>
      </c>
      <c r="J751" s="7" t="s">
        <v>372</v>
      </c>
      <c r="K751" s="7" t="s">
        <v>1825</v>
      </c>
      <c r="L751" s="7" t="s">
        <v>372</v>
      </c>
      <c r="M751" s="31">
        <v>45730</v>
      </c>
      <c r="N751" s="7" t="s">
        <v>1826</v>
      </c>
      <c r="O751" s="8">
        <v>3707</v>
      </c>
      <c r="P751" s="24">
        <v>4302</v>
      </c>
      <c r="Q751" s="22">
        <f>IF(COUNTIFS(A$2:A751,A751,I$2:I751,I751)=1,1,0)</f>
        <v>0</v>
      </c>
      <c r="R751" s="22">
        <f t="shared" si="11"/>
        <v>1</v>
      </c>
      <c r="S751" s="33">
        <f>IF(COUNTIF(O$2:O751,O751)=1,R751,0)/2.5</f>
        <v>0.4</v>
      </c>
    </row>
    <row r="752" spans="1:19" ht="18" customHeight="1" x14ac:dyDescent="0.25">
      <c r="A752" s="7" t="s">
        <v>43</v>
      </c>
      <c r="B752" s="8">
        <v>1</v>
      </c>
      <c r="C752" s="9">
        <v>345</v>
      </c>
      <c r="D752" s="29">
        <f>C752+IF(INDEX('Справочник по %'!B:B,(MATCH(A752,'Справочник по %'!A:A,0)))="кол-во",B752*INDEX('Справочник по %'!C:C,(MATCH(A752,'Справочник по %'!A:A,0))),ОТЧЕТ!C752*INDEX('Справочник по %'!C:C,(MATCH(A752,'Справочник по %'!A:A,0))))/100</f>
        <v>379.5</v>
      </c>
      <c r="E752" s="29">
        <f>IF(ОТЧЕТ!A752="SKU3",C752+ОТЧЕТ!C752*0.2,C752+ОТЧЕТ!C752*0.15)</f>
        <v>396.75</v>
      </c>
      <c r="F752" s="7" t="s">
        <v>1807</v>
      </c>
      <c r="G752" s="7">
        <v>2310174811</v>
      </c>
      <c r="H752" s="20" t="s">
        <v>50</v>
      </c>
      <c r="I752" s="22" t="str">
        <f>INDEX('Справочник Сети'!B:B,(MATCH(G752,'Справочник Сети'!C:C,0)))</f>
        <v>Нео-фарм</v>
      </c>
      <c r="J752" s="7" t="s">
        <v>57</v>
      </c>
      <c r="K752" s="7" t="s">
        <v>394</v>
      </c>
      <c r="L752" s="7" t="s">
        <v>57</v>
      </c>
      <c r="M752" s="31">
        <v>45729</v>
      </c>
      <c r="N752" s="7" t="s">
        <v>1827</v>
      </c>
      <c r="O752" s="8">
        <v>1066</v>
      </c>
      <c r="P752" s="24">
        <v>4307</v>
      </c>
      <c r="Q752" s="22">
        <f>IF(COUNTIFS(A$2:A752,A752,I$2:I752,I752)=1,1,0)</f>
        <v>0</v>
      </c>
      <c r="R752" s="22">
        <f t="shared" si="11"/>
        <v>4</v>
      </c>
      <c r="S752" s="33">
        <f>IF(COUNTIF(O$2:O752,O752)=1,R752,0)/2.5</f>
        <v>0</v>
      </c>
    </row>
    <row r="753" spans="1:19" ht="18" customHeight="1" x14ac:dyDescent="0.25">
      <c r="A753" s="7" t="s">
        <v>37</v>
      </c>
      <c r="B753" s="8">
        <v>1</v>
      </c>
      <c r="C753" s="9">
        <v>618.4</v>
      </c>
      <c r="D753" s="29">
        <f>C753+IF(INDEX('Справочник по %'!B:B,(MATCH(A753,'Справочник по %'!A:A,0)))="кол-во",B753*INDEX('Справочник по %'!C:C,(MATCH(A753,'Справочник по %'!A:A,0))),ОТЧЕТ!C753*INDEX('Справочник по %'!C:C,(MATCH(A753,'Справочник по %'!A:A,0))))/100</f>
        <v>618.6</v>
      </c>
      <c r="E753" s="29">
        <f>IF(ОТЧЕТ!A753="SKU3",C753+ОТЧЕТ!C753*0.2,C753+ОТЧЕТ!C753*0.15)</f>
        <v>711.16</v>
      </c>
      <c r="F753" s="7" t="s">
        <v>1807</v>
      </c>
      <c r="G753" s="7">
        <v>7840411560</v>
      </c>
      <c r="H753" s="20" t="s">
        <v>491</v>
      </c>
      <c r="I753" s="22" t="str">
        <f>INDEX('Справочник Сети'!B:B,(MATCH(G753,'Справочник Сети'!C:C,0)))</f>
        <v>Столички</v>
      </c>
      <c r="J753" s="7" t="s">
        <v>315</v>
      </c>
      <c r="K753" s="7" t="s">
        <v>1828</v>
      </c>
      <c r="L753" s="7" t="s">
        <v>315</v>
      </c>
      <c r="M753" s="31">
        <v>45670</v>
      </c>
      <c r="N753" s="7" t="s">
        <v>1829</v>
      </c>
      <c r="O753" s="8">
        <v>2953</v>
      </c>
      <c r="P753" s="24">
        <v>4308</v>
      </c>
      <c r="Q753" s="22">
        <f>IF(COUNTIFS(A$2:A753,A753,I$2:I753,I753)=1,1,0)</f>
        <v>0</v>
      </c>
      <c r="R753" s="22">
        <f t="shared" si="11"/>
        <v>4</v>
      </c>
      <c r="S753" s="33">
        <f>IF(COUNTIF(O$2:O753,O753)=1,R753,0)/2.5</f>
        <v>0</v>
      </c>
    </row>
    <row r="754" spans="1:19" ht="18" customHeight="1" x14ac:dyDescent="0.25">
      <c r="A754" s="7" t="s">
        <v>43</v>
      </c>
      <c r="B754" s="8">
        <v>1</v>
      </c>
      <c r="C754" s="9">
        <v>520</v>
      </c>
      <c r="D754" s="29">
        <f>C754+IF(INDEX('Справочник по %'!B:B,(MATCH(A754,'Справочник по %'!A:A,0)))="кол-во",B754*INDEX('Справочник по %'!C:C,(MATCH(A754,'Справочник по %'!A:A,0))),ОТЧЕТ!C754*INDEX('Справочник по %'!C:C,(MATCH(A754,'Справочник по %'!A:A,0))))/100</f>
        <v>572</v>
      </c>
      <c r="E754" s="29">
        <f>IF(ОТЧЕТ!A754="SKU3",C754+ОТЧЕТ!C754*0.2,C754+ОТЧЕТ!C754*0.15)</f>
        <v>598</v>
      </c>
      <c r="F754" s="7" t="s">
        <v>1807</v>
      </c>
      <c r="G754" s="7">
        <v>7805286404</v>
      </c>
      <c r="H754" s="20" t="s">
        <v>50</v>
      </c>
      <c r="I754" s="22">
        <f>INDEX('Справочник Сети'!B:B,(MATCH(G754,'Справочник Сети'!C:C,0)))</f>
        <v>0</v>
      </c>
      <c r="J754" s="7" t="s">
        <v>353</v>
      </c>
      <c r="K754" s="7" t="s">
        <v>214</v>
      </c>
      <c r="L754" s="7" t="s">
        <v>353</v>
      </c>
      <c r="M754" s="31">
        <v>45672</v>
      </c>
      <c r="N754" s="7" t="s">
        <v>1830</v>
      </c>
      <c r="O754" s="8">
        <v>1538</v>
      </c>
      <c r="P754" s="24">
        <v>4310</v>
      </c>
      <c r="Q754" s="22">
        <f>IF(COUNTIFS(A$2:A754,A754,I$2:I754,I754)=1,1,0)</f>
        <v>0</v>
      </c>
      <c r="R754" s="22">
        <f t="shared" si="11"/>
        <v>1</v>
      </c>
      <c r="S754" s="33">
        <f>IF(COUNTIF(O$2:O754,O754)=1,R754,0)/2.5</f>
        <v>0.4</v>
      </c>
    </row>
    <row r="755" spans="1:19" ht="18" customHeight="1" x14ac:dyDescent="0.25">
      <c r="A755" s="7" t="s">
        <v>43</v>
      </c>
      <c r="B755" s="8">
        <v>1</v>
      </c>
      <c r="C755" s="9">
        <v>695</v>
      </c>
      <c r="D755" s="29">
        <f>C755+IF(INDEX('Справочник по %'!B:B,(MATCH(A755,'Справочник по %'!A:A,0)))="кол-во",B755*INDEX('Справочник по %'!C:C,(MATCH(A755,'Справочник по %'!A:A,0))),ОТЧЕТ!C755*INDEX('Справочник по %'!C:C,(MATCH(A755,'Справочник по %'!A:A,0))))/100</f>
        <v>764.5</v>
      </c>
      <c r="E755" s="29">
        <f>IF(ОТЧЕТ!A755="SKU3",C755+ОТЧЕТ!C755*0.2,C755+ОТЧЕТ!C755*0.15)</f>
        <v>799.25</v>
      </c>
      <c r="F755" s="7" t="s">
        <v>1831</v>
      </c>
      <c r="G755" s="7">
        <v>2320218433</v>
      </c>
      <c r="H755" s="20" t="s">
        <v>91</v>
      </c>
      <c r="I755" s="22" t="str">
        <f>INDEX('Справочник Сети'!B:B,(MATCH(G755,'Справочник Сети'!C:C,0)))</f>
        <v>Планета здоровья</v>
      </c>
      <c r="J755" s="7" t="s">
        <v>96</v>
      </c>
      <c r="K755" s="7" t="s">
        <v>1832</v>
      </c>
      <c r="L755" s="7" t="s">
        <v>70</v>
      </c>
      <c r="M755" s="31">
        <v>45728</v>
      </c>
      <c r="N755" s="7" t="s">
        <v>1833</v>
      </c>
      <c r="O755" s="8">
        <v>101</v>
      </c>
      <c r="P755" s="24">
        <v>4315</v>
      </c>
      <c r="Q755" s="22">
        <f>IF(COUNTIFS(A$2:A755,A755,I$2:I755,I755)=1,1,0)</f>
        <v>0</v>
      </c>
      <c r="R755" s="22">
        <f t="shared" si="11"/>
        <v>1</v>
      </c>
      <c r="S755" s="33">
        <f>IF(COUNTIF(O$2:O755,O755)=1,R755,0)/2.5</f>
        <v>0.4</v>
      </c>
    </row>
    <row r="756" spans="1:19" ht="18" customHeight="1" x14ac:dyDescent="0.25">
      <c r="A756" s="7" t="s">
        <v>37</v>
      </c>
      <c r="B756" s="8">
        <v>1</v>
      </c>
      <c r="C756" s="9">
        <v>544.5</v>
      </c>
      <c r="D756" s="29">
        <f>C756+IF(INDEX('Справочник по %'!B:B,(MATCH(A756,'Справочник по %'!A:A,0)))="кол-во",B756*INDEX('Справочник по %'!C:C,(MATCH(A756,'Справочник по %'!A:A,0))),ОТЧЕТ!C756*INDEX('Справочник по %'!C:C,(MATCH(A756,'Справочник по %'!A:A,0))))/100</f>
        <v>544.70000000000005</v>
      </c>
      <c r="E756" s="29">
        <f>IF(ОТЧЕТ!A756="SKU3",C756+ОТЧЕТ!C756*0.2,C756+ОТЧЕТ!C756*0.15)</f>
        <v>626.17499999999995</v>
      </c>
      <c r="F756" s="7" t="s">
        <v>1834</v>
      </c>
      <c r="G756" s="7">
        <v>6722022100</v>
      </c>
      <c r="H756" s="20" t="s">
        <v>50</v>
      </c>
      <c r="I756" s="22">
        <f>INDEX('Справочник Сети'!B:B,(MATCH(G756,'Справочник Сети'!C:C,0)))</f>
        <v>0</v>
      </c>
      <c r="J756" s="7" t="s">
        <v>106</v>
      </c>
      <c r="K756" s="7" t="s">
        <v>184</v>
      </c>
      <c r="L756" s="7" t="s">
        <v>106</v>
      </c>
      <c r="M756" s="31">
        <v>45694</v>
      </c>
      <c r="N756" s="7" t="s">
        <v>1835</v>
      </c>
      <c r="O756" s="8">
        <v>2252</v>
      </c>
      <c r="P756" s="24">
        <v>4318</v>
      </c>
      <c r="Q756" s="22">
        <f>IF(COUNTIFS(A$2:A756,A756,I$2:I756,I756)=1,1,0)</f>
        <v>0</v>
      </c>
      <c r="R756" s="22">
        <f t="shared" si="11"/>
        <v>2</v>
      </c>
      <c r="S756" s="33">
        <f>IF(COUNTIF(O$2:O756,O756)=1,R756,0)/2.5</f>
        <v>0.8</v>
      </c>
    </row>
    <row r="757" spans="1:19" ht="18" customHeight="1" x14ac:dyDescent="0.25">
      <c r="A757" s="7" t="s">
        <v>43</v>
      </c>
      <c r="B757" s="8">
        <v>1</v>
      </c>
      <c r="C757" s="9">
        <v>399</v>
      </c>
      <c r="D757" s="29">
        <f>C757+IF(INDEX('Справочник по %'!B:B,(MATCH(A757,'Справочник по %'!A:A,0)))="кол-во",B757*INDEX('Справочник по %'!C:C,(MATCH(A757,'Справочник по %'!A:A,0))),ОТЧЕТ!C757*INDEX('Справочник по %'!C:C,(MATCH(A757,'Справочник по %'!A:A,0))))/100</f>
        <v>438.9</v>
      </c>
      <c r="E757" s="29">
        <f>IF(ОТЧЕТ!A757="SKU3",C757+ОТЧЕТ!C757*0.2,C757+ОТЧЕТ!C757*0.15)</f>
        <v>458.85</v>
      </c>
      <c r="F757" s="7" t="s">
        <v>1834</v>
      </c>
      <c r="G757" s="7">
        <v>7716997445</v>
      </c>
      <c r="H757" s="20" t="s">
        <v>167</v>
      </c>
      <c r="I757" s="22" t="str">
        <f>INDEX('Справочник Сети'!B:B,(MATCH(G757,'Справочник Сети'!C:C,0)))</f>
        <v>Столички</v>
      </c>
      <c r="J757" s="7" t="s">
        <v>168</v>
      </c>
      <c r="K757" s="7" t="s">
        <v>1836</v>
      </c>
      <c r="L757" s="7" t="s">
        <v>168</v>
      </c>
      <c r="M757" s="31">
        <v>45676</v>
      </c>
      <c r="N757" s="7" t="s">
        <v>1837</v>
      </c>
      <c r="O757" s="8">
        <v>133</v>
      </c>
      <c r="P757" s="24">
        <v>4325</v>
      </c>
      <c r="Q757" s="22">
        <f>IF(COUNTIFS(A$2:A757,A757,I$2:I757,I757)=1,1,0)</f>
        <v>0</v>
      </c>
      <c r="R757" s="22">
        <f t="shared" si="11"/>
        <v>14</v>
      </c>
      <c r="S757" s="33">
        <f>IF(COUNTIF(O$2:O757,O757)=1,R757,0)/2.5</f>
        <v>0</v>
      </c>
    </row>
    <row r="758" spans="1:19" ht="18" customHeight="1" x14ac:dyDescent="0.25">
      <c r="A758" s="7" t="s">
        <v>43</v>
      </c>
      <c r="B758" s="8">
        <v>1</v>
      </c>
      <c r="C758" s="9">
        <v>500</v>
      </c>
      <c r="D758" s="29">
        <f>C758+IF(INDEX('Справочник по %'!B:B,(MATCH(A758,'Справочник по %'!A:A,0)))="кол-во",B758*INDEX('Справочник по %'!C:C,(MATCH(A758,'Справочник по %'!A:A,0))),ОТЧЕТ!C758*INDEX('Справочник по %'!C:C,(MATCH(A758,'Справочник по %'!A:A,0))))/100</f>
        <v>550</v>
      </c>
      <c r="E758" s="29">
        <f>IF(ОТЧЕТ!A758="SKU3",C758+ОТЧЕТ!C758*0.2,C758+ОТЧЕТ!C758*0.15)</f>
        <v>575</v>
      </c>
      <c r="F758" s="7" t="s">
        <v>1834</v>
      </c>
      <c r="G758" s="7">
        <v>4632170357</v>
      </c>
      <c r="H758" s="20" t="s">
        <v>153</v>
      </c>
      <c r="I758" s="22" t="str">
        <f>INDEX('Справочник Сети'!B:B,(MATCH(G758,'Справочник Сети'!C:C,0)))</f>
        <v>Столички</v>
      </c>
      <c r="J758" s="7" t="s">
        <v>83</v>
      </c>
      <c r="K758" s="7" t="s">
        <v>1838</v>
      </c>
      <c r="L758" s="7" t="s">
        <v>155</v>
      </c>
      <c r="M758" s="31">
        <v>45716</v>
      </c>
      <c r="N758" s="7" t="s">
        <v>1839</v>
      </c>
      <c r="O758" s="8">
        <v>163</v>
      </c>
      <c r="P758" s="24">
        <v>4331</v>
      </c>
      <c r="Q758" s="22">
        <f>IF(COUNTIFS(A$2:A758,A758,I$2:I758,I758)=1,1,0)</f>
        <v>0</v>
      </c>
      <c r="R758" s="22">
        <f t="shared" si="11"/>
        <v>5</v>
      </c>
      <c r="S758" s="33">
        <f>IF(COUNTIF(O$2:O758,O758)=1,R758,0)/2.5</f>
        <v>2</v>
      </c>
    </row>
    <row r="759" spans="1:19" ht="18" customHeight="1" x14ac:dyDescent="0.25">
      <c r="A759" s="7" t="s">
        <v>43</v>
      </c>
      <c r="B759" s="8">
        <v>1</v>
      </c>
      <c r="C759" s="9">
        <v>494</v>
      </c>
      <c r="D759" s="29">
        <f>C759+IF(INDEX('Справочник по %'!B:B,(MATCH(A759,'Справочник по %'!A:A,0)))="кол-во",B759*INDEX('Справочник по %'!C:C,(MATCH(A759,'Справочник по %'!A:A,0))),ОТЧЕТ!C759*INDEX('Справочник по %'!C:C,(MATCH(A759,'Справочник по %'!A:A,0))))/100</f>
        <v>543.4</v>
      </c>
      <c r="E759" s="29">
        <f>IF(ОТЧЕТ!A759="SKU3",C759+ОТЧЕТ!C759*0.2,C759+ОТЧЕТ!C759*0.15)</f>
        <v>568.1</v>
      </c>
      <c r="F759" s="7" t="s">
        <v>1834</v>
      </c>
      <c r="G759" s="7">
        <v>7713666808</v>
      </c>
      <c r="H759" s="20" t="s">
        <v>1840</v>
      </c>
      <c r="I759" s="22">
        <f>INDEX('Справочник Сети'!B:B,(MATCH(G759,'Справочник Сети'!C:C,0)))</f>
        <v>0</v>
      </c>
      <c r="J759" s="7" t="s">
        <v>504</v>
      </c>
      <c r="K759" s="7" t="s">
        <v>1313</v>
      </c>
      <c r="L759" s="7" t="s">
        <v>504</v>
      </c>
      <c r="M759" s="31">
        <v>45690</v>
      </c>
      <c r="N759" s="7" t="s">
        <v>1841</v>
      </c>
      <c r="O759" s="8">
        <v>3035</v>
      </c>
      <c r="P759" s="24">
        <v>4334</v>
      </c>
      <c r="Q759" s="22">
        <f>IF(COUNTIFS(A$2:A759,A759,I$2:I759,I759)=1,1,0)</f>
        <v>0</v>
      </c>
      <c r="R759" s="22">
        <f t="shared" si="11"/>
        <v>1</v>
      </c>
      <c r="S759" s="33">
        <f>IF(COUNTIF(O$2:O759,O759)=1,R759,0)/2.5</f>
        <v>0.4</v>
      </c>
    </row>
    <row r="760" spans="1:19" ht="18" customHeight="1" x14ac:dyDescent="0.25">
      <c r="A760" s="7" t="s">
        <v>43</v>
      </c>
      <c r="B760" s="8">
        <v>1</v>
      </c>
      <c r="C760" s="9">
        <v>449</v>
      </c>
      <c r="D760" s="29">
        <f>C760+IF(INDEX('Справочник по %'!B:B,(MATCH(A760,'Справочник по %'!A:A,0)))="кол-во",B760*INDEX('Справочник по %'!C:C,(MATCH(A760,'Справочник по %'!A:A,0))),ОТЧЕТ!C760*INDEX('Справочник по %'!C:C,(MATCH(A760,'Справочник по %'!A:A,0))))/100</f>
        <v>493.9</v>
      </c>
      <c r="E760" s="29">
        <f>IF(ОТЧЕТ!A760="SKU3",C760+ОТЧЕТ!C760*0.2,C760+ОТЧЕТ!C760*0.15)</f>
        <v>516.35</v>
      </c>
      <c r="F760" s="7" t="s">
        <v>1834</v>
      </c>
      <c r="G760" s="7">
        <v>2204092892</v>
      </c>
      <c r="H760" s="20" t="s">
        <v>50</v>
      </c>
      <c r="I760" s="22">
        <f>INDEX('Справочник Сети'!B:B,(MATCH(G760,'Справочник Сети'!C:C,0)))</f>
        <v>0</v>
      </c>
      <c r="J760" s="7" t="s">
        <v>372</v>
      </c>
      <c r="K760" s="7" t="s">
        <v>1842</v>
      </c>
      <c r="L760" s="7" t="s">
        <v>372</v>
      </c>
      <c r="M760" s="31">
        <v>45730</v>
      </c>
      <c r="N760" s="7" t="s">
        <v>1843</v>
      </c>
      <c r="O760" s="8">
        <v>161</v>
      </c>
      <c r="P760" s="24">
        <v>4335</v>
      </c>
      <c r="Q760" s="22">
        <f>IF(COUNTIFS(A$2:A760,A760,I$2:I760,I760)=1,1,0)</f>
        <v>0</v>
      </c>
      <c r="R760" s="22">
        <f t="shared" si="11"/>
        <v>2</v>
      </c>
      <c r="S760" s="33">
        <f>IF(COUNTIF(O$2:O760,O760)=1,R760,0)/2.5</f>
        <v>0</v>
      </c>
    </row>
    <row r="761" spans="1:19" ht="18" customHeight="1" x14ac:dyDescent="0.25">
      <c r="A761" s="7" t="s">
        <v>37</v>
      </c>
      <c r="B761" s="8">
        <v>1</v>
      </c>
      <c r="C761" s="9">
        <v>639</v>
      </c>
      <c r="D761" s="29">
        <f>C761+IF(INDEX('Справочник по %'!B:B,(MATCH(A761,'Справочник по %'!A:A,0)))="кол-во",B761*INDEX('Справочник по %'!C:C,(MATCH(A761,'Справочник по %'!A:A,0))),ОТЧЕТ!C761*INDEX('Справочник по %'!C:C,(MATCH(A761,'Справочник по %'!A:A,0))))/100</f>
        <v>639.20000000000005</v>
      </c>
      <c r="E761" s="29">
        <f>IF(ОТЧЕТ!A761="SKU3",C761+ОТЧЕТ!C761*0.2,C761+ОТЧЕТ!C761*0.15)</f>
        <v>734.85</v>
      </c>
      <c r="F761" s="7" t="s">
        <v>1834</v>
      </c>
      <c r="G761" s="7">
        <v>6673189456</v>
      </c>
      <c r="H761" s="20" t="s">
        <v>50</v>
      </c>
      <c r="I761" s="22" t="str">
        <f>INDEX('Справочник Сети'!B:B,(MATCH(G761,'Справочник Сети'!C:C,0)))</f>
        <v>Столички</v>
      </c>
      <c r="J761" s="7" t="s">
        <v>133</v>
      </c>
      <c r="K761" s="7" t="s">
        <v>1844</v>
      </c>
      <c r="L761" s="7" t="s">
        <v>133</v>
      </c>
      <c r="M761" s="31">
        <v>45695</v>
      </c>
      <c r="N761" s="7" t="s">
        <v>1845</v>
      </c>
      <c r="O761" s="8">
        <v>3424</v>
      </c>
      <c r="P761" s="24">
        <v>4337</v>
      </c>
      <c r="Q761" s="22">
        <f>IF(COUNTIFS(A$2:A761,A761,I$2:I761,I761)=1,1,0)</f>
        <v>0</v>
      </c>
      <c r="R761" s="22">
        <f t="shared" si="11"/>
        <v>1</v>
      </c>
      <c r="S761" s="33">
        <f>IF(COUNTIF(O$2:O761,O761)=1,R761,0)/2.5</f>
        <v>0.4</v>
      </c>
    </row>
    <row r="762" spans="1:19" ht="18" customHeight="1" x14ac:dyDescent="0.25">
      <c r="A762" s="7" t="s">
        <v>43</v>
      </c>
      <c r="B762" s="8">
        <v>1</v>
      </c>
      <c r="C762" s="9">
        <v>425</v>
      </c>
      <c r="D762" s="29">
        <f>C762+IF(INDEX('Справочник по %'!B:B,(MATCH(A762,'Справочник по %'!A:A,0)))="кол-во",B762*INDEX('Справочник по %'!C:C,(MATCH(A762,'Справочник по %'!A:A,0))),ОТЧЕТ!C762*INDEX('Справочник по %'!C:C,(MATCH(A762,'Справочник по %'!A:A,0))))/100</f>
        <v>467.5</v>
      </c>
      <c r="E762" s="29">
        <f>IF(ОТЧЕТ!A762="SKU3",C762+ОТЧЕТ!C762*0.2,C762+ОТЧЕТ!C762*0.15)</f>
        <v>488.75</v>
      </c>
      <c r="F762" s="7" t="s">
        <v>1846</v>
      </c>
      <c r="G762" s="7">
        <v>4632054054</v>
      </c>
      <c r="H762" s="20" t="s">
        <v>1847</v>
      </c>
      <c r="I762" s="22" t="str">
        <f>INDEX('Справочник Сети'!B:B,(MATCH(G762,'Справочник Сети'!C:C,0)))</f>
        <v>Ригла</v>
      </c>
      <c r="J762" s="7" t="s">
        <v>155</v>
      </c>
      <c r="K762" s="7" t="s">
        <v>134</v>
      </c>
      <c r="L762" s="7" t="s">
        <v>155</v>
      </c>
      <c r="M762" s="31">
        <v>45716</v>
      </c>
      <c r="N762" s="7" t="s">
        <v>1848</v>
      </c>
      <c r="O762" s="8">
        <v>1064</v>
      </c>
      <c r="P762" s="24">
        <v>4338</v>
      </c>
      <c r="Q762" s="22">
        <f>IF(COUNTIFS(A$2:A762,A762,I$2:I762,I762)=1,1,0)</f>
        <v>0</v>
      </c>
      <c r="R762" s="22">
        <f t="shared" si="11"/>
        <v>4</v>
      </c>
      <c r="S762" s="33">
        <f>IF(COUNTIF(O$2:O762,O762)=1,R762,0)/2.5</f>
        <v>1.6</v>
      </c>
    </row>
    <row r="763" spans="1:19" ht="18" customHeight="1" x14ac:dyDescent="0.25">
      <c r="A763" s="7" t="s">
        <v>37</v>
      </c>
      <c r="B763" s="8">
        <v>1</v>
      </c>
      <c r="C763" s="9">
        <v>564</v>
      </c>
      <c r="D763" s="29">
        <f>C763+IF(INDEX('Справочник по %'!B:B,(MATCH(A763,'Справочник по %'!A:A,0)))="кол-во",B763*INDEX('Справочник по %'!C:C,(MATCH(A763,'Справочник по %'!A:A,0))),ОТЧЕТ!C763*INDEX('Справочник по %'!C:C,(MATCH(A763,'Справочник по %'!A:A,0))))/100</f>
        <v>564.20000000000005</v>
      </c>
      <c r="E763" s="29">
        <f>IF(ОТЧЕТ!A763="SKU3",C763+ОТЧЕТ!C763*0.2,C763+ОТЧЕТ!C763*0.15)</f>
        <v>648.6</v>
      </c>
      <c r="F763" s="7" t="s">
        <v>1846</v>
      </c>
      <c r="G763" s="7">
        <v>7714844316</v>
      </c>
      <c r="H763" s="20" t="s">
        <v>50</v>
      </c>
      <c r="I763" s="22" t="str">
        <f>INDEX('Справочник Сети'!B:B,(MATCH(G763,'Справочник Сети'!C:C,0)))</f>
        <v>Планета здоровья</v>
      </c>
      <c r="J763" s="7" t="s">
        <v>504</v>
      </c>
      <c r="K763" s="7" t="s">
        <v>1849</v>
      </c>
      <c r="L763" s="7" t="s">
        <v>504</v>
      </c>
      <c r="M763" s="31">
        <v>45690</v>
      </c>
      <c r="N763" s="7" t="s">
        <v>1850</v>
      </c>
      <c r="O763" s="8">
        <v>3102</v>
      </c>
      <c r="P763" s="24">
        <v>4341</v>
      </c>
      <c r="Q763" s="22">
        <f>IF(COUNTIFS(A$2:A763,A763,I$2:I763,I763)=1,1,0)</f>
        <v>0</v>
      </c>
      <c r="R763" s="22">
        <f t="shared" si="11"/>
        <v>1</v>
      </c>
      <c r="S763" s="33">
        <f>IF(COUNTIF(O$2:O763,O763)=1,R763,0)/2.5</f>
        <v>0.4</v>
      </c>
    </row>
    <row r="764" spans="1:19" ht="18" customHeight="1" x14ac:dyDescent="0.25">
      <c r="A764" s="7" t="s">
        <v>43</v>
      </c>
      <c r="B764" s="8">
        <v>1</v>
      </c>
      <c r="C764" s="9">
        <v>419</v>
      </c>
      <c r="D764" s="29">
        <f>C764+IF(INDEX('Справочник по %'!B:B,(MATCH(A764,'Справочник по %'!A:A,0)))="кол-во",B764*INDEX('Справочник по %'!C:C,(MATCH(A764,'Справочник по %'!A:A,0))),ОТЧЕТ!C764*INDEX('Справочник по %'!C:C,(MATCH(A764,'Справочник по %'!A:A,0))))/100</f>
        <v>460.9</v>
      </c>
      <c r="E764" s="29">
        <f>IF(ОТЧЕТ!A764="SKU3",C764+ОТЧЕТ!C764*0.2,C764+ОТЧЕТ!C764*0.15)</f>
        <v>481.85</v>
      </c>
      <c r="F764" s="7" t="s">
        <v>1846</v>
      </c>
      <c r="G764" s="7">
        <v>2310096546</v>
      </c>
      <c r="H764" s="20" t="s">
        <v>69</v>
      </c>
      <c r="I764" s="22" t="str">
        <f>INDEX('Справочник Сети'!B:B,(MATCH(G764,'Справочник Сети'!C:C,0)))</f>
        <v>36,6</v>
      </c>
      <c r="J764" s="7" t="s">
        <v>57</v>
      </c>
      <c r="K764" s="7" t="s">
        <v>1293</v>
      </c>
      <c r="L764" s="7" t="s">
        <v>57</v>
      </c>
      <c r="M764" s="31">
        <v>45729</v>
      </c>
      <c r="N764" s="7" t="s">
        <v>1851</v>
      </c>
      <c r="O764" s="8">
        <v>2710</v>
      </c>
      <c r="P764" s="24">
        <v>4350</v>
      </c>
      <c r="Q764" s="22">
        <f>IF(COUNTIFS(A$2:A764,A764,I$2:I764,I764)=1,1,0)</f>
        <v>0</v>
      </c>
      <c r="R764" s="22">
        <f t="shared" si="11"/>
        <v>1</v>
      </c>
      <c r="S764" s="33">
        <f>IF(COUNTIF(O$2:O764,O764)=1,R764,0)/2.5</f>
        <v>0.4</v>
      </c>
    </row>
    <row r="765" spans="1:19" ht="18" customHeight="1" x14ac:dyDescent="0.25">
      <c r="A765" s="7" t="s">
        <v>37</v>
      </c>
      <c r="B765" s="8">
        <v>1</v>
      </c>
      <c r="C765" s="9">
        <v>700</v>
      </c>
      <c r="D765" s="29">
        <f>C765+IF(INDEX('Справочник по %'!B:B,(MATCH(A765,'Справочник по %'!A:A,0)))="кол-во",B765*INDEX('Справочник по %'!C:C,(MATCH(A765,'Справочник по %'!A:A,0))),ОТЧЕТ!C765*INDEX('Справочник по %'!C:C,(MATCH(A765,'Справочник по %'!A:A,0))))/100</f>
        <v>700.2</v>
      </c>
      <c r="E765" s="29">
        <f>IF(ОТЧЕТ!A765="SKU3",C765+ОТЧЕТ!C765*0.2,C765+ОТЧЕТ!C765*0.15)</f>
        <v>805</v>
      </c>
      <c r="F765" s="7" t="s">
        <v>1846</v>
      </c>
      <c r="G765" s="7">
        <v>7814139847</v>
      </c>
      <c r="H765" s="20" t="s">
        <v>50</v>
      </c>
      <c r="I765" s="22" t="str">
        <f>INDEX('Справочник Сети'!B:B,(MATCH(G765,'Справочник Сети'!C:C,0)))</f>
        <v>Планета здоровья</v>
      </c>
      <c r="J765" s="7" t="s">
        <v>121</v>
      </c>
      <c r="K765" s="7" t="s">
        <v>354</v>
      </c>
      <c r="L765" s="7" t="s">
        <v>121</v>
      </c>
      <c r="M765" s="31">
        <v>45671</v>
      </c>
      <c r="N765" s="7" t="s">
        <v>1852</v>
      </c>
      <c r="O765" s="8">
        <v>2855</v>
      </c>
      <c r="P765" s="24">
        <v>4351</v>
      </c>
      <c r="Q765" s="22">
        <f>IF(COUNTIFS(A$2:A765,A765,I$2:I765,I765)=1,1,0)</f>
        <v>0</v>
      </c>
      <c r="R765" s="22">
        <f t="shared" si="11"/>
        <v>5</v>
      </c>
      <c r="S765" s="33">
        <f>IF(COUNTIF(O$2:O765,O765)=1,R765,0)/2.5</f>
        <v>0</v>
      </c>
    </row>
    <row r="766" spans="1:19" ht="18" customHeight="1" x14ac:dyDescent="0.25">
      <c r="A766" s="7" t="s">
        <v>43</v>
      </c>
      <c r="B766" s="8">
        <v>1</v>
      </c>
      <c r="C766" s="9">
        <v>426</v>
      </c>
      <c r="D766" s="29">
        <f>C766+IF(INDEX('Справочник по %'!B:B,(MATCH(A766,'Справочник по %'!A:A,0)))="кол-во",B766*INDEX('Справочник по %'!C:C,(MATCH(A766,'Справочник по %'!A:A,0))),ОТЧЕТ!C766*INDEX('Справочник по %'!C:C,(MATCH(A766,'Справочник по %'!A:A,0))))/100</f>
        <v>468.6</v>
      </c>
      <c r="E766" s="29">
        <f>IF(ОТЧЕТ!A766="SKU3",C766+ОТЧЕТ!C766*0.2,C766+ОТЧЕТ!C766*0.15)</f>
        <v>489.9</v>
      </c>
      <c r="F766" s="7" t="s">
        <v>1846</v>
      </c>
      <c r="G766" s="7">
        <v>1655482068</v>
      </c>
      <c r="H766" s="20" t="s">
        <v>1528</v>
      </c>
      <c r="I766" s="22">
        <f>INDEX('Справочник Сети'!B:B,(MATCH(G766,'Справочник Сети'!C:C,0)))</f>
        <v>0</v>
      </c>
      <c r="J766" s="7" t="s">
        <v>335</v>
      </c>
      <c r="K766" s="7" t="s">
        <v>858</v>
      </c>
      <c r="L766" s="7" t="s">
        <v>335</v>
      </c>
      <c r="M766" s="31">
        <v>45731</v>
      </c>
      <c r="N766" s="7" t="s">
        <v>1853</v>
      </c>
      <c r="O766" s="8">
        <v>299</v>
      </c>
      <c r="P766" s="24">
        <v>4356</v>
      </c>
      <c r="Q766" s="22">
        <f>IF(COUNTIFS(A$2:A766,A766,I$2:I766,I766)=1,1,0)</f>
        <v>0</v>
      </c>
      <c r="R766" s="22">
        <f t="shared" si="11"/>
        <v>4</v>
      </c>
      <c r="S766" s="33">
        <f>IF(COUNTIF(O$2:O766,O766)=1,R766,0)/2.5</f>
        <v>1.6</v>
      </c>
    </row>
    <row r="767" spans="1:19" ht="18" customHeight="1" x14ac:dyDescent="0.25">
      <c r="A767" s="7" t="s">
        <v>43</v>
      </c>
      <c r="B767" s="8">
        <v>1</v>
      </c>
      <c r="C767" s="9">
        <v>399.9</v>
      </c>
      <c r="D767" s="29">
        <f>C767+IF(INDEX('Справочник по %'!B:B,(MATCH(A767,'Справочник по %'!A:A,0)))="кол-во",B767*INDEX('Справочник по %'!C:C,(MATCH(A767,'Справочник по %'!A:A,0))),ОТЧЕТ!C767*INDEX('Справочник по %'!C:C,(MATCH(A767,'Справочник по %'!A:A,0))))/100</f>
        <v>439.89</v>
      </c>
      <c r="E767" s="29">
        <f>IF(ОТЧЕТ!A767="SKU3",C767+ОТЧЕТ!C767*0.2,C767+ОТЧЕТ!C767*0.15)</f>
        <v>459.88499999999999</v>
      </c>
      <c r="F767" s="7" t="s">
        <v>1846</v>
      </c>
      <c r="G767" s="7">
        <v>275912643</v>
      </c>
      <c r="H767" s="20" t="s">
        <v>1854</v>
      </c>
      <c r="I767" s="22">
        <f>INDEX('Справочник Сети'!B:B,(MATCH(G767,'Справочник Сети'!C:C,0)))</f>
        <v>0</v>
      </c>
      <c r="J767" s="7" t="s">
        <v>362</v>
      </c>
      <c r="K767" s="7" t="s">
        <v>1855</v>
      </c>
      <c r="L767" s="7" t="s">
        <v>362</v>
      </c>
      <c r="M767" s="31">
        <v>45732</v>
      </c>
      <c r="N767" s="7" t="s">
        <v>1856</v>
      </c>
      <c r="O767" s="8">
        <v>2529</v>
      </c>
      <c r="P767" s="24">
        <v>4359</v>
      </c>
      <c r="Q767" s="22">
        <f>IF(COUNTIFS(A$2:A767,A767,I$2:I767,I767)=1,1,0)</f>
        <v>0</v>
      </c>
      <c r="R767" s="22">
        <f t="shared" si="11"/>
        <v>2</v>
      </c>
      <c r="S767" s="33">
        <f>IF(COUNTIF(O$2:O767,O767)=1,R767,0)/2.5</f>
        <v>0.8</v>
      </c>
    </row>
    <row r="768" spans="1:19" ht="18" customHeight="1" x14ac:dyDescent="0.25">
      <c r="A768" s="7" t="s">
        <v>37</v>
      </c>
      <c r="B768" s="8">
        <v>1</v>
      </c>
      <c r="C768" s="9">
        <v>561</v>
      </c>
      <c r="D768" s="29">
        <f>C768+IF(INDEX('Справочник по %'!B:B,(MATCH(A768,'Справочник по %'!A:A,0)))="кол-во",B768*INDEX('Справочник по %'!C:C,(MATCH(A768,'Справочник по %'!A:A,0))),ОТЧЕТ!C768*INDEX('Справочник по %'!C:C,(MATCH(A768,'Справочник по %'!A:A,0))))/100</f>
        <v>561.20000000000005</v>
      </c>
      <c r="E768" s="29">
        <f>IF(ОТЧЕТ!A768="SKU3",C768+ОТЧЕТ!C768*0.2,C768+ОТЧЕТ!C768*0.15)</f>
        <v>645.15</v>
      </c>
      <c r="F768" s="7" t="s">
        <v>1846</v>
      </c>
      <c r="G768" s="7">
        <v>7706795062</v>
      </c>
      <c r="H768" s="20" t="s">
        <v>1801</v>
      </c>
      <c r="I768" s="22" t="str">
        <f>INDEX('Справочник Сети'!B:B,(MATCH(G768,'Справочник Сети'!C:C,0)))</f>
        <v>Планета здоровья</v>
      </c>
      <c r="J768" s="7" t="s">
        <v>87</v>
      </c>
      <c r="K768" s="7" t="s">
        <v>264</v>
      </c>
      <c r="L768" s="7" t="s">
        <v>87</v>
      </c>
      <c r="M768" s="31">
        <v>45691</v>
      </c>
      <c r="N768" s="7" t="s">
        <v>1857</v>
      </c>
      <c r="O768" s="8">
        <v>3371</v>
      </c>
      <c r="P768" s="24">
        <v>4365</v>
      </c>
      <c r="Q768" s="22">
        <f>IF(COUNTIFS(A$2:A768,A768,I$2:I768,I768)=1,1,0)</f>
        <v>0</v>
      </c>
      <c r="R768" s="22">
        <f t="shared" si="11"/>
        <v>5</v>
      </c>
      <c r="S768" s="33">
        <f>IF(COUNTIF(O$2:O768,O768)=1,R768,0)/2.5</f>
        <v>0</v>
      </c>
    </row>
    <row r="769" spans="1:19" ht="18" customHeight="1" x14ac:dyDescent="0.25">
      <c r="A769" s="7" t="s">
        <v>43</v>
      </c>
      <c r="B769" s="8">
        <v>1</v>
      </c>
      <c r="C769" s="9">
        <v>375.21</v>
      </c>
      <c r="D769" s="29">
        <f>C769+IF(INDEX('Справочник по %'!B:B,(MATCH(A769,'Справочник по %'!A:A,0)))="кол-во",B769*INDEX('Справочник по %'!C:C,(MATCH(A769,'Справочник по %'!A:A,0))),ОТЧЕТ!C769*INDEX('Справочник по %'!C:C,(MATCH(A769,'Справочник по %'!A:A,0))))/100</f>
        <v>412.73099999999999</v>
      </c>
      <c r="E769" s="29">
        <f>IF(ОТЧЕТ!A769="SKU3",C769+ОТЧЕТ!C769*0.2,C769+ОТЧЕТ!C769*0.15)</f>
        <v>431.49149999999997</v>
      </c>
      <c r="F769" s="7" t="s">
        <v>1858</v>
      </c>
      <c r="G769" s="7">
        <v>6903044867</v>
      </c>
      <c r="H769" s="20" t="s">
        <v>852</v>
      </c>
      <c r="I769" s="22" t="str">
        <f>INDEX('Справочник Сети'!B:B,(MATCH(G769,'Справочник Сети'!C:C,0)))</f>
        <v>Ригла</v>
      </c>
      <c r="J769" s="7" t="s">
        <v>106</v>
      </c>
      <c r="K769" s="7" t="s">
        <v>224</v>
      </c>
      <c r="L769" s="7" t="s">
        <v>106</v>
      </c>
      <c r="M769" s="31">
        <v>45694</v>
      </c>
      <c r="N769" s="7" t="s">
        <v>1859</v>
      </c>
      <c r="O769" s="8">
        <v>528</v>
      </c>
      <c r="P769" s="24">
        <v>4367</v>
      </c>
      <c r="Q769" s="22">
        <f>IF(COUNTIFS(A$2:A769,A769,I$2:I769,I769)=1,1,0)</f>
        <v>0</v>
      </c>
      <c r="R769" s="22">
        <f t="shared" si="11"/>
        <v>1</v>
      </c>
      <c r="S769" s="33">
        <f>IF(COUNTIF(O$2:O769,O769)=1,R769,0)/2.5</f>
        <v>0.4</v>
      </c>
    </row>
    <row r="770" spans="1:19" ht="18" customHeight="1" x14ac:dyDescent="0.25">
      <c r="A770" s="7" t="s">
        <v>43</v>
      </c>
      <c r="B770" s="8">
        <v>1</v>
      </c>
      <c r="C770" s="9">
        <v>433</v>
      </c>
      <c r="D770" s="29">
        <f>C770+IF(INDEX('Справочник по %'!B:B,(MATCH(A770,'Справочник по %'!A:A,0)))="кол-во",B770*INDEX('Справочник по %'!C:C,(MATCH(A770,'Справочник по %'!A:A,0))),ОТЧЕТ!C770*INDEX('Справочник по %'!C:C,(MATCH(A770,'Справочник по %'!A:A,0))))/100</f>
        <v>476.3</v>
      </c>
      <c r="E770" s="29">
        <f>IF(ОТЧЕТ!A770="SKU3",C770+ОТЧЕТ!C770*0.2,C770+ОТЧЕТ!C770*0.15)</f>
        <v>497.95</v>
      </c>
      <c r="F770" s="7" t="s">
        <v>1860</v>
      </c>
      <c r="G770" s="7">
        <v>5902058784</v>
      </c>
      <c r="H770" s="20" t="s">
        <v>1417</v>
      </c>
      <c r="I770" s="22" t="str">
        <f>INDEX('Справочник Сети'!B:B,(MATCH(G770,'Справочник Сети'!C:C,0)))</f>
        <v>Планета здоровья</v>
      </c>
      <c r="J770" s="7" t="s">
        <v>40</v>
      </c>
      <c r="K770" s="7" t="s">
        <v>1861</v>
      </c>
      <c r="L770" s="7" t="s">
        <v>40</v>
      </c>
      <c r="M770" s="31">
        <v>45712</v>
      </c>
      <c r="N770" s="7" t="s">
        <v>1862</v>
      </c>
      <c r="O770" s="8">
        <v>988</v>
      </c>
      <c r="P770" s="24">
        <v>4370</v>
      </c>
      <c r="Q770" s="22">
        <f>IF(COUNTIFS(A$2:A770,A770,I$2:I770,I770)=1,1,0)</f>
        <v>0</v>
      </c>
      <c r="R770" s="22">
        <f t="shared" si="11"/>
        <v>1</v>
      </c>
      <c r="S770" s="33">
        <f>IF(COUNTIF(O$2:O770,O770)=1,R770,0)/2.5</f>
        <v>0.4</v>
      </c>
    </row>
    <row r="771" spans="1:19" ht="18" customHeight="1" x14ac:dyDescent="0.25">
      <c r="A771" s="7" t="s">
        <v>37</v>
      </c>
      <c r="B771" s="8">
        <v>1</v>
      </c>
      <c r="C771" s="9">
        <v>680</v>
      </c>
      <c r="D771" s="29">
        <f>C771+IF(INDEX('Справочник по %'!B:B,(MATCH(A771,'Справочник по %'!A:A,0)))="кол-во",B771*INDEX('Справочник по %'!C:C,(MATCH(A771,'Справочник по %'!A:A,0))),ОТЧЕТ!C771*INDEX('Справочник по %'!C:C,(MATCH(A771,'Справочник по %'!A:A,0))))/100</f>
        <v>680.2</v>
      </c>
      <c r="E771" s="29">
        <f>IF(ОТЧЕТ!A771="SKU3",C771+ОТЧЕТ!C771*0.2,C771+ОТЧЕТ!C771*0.15)</f>
        <v>782</v>
      </c>
      <c r="F771" s="7" t="s">
        <v>1863</v>
      </c>
      <c r="G771" s="7">
        <v>4703067077</v>
      </c>
      <c r="H771" s="20" t="s">
        <v>50</v>
      </c>
      <c r="I771" s="22" t="str">
        <f>INDEX('Справочник Сети'!B:B,(MATCH(G771,'Справочник Сети'!C:C,0)))</f>
        <v>Ригла</v>
      </c>
      <c r="J771" s="7" t="s">
        <v>83</v>
      </c>
      <c r="K771" s="7" t="s">
        <v>1864</v>
      </c>
      <c r="L771" s="7" t="s">
        <v>83</v>
      </c>
      <c r="M771" s="31">
        <v>45715</v>
      </c>
      <c r="N771" s="7" t="s">
        <v>1865</v>
      </c>
      <c r="O771" s="8">
        <v>30</v>
      </c>
      <c r="P771" s="24">
        <v>4374</v>
      </c>
      <c r="Q771" s="22">
        <f>IF(COUNTIFS(A$2:A771,A771,I$2:I771,I771)=1,1,0)</f>
        <v>0</v>
      </c>
      <c r="R771" s="22">
        <f t="shared" ref="R771:R834" si="12">COUNTIF(O:O,O771)</f>
        <v>2</v>
      </c>
      <c r="S771" s="33">
        <f>IF(COUNTIF(O$2:O771,O771)=1,R771,0)/2.5</f>
        <v>0</v>
      </c>
    </row>
    <row r="772" spans="1:19" ht="18" customHeight="1" x14ac:dyDescent="0.25">
      <c r="A772" s="7" t="s">
        <v>43</v>
      </c>
      <c r="B772" s="8">
        <v>1</v>
      </c>
      <c r="C772" s="9">
        <v>413</v>
      </c>
      <c r="D772" s="29">
        <f>C772+IF(INDEX('Справочник по %'!B:B,(MATCH(A772,'Справочник по %'!A:A,0)))="кол-во",B772*INDEX('Справочник по %'!C:C,(MATCH(A772,'Справочник по %'!A:A,0))),ОТЧЕТ!C772*INDEX('Справочник по %'!C:C,(MATCH(A772,'Справочник по %'!A:A,0))))/100</f>
        <v>454.3</v>
      </c>
      <c r="E772" s="29">
        <f>IF(ОТЧЕТ!A772="SKU3",C772+ОТЧЕТ!C772*0.2,C772+ОТЧЕТ!C772*0.15)</f>
        <v>474.95</v>
      </c>
      <c r="F772" s="7" t="s">
        <v>1866</v>
      </c>
      <c r="G772" s="7">
        <v>6166128454</v>
      </c>
      <c r="H772" s="20" t="s">
        <v>1867</v>
      </c>
      <c r="I772" s="22" t="str">
        <f>INDEX('Справочник Сети'!B:B,(MATCH(G772,'Справочник Сети'!C:C,0)))</f>
        <v>Планета здоровья</v>
      </c>
      <c r="J772" s="7" t="s">
        <v>203</v>
      </c>
      <c r="K772" s="7" t="s">
        <v>1868</v>
      </c>
      <c r="L772" s="7" t="s">
        <v>203</v>
      </c>
      <c r="M772" s="31">
        <v>45696</v>
      </c>
      <c r="N772" s="7" t="s">
        <v>1869</v>
      </c>
      <c r="O772" s="8">
        <v>995</v>
      </c>
      <c r="P772" s="24">
        <v>4376</v>
      </c>
      <c r="Q772" s="22">
        <f>IF(COUNTIFS(A$2:A772,A772,I$2:I772,I772)=1,1,0)</f>
        <v>0</v>
      </c>
      <c r="R772" s="22">
        <f t="shared" si="12"/>
        <v>1</v>
      </c>
      <c r="S772" s="33">
        <f>IF(COUNTIF(O$2:O772,O772)=1,R772,0)/2.5</f>
        <v>0.4</v>
      </c>
    </row>
    <row r="773" spans="1:19" ht="18" customHeight="1" x14ac:dyDescent="0.25">
      <c r="A773" s="7" t="s">
        <v>43</v>
      </c>
      <c r="B773" s="8">
        <v>1</v>
      </c>
      <c r="C773" s="9">
        <v>423</v>
      </c>
      <c r="D773" s="29">
        <f>C773+IF(INDEX('Справочник по %'!B:B,(MATCH(A773,'Справочник по %'!A:A,0)))="кол-во",B773*INDEX('Справочник по %'!C:C,(MATCH(A773,'Справочник по %'!A:A,0))),ОТЧЕТ!C773*INDEX('Справочник по %'!C:C,(MATCH(A773,'Справочник по %'!A:A,0))))/100</f>
        <v>465.3</v>
      </c>
      <c r="E773" s="29">
        <f>IF(ОТЧЕТ!A773="SKU3",C773+ОТЧЕТ!C773*0.2,C773+ОТЧЕТ!C773*0.15)</f>
        <v>486.45</v>
      </c>
      <c r="F773" s="7" t="s">
        <v>1870</v>
      </c>
      <c r="G773" s="7">
        <v>4710012294</v>
      </c>
      <c r="H773" s="20" t="s">
        <v>50</v>
      </c>
      <c r="I773" s="22" t="str">
        <f>INDEX('Справочник Сети'!B:B,(MATCH(G773,'Справочник Сети'!C:C,0)))</f>
        <v>Планета здоровья</v>
      </c>
      <c r="J773" s="7" t="s">
        <v>83</v>
      </c>
      <c r="K773" s="7" t="s">
        <v>234</v>
      </c>
      <c r="L773" s="7" t="s">
        <v>83</v>
      </c>
      <c r="M773" s="31">
        <v>45715</v>
      </c>
      <c r="N773" s="7" t="s">
        <v>1871</v>
      </c>
      <c r="O773" s="8">
        <v>1013</v>
      </c>
      <c r="P773" s="24">
        <v>4378</v>
      </c>
      <c r="Q773" s="22">
        <f>IF(COUNTIFS(A$2:A773,A773,I$2:I773,I773)=1,1,0)</f>
        <v>0</v>
      </c>
      <c r="R773" s="22">
        <f t="shared" si="12"/>
        <v>1</v>
      </c>
      <c r="S773" s="33">
        <f>IF(COUNTIF(O$2:O773,O773)=1,R773,0)/2.5</f>
        <v>0.4</v>
      </c>
    </row>
    <row r="774" spans="1:19" ht="18" customHeight="1" x14ac:dyDescent="0.25">
      <c r="A774" s="7" t="s">
        <v>43</v>
      </c>
      <c r="B774" s="8">
        <v>1</v>
      </c>
      <c r="C774" s="9">
        <v>380.8</v>
      </c>
      <c r="D774" s="29">
        <f>C774+IF(INDEX('Справочник по %'!B:B,(MATCH(A774,'Справочник по %'!A:A,0)))="кол-во",B774*INDEX('Справочник по %'!C:C,(MATCH(A774,'Справочник по %'!A:A,0))),ОТЧЕТ!C774*INDEX('Справочник по %'!C:C,(MATCH(A774,'Справочник по %'!A:A,0))))/100</f>
        <v>418.88</v>
      </c>
      <c r="E774" s="29">
        <f>IF(ОТЧЕТ!A774="SKU3",C774+ОТЧЕТ!C774*0.2,C774+ОТЧЕТ!C774*0.15)</f>
        <v>437.92</v>
      </c>
      <c r="F774" s="7" t="s">
        <v>1870</v>
      </c>
      <c r="G774" s="7">
        <v>3665116392</v>
      </c>
      <c r="H774" s="20" t="s">
        <v>1872</v>
      </c>
      <c r="I774" s="22">
        <f>INDEX('Справочник Сети'!B:B,(MATCH(G774,'Справочник Сети'!C:C,0)))</f>
        <v>0</v>
      </c>
      <c r="J774" s="7" t="s">
        <v>65</v>
      </c>
      <c r="K774" s="7" t="s">
        <v>1873</v>
      </c>
      <c r="L774" s="7" t="s">
        <v>65</v>
      </c>
      <c r="M774" s="31">
        <v>45717</v>
      </c>
      <c r="N774" s="7" t="s">
        <v>1874</v>
      </c>
      <c r="O774" s="8">
        <v>146</v>
      </c>
      <c r="P774" s="24">
        <v>4380</v>
      </c>
      <c r="Q774" s="22">
        <f>IF(COUNTIFS(A$2:A774,A774,I$2:I774,I774)=1,1,0)</f>
        <v>0</v>
      </c>
      <c r="R774" s="22">
        <f t="shared" si="12"/>
        <v>1</v>
      </c>
      <c r="S774" s="33">
        <f>IF(COUNTIF(O$2:O774,O774)=1,R774,0)/2.5</f>
        <v>0.4</v>
      </c>
    </row>
    <row r="775" spans="1:19" ht="18" customHeight="1" x14ac:dyDescent="0.25">
      <c r="A775" s="7" t="s">
        <v>37</v>
      </c>
      <c r="B775" s="8">
        <v>1</v>
      </c>
      <c r="C775" s="9">
        <v>772</v>
      </c>
      <c r="D775" s="29">
        <f>C775+IF(INDEX('Справочник по %'!B:B,(MATCH(A775,'Справочник по %'!A:A,0)))="кол-во",B775*INDEX('Справочник по %'!C:C,(MATCH(A775,'Справочник по %'!A:A,0))),ОТЧЕТ!C775*INDEX('Справочник по %'!C:C,(MATCH(A775,'Справочник по %'!A:A,0))))/100</f>
        <v>772.2</v>
      </c>
      <c r="E775" s="29">
        <f>IF(ОТЧЕТ!A775="SKU3",C775+ОТЧЕТ!C775*0.2,C775+ОТЧЕТ!C775*0.15)</f>
        <v>887.8</v>
      </c>
      <c r="F775" s="7" t="s">
        <v>1870</v>
      </c>
      <c r="G775" s="7">
        <v>6658371284</v>
      </c>
      <c r="H775" s="20" t="s">
        <v>69</v>
      </c>
      <c r="I775" s="22" t="str">
        <f>INDEX('Справочник Сети'!B:B,(MATCH(G775,'Справочник Сети'!C:C,0)))</f>
        <v>Планета здоровья</v>
      </c>
      <c r="J775" s="7" t="s">
        <v>133</v>
      </c>
      <c r="K775" s="7" t="s">
        <v>1875</v>
      </c>
      <c r="L775" s="7" t="s">
        <v>133</v>
      </c>
      <c r="M775" s="31">
        <v>45695</v>
      </c>
      <c r="N775" s="7" t="s">
        <v>1876</v>
      </c>
      <c r="O775" s="8">
        <v>910</v>
      </c>
      <c r="P775" s="24">
        <v>4387</v>
      </c>
      <c r="Q775" s="22">
        <f>IF(COUNTIFS(A$2:A775,A775,I$2:I775,I775)=1,1,0)</f>
        <v>0</v>
      </c>
      <c r="R775" s="22">
        <f t="shared" si="12"/>
        <v>4</v>
      </c>
      <c r="S775" s="33">
        <f>IF(COUNTIF(O$2:O775,O775)=1,R775,0)/2.5</f>
        <v>0</v>
      </c>
    </row>
    <row r="776" spans="1:19" ht="18" customHeight="1" x14ac:dyDescent="0.25">
      <c r="A776" s="7" t="s">
        <v>37</v>
      </c>
      <c r="B776" s="8">
        <v>1</v>
      </c>
      <c r="C776" s="9">
        <v>584.1</v>
      </c>
      <c r="D776" s="29">
        <f>C776+IF(INDEX('Справочник по %'!B:B,(MATCH(A776,'Справочник по %'!A:A,0)))="кол-во",B776*INDEX('Справочник по %'!C:C,(MATCH(A776,'Справочник по %'!A:A,0))),ОТЧЕТ!C776*INDEX('Справочник по %'!C:C,(MATCH(A776,'Справочник по %'!A:A,0))))/100</f>
        <v>584.30000000000007</v>
      </c>
      <c r="E776" s="29">
        <f>IF(ОТЧЕТ!A776="SKU3",C776+ОТЧЕТ!C776*0.2,C776+ОТЧЕТ!C776*0.15)</f>
        <v>671.71500000000003</v>
      </c>
      <c r="F776" s="7" t="s">
        <v>1870</v>
      </c>
      <c r="G776" s="7">
        <v>2310052764</v>
      </c>
      <c r="H776" s="20" t="s">
        <v>1877</v>
      </c>
      <c r="I776" s="22" t="str">
        <f>INDEX('Справочник Сети'!B:B,(MATCH(G776,'Справочник Сети'!C:C,0)))</f>
        <v>Планета здоровья</v>
      </c>
      <c r="J776" s="7" t="s">
        <v>57</v>
      </c>
      <c r="K776" s="7" t="s">
        <v>1878</v>
      </c>
      <c r="L776" s="7" t="s">
        <v>57</v>
      </c>
      <c r="M776" s="31">
        <v>45729</v>
      </c>
      <c r="N776" s="7" t="s">
        <v>1879</v>
      </c>
      <c r="O776" s="8">
        <v>3518</v>
      </c>
      <c r="P776" s="24">
        <v>4392</v>
      </c>
      <c r="Q776" s="22">
        <f>IF(COUNTIFS(A$2:A776,A776,I$2:I776,I776)=1,1,0)</f>
        <v>0</v>
      </c>
      <c r="R776" s="22">
        <f t="shared" si="12"/>
        <v>2</v>
      </c>
      <c r="S776" s="33">
        <f>IF(COUNTIF(O$2:O776,O776)=1,R776,0)/2.5</f>
        <v>0.8</v>
      </c>
    </row>
    <row r="777" spans="1:19" ht="18" customHeight="1" x14ac:dyDescent="0.25">
      <c r="A777" s="7" t="s">
        <v>43</v>
      </c>
      <c r="B777" s="8">
        <v>1</v>
      </c>
      <c r="C777" s="9">
        <v>402</v>
      </c>
      <c r="D777" s="29">
        <f>C777+IF(INDEX('Справочник по %'!B:B,(MATCH(A777,'Справочник по %'!A:A,0)))="кол-во",B777*INDEX('Справочник по %'!C:C,(MATCH(A777,'Справочник по %'!A:A,0))),ОТЧЕТ!C777*INDEX('Справочник по %'!C:C,(MATCH(A777,'Справочник по %'!A:A,0))))/100</f>
        <v>442.2</v>
      </c>
      <c r="E777" s="29">
        <f>IF(ОТЧЕТ!A777="SKU3",C777+ОТЧЕТ!C777*0.2,C777+ОТЧЕТ!C777*0.15)</f>
        <v>462.3</v>
      </c>
      <c r="F777" s="7" t="s">
        <v>1880</v>
      </c>
      <c r="G777" s="7">
        <v>7724211288</v>
      </c>
      <c r="H777" s="20" t="s">
        <v>1881</v>
      </c>
      <c r="I777" s="22" t="str">
        <f>INDEX('Справочник Сети'!B:B,(MATCH(G777,'Справочник Сети'!C:C,0)))</f>
        <v>Планета здоровья</v>
      </c>
      <c r="J777" s="7" t="s">
        <v>185</v>
      </c>
      <c r="K777" s="7" t="s">
        <v>1882</v>
      </c>
      <c r="L777" s="7" t="s">
        <v>185</v>
      </c>
      <c r="M777" s="31">
        <v>45675</v>
      </c>
      <c r="N777" s="7" t="s">
        <v>1883</v>
      </c>
      <c r="O777" s="8">
        <v>3732</v>
      </c>
      <c r="P777" s="24">
        <v>4395</v>
      </c>
      <c r="Q777" s="22">
        <f>IF(COUNTIFS(A$2:A777,A777,I$2:I777,I777)=1,1,0)</f>
        <v>0</v>
      </c>
      <c r="R777" s="22">
        <f t="shared" si="12"/>
        <v>1</v>
      </c>
      <c r="S777" s="33">
        <f>IF(COUNTIF(O$2:O777,O777)=1,R777,0)/2.5</f>
        <v>0.4</v>
      </c>
    </row>
    <row r="778" spans="1:19" ht="18" customHeight="1" x14ac:dyDescent="0.25">
      <c r="A778" s="7" t="s">
        <v>37</v>
      </c>
      <c r="B778" s="8">
        <v>1</v>
      </c>
      <c r="C778" s="9">
        <v>680</v>
      </c>
      <c r="D778" s="29">
        <f>C778+IF(INDEX('Справочник по %'!B:B,(MATCH(A778,'Справочник по %'!A:A,0)))="кол-во",B778*INDEX('Справочник по %'!C:C,(MATCH(A778,'Справочник по %'!A:A,0))),ОТЧЕТ!C778*INDEX('Справочник по %'!C:C,(MATCH(A778,'Справочник по %'!A:A,0))))/100</f>
        <v>680.2</v>
      </c>
      <c r="E778" s="29">
        <f>IF(ОТЧЕТ!A778="SKU3",C778+ОТЧЕТ!C778*0.2,C778+ОТЧЕТ!C778*0.15)</f>
        <v>782</v>
      </c>
      <c r="F778" s="7" t="s">
        <v>1884</v>
      </c>
      <c r="G778" s="7">
        <v>5407223112</v>
      </c>
      <c r="H778" s="20" t="s">
        <v>50</v>
      </c>
      <c r="I778" s="22">
        <f>INDEX('Справочник Сети'!B:B,(MATCH(G778,'Справочник Сети'!C:C,0)))</f>
        <v>0</v>
      </c>
      <c r="J778" s="7" t="s">
        <v>255</v>
      </c>
      <c r="K778" s="7" t="s">
        <v>1885</v>
      </c>
      <c r="L778" s="7" t="s">
        <v>92</v>
      </c>
      <c r="M778" s="31">
        <v>45714</v>
      </c>
      <c r="N778" s="7" t="s">
        <v>1886</v>
      </c>
      <c r="O778" s="8">
        <v>2198</v>
      </c>
      <c r="P778" s="24">
        <v>4397</v>
      </c>
      <c r="Q778" s="22">
        <f>IF(COUNTIFS(A$2:A778,A778,I$2:I778,I778)=1,1,0)</f>
        <v>0</v>
      </c>
      <c r="R778" s="22">
        <f t="shared" si="12"/>
        <v>2</v>
      </c>
      <c r="S778" s="33">
        <f>IF(COUNTIF(O$2:O778,O778)=1,R778,0)/2.5</f>
        <v>0.8</v>
      </c>
    </row>
    <row r="779" spans="1:19" ht="18" customHeight="1" x14ac:dyDescent="0.25">
      <c r="A779" s="7" t="s">
        <v>37</v>
      </c>
      <c r="B779" s="8">
        <v>1</v>
      </c>
      <c r="C779" s="9">
        <v>704</v>
      </c>
      <c r="D779" s="29">
        <f>C779+IF(INDEX('Справочник по %'!B:B,(MATCH(A779,'Справочник по %'!A:A,0)))="кол-во",B779*INDEX('Справочник по %'!C:C,(MATCH(A779,'Справочник по %'!A:A,0))),ОТЧЕТ!C779*INDEX('Справочник по %'!C:C,(MATCH(A779,'Справочник по %'!A:A,0))))/100</f>
        <v>704.2</v>
      </c>
      <c r="E779" s="29">
        <f>IF(ОТЧЕТ!A779="SKU3",C779+ОТЧЕТ!C779*0.2,C779+ОТЧЕТ!C779*0.15)</f>
        <v>809.6</v>
      </c>
      <c r="F779" s="7" t="s">
        <v>1884</v>
      </c>
      <c r="G779" s="7">
        <v>7814139847</v>
      </c>
      <c r="H779" s="20" t="s">
        <v>50</v>
      </c>
      <c r="I779" s="22" t="str">
        <f>INDEX('Справочник Сети'!B:B,(MATCH(G779,'Справочник Сети'!C:C,0)))</f>
        <v>Планета здоровья</v>
      </c>
      <c r="J779" s="7" t="s">
        <v>121</v>
      </c>
      <c r="K779" s="7" t="s">
        <v>1887</v>
      </c>
      <c r="L779" s="7" t="s">
        <v>121</v>
      </c>
      <c r="M779" s="31">
        <v>45671</v>
      </c>
      <c r="N779" s="7" t="s">
        <v>1888</v>
      </c>
      <c r="O779" s="8">
        <v>2633</v>
      </c>
      <c r="P779" s="24">
        <v>4400</v>
      </c>
      <c r="Q779" s="22">
        <f>IF(COUNTIFS(A$2:A779,A779,I$2:I779,I779)=1,1,0)</f>
        <v>0</v>
      </c>
      <c r="R779" s="22">
        <f t="shared" si="12"/>
        <v>3</v>
      </c>
      <c r="S779" s="33">
        <f>IF(COUNTIF(O$2:O779,O779)=1,R779,0)/2.5</f>
        <v>1.2</v>
      </c>
    </row>
    <row r="780" spans="1:19" ht="18" customHeight="1" x14ac:dyDescent="0.25">
      <c r="A780" s="7" t="s">
        <v>43</v>
      </c>
      <c r="B780" s="8">
        <v>1</v>
      </c>
      <c r="C780" s="9">
        <v>412</v>
      </c>
      <c r="D780" s="29">
        <f>C780+IF(INDEX('Справочник по %'!B:B,(MATCH(A780,'Справочник по %'!A:A,0)))="кол-во",B780*INDEX('Справочник по %'!C:C,(MATCH(A780,'Справочник по %'!A:A,0))),ОТЧЕТ!C780*INDEX('Справочник по %'!C:C,(MATCH(A780,'Справочник по %'!A:A,0))))/100</f>
        <v>453.2</v>
      </c>
      <c r="E780" s="29">
        <f>IF(ОТЧЕТ!A780="SKU3",C780+ОТЧЕТ!C780*0.2,C780+ОТЧЕТ!C780*0.15)</f>
        <v>473.8</v>
      </c>
      <c r="F780" s="7" t="s">
        <v>1884</v>
      </c>
      <c r="G780" s="7">
        <v>2310200444</v>
      </c>
      <c r="H780" s="20" t="s">
        <v>69</v>
      </c>
      <c r="I780" s="22" t="str">
        <f>INDEX('Справочник Сети'!B:B,(MATCH(G780,'Справочник Сети'!C:C,0)))</f>
        <v>Планета здоровья</v>
      </c>
      <c r="J780" s="7" t="s">
        <v>70</v>
      </c>
      <c r="K780" s="7" t="s">
        <v>1289</v>
      </c>
      <c r="L780" s="7" t="s">
        <v>57</v>
      </c>
      <c r="M780" s="31">
        <v>45729</v>
      </c>
      <c r="N780" s="7" t="s">
        <v>1889</v>
      </c>
      <c r="O780" s="8">
        <v>2532</v>
      </c>
      <c r="P780" s="24">
        <v>4406</v>
      </c>
      <c r="Q780" s="22">
        <f>IF(COUNTIFS(A$2:A780,A780,I$2:I780,I780)=1,1,0)</f>
        <v>0</v>
      </c>
      <c r="R780" s="22">
        <f t="shared" si="12"/>
        <v>1</v>
      </c>
      <c r="S780" s="33">
        <f>IF(COUNTIF(O$2:O780,O780)=1,R780,0)/2.5</f>
        <v>0.4</v>
      </c>
    </row>
    <row r="781" spans="1:19" ht="18" customHeight="1" x14ac:dyDescent="0.25">
      <c r="A781" s="7" t="s">
        <v>43</v>
      </c>
      <c r="B781" s="8">
        <v>1</v>
      </c>
      <c r="C781" s="9">
        <v>447</v>
      </c>
      <c r="D781" s="29">
        <f>C781+IF(INDEX('Справочник по %'!B:B,(MATCH(A781,'Справочник по %'!A:A,0)))="кол-во",B781*INDEX('Справочник по %'!C:C,(MATCH(A781,'Справочник по %'!A:A,0))),ОТЧЕТ!C781*INDEX('Справочник по %'!C:C,(MATCH(A781,'Справочник по %'!A:A,0))))/100</f>
        <v>491.7</v>
      </c>
      <c r="E781" s="29">
        <f>IF(ОТЧЕТ!A781="SKU3",C781+ОТЧЕТ!C781*0.2,C781+ОТЧЕТ!C781*0.15)</f>
        <v>514.04999999999995</v>
      </c>
      <c r="F781" s="7" t="s">
        <v>1884</v>
      </c>
      <c r="G781" s="7">
        <v>5008036897</v>
      </c>
      <c r="H781" s="20" t="s">
        <v>273</v>
      </c>
      <c r="I781" s="22" t="str">
        <f>INDEX('Справочник Сети'!B:B,(MATCH(G781,'Справочник Сети'!C:C,0)))</f>
        <v>Столички</v>
      </c>
      <c r="J781" s="7" t="s">
        <v>83</v>
      </c>
      <c r="K781" s="7" t="s">
        <v>1890</v>
      </c>
      <c r="L781" s="7" t="s">
        <v>83</v>
      </c>
      <c r="M781" s="31">
        <v>45715</v>
      </c>
      <c r="N781" s="7" t="s">
        <v>1891</v>
      </c>
      <c r="O781" s="8">
        <v>3688</v>
      </c>
      <c r="P781" s="24">
        <v>4411</v>
      </c>
      <c r="Q781" s="22">
        <f>IF(COUNTIFS(A$2:A781,A781,I$2:I781,I781)=1,1,0)</f>
        <v>0</v>
      </c>
      <c r="R781" s="22">
        <f t="shared" si="12"/>
        <v>3</v>
      </c>
      <c r="S781" s="33">
        <f>IF(COUNTIF(O$2:O781,O781)=1,R781,0)/2.5</f>
        <v>0</v>
      </c>
    </row>
    <row r="782" spans="1:19" ht="18" customHeight="1" x14ac:dyDescent="0.25">
      <c r="A782" s="7" t="s">
        <v>43</v>
      </c>
      <c r="B782" s="8">
        <v>1</v>
      </c>
      <c r="C782" s="9">
        <v>594</v>
      </c>
      <c r="D782" s="29">
        <f>C782+IF(INDEX('Справочник по %'!B:B,(MATCH(A782,'Справочник по %'!A:A,0)))="кол-во",B782*INDEX('Справочник по %'!C:C,(MATCH(A782,'Справочник по %'!A:A,0))),ОТЧЕТ!C782*INDEX('Справочник по %'!C:C,(MATCH(A782,'Справочник по %'!A:A,0))))/100</f>
        <v>653.4</v>
      </c>
      <c r="E782" s="29">
        <f>IF(ОТЧЕТ!A782="SKU3",C782+ОТЧЕТ!C782*0.2,C782+ОТЧЕТ!C782*0.15)</f>
        <v>683.1</v>
      </c>
      <c r="F782" s="7" t="s">
        <v>1884</v>
      </c>
      <c r="G782" s="7">
        <v>7714844316</v>
      </c>
      <c r="H782" s="20" t="s">
        <v>50</v>
      </c>
      <c r="I782" s="22" t="str">
        <f>INDEX('Справочник Сети'!B:B,(MATCH(G782,'Справочник Сети'!C:C,0)))</f>
        <v>Планета здоровья</v>
      </c>
      <c r="J782" s="7" t="s">
        <v>504</v>
      </c>
      <c r="K782" s="7" t="s">
        <v>1892</v>
      </c>
      <c r="L782" s="7" t="s">
        <v>504</v>
      </c>
      <c r="M782" s="31">
        <v>45690</v>
      </c>
      <c r="N782" s="7" t="s">
        <v>1893</v>
      </c>
      <c r="O782" s="8">
        <v>2297</v>
      </c>
      <c r="P782" s="24">
        <v>4419</v>
      </c>
      <c r="Q782" s="22">
        <f>IF(COUNTIFS(A$2:A782,A782,I$2:I782,I782)=1,1,0)</f>
        <v>0</v>
      </c>
      <c r="R782" s="22">
        <f t="shared" si="12"/>
        <v>6</v>
      </c>
      <c r="S782" s="33">
        <f>IF(COUNTIF(O$2:O782,O782)=1,R782,0)/2.5</f>
        <v>2.4</v>
      </c>
    </row>
    <row r="783" spans="1:19" ht="18" customHeight="1" x14ac:dyDescent="0.25">
      <c r="A783" s="7" t="s">
        <v>37</v>
      </c>
      <c r="B783" s="8">
        <v>1</v>
      </c>
      <c r="C783" s="9">
        <v>639</v>
      </c>
      <c r="D783" s="29">
        <f>C783+IF(INDEX('Справочник по %'!B:B,(MATCH(A783,'Справочник по %'!A:A,0)))="кол-во",B783*INDEX('Справочник по %'!C:C,(MATCH(A783,'Справочник по %'!A:A,0))),ОТЧЕТ!C783*INDEX('Справочник по %'!C:C,(MATCH(A783,'Справочник по %'!A:A,0))))/100</f>
        <v>639.20000000000005</v>
      </c>
      <c r="E783" s="29">
        <f>IF(ОТЧЕТ!A783="SKU3",C783+ОТЧЕТ!C783*0.2,C783+ОТЧЕТ!C783*0.15)</f>
        <v>734.85</v>
      </c>
      <c r="F783" s="7" t="s">
        <v>1884</v>
      </c>
      <c r="G783" s="7">
        <v>7705947629</v>
      </c>
      <c r="H783" s="20" t="s">
        <v>50</v>
      </c>
      <c r="I783" s="22" t="str">
        <f>INDEX('Справочник Сети'!B:B,(MATCH(G783,'Справочник Сети'!C:C,0)))</f>
        <v>36,6</v>
      </c>
      <c r="J783" s="7" t="s">
        <v>104</v>
      </c>
      <c r="K783" s="7" t="s">
        <v>751</v>
      </c>
      <c r="L783" s="7" t="s">
        <v>104</v>
      </c>
      <c r="M783" s="31">
        <v>45693</v>
      </c>
      <c r="N783" s="7" t="s">
        <v>1894</v>
      </c>
      <c r="O783" s="8">
        <v>516</v>
      </c>
      <c r="P783" s="24">
        <v>4420</v>
      </c>
      <c r="Q783" s="22">
        <f>IF(COUNTIFS(A$2:A783,A783,I$2:I783,I783)=1,1,0)</f>
        <v>0</v>
      </c>
      <c r="R783" s="22">
        <f t="shared" si="12"/>
        <v>2</v>
      </c>
      <c r="S783" s="33">
        <f>IF(COUNTIF(O$2:O783,O783)=1,R783,0)/2.5</f>
        <v>0.8</v>
      </c>
    </row>
    <row r="784" spans="1:19" ht="18" customHeight="1" x14ac:dyDescent="0.25">
      <c r="A784" s="7" t="s">
        <v>37</v>
      </c>
      <c r="B784" s="8">
        <v>1</v>
      </c>
      <c r="C784" s="9">
        <v>646</v>
      </c>
      <c r="D784" s="29">
        <f>C784+IF(INDEX('Справочник по %'!B:B,(MATCH(A784,'Справочник по %'!A:A,0)))="кол-во",B784*INDEX('Справочник по %'!C:C,(MATCH(A784,'Справочник по %'!A:A,0))),ОТЧЕТ!C784*INDEX('Справочник по %'!C:C,(MATCH(A784,'Справочник по %'!A:A,0))))/100</f>
        <v>646.20000000000005</v>
      </c>
      <c r="E784" s="29">
        <f>IF(ОТЧЕТ!A784="SKU3",C784+ОТЧЕТ!C784*0.2,C784+ОТЧЕТ!C784*0.15)</f>
        <v>742.9</v>
      </c>
      <c r="F784" s="7" t="s">
        <v>1884</v>
      </c>
      <c r="G784" s="7">
        <v>7705947629</v>
      </c>
      <c r="H784" s="20" t="s">
        <v>50</v>
      </c>
      <c r="I784" s="22" t="str">
        <f>INDEX('Справочник Сети'!B:B,(MATCH(G784,'Справочник Сети'!C:C,0)))</f>
        <v>36,6</v>
      </c>
      <c r="J784" s="7" t="s">
        <v>104</v>
      </c>
      <c r="K784" s="7" t="s">
        <v>320</v>
      </c>
      <c r="L784" s="7" t="s">
        <v>104</v>
      </c>
      <c r="M784" s="31">
        <v>45693</v>
      </c>
      <c r="N784" s="7" t="s">
        <v>1895</v>
      </c>
      <c r="O784" s="8">
        <v>516</v>
      </c>
      <c r="P784" s="24">
        <v>4421</v>
      </c>
      <c r="Q784" s="22">
        <f>IF(COUNTIFS(A$2:A784,A784,I$2:I784,I784)=1,1,0)</f>
        <v>0</v>
      </c>
      <c r="R784" s="22">
        <f t="shared" si="12"/>
        <v>2</v>
      </c>
      <c r="S784" s="33">
        <f>IF(COUNTIF(O$2:O784,O784)=1,R784,0)/2.5</f>
        <v>0</v>
      </c>
    </row>
    <row r="785" spans="1:19" ht="18" customHeight="1" x14ac:dyDescent="0.25">
      <c r="A785" s="7" t="s">
        <v>37</v>
      </c>
      <c r="B785" s="8">
        <v>1</v>
      </c>
      <c r="C785" s="9">
        <v>715</v>
      </c>
      <c r="D785" s="29">
        <f>C785+IF(INDEX('Справочник по %'!B:B,(MATCH(A785,'Справочник по %'!A:A,0)))="кол-во",B785*INDEX('Справочник по %'!C:C,(MATCH(A785,'Справочник по %'!A:A,0))),ОТЧЕТ!C785*INDEX('Справочник по %'!C:C,(MATCH(A785,'Справочник по %'!A:A,0))))/100</f>
        <v>715.2</v>
      </c>
      <c r="E785" s="29">
        <f>IF(ОТЧЕТ!A785="SKU3",C785+ОТЧЕТ!C785*0.2,C785+ОТЧЕТ!C785*0.15)</f>
        <v>822.25</v>
      </c>
      <c r="F785" s="7" t="s">
        <v>1884</v>
      </c>
      <c r="G785" s="7">
        <v>7814139847</v>
      </c>
      <c r="H785" s="20" t="s">
        <v>50</v>
      </c>
      <c r="I785" s="22" t="str">
        <f>INDEX('Справочник Сети'!B:B,(MATCH(G785,'Справочник Сети'!C:C,0)))</f>
        <v>Планета здоровья</v>
      </c>
      <c r="J785" s="7" t="s">
        <v>121</v>
      </c>
      <c r="K785" s="7" t="s">
        <v>1896</v>
      </c>
      <c r="L785" s="7" t="s">
        <v>121</v>
      </c>
      <c r="M785" s="31">
        <v>45671</v>
      </c>
      <c r="N785" s="7" t="s">
        <v>1897</v>
      </c>
      <c r="O785" s="8">
        <v>2855</v>
      </c>
      <c r="P785" s="24">
        <v>4422</v>
      </c>
      <c r="Q785" s="22">
        <f>IF(COUNTIFS(A$2:A785,A785,I$2:I785,I785)=1,1,0)</f>
        <v>0</v>
      </c>
      <c r="R785" s="22">
        <f t="shared" si="12"/>
        <v>5</v>
      </c>
      <c r="S785" s="33">
        <f>IF(COUNTIF(O$2:O785,O785)=1,R785,0)/2.5</f>
        <v>0</v>
      </c>
    </row>
    <row r="786" spans="1:19" ht="18" customHeight="1" x14ac:dyDescent="0.25">
      <c r="A786" s="7" t="s">
        <v>43</v>
      </c>
      <c r="B786" s="8">
        <v>1</v>
      </c>
      <c r="C786" s="9">
        <v>429</v>
      </c>
      <c r="D786" s="29">
        <f>C786+IF(INDEX('Справочник по %'!B:B,(MATCH(A786,'Справочник по %'!A:A,0)))="кол-во",B786*INDEX('Справочник по %'!C:C,(MATCH(A786,'Справочник по %'!A:A,0))),ОТЧЕТ!C786*INDEX('Справочник по %'!C:C,(MATCH(A786,'Справочник по %'!A:A,0))))/100</f>
        <v>471.9</v>
      </c>
      <c r="E786" s="29">
        <f>IF(ОТЧЕТ!A786="SKU3",C786+ОТЧЕТ!C786*0.2,C786+ОТЧЕТ!C786*0.15)</f>
        <v>493.35</v>
      </c>
      <c r="F786" s="7" t="s">
        <v>1898</v>
      </c>
      <c r="G786" s="7">
        <v>1511019564</v>
      </c>
      <c r="H786" s="20" t="s">
        <v>50</v>
      </c>
      <c r="I786" s="22">
        <f>INDEX('Справочник Сети'!B:B,(MATCH(G786,'Справочник Сети'!C:C,0)))</f>
        <v>0</v>
      </c>
      <c r="J786" s="7" t="s">
        <v>335</v>
      </c>
      <c r="K786" s="7" t="s">
        <v>1899</v>
      </c>
      <c r="L786" s="7" t="s">
        <v>335</v>
      </c>
      <c r="M786" s="31">
        <v>45731</v>
      </c>
      <c r="N786" s="7" t="s">
        <v>1900</v>
      </c>
      <c r="O786" s="8">
        <v>1614</v>
      </c>
      <c r="P786" s="24">
        <v>4426</v>
      </c>
      <c r="Q786" s="22">
        <f>IF(COUNTIFS(A$2:A786,A786,I$2:I786,I786)=1,1,0)</f>
        <v>0</v>
      </c>
      <c r="R786" s="22">
        <f t="shared" si="12"/>
        <v>1</v>
      </c>
      <c r="S786" s="33">
        <f>IF(COUNTIF(O$2:O786,O786)=1,R786,0)/2.5</f>
        <v>0.4</v>
      </c>
    </row>
    <row r="787" spans="1:19" ht="18" customHeight="1" x14ac:dyDescent="0.25">
      <c r="A787" s="7" t="s">
        <v>43</v>
      </c>
      <c r="B787" s="8">
        <v>1</v>
      </c>
      <c r="C787" s="9">
        <v>414</v>
      </c>
      <c r="D787" s="29">
        <f>C787+IF(INDEX('Справочник по %'!B:B,(MATCH(A787,'Справочник по %'!A:A,0)))="кол-во",B787*INDEX('Справочник по %'!C:C,(MATCH(A787,'Справочник по %'!A:A,0))),ОТЧЕТ!C787*INDEX('Справочник по %'!C:C,(MATCH(A787,'Справочник по %'!A:A,0))))/100</f>
        <v>455.4</v>
      </c>
      <c r="E787" s="29">
        <f>IF(ОТЧЕТ!A787="SKU3",C787+ОТЧЕТ!C787*0.2,C787+ОТЧЕТ!C787*0.15)</f>
        <v>476.1</v>
      </c>
      <c r="F787" s="7" t="s">
        <v>1901</v>
      </c>
      <c r="G787" s="7">
        <v>6141021477</v>
      </c>
      <c r="H787" s="20" t="s">
        <v>519</v>
      </c>
      <c r="I787" s="22">
        <f>INDEX('Справочник Сети'!B:B,(MATCH(G787,'Справочник Сети'!C:C,0)))</f>
        <v>0</v>
      </c>
      <c r="J787" s="7" t="s">
        <v>520</v>
      </c>
      <c r="K787" s="7" t="s">
        <v>1902</v>
      </c>
      <c r="L787" s="7" t="s">
        <v>520</v>
      </c>
      <c r="M787" s="31">
        <v>45697</v>
      </c>
      <c r="N787" s="7" t="s">
        <v>1903</v>
      </c>
      <c r="O787" s="8">
        <v>3704</v>
      </c>
      <c r="P787" s="24">
        <v>4428</v>
      </c>
      <c r="Q787" s="22">
        <f>IF(COUNTIFS(A$2:A787,A787,I$2:I787,I787)=1,1,0)</f>
        <v>0</v>
      </c>
      <c r="R787" s="22">
        <f t="shared" si="12"/>
        <v>1</v>
      </c>
      <c r="S787" s="33">
        <f>IF(COUNTIF(O$2:O787,O787)=1,R787,0)/2.5</f>
        <v>0.4</v>
      </c>
    </row>
    <row r="788" spans="1:19" ht="18" customHeight="1" x14ac:dyDescent="0.25">
      <c r="A788" s="7" t="s">
        <v>43</v>
      </c>
      <c r="B788" s="8">
        <v>1</v>
      </c>
      <c r="C788" s="9">
        <v>595</v>
      </c>
      <c r="D788" s="29">
        <f>C788+IF(INDEX('Справочник по %'!B:B,(MATCH(A788,'Справочник по %'!A:A,0)))="кол-во",B788*INDEX('Справочник по %'!C:C,(MATCH(A788,'Справочник по %'!A:A,0))),ОТЧЕТ!C788*INDEX('Справочник по %'!C:C,(MATCH(A788,'Справочник по %'!A:A,0))))/100</f>
        <v>654.5</v>
      </c>
      <c r="E788" s="29">
        <f>IF(ОТЧЕТ!A788="SKU3",C788+ОТЧЕТ!C788*0.2,C788+ОТЧЕТ!C788*0.15)</f>
        <v>684.25</v>
      </c>
      <c r="F788" s="7" t="s">
        <v>1904</v>
      </c>
      <c r="G788" s="7">
        <v>7719859281</v>
      </c>
      <c r="H788" s="20" t="s">
        <v>50</v>
      </c>
      <c r="I788" s="22">
        <f>INDEX('Справочник Сети'!B:B,(MATCH(G788,'Справочник Сети'!C:C,0)))</f>
        <v>0</v>
      </c>
      <c r="J788" s="7" t="s">
        <v>168</v>
      </c>
      <c r="K788" s="7" t="s">
        <v>1905</v>
      </c>
      <c r="L788" s="7" t="s">
        <v>168</v>
      </c>
      <c r="M788" s="31">
        <v>45676</v>
      </c>
      <c r="N788" s="7" t="s">
        <v>1906</v>
      </c>
      <c r="O788" s="8">
        <v>796</v>
      </c>
      <c r="P788" s="24">
        <v>4430</v>
      </c>
      <c r="Q788" s="22">
        <f>IF(COUNTIFS(A$2:A788,A788,I$2:I788,I788)=1,1,0)</f>
        <v>0</v>
      </c>
      <c r="R788" s="22">
        <f t="shared" si="12"/>
        <v>5</v>
      </c>
      <c r="S788" s="33">
        <f>IF(COUNTIF(O$2:O788,O788)=1,R788,0)/2.5</f>
        <v>2</v>
      </c>
    </row>
    <row r="789" spans="1:19" ht="18" customHeight="1" x14ac:dyDescent="0.25">
      <c r="A789" s="7" t="s">
        <v>43</v>
      </c>
      <c r="B789" s="8">
        <v>1</v>
      </c>
      <c r="C789" s="9">
        <v>595</v>
      </c>
      <c r="D789" s="29">
        <f>C789+IF(INDEX('Справочник по %'!B:B,(MATCH(A789,'Справочник по %'!A:A,0)))="кол-во",B789*INDEX('Справочник по %'!C:C,(MATCH(A789,'Справочник по %'!A:A,0))),ОТЧЕТ!C789*INDEX('Справочник по %'!C:C,(MATCH(A789,'Справочник по %'!A:A,0))))/100</f>
        <v>654.5</v>
      </c>
      <c r="E789" s="29">
        <f>IF(ОТЧЕТ!A789="SKU3",C789+ОТЧЕТ!C789*0.2,C789+ОТЧЕТ!C789*0.15)</f>
        <v>684.25</v>
      </c>
      <c r="F789" s="7" t="s">
        <v>1907</v>
      </c>
      <c r="G789" s="7">
        <v>7719859281</v>
      </c>
      <c r="H789" s="20" t="s">
        <v>50</v>
      </c>
      <c r="I789" s="22">
        <f>INDEX('Справочник Сети'!B:B,(MATCH(G789,'Справочник Сети'!C:C,0)))</f>
        <v>0</v>
      </c>
      <c r="J789" s="7" t="s">
        <v>168</v>
      </c>
      <c r="K789" s="7" t="s">
        <v>1908</v>
      </c>
      <c r="L789" s="7" t="s">
        <v>168</v>
      </c>
      <c r="M789" s="31">
        <v>45676</v>
      </c>
      <c r="N789" s="7" t="s">
        <v>1909</v>
      </c>
      <c r="O789" s="8">
        <v>796</v>
      </c>
      <c r="P789" s="24">
        <v>4431</v>
      </c>
      <c r="Q789" s="22">
        <f>IF(COUNTIFS(A$2:A789,A789,I$2:I789,I789)=1,1,0)</f>
        <v>0</v>
      </c>
      <c r="R789" s="22">
        <f t="shared" si="12"/>
        <v>5</v>
      </c>
      <c r="S789" s="33">
        <f>IF(COUNTIF(O$2:O789,O789)=1,R789,0)/2.5</f>
        <v>0</v>
      </c>
    </row>
    <row r="790" spans="1:19" ht="18" customHeight="1" x14ac:dyDescent="0.25">
      <c r="A790" s="7" t="s">
        <v>43</v>
      </c>
      <c r="B790" s="8">
        <v>1</v>
      </c>
      <c r="C790" s="9">
        <v>433.6</v>
      </c>
      <c r="D790" s="29">
        <f>C790+IF(INDEX('Справочник по %'!B:B,(MATCH(A790,'Справочник по %'!A:A,0)))="кол-во",B790*INDEX('Справочник по %'!C:C,(MATCH(A790,'Справочник по %'!A:A,0))),ОТЧЕТ!C790*INDEX('Справочник по %'!C:C,(MATCH(A790,'Справочник по %'!A:A,0))))/100</f>
        <v>476.96000000000004</v>
      </c>
      <c r="E790" s="29">
        <f>IF(ОТЧЕТ!A790="SKU3",C790+ОТЧЕТ!C790*0.2,C790+ОТЧЕТ!C790*0.15)</f>
        <v>498.64000000000004</v>
      </c>
      <c r="F790" s="7" t="s">
        <v>1910</v>
      </c>
      <c r="G790" s="7">
        <v>2537119205</v>
      </c>
      <c r="H790" s="20" t="s">
        <v>1911</v>
      </c>
      <c r="I790" s="22" t="str">
        <f>INDEX('Справочник Сети'!B:B,(MATCH(G790,'Справочник Сети'!C:C,0)))</f>
        <v>Столички</v>
      </c>
      <c r="J790" s="7" t="s">
        <v>46</v>
      </c>
      <c r="K790" s="7" t="s">
        <v>1912</v>
      </c>
      <c r="L790" s="7" t="s">
        <v>96</v>
      </c>
      <c r="M790" s="31">
        <v>45727</v>
      </c>
      <c r="N790" s="7" t="s">
        <v>1913</v>
      </c>
      <c r="O790" s="8">
        <v>1028</v>
      </c>
      <c r="P790" s="24">
        <v>4433</v>
      </c>
      <c r="Q790" s="22">
        <f>IF(COUNTIFS(A$2:A790,A790,I$2:I790,I790)=1,1,0)</f>
        <v>0</v>
      </c>
      <c r="R790" s="22">
        <f t="shared" si="12"/>
        <v>2</v>
      </c>
      <c r="S790" s="33">
        <f>IF(COUNTIF(O$2:O790,O790)=1,R790,0)/2.5</f>
        <v>0.8</v>
      </c>
    </row>
    <row r="791" spans="1:19" ht="18" customHeight="1" x14ac:dyDescent="0.25">
      <c r="A791" s="7" t="s">
        <v>43</v>
      </c>
      <c r="B791" s="8">
        <v>1</v>
      </c>
      <c r="C791" s="9">
        <v>440</v>
      </c>
      <c r="D791" s="29">
        <f>C791+IF(INDEX('Справочник по %'!B:B,(MATCH(A791,'Справочник по %'!A:A,0)))="кол-во",B791*INDEX('Справочник по %'!C:C,(MATCH(A791,'Справочник по %'!A:A,0))),ОТЧЕТ!C791*INDEX('Справочник по %'!C:C,(MATCH(A791,'Справочник по %'!A:A,0))))/100</f>
        <v>484</v>
      </c>
      <c r="E791" s="29">
        <f>IF(ОТЧЕТ!A791="SKU3",C791+ОТЧЕТ!C791*0.2,C791+ОТЧЕТ!C791*0.15)</f>
        <v>506</v>
      </c>
      <c r="F791" s="7" t="s">
        <v>1914</v>
      </c>
      <c r="G791" s="7">
        <v>4003033989</v>
      </c>
      <c r="H791" s="20" t="s">
        <v>50</v>
      </c>
      <c r="I791" s="22">
        <f>INDEX('Справочник Сети'!B:B,(MATCH(G791,'Справочник Сети'!C:C,0)))</f>
        <v>0</v>
      </c>
      <c r="J791" s="7" t="s">
        <v>155</v>
      </c>
      <c r="K791" s="7" t="s">
        <v>949</v>
      </c>
      <c r="L791" s="7" t="s">
        <v>155</v>
      </c>
      <c r="M791" s="31">
        <v>45716</v>
      </c>
      <c r="N791" s="7" t="s">
        <v>1915</v>
      </c>
      <c r="O791" s="8">
        <v>3275</v>
      </c>
      <c r="P791" s="24">
        <v>4439</v>
      </c>
      <c r="Q791" s="22">
        <f>IF(COUNTIFS(A$2:A791,A791,I$2:I791,I791)=1,1,0)</f>
        <v>0</v>
      </c>
      <c r="R791" s="22">
        <f t="shared" si="12"/>
        <v>1</v>
      </c>
      <c r="S791" s="33">
        <f>IF(COUNTIF(O$2:O791,O791)=1,R791,0)/2.5</f>
        <v>0.4</v>
      </c>
    </row>
    <row r="792" spans="1:19" ht="18" customHeight="1" x14ac:dyDescent="0.25">
      <c r="A792" s="7" t="s">
        <v>43</v>
      </c>
      <c r="B792" s="8">
        <v>1</v>
      </c>
      <c r="C792" s="9">
        <v>397.8</v>
      </c>
      <c r="D792" s="29">
        <f>C792+IF(INDEX('Справочник по %'!B:B,(MATCH(A792,'Справочник по %'!A:A,0)))="кол-во",B792*INDEX('Справочник по %'!C:C,(MATCH(A792,'Справочник по %'!A:A,0))),ОТЧЕТ!C792*INDEX('Справочник по %'!C:C,(MATCH(A792,'Справочник по %'!A:A,0))))/100</f>
        <v>437.58000000000004</v>
      </c>
      <c r="E792" s="29">
        <f>IF(ОТЧЕТ!A792="SKU3",C792+ОТЧЕТ!C792*0.2,C792+ОТЧЕТ!C792*0.15)</f>
        <v>457.47</v>
      </c>
      <c r="F792" s="7" t="s">
        <v>1914</v>
      </c>
      <c r="G792" s="7">
        <v>602700120511</v>
      </c>
      <c r="H792" s="20" t="s">
        <v>50</v>
      </c>
      <c r="I792" s="22" t="str">
        <f>INDEX('Справочник Сети'!B:B,(MATCH(G792,'Справочник Сети'!C:C,0)))</f>
        <v>Ригла</v>
      </c>
      <c r="J792" s="7" t="s">
        <v>251</v>
      </c>
      <c r="K792" s="7" t="s">
        <v>1916</v>
      </c>
      <c r="L792" s="7" t="s">
        <v>251</v>
      </c>
      <c r="M792" s="31">
        <v>45659</v>
      </c>
      <c r="N792" s="7" t="s">
        <v>1917</v>
      </c>
      <c r="O792" s="8">
        <v>40</v>
      </c>
      <c r="P792" s="24">
        <v>4441</v>
      </c>
      <c r="Q792" s="22">
        <f>IF(COUNTIFS(A$2:A792,A792,I$2:I792,I792)=1,1,0)</f>
        <v>0</v>
      </c>
      <c r="R792" s="22">
        <f t="shared" si="12"/>
        <v>1</v>
      </c>
      <c r="S792" s="33">
        <f>IF(COUNTIF(O$2:O792,O792)=1,R792,0)/2.5</f>
        <v>0.4</v>
      </c>
    </row>
    <row r="793" spans="1:19" ht="18" customHeight="1" x14ac:dyDescent="0.25">
      <c r="A793" s="7" t="s">
        <v>37</v>
      </c>
      <c r="B793" s="8">
        <v>1</v>
      </c>
      <c r="C793" s="9">
        <v>681</v>
      </c>
      <c r="D793" s="29">
        <f>C793+IF(INDEX('Справочник по %'!B:B,(MATCH(A793,'Справочник по %'!A:A,0)))="кол-во",B793*INDEX('Справочник по %'!C:C,(MATCH(A793,'Справочник по %'!A:A,0))),ОТЧЕТ!C793*INDEX('Справочник по %'!C:C,(MATCH(A793,'Справочник по %'!A:A,0))))/100</f>
        <v>681.2</v>
      </c>
      <c r="E793" s="29">
        <f>IF(ОТЧЕТ!A793="SKU3",C793+ОТЧЕТ!C793*0.2,C793+ОТЧЕТ!C793*0.15)</f>
        <v>783.15</v>
      </c>
      <c r="F793" s="7" t="s">
        <v>1918</v>
      </c>
      <c r="G793" s="7">
        <v>6673189456</v>
      </c>
      <c r="H793" s="20" t="s">
        <v>132</v>
      </c>
      <c r="I793" s="22" t="str">
        <f>INDEX('Справочник Сети'!B:B,(MATCH(G793,'Справочник Сети'!C:C,0)))</f>
        <v>Столички</v>
      </c>
      <c r="J793" s="7" t="s">
        <v>133</v>
      </c>
      <c r="K793" s="7" t="s">
        <v>392</v>
      </c>
      <c r="L793" s="7" t="s">
        <v>133</v>
      </c>
      <c r="M793" s="31">
        <v>45695</v>
      </c>
      <c r="N793" s="7" t="s">
        <v>1919</v>
      </c>
      <c r="O793" s="8">
        <v>2153</v>
      </c>
      <c r="P793" s="24">
        <v>4442</v>
      </c>
      <c r="Q793" s="22">
        <f>IF(COUNTIFS(A$2:A793,A793,I$2:I793,I793)=1,1,0)</f>
        <v>0</v>
      </c>
      <c r="R793" s="22">
        <f t="shared" si="12"/>
        <v>1</v>
      </c>
      <c r="S793" s="33">
        <f>IF(COUNTIF(O$2:O793,O793)=1,R793,0)/2.5</f>
        <v>0.4</v>
      </c>
    </row>
    <row r="794" spans="1:19" ht="18" customHeight="1" x14ac:dyDescent="0.25">
      <c r="A794" s="7" t="s">
        <v>43</v>
      </c>
      <c r="B794" s="8">
        <v>1</v>
      </c>
      <c r="C794" s="9">
        <v>424.96</v>
      </c>
      <c r="D794" s="29">
        <f>C794+IF(INDEX('Справочник по %'!B:B,(MATCH(A794,'Справочник по %'!A:A,0)))="кол-во",B794*INDEX('Справочник по %'!C:C,(MATCH(A794,'Справочник по %'!A:A,0))),ОТЧЕТ!C794*INDEX('Справочник по %'!C:C,(MATCH(A794,'Справочник по %'!A:A,0))))/100</f>
        <v>467.45599999999996</v>
      </c>
      <c r="E794" s="29">
        <f>IF(ОТЧЕТ!A794="SKU3",C794+ОТЧЕТ!C794*0.2,C794+ОТЧЕТ!C794*0.15)</f>
        <v>488.70399999999995</v>
      </c>
      <c r="F794" s="7" t="s">
        <v>1918</v>
      </c>
      <c r="G794" s="7">
        <v>5504242840</v>
      </c>
      <c r="H794" s="20" t="s">
        <v>1920</v>
      </c>
      <c r="I794" s="22">
        <f>INDEX('Справочник Сети'!B:B,(MATCH(G794,'Справочник Сети'!C:C,0)))</f>
        <v>0</v>
      </c>
      <c r="J794" s="7" t="s">
        <v>255</v>
      </c>
      <c r="K794" s="7" t="s">
        <v>1921</v>
      </c>
      <c r="L794" s="7" t="s">
        <v>255</v>
      </c>
      <c r="M794" s="31">
        <v>45713</v>
      </c>
      <c r="N794" s="7" t="s">
        <v>1922</v>
      </c>
      <c r="O794" s="8">
        <v>1930</v>
      </c>
      <c r="P794" s="24">
        <v>4443</v>
      </c>
      <c r="Q794" s="22">
        <f>IF(COUNTIFS(A$2:A794,A794,I$2:I794,I794)=1,1,0)</f>
        <v>0</v>
      </c>
      <c r="R794" s="22">
        <f t="shared" si="12"/>
        <v>3</v>
      </c>
      <c r="S794" s="33">
        <f>IF(COUNTIF(O$2:O794,O794)=1,R794,0)/2.5</f>
        <v>1.2</v>
      </c>
    </row>
    <row r="795" spans="1:19" ht="18" customHeight="1" x14ac:dyDescent="0.25">
      <c r="A795" s="7" t="s">
        <v>43</v>
      </c>
      <c r="B795" s="8">
        <v>1</v>
      </c>
      <c r="C795" s="9">
        <v>460</v>
      </c>
      <c r="D795" s="29">
        <f>C795+IF(INDEX('Справочник по %'!B:B,(MATCH(A795,'Справочник по %'!A:A,0)))="кол-во",B795*INDEX('Справочник по %'!C:C,(MATCH(A795,'Справочник по %'!A:A,0))),ОТЧЕТ!C795*INDEX('Справочник по %'!C:C,(MATCH(A795,'Справочник по %'!A:A,0))))/100</f>
        <v>506</v>
      </c>
      <c r="E795" s="29">
        <f>IF(ОТЧЕТ!A795="SKU3",C795+ОТЧЕТ!C795*0.2,C795+ОТЧЕТ!C795*0.15)</f>
        <v>529</v>
      </c>
      <c r="F795" s="7" t="s">
        <v>1918</v>
      </c>
      <c r="G795" s="7">
        <v>7203036340</v>
      </c>
      <c r="H795" s="20" t="s">
        <v>1923</v>
      </c>
      <c r="I795" s="22">
        <f>INDEX('Справочник Сети'!B:B,(MATCH(G795,'Справочник Сети'!C:C,0)))</f>
        <v>0</v>
      </c>
      <c r="J795" s="7" t="s">
        <v>106</v>
      </c>
      <c r="K795" s="7" t="s">
        <v>1459</v>
      </c>
      <c r="L795" s="7" t="s">
        <v>106</v>
      </c>
      <c r="M795" s="31">
        <v>45694</v>
      </c>
      <c r="N795" s="7" t="s">
        <v>1924</v>
      </c>
      <c r="O795" s="8">
        <v>2515</v>
      </c>
      <c r="P795" s="24">
        <v>4444</v>
      </c>
      <c r="Q795" s="22">
        <f>IF(COUNTIFS(A$2:A795,A795,I$2:I795,I795)=1,1,0)</f>
        <v>0</v>
      </c>
      <c r="R795" s="22">
        <f t="shared" si="12"/>
        <v>2</v>
      </c>
      <c r="S795" s="33">
        <f>IF(COUNTIF(O$2:O795,O795)=1,R795,0)/2.5</f>
        <v>0.8</v>
      </c>
    </row>
    <row r="796" spans="1:19" ht="18" customHeight="1" x14ac:dyDescent="0.25">
      <c r="A796" s="7" t="s">
        <v>43</v>
      </c>
      <c r="B796" s="8">
        <v>1</v>
      </c>
      <c r="C796" s="9">
        <v>469</v>
      </c>
      <c r="D796" s="29">
        <f>C796+IF(INDEX('Справочник по %'!B:B,(MATCH(A796,'Справочник по %'!A:A,0)))="кол-во",B796*INDEX('Справочник по %'!C:C,(MATCH(A796,'Справочник по %'!A:A,0))),ОТЧЕТ!C796*INDEX('Справочник по %'!C:C,(MATCH(A796,'Справочник по %'!A:A,0))))/100</f>
        <v>515.9</v>
      </c>
      <c r="E796" s="29">
        <f>IF(ОТЧЕТ!A796="SKU3",C796+ОТЧЕТ!C796*0.2,C796+ОТЧЕТ!C796*0.15)</f>
        <v>539.35</v>
      </c>
      <c r="F796" s="7" t="s">
        <v>1925</v>
      </c>
      <c r="G796" s="7">
        <v>7720023269</v>
      </c>
      <c r="H796" s="20" t="s">
        <v>1926</v>
      </c>
      <c r="I796" s="22">
        <f>INDEX('Справочник Сети'!B:B,(MATCH(G796,'Справочник Сети'!C:C,0)))</f>
        <v>0</v>
      </c>
      <c r="J796" s="7" t="s">
        <v>168</v>
      </c>
      <c r="K796" s="7" t="s">
        <v>1927</v>
      </c>
      <c r="L796" s="7" t="s">
        <v>168</v>
      </c>
      <c r="M796" s="31">
        <v>45676</v>
      </c>
      <c r="N796" s="7" t="s">
        <v>1928</v>
      </c>
      <c r="O796" s="8">
        <v>504</v>
      </c>
      <c r="P796" s="24">
        <v>4447</v>
      </c>
      <c r="Q796" s="22">
        <f>IF(COUNTIFS(A$2:A796,A796,I$2:I796,I796)=1,1,0)</f>
        <v>0</v>
      </c>
      <c r="R796" s="22">
        <f t="shared" si="12"/>
        <v>1</v>
      </c>
      <c r="S796" s="33">
        <f>IF(COUNTIF(O$2:O796,O796)=1,R796,0)/2.5</f>
        <v>0.4</v>
      </c>
    </row>
    <row r="797" spans="1:19" ht="18" customHeight="1" x14ac:dyDescent="0.25">
      <c r="A797" s="7" t="s">
        <v>43</v>
      </c>
      <c r="B797" s="8">
        <v>1</v>
      </c>
      <c r="C797" s="9">
        <v>486</v>
      </c>
      <c r="D797" s="29">
        <f>C797+IF(INDEX('Справочник по %'!B:B,(MATCH(A797,'Справочник по %'!A:A,0)))="кол-во",B797*INDEX('Справочник по %'!C:C,(MATCH(A797,'Справочник по %'!A:A,0))),ОТЧЕТ!C797*INDEX('Справочник по %'!C:C,(MATCH(A797,'Справочник по %'!A:A,0))))/100</f>
        <v>534.6</v>
      </c>
      <c r="E797" s="29">
        <f>IF(ОТЧЕТ!A797="SKU3",C797+ОТЧЕТ!C797*0.2,C797+ОТЧЕТ!C797*0.15)</f>
        <v>558.9</v>
      </c>
      <c r="F797" s="7" t="s">
        <v>1925</v>
      </c>
      <c r="G797" s="7">
        <v>2539096225</v>
      </c>
      <c r="H797" s="20" t="s">
        <v>593</v>
      </c>
      <c r="I797" s="22" t="str">
        <f>INDEX('Справочник Сети'!B:B,(MATCH(G797,'Справочник Сети'!C:C,0)))</f>
        <v>36,6</v>
      </c>
      <c r="J797" s="7" t="s">
        <v>46</v>
      </c>
      <c r="K797" s="7" t="s">
        <v>1832</v>
      </c>
      <c r="L797" s="7" t="s">
        <v>46</v>
      </c>
      <c r="M797" s="31">
        <v>45726</v>
      </c>
      <c r="N797" s="7" t="s">
        <v>1929</v>
      </c>
      <c r="O797" s="8">
        <v>3398</v>
      </c>
      <c r="P797" s="24">
        <v>4449</v>
      </c>
      <c r="Q797" s="22">
        <f>IF(COUNTIFS(A$2:A797,A797,I$2:I797,I797)=1,1,0)</f>
        <v>0</v>
      </c>
      <c r="R797" s="22">
        <f t="shared" si="12"/>
        <v>4</v>
      </c>
      <c r="S797" s="33">
        <f>IF(COUNTIF(O$2:O797,O797)=1,R797,0)/2.5</f>
        <v>0</v>
      </c>
    </row>
    <row r="798" spans="1:19" ht="18" customHeight="1" x14ac:dyDescent="0.25">
      <c r="A798" s="7" t="s">
        <v>43</v>
      </c>
      <c r="B798" s="8">
        <v>1</v>
      </c>
      <c r="C798" s="9">
        <v>452</v>
      </c>
      <c r="D798" s="29">
        <f>C798+IF(INDEX('Справочник по %'!B:B,(MATCH(A798,'Справочник по %'!A:A,0)))="кол-во",B798*INDEX('Справочник по %'!C:C,(MATCH(A798,'Справочник по %'!A:A,0))),ОТЧЕТ!C798*INDEX('Справочник по %'!C:C,(MATCH(A798,'Справочник по %'!A:A,0))))/100</f>
        <v>497.2</v>
      </c>
      <c r="E798" s="29">
        <f>IF(ОТЧЕТ!A798="SKU3",C798+ОТЧЕТ!C798*0.2,C798+ОТЧЕТ!C798*0.15)</f>
        <v>519.79999999999995</v>
      </c>
      <c r="F798" s="7" t="s">
        <v>1930</v>
      </c>
      <c r="G798" s="7">
        <v>782577502693</v>
      </c>
      <c r="H798" s="20" t="s">
        <v>1146</v>
      </c>
      <c r="I798" s="22">
        <f>INDEX('Справочник Сети'!B:B,(MATCH(G798,'Справочник Сети'!C:C,0)))</f>
        <v>0</v>
      </c>
      <c r="J798" s="7" t="s">
        <v>322</v>
      </c>
      <c r="K798" s="7" t="s">
        <v>1589</v>
      </c>
      <c r="L798" s="7" t="s">
        <v>322</v>
      </c>
      <c r="M798" s="31">
        <v>45658</v>
      </c>
      <c r="N798" s="7" t="s">
        <v>1931</v>
      </c>
      <c r="O798" s="8">
        <v>557</v>
      </c>
      <c r="P798" s="24">
        <v>4451</v>
      </c>
      <c r="Q798" s="22">
        <f>IF(COUNTIFS(A$2:A798,A798,I$2:I798,I798)=1,1,0)</f>
        <v>0</v>
      </c>
      <c r="R798" s="22">
        <f t="shared" si="12"/>
        <v>2</v>
      </c>
      <c r="S798" s="33">
        <f>IF(COUNTIF(O$2:O798,O798)=1,R798,0)/2.5</f>
        <v>0</v>
      </c>
    </row>
    <row r="799" spans="1:19" ht="18" customHeight="1" x14ac:dyDescent="0.25">
      <c r="A799" s="7" t="s">
        <v>43</v>
      </c>
      <c r="B799" s="8">
        <v>1</v>
      </c>
      <c r="C799" s="9">
        <v>426.54</v>
      </c>
      <c r="D799" s="29">
        <f>C799+IF(INDEX('Справочник по %'!B:B,(MATCH(A799,'Справочник по %'!A:A,0)))="кол-во",B799*INDEX('Справочник по %'!C:C,(MATCH(A799,'Справочник по %'!A:A,0))),ОТЧЕТ!C799*INDEX('Справочник по %'!C:C,(MATCH(A799,'Справочник по %'!A:A,0))))/100</f>
        <v>469.19400000000002</v>
      </c>
      <c r="E799" s="29">
        <f>IF(ОТЧЕТ!A799="SKU3",C799+ОТЧЕТ!C799*0.2,C799+ОТЧЕТ!C799*0.15)</f>
        <v>490.52100000000002</v>
      </c>
      <c r="F799" s="7" t="s">
        <v>1932</v>
      </c>
      <c r="G799" s="7">
        <v>2724203369</v>
      </c>
      <c r="H799" s="20" t="s">
        <v>1933</v>
      </c>
      <c r="I799" s="22">
        <f>INDEX('Справочник Сети'!B:B,(MATCH(G799,'Справочник Сети'!C:C,0)))</f>
        <v>0</v>
      </c>
      <c r="J799" s="7" t="s">
        <v>1934</v>
      </c>
      <c r="K799" s="7" t="s">
        <v>400</v>
      </c>
      <c r="L799" s="7" t="s">
        <v>1934</v>
      </c>
      <c r="M799" s="31">
        <v>45723</v>
      </c>
      <c r="N799" s="7" t="s">
        <v>1935</v>
      </c>
      <c r="O799" s="8">
        <v>2630</v>
      </c>
      <c r="P799" s="24">
        <v>4461</v>
      </c>
      <c r="Q799" s="22">
        <f>IF(COUNTIFS(A$2:A799,A799,I$2:I799,I799)=1,1,0)</f>
        <v>0</v>
      </c>
      <c r="R799" s="22">
        <f t="shared" si="12"/>
        <v>23</v>
      </c>
      <c r="S799" s="33">
        <f>IF(COUNTIF(O$2:O799,O799)=1,R799,0)/2.5</f>
        <v>0</v>
      </c>
    </row>
    <row r="800" spans="1:19" ht="18" customHeight="1" x14ac:dyDescent="0.25">
      <c r="A800" s="7" t="s">
        <v>43</v>
      </c>
      <c r="B800" s="8">
        <v>1</v>
      </c>
      <c r="C800" s="9">
        <v>458</v>
      </c>
      <c r="D800" s="29">
        <f>C800+IF(INDEX('Справочник по %'!B:B,(MATCH(A800,'Справочник по %'!A:A,0)))="кол-во",B800*INDEX('Справочник по %'!C:C,(MATCH(A800,'Справочник по %'!A:A,0))),ОТЧЕТ!C800*INDEX('Справочник по %'!C:C,(MATCH(A800,'Справочник по %'!A:A,0))))/100</f>
        <v>503.8</v>
      </c>
      <c r="E800" s="29">
        <f>IF(ОТЧЕТ!A800="SKU3",C800+ОТЧЕТ!C800*0.2,C800+ОТЧЕТ!C800*0.15)</f>
        <v>526.70000000000005</v>
      </c>
      <c r="F800" s="7" t="s">
        <v>1932</v>
      </c>
      <c r="G800" s="7">
        <v>2721065128</v>
      </c>
      <c r="H800" s="20" t="s">
        <v>50</v>
      </c>
      <c r="I800" s="22">
        <f>INDEX('Справочник Сети'!B:B,(MATCH(G800,'Справочник Сети'!C:C,0)))</f>
        <v>0</v>
      </c>
      <c r="J800" s="7" t="s">
        <v>46</v>
      </c>
      <c r="K800" s="7" t="s">
        <v>165</v>
      </c>
      <c r="L800" s="7" t="s">
        <v>46</v>
      </c>
      <c r="M800" s="31">
        <v>45726</v>
      </c>
      <c r="N800" s="7" t="s">
        <v>1936</v>
      </c>
      <c r="O800" s="8">
        <v>2630</v>
      </c>
      <c r="P800" s="24">
        <v>4462</v>
      </c>
      <c r="Q800" s="22">
        <f>IF(COUNTIFS(A$2:A800,A800,I$2:I800,I800)=1,1,0)</f>
        <v>0</v>
      </c>
      <c r="R800" s="22">
        <f t="shared" si="12"/>
        <v>23</v>
      </c>
      <c r="S800" s="33">
        <f>IF(COUNTIF(O$2:O800,O800)=1,R800,0)/2.5</f>
        <v>0</v>
      </c>
    </row>
    <row r="801" spans="1:19" ht="18" customHeight="1" x14ac:dyDescent="0.25">
      <c r="A801" s="7" t="s">
        <v>37</v>
      </c>
      <c r="B801" s="8">
        <v>1</v>
      </c>
      <c r="C801" s="9">
        <v>583.20000000000005</v>
      </c>
      <c r="D801" s="29">
        <f>C801+IF(INDEX('Справочник по %'!B:B,(MATCH(A801,'Справочник по %'!A:A,0)))="кол-во",B801*INDEX('Справочник по %'!C:C,(MATCH(A801,'Справочник по %'!A:A,0))),ОТЧЕТ!C801*INDEX('Справочник по %'!C:C,(MATCH(A801,'Справочник по %'!A:A,0))))/100</f>
        <v>583.40000000000009</v>
      </c>
      <c r="E801" s="29">
        <f>IF(ОТЧЕТ!A801="SKU3",C801+ОТЧЕТ!C801*0.2,C801+ОТЧЕТ!C801*0.15)</f>
        <v>670.68000000000006</v>
      </c>
      <c r="F801" s="7" t="s">
        <v>1932</v>
      </c>
      <c r="G801" s="7">
        <v>2466189073</v>
      </c>
      <c r="H801" s="20" t="s">
        <v>450</v>
      </c>
      <c r="I801" s="22" t="str">
        <f>INDEX('Справочник Сети'!B:B,(MATCH(G801,'Справочник Сети'!C:C,0)))</f>
        <v>Нео-фарм</v>
      </c>
      <c r="J801" s="7" t="s">
        <v>96</v>
      </c>
      <c r="K801" s="7" t="s">
        <v>1937</v>
      </c>
      <c r="L801" s="7" t="s">
        <v>96</v>
      </c>
      <c r="M801" s="31">
        <v>45727</v>
      </c>
      <c r="N801" s="7" t="s">
        <v>1938</v>
      </c>
      <c r="O801" s="8">
        <v>3473</v>
      </c>
      <c r="P801" s="24">
        <v>4463</v>
      </c>
      <c r="Q801" s="22">
        <f>IF(COUNTIFS(A$2:A801,A801,I$2:I801,I801)=1,1,0)</f>
        <v>0</v>
      </c>
      <c r="R801" s="22">
        <f t="shared" si="12"/>
        <v>2</v>
      </c>
      <c r="S801" s="33">
        <f>IF(COUNTIF(O$2:O801,O801)=1,R801,0)/2.5</f>
        <v>0.8</v>
      </c>
    </row>
    <row r="802" spans="1:19" ht="18" customHeight="1" x14ac:dyDescent="0.25">
      <c r="A802" s="7" t="s">
        <v>43</v>
      </c>
      <c r="B802" s="8">
        <v>1</v>
      </c>
      <c r="C802" s="9">
        <v>339.48</v>
      </c>
      <c r="D802" s="29">
        <f>C802+IF(INDEX('Справочник по %'!B:B,(MATCH(A802,'Справочник по %'!A:A,0)))="кол-во",B802*INDEX('Справочник по %'!C:C,(MATCH(A802,'Справочник по %'!A:A,0))),ОТЧЕТ!C802*INDEX('Справочник по %'!C:C,(MATCH(A802,'Справочник по %'!A:A,0))))/100</f>
        <v>373.428</v>
      </c>
      <c r="E802" s="29">
        <f>IF(ОТЧЕТ!A802="SKU3",C802+ОТЧЕТ!C802*0.2,C802+ОТЧЕТ!C802*0.15)</f>
        <v>390.40200000000004</v>
      </c>
      <c r="F802" s="7" t="s">
        <v>1939</v>
      </c>
      <c r="G802" s="7">
        <v>2224212012</v>
      </c>
      <c r="H802" s="20" t="s">
        <v>50</v>
      </c>
      <c r="I802" s="22">
        <f>INDEX('Справочник Сети'!B:B,(MATCH(G802,'Справочник Сети'!C:C,0)))</f>
        <v>0</v>
      </c>
      <c r="J802" s="7" t="s">
        <v>372</v>
      </c>
      <c r="K802" s="7" t="s">
        <v>675</v>
      </c>
      <c r="L802" s="7" t="s">
        <v>372</v>
      </c>
      <c r="M802" s="31">
        <v>45730</v>
      </c>
      <c r="N802" s="7" t="s">
        <v>1940</v>
      </c>
      <c r="O802" s="8">
        <v>222</v>
      </c>
      <c r="P802" s="24">
        <v>4468</v>
      </c>
      <c r="Q802" s="22">
        <f>IF(COUNTIFS(A$2:A802,A802,I$2:I802,I802)=1,1,0)</f>
        <v>0</v>
      </c>
      <c r="R802" s="22">
        <f t="shared" si="12"/>
        <v>2</v>
      </c>
      <c r="S802" s="33">
        <f>IF(COUNTIF(O$2:O802,O802)=1,R802,0)/2.5</f>
        <v>0.8</v>
      </c>
    </row>
    <row r="803" spans="1:19" ht="18" customHeight="1" x14ac:dyDescent="0.25">
      <c r="A803" s="7" t="s">
        <v>43</v>
      </c>
      <c r="B803" s="8">
        <v>1</v>
      </c>
      <c r="C803" s="9">
        <v>468</v>
      </c>
      <c r="D803" s="29">
        <f>C803+IF(INDEX('Справочник по %'!B:B,(MATCH(A803,'Справочник по %'!A:A,0)))="кол-во",B803*INDEX('Справочник по %'!C:C,(MATCH(A803,'Справочник по %'!A:A,0))),ОТЧЕТ!C803*INDEX('Справочник по %'!C:C,(MATCH(A803,'Справочник по %'!A:A,0))))/100</f>
        <v>514.79999999999995</v>
      </c>
      <c r="E803" s="29">
        <f>IF(ОТЧЕТ!A803="SKU3",C803+ОТЧЕТ!C803*0.2,C803+ОТЧЕТ!C803*0.15)</f>
        <v>538.20000000000005</v>
      </c>
      <c r="F803" s="7" t="s">
        <v>1941</v>
      </c>
      <c r="G803" s="7">
        <v>2222896536</v>
      </c>
      <c r="H803" s="20" t="s">
        <v>50</v>
      </c>
      <c r="I803" s="22" t="str">
        <f>INDEX('Справочник Сети'!B:B,(MATCH(G803,'Справочник Сети'!C:C,0)))</f>
        <v>Нео-фарм</v>
      </c>
      <c r="J803" s="7" t="s">
        <v>372</v>
      </c>
      <c r="K803" s="7" t="s">
        <v>1942</v>
      </c>
      <c r="L803" s="7" t="s">
        <v>372</v>
      </c>
      <c r="M803" s="31">
        <v>45730</v>
      </c>
      <c r="N803" s="7" t="s">
        <v>1943</v>
      </c>
      <c r="O803" s="8">
        <v>1918</v>
      </c>
      <c r="P803" s="24">
        <v>4469</v>
      </c>
      <c r="Q803" s="22">
        <f>IF(COUNTIFS(A$2:A803,A803,I$2:I803,I803)=1,1,0)</f>
        <v>0</v>
      </c>
      <c r="R803" s="22">
        <f t="shared" si="12"/>
        <v>13</v>
      </c>
      <c r="S803" s="33">
        <f>IF(COUNTIF(O$2:O803,O803)=1,R803,0)/2.5</f>
        <v>0</v>
      </c>
    </row>
    <row r="804" spans="1:19" ht="18" customHeight="1" x14ac:dyDescent="0.25">
      <c r="A804" s="7" t="s">
        <v>37</v>
      </c>
      <c r="B804" s="8">
        <v>1</v>
      </c>
      <c r="C804" s="9">
        <v>565</v>
      </c>
      <c r="D804" s="29">
        <f>C804+IF(INDEX('Справочник по %'!B:B,(MATCH(A804,'Справочник по %'!A:A,0)))="кол-во",B804*INDEX('Справочник по %'!C:C,(MATCH(A804,'Справочник по %'!A:A,0))),ОТЧЕТ!C804*INDEX('Справочник по %'!C:C,(MATCH(A804,'Справочник по %'!A:A,0))))/100</f>
        <v>565.20000000000005</v>
      </c>
      <c r="E804" s="29">
        <f>IF(ОТЧЕТ!A804="SKU3",C804+ОТЧЕТ!C804*0.2,C804+ОТЧЕТ!C804*0.15)</f>
        <v>649.75</v>
      </c>
      <c r="F804" s="7" t="s">
        <v>1944</v>
      </c>
      <c r="G804" s="7">
        <v>2225105670</v>
      </c>
      <c r="H804" s="20" t="s">
        <v>69</v>
      </c>
      <c r="I804" s="22" t="str">
        <f>INDEX('Справочник Сети'!B:B,(MATCH(G804,'Справочник Сети'!C:C,0)))</f>
        <v>Столички</v>
      </c>
      <c r="J804" s="7" t="s">
        <v>372</v>
      </c>
      <c r="K804" s="7" t="s">
        <v>1036</v>
      </c>
      <c r="L804" s="7" t="s">
        <v>372</v>
      </c>
      <c r="M804" s="31">
        <v>45730</v>
      </c>
      <c r="N804" s="7" t="s">
        <v>1945</v>
      </c>
      <c r="O804" s="8">
        <v>330</v>
      </c>
      <c r="P804" s="24">
        <v>4471</v>
      </c>
      <c r="Q804" s="22">
        <f>IF(COUNTIFS(A$2:A804,A804,I$2:I804,I804)=1,1,0)</f>
        <v>0</v>
      </c>
      <c r="R804" s="22">
        <f t="shared" si="12"/>
        <v>1</v>
      </c>
      <c r="S804" s="33">
        <f>IF(COUNTIF(O$2:O804,O804)=1,R804,0)/2.5</f>
        <v>0.4</v>
      </c>
    </row>
    <row r="805" spans="1:19" ht="18" customHeight="1" x14ac:dyDescent="0.25">
      <c r="A805" s="7" t="s">
        <v>43</v>
      </c>
      <c r="B805" s="8">
        <v>1</v>
      </c>
      <c r="C805" s="9">
        <v>409.29</v>
      </c>
      <c r="D805" s="29">
        <f>C805+IF(INDEX('Справочник по %'!B:B,(MATCH(A805,'Справочник по %'!A:A,0)))="кол-во",B805*INDEX('Справочник по %'!C:C,(MATCH(A805,'Справочник по %'!A:A,0))),ОТЧЕТ!C805*INDEX('Справочник по %'!C:C,(MATCH(A805,'Справочник по %'!A:A,0))))/100</f>
        <v>450.21900000000005</v>
      </c>
      <c r="E805" s="29">
        <f>IF(ОТЧЕТ!A805="SKU3",C805+ОТЧЕТ!C805*0.2,C805+ОТЧЕТ!C805*0.15)</f>
        <v>470.68350000000004</v>
      </c>
      <c r="F805" s="7" t="s">
        <v>1946</v>
      </c>
      <c r="G805" s="7">
        <v>583500580818</v>
      </c>
      <c r="H805" s="20" t="s">
        <v>167</v>
      </c>
      <c r="I805" s="22" t="str">
        <f>INDEX('Справочник Сети'!B:B,(MATCH(G805,'Справочник Сети'!C:C,0)))</f>
        <v>Ригла</v>
      </c>
      <c r="J805" s="7" t="s">
        <v>251</v>
      </c>
      <c r="K805" s="7" t="s">
        <v>1947</v>
      </c>
      <c r="L805" s="7" t="s">
        <v>251</v>
      </c>
      <c r="M805" s="31">
        <v>45659</v>
      </c>
      <c r="N805" s="7" t="s">
        <v>1948</v>
      </c>
      <c r="O805" s="8">
        <v>2479</v>
      </c>
      <c r="P805" s="24">
        <v>4474</v>
      </c>
      <c r="Q805" s="22">
        <f>IF(COUNTIFS(A$2:A805,A805,I$2:I805,I805)=1,1,0)</f>
        <v>0</v>
      </c>
      <c r="R805" s="22">
        <f t="shared" si="12"/>
        <v>4</v>
      </c>
      <c r="S805" s="33">
        <f>IF(COUNTIF(O$2:O805,O805)=1,R805,0)/2.5</f>
        <v>1.6</v>
      </c>
    </row>
    <row r="806" spans="1:19" ht="18" customHeight="1" x14ac:dyDescent="0.25">
      <c r="A806" s="7" t="s">
        <v>146</v>
      </c>
      <c r="B806" s="8">
        <v>1</v>
      </c>
      <c r="C806" s="9">
        <v>810</v>
      </c>
      <c r="D806" s="29">
        <f>C806+IF(INDEX('Справочник по %'!B:B,(MATCH(A806,'Справочник по %'!A:A,0)))="кол-во",B806*INDEX('Справочник по %'!C:C,(MATCH(A806,'Справочник по %'!A:A,0))),ОТЧЕТ!C806*INDEX('Справочник по %'!C:C,(MATCH(A806,'Справочник по %'!A:A,0))))/100</f>
        <v>931.5</v>
      </c>
      <c r="E806" s="29">
        <f>IF(ОТЧЕТ!A806="SKU3",C806+ОТЧЕТ!C806*0.2,C806+ОТЧЕТ!C806*0.15)</f>
        <v>972</v>
      </c>
      <c r="F806" s="7" t="s">
        <v>1946</v>
      </c>
      <c r="G806" s="7">
        <v>7714844316</v>
      </c>
      <c r="H806" s="20" t="s">
        <v>167</v>
      </c>
      <c r="I806" s="22" t="str">
        <f>INDEX('Справочник Сети'!B:B,(MATCH(G806,'Справочник Сети'!C:C,0)))</f>
        <v>Планета здоровья</v>
      </c>
      <c r="J806" s="7" t="s">
        <v>504</v>
      </c>
      <c r="K806" s="7" t="s">
        <v>75</v>
      </c>
      <c r="L806" s="7" t="s">
        <v>504</v>
      </c>
      <c r="M806" s="31">
        <v>45690</v>
      </c>
      <c r="N806" s="7" t="s">
        <v>1949</v>
      </c>
      <c r="O806" s="8">
        <v>2761</v>
      </c>
      <c r="P806" s="24">
        <v>4475</v>
      </c>
      <c r="Q806" s="22">
        <f>IF(COUNTIFS(A$2:A806,A806,I$2:I806,I806)=1,1,0)</f>
        <v>0</v>
      </c>
      <c r="R806" s="22">
        <f t="shared" si="12"/>
        <v>3</v>
      </c>
      <c r="S806" s="33">
        <f>IF(COUNTIF(O$2:O806,O806)=1,R806,0)/2.5</f>
        <v>0</v>
      </c>
    </row>
    <row r="807" spans="1:19" ht="18" customHeight="1" x14ac:dyDescent="0.25">
      <c r="A807" s="7" t="s">
        <v>43</v>
      </c>
      <c r="B807" s="8">
        <v>1</v>
      </c>
      <c r="C807" s="9">
        <v>399.9</v>
      </c>
      <c r="D807" s="29">
        <f>C807+IF(INDEX('Справочник по %'!B:B,(MATCH(A807,'Справочник по %'!A:A,0)))="кол-во",B807*INDEX('Справочник по %'!C:C,(MATCH(A807,'Справочник по %'!A:A,0))),ОТЧЕТ!C807*INDEX('Справочник по %'!C:C,(MATCH(A807,'Справочник по %'!A:A,0))))/100</f>
        <v>439.89</v>
      </c>
      <c r="E807" s="29">
        <f>IF(ОТЧЕТ!A807="SKU3",C807+ОТЧЕТ!C807*0.2,C807+ОТЧЕТ!C807*0.15)</f>
        <v>459.88499999999999</v>
      </c>
      <c r="F807" s="7" t="s">
        <v>1950</v>
      </c>
      <c r="G807" s="7">
        <v>5406712110</v>
      </c>
      <c r="H807" s="20" t="s">
        <v>1951</v>
      </c>
      <c r="I807" s="22" t="str">
        <f>INDEX('Справочник Сети'!B:B,(MATCH(G807,'Справочник Сети'!C:C,0)))</f>
        <v>Столички</v>
      </c>
      <c r="J807" s="7" t="s">
        <v>255</v>
      </c>
      <c r="K807" s="7" t="s">
        <v>655</v>
      </c>
      <c r="L807" s="7" t="s">
        <v>92</v>
      </c>
      <c r="M807" s="31">
        <v>45714</v>
      </c>
      <c r="N807" s="7" t="s">
        <v>1952</v>
      </c>
      <c r="O807" s="8">
        <v>1478</v>
      </c>
      <c r="P807" s="24">
        <v>4479</v>
      </c>
      <c r="Q807" s="22">
        <f>IF(COUNTIFS(A$2:A807,A807,I$2:I807,I807)=1,1,0)</f>
        <v>0</v>
      </c>
      <c r="R807" s="22">
        <f t="shared" si="12"/>
        <v>1</v>
      </c>
      <c r="S807" s="33">
        <f>IF(COUNTIF(O$2:O807,O807)=1,R807,0)/2.5</f>
        <v>0.4</v>
      </c>
    </row>
    <row r="808" spans="1:19" ht="18" customHeight="1" x14ac:dyDescent="0.25">
      <c r="A808" s="7" t="s">
        <v>43</v>
      </c>
      <c r="B808" s="8">
        <v>1</v>
      </c>
      <c r="C808" s="9">
        <v>410</v>
      </c>
      <c r="D808" s="29">
        <f>C808+IF(INDEX('Справочник по %'!B:B,(MATCH(A808,'Справочник по %'!A:A,0)))="кол-во",B808*INDEX('Справочник по %'!C:C,(MATCH(A808,'Справочник по %'!A:A,0))),ОТЧЕТ!C808*INDEX('Справочник по %'!C:C,(MATCH(A808,'Справочник по %'!A:A,0))))/100</f>
        <v>451</v>
      </c>
      <c r="E808" s="29">
        <f>IF(ОТЧЕТ!A808="SKU3",C808+ОТЧЕТ!C808*0.2,C808+ОТЧЕТ!C808*0.15)</f>
        <v>471.5</v>
      </c>
      <c r="F808" s="7" t="s">
        <v>1950</v>
      </c>
      <c r="G808" s="7">
        <v>326544302</v>
      </c>
      <c r="H808" s="20" t="s">
        <v>1953</v>
      </c>
      <c r="I808" s="22">
        <f>INDEX('Справочник Сети'!B:B,(MATCH(G808,'Справочник Сети'!C:C,0)))</f>
        <v>0</v>
      </c>
      <c r="J808" s="7" t="s">
        <v>362</v>
      </c>
      <c r="K808" s="7" t="s">
        <v>1169</v>
      </c>
      <c r="L808" s="7" t="s">
        <v>362</v>
      </c>
      <c r="M808" s="31">
        <v>45732</v>
      </c>
      <c r="N808" s="7" t="s">
        <v>1954</v>
      </c>
      <c r="O808" s="8">
        <v>3724</v>
      </c>
      <c r="P808" s="24">
        <v>4481</v>
      </c>
      <c r="Q808" s="22">
        <f>IF(COUNTIFS(A$2:A808,A808,I$2:I808,I808)=1,1,0)</f>
        <v>0</v>
      </c>
      <c r="R808" s="22">
        <f t="shared" si="12"/>
        <v>1</v>
      </c>
      <c r="S808" s="33">
        <f>IF(COUNTIF(O$2:O808,O808)=1,R808,0)/2.5</f>
        <v>0.4</v>
      </c>
    </row>
    <row r="809" spans="1:19" ht="18" customHeight="1" x14ac:dyDescent="0.25">
      <c r="A809" s="7" t="s">
        <v>37</v>
      </c>
      <c r="B809" s="8">
        <v>1</v>
      </c>
      <c r="C809" s="9">
        <v>585.9</v>
      </c>
      <c r="D809" s="29">
        <f>C809+IF(INDEX('Справочник по %'!B:B,(MATCH(A809,'Справочник по %'!A:A,0)))="кол-во",B809*INDEX('Справочник по %'!C:C,(MATCH(A809,'Справочник по %'!A:A,0))),ОТЧЕТ!C809*INDEX('Справочник по %'!C:C,(MATCH(A809,'Справочник по %'!A:A,0))))/100</f>
        <v>586.1</v>
      </c>
      <c r="E809" s="29">
        <f>IF(ОТЧЕТ!A809="SKU3",C809+ОТЧЕТ!C809*0.2,C809+ОТЧЕТ!C809*0.15)</f>
        <v>673.78499999999997</v>
      </c>
      <c r="F809" s="7" t="s">
        <v>1950</v>
      </c>
      <c r="G809" s="7">
        <v>7204146152</v>
      </c>
      <c r="H809" s="20" t="s">
        <v>1009</v>
      </c>
      <c r="I809" s="22" t="str">
        <f>INDEX('Справочник Сети'!B:B,(MATCH(G809,'Справочник Сети'!C:C,0)))</f>
        <v>36,6</v>
      </c>
      <c r="J809" s="7" t="s">
        <v>104</v>
      </c>
      <c r="K809" s="7" t="s">
        <v>1955</v>
      </c>
      <c r="L809" s="7" t="s">
        <v>106</v>
      </c>
      <c r="M809" s="31">
        <v>45694</v>
      </c>
      <c r="N809" s="7" t="s">
        <v>1956</v>
      </c>
      <c r="O809" s="8">
        <v>771</v>
      </c>
      <c r="P809" s="24">
        <v>4482</v>
      </c>
      <c r="Q809" s="22">
        <f>IF(COUNTIFS(A$2:A809,A809,I$2:I809,I809)=1,1,0)</f>
        <v>0</v>
      </c>
      <c r="R809" s="22">
        <f t="shared" si="12"/>
        <v>5</v>
      </c>
      <c r="S809" s="33">
        <f>IF(COUNTIF(O$2:O809,O809)=1,R809,0)/2.5</f>
        <v>0</v>
      </c>
    </row>
    <row r="810" spans="1:19" ht="18" customHeight="1" x14ac:dyDescent="0.25">
      <c r="A810" s="7" t="s">
        <v>43</v>
      </c>
      <c r="B810" s="8">
        <v>1</v>
      </c>
      <c r="C810" s="9">
        <v>510</v>
      </c>
      <c r="D810" s="29">
        <f>C810+IF(INDEX('Справочник по %'!B:B,(MATCH(A810,'Справочник по %'!A:A,0)))="кол-во",B810*INDEX('Справочник по %'!C:C,(MATCH(A810,'Справочник по %'!A:A,0))),ОТЧЕТ!C810*INDEX('Справочник по %'!C:C,(MATCH(A810,'Справочник по %'!A:A,0))))/100</f>
        <v>561</v>
      </c>
      <c r="E810" s="29">
        <f>IF(ОТЧЕТ!A810="SKU3",C810+ОТЧЕТ!C810*0.2,C810+ОТЧЕТ!C810*0.15)</f>
        <v>586.5</v>
      </c>
      <c r="F810" s="7" t="s">
        <v>1957</v>
      </c>
      <c r="G810" s="7">
        <v>9102260029</v>
      </c>
      <c r="H810" s="20" t="s">
        <v>1958</v>
      </c>
      <c r="I810" s="22">
        <f>INDEX('Справочник Сети'!B:B,(MATCH(G810,'Справочник Сети'!C:C,0)))</f>
        <v>0</v>
      </c>
      <c r="J810" s="7" t="s">
        <v>737</v>
      </c>
      <c r="K810" s="7" t="s">
        <v>1959</v>
      </c>
      <c r="L810" s="7" t="s">
        <v>315</v>
      </c>
      <c r="M810" s="31">
        <v>45670</v>
      </c>
      <c r="N810" s="7" t="s">
        <v>1960</v>
      </c>
      <c r="O810" s="8">
        <v>2420</v>
      </c>
      <c r="P810" s="24">
        <v>4486</v>
      </c>
      <c r="Q810" s="22">
        <f>IF(COUNTIFS(A$2:A810,A810,I$2:I810,I810)=1,1,0)</f>
        <v>0</v>
      </c>
      <c r="R810" s="22">
        <f t="shared" si="12"/>
        <v>3</v>
      </c>
      <c r="S810" s="33">
        <f>IF(COUNTIF(O$2:O810,O810)=1,R810,0)/2.5</f>
        <v>0</v>
      </c>
    </row>
    <row r="811" spans="1:19" ht="18" customHeight="1" x14ac:dyDescent="0.25">
      <c r="A811" s="7" t="s">
        <v>43</v>
      </c>
      <c r="B811" s="8">
        <v>1</v>
      </c>
      <c r="C811" s="9">
        <v>478</v>
      </c>
      <c r="D811" s="29">
        <f>C811+IF(INDEX('Справочник по %'!B:B,(MATCH(A811,'Справочник по %'!A:A,0)))="кол-во",B811*INDEX('Справочник по %'!C:C,(MATCH(A811,'Справочник по %'!A:A,0))),ОТЧЕТ!C811*INDEX('Справочник по %'!C:C,(MATCH(A811,'Справочник по %'!A:A,0))))/100</f>
        <v>525.79999999999995</v>
      </c>
      <c r="E811" s="29">
        <f>IF(ОТЧЕТ!A811="SKU3",C811+ОТЧЕТ!C811*0.2,C811+ОТЧЕТ!C811*0.15)</f>
        <v>549.70000000000005</v>
      </c>
      <c r="F811" s="7" t="s">
        <v>1961</v>
      </c>
      <c r="G811" s="7">
        <v>4632230101</v>
      </c>
      <c r="H811" s="20" t="s">
        <v>91</v>
      </c>
      <c r="I811" s="22">
        <f>INDEX('Справочник Сети'!B:B,(MATCH(G811,'Справочник Сети'!C:C,0)))</f>
        <v>0</v>
      </c>
      <c r="J811" s="7" t="s">
        <v>83</v>
      </c>
      <c r="K811" s="7" t="s">
        <v>1962</v>
      </c>
      <c r="L811" s="7" t="s">
        <v>83</v>
      </c>
      <c r="M811" s="31">
        <v>45715</v>
      </c>
      <c r="N811" s="7" t="s">
        <v>1963</v>
      </c>
      <c r="O811" s="8">
        <v>2564</v>
      </c>
      <c r="P811" s="24">
        <v>4494</v>
      </c>
      <c r="Q811" s="22">
        <f>IF(COUNTIFS(A$2:A811,A811,I$2:I811,I811)=1,1,0)</f>
        <v>0</v>
      </c>
      <c r="R811" s="22">
        <f t="shared" si="12"/>
        <v>1</v>
      </c>
      <c r="S811" s="33">
        <f>IF(COUNTIF(O$2:O811,O811)=1,R811,0)/2.5</f>
        <v>0.4</v>
      </c>
    </row>
    <row r="812" spans="1:19" ht="18" customHeight="1" x14ac:dyDescent="0.25">
      <c r="A812" s="7" t="s">
        <v>43</v>
      </c>
      <c r="B812" s="8">
        <v>1</v>
      </c>
      <c r="C812" s="9">
        <v>401</v>
      </c>
      <c r="D812" s="29">
        <f>C812+IF(INDEX('Справочник по %'!B:B,(MATCH(A812,'Справочник по %'!A:A,0)))="кол-во",B812*INDEX('Справочник по %'!C:C,(MATCH(A812,'Справочник по %'!A:A,0))),ОТЧЕТ!C812*INDEX('Справочник по %'!C:C,(MATCH(A812,'Справочник по %'!A:A,0))))/100</f>
        <v>441.1</v>
      </c>
      <c r="E812" s="29">
        <f>IF(ОТЧЕТ!A812="SKU3",C812+ОТЧЕТ!C812*0.2,C812+ОТЧЕТ!C812*0.15)</f>
        <v>461.15</v>
      </c>
      <c r="F812" s="7" t="s">
        <v>1964</v>
      </c>
      <c r="G812" s="7">
        <v>7732121736</v>
      </c>
      <c r="H812" s="20" t="s">
        <v>1965</v>
      </c>
      <c r="I812" s="22" t="str">
        <f>INDEX('Справочник Сети'!B:B,(MATCH(G812,'Справочник Сети'!C:C,0)))</f>
        <v>Планета здоровья</v>
      </c>
      <c r="J812" s="7" t="s">
        <v>149</v>
      </c>
      <c r="K812" s="7" t="s">
        <v>1588</v>
      </c>
      <c r="L812" s="7" t="s">
        <v>149</v>
      </c>
      <c r="M812" s="31">
        <v>45673</v>
      </c>
      <c r="N812" s="7" t="s">
        <v>1966</v>
      </c>
      <c r="O812" s="8">
        <v>2923</v>
      </c>
      <c r="P812" s="24">
        <v>4500</v>
      </c>
      <c r="Q812" s="22">
        <f>IF(COUNTIFS(A$2:A812,A812,I$2:I812,I812)=1,1,0)</f>
        <v>0</v>
      </c>
      <c r="R812" s="22">
        <f t="shared" si="12"/>
        <v>3</v>
      </c>
      <c r="S812" s="33">
        <f>IF(COUNTIF(O$2:O812,O812)=1,R812,0)/2.5</f>
        <v>1.2</v>
      </c>
    </row>
    <row r="813" spans="1:19" ht="18" customHeight="1" x14ac:dyDescent="0.25">
      <c r="A813" s="7" t="s">
        <v>37</v>
      </c>
      <c r="B813" s="8">
        <v>1</v>
      </c>
      <c r="C813" s="9">
        <v>689</v>
      </c>
      <c r="D813" s="29">
        <f>C813+IF(INDEX('Справочник по %'!B:B,(MATCH(A813,'Справочник по %'!A:A,0)))="кол-во",B813*INDEX('Справочник по %'!C:C,(MATCH(A813,'Справочник по %'!A:A,0))),ОТЧЕТ!C813*INDEX('Справочник по %'!C:C,(MATCH(A813,'Справочник по %'!A:A,0))))/100</f>
        <v>689.2</v>
      </c>
      <c r="E813" s="29">
        <f>IF(ОТЧЕТ!A813="SKU3",C813+ОТЧЕТ!C813*0.2,C813+ОТЧЕТ!C813*0.15)</f>
        <v>792.35</v>
      </c>
      <c r="F813" s="7" t="s">
        <v>1964</v>
      </c>
      <c r="G813" s="7">
        <v>4202029419</v>
      </c>
      <c r="H813" s="20" t="s">
        <v>69</v>
      </c>
      <c r="I813" s="22">
        <f>INDEX('Справочник Сети'!B:B,(MATCH(G813,'Справочник Сети'!C:C,0)))</f>
        <v>0</v>
      </c>
      <c r="J813" s="7" t="s">
        <v>155</v>
      </c>
      <c r="K813" s="7" t="s">
        <v>1967</v>
      </c>
      <c r="L813" s="7" t="s">
        <v>155</v>
      </c>
      <c r="M813" s="31">
        <v>45716</v>
      </c>
      <c r="N813" s="7" t="s">
        <v>1968</v>
      </c>
      <c r="O813" s="8">
        <v>266</v>
      </c>
      <c r="P813" s="24">
        <v>4501</v>
      </c>
      <c r="Q813" s="22">
        <f>IF(COUNTIFS(A$2:A813,A813,I$2:I813,I813)=1,1,0)</f>
        <v>0</v>
      </c>
      <c r="R813" s="22">
        <f t="shared" si="12"/>
        <v>3</v>
      </c>
      <c r="S813" s="33">
        <f>IF(COUNTIF(O$2:O813,O813)=1,R813,0)/2.5</f>
        <v>0</v>
      </c>
    </row>
    <row r="814" spans="1:19" ht="18" customHeight="1" x14ac:dyDescent="0.25">
      <c r="A814" s="7" t="s">
        <v>37</v>
      </c>
      <c r="B814" s="8">
        <v>1</v>
      </c>
      <c r="C814" s="9">
        <v>590</v>
      </c>
      <c r="D814" s="29">
        <f>C814+IF(INDEX('Справочник по %'!B:B,(MATCH(A814,'Справочник по %'!A:A,0)))="кол-во",B814*INDEX('Справочник по %'!C:C,(MATCH(A814,'Справочник по %'!A:A,0))),ОТЧЕТ!C814*INDEX('Справочник по %'!C:C,(MATCH(A814,'Справочник по %'!A:A,0))))/100</f>
        <v>590.20000000000005</v>
      </c>
      <c r="E814" s="29">
        <f>IF(ОТЧЕТ!A814="SKU3",C814+ОТЧЕТ!C814*0.2,C814+ОТЧЕТ!C814*0.15)</f>
        <v>678.5</v>
      </c>
      <c r="F814" s="7" t="s">
        <v>1964</v>
      </c>
      <c r="G814" s="7">
        <v>2225105670</v>
      </c>
      <c r="H814" s="20" t="s">
        <v>69</v>
      </c>
      <c r="I814" s="22" t="str">
        <f>INDEX('Справочник Сети'!B:B,(MATCH(G814,'Справочник Сети'!C:C,0)))</f>
        <v>Столички</v>
      </c>
      <c r="J814" s="7" t="s">
        <v>372</v>
      </c>
      <c r="K814" s="7" t="s">
        <v>858</v>
      </c>
      <c r="L814" s="7" t="s">
        <v>372</v>
      </c>
      <c r="M814" s="31">
        <v>45730</v>
      </c>
      <c r="N814" s="7" t="s">
        <v>1969</v>
      </c>
      <c r="O814" s="8">
        <v>2345</v>
      </c>
      <c r="P814" s="24">
        <v>4503</v>
      </c>
      <c r="Q814" s="22">
        <f>IF(COUNTIFS(A$2:A814,A814,I$2:I814,I814)=1,1,0)</f>
        <v>0</v>
      </c>
      <c r="R814" s="22">
        <f t="shared" si="12"/>
        <v>5</v>
      </c>
      <c r="S814" s="33">
        <f>IF(COUNTIF(O$2:O814,O814)=1,R814,0)/2.5</f>
        <v>0</v>
      </c>
    </row>
    <row r="815" spans="1:19" ht="18" customHeight="1" x14ac:dyDescent="0.25">
      <c r="A815" s="7" t="s">
        <v>37</v>
      </c>
      <c r="B815" s="8">
        <v>1</v>
      </c>
      <c r="C815" s="9">
        <v>596</v>
      </c>
      <c r="D815" s="29">
        <f>C815+IF(INDEX('Справочник по %'!B:B,(MATCH(A815,'Справочник по %'!A:A,0)))="кол-во",B815*INDEX('Справочник по %'!C:C,(MATCH(A815,'Справочник по %'!A:A,0))),ОТЧЕТ!C815*INDEX('Справочник по %'!C:C,(MATCH(A815,'Справочник по %'!A:A,0))))/100</f>
        <v>596.20000000000005</v>
      </c>
      <c r="E815" s="29">
        <f>IF(ОТЧЕТ!A815="SKU3",C815+ОТЧЕТ!C815*0.2,C815+ОТЧЕТ!C815*0.15)</f>
        <v>685.4</v>
      </c>
      <c r="F815" s="7" t="s">
        <v>1970</v>
      </c>
      <c r="G815" s="7">
        <v>7705947629</v>
      </c>
      <c r="H815" s="20" t="s">
        <v>50</v>
      </c>
      <c r="I815" s="22" t="str">
        <f>INDEX('Справочник Сети'!B:B,(MATCH(G815,'Справочник Сети'!C:C,0)))</f>
        <v>36,6</v>
      </c>
      <c r="J815" s="7" t="s">
        <v>116</v>
      </c>
      <c r="K815" s="7" t="s">
        <v>1971</v>
      </c>
      <c r="L815" s="7" t="s">
        <v>104</v>
      </c>
      <c r="M815" s="31">
        <v>45693</v>
      </c>
      <c r="N815" s="7" t="s">
        <v>1972</v>
      </c>
      <c r="O815" s="8">
        <v>3219</v>
      </c>
      <c r="P815" s="24">
        <v>4509</v>
      </c>
      <c r="Q815" s="22">
        <f>IF(COUNTIFS(A$2:A815,A815,I$2:I815,I815)=1,1,0)</f>
        <v>0</v>
      </c>
      <c r="R815" s="22">
        <f t="shared" si="12"/>
        <v>1</v>
      </c>
      <c r="S815" s="33">
        <f>IF(COUNTIF(O$2:O815,O815)=1,R815,0)/2.5</f>
        <v>0.4</v>
      </c>
    </row>
    <row r="816" spans="1:19" ht="18" customHeight="1" x14ac:dyDescent="0.25">
      <c r="A816" s="7" t="s">
        <v>43</v>
      </c>
      <c r="B816" s="8">
        <v>1</v>
      </c>
      <c r="C816" s="9">
        <v>495</v>
      </c>
      <c r="D816" s="29">
        <f>C816+IF(INDEX('Справочник по %'!B:B,(MATCH(A816,'Справочник по %'!A:A,0)))="кол-во",B816*INDEX('Справочник по %'!C:C,(MATCH(A816,'Справочник по %'!A:A,0))),ОТЧЕТ!C816*INDEX('Справочник по %'!C:C,(MATCH(A816,'Справочник по %'!A:A,0))))/100</f>
        <v>544.5</v>
      </c>
      <c r="E816" s="29">
        <f>IF(ОТЧЕТ!A816="SKU3",C816+ОТЧЕТ!C816*0.2,C816+ОТЧЕТ!C816*0.15)</f>
        <v>569.25</v>
      </c>
      <c r="F816" s="7" t="s">
        <v>1973</v>
      </c>
      <c r="G816" s="7">
        <v>3665820714</v>
      </c>
      <c r="H816" s="20" t="s">
        <v>91</v>
      </c>
      <c r="I816" s="22" t="str">
        <f>INDEX('Справочник Сети'!B:B,(MATCH(G816,'Справочник Сети'!C:C,0)))</f>
        <v>Нео-фарм</v>
      </c>
      <c r="J816" s="7" t="s">
        <v>65</v>
      </c>
      <c r="K816" s="7" t="s">
        <v>1131</v>
      </c>
      <c r="L816" s="7" t="s">
        <v>65</v>
      </c>
      <c r="M816" s="31">
        <v>45717</v>
      </c>
      <c r="N816" s="7" t="s">
        <v>1974</v>
      </c>
      <c r="O816" s="8">
        <v>2211</v>
      </c>
      <c r="P816" s="24">
        <v>4514</v>
      </c>
      <c r="Q816" s="22">
        <f>IF(COUNTIFS(A$2:A816,A816,I$2:I816,I816)=1,1,0)</f>
        <v>0</v>
      </c>
      <c r="R816" s="22">
        <f t="shared" si="12"/>
        <v>1</v>
      </c>
      <c r="S816" s="33">
        <f>IF(COUNTIF(O$2:O816,O816)=1,R816,0)/2.5</f>
        <v>0.4</v>
      </c>
    </row>
    <row r="817" spans="1:19" ht="18" customHeight="1" x14ac:dyDescent="0.25">
      <c r="A817" s="7" t="s">
        <v>43</v>
      </c>
      <c r="B817" s="8">
        <v>1</v>
      </c>
      <c r="C817" s="9">
        <v>397</v>
      </c>
      <c r="D817" s="29">
        <f>C817+IF(INDEX('Справочник по %'!B:B,(MATCH(A817,'Справочник по %'!A:A,0)))="кол-во",B817*INDEX('Справочник по %'!C:C,(MATCH(A817,'Справочник по %'!A:A,0))),ОТЧЕТ!C817*INDEX('Справочник по %'!C:C,(MATCH(A817,'Справочник по %'!A:A,0))))/100</f>
        <v>436.7</v>
      </c>
      <c r="E817" s="29">
        <f>IF(ОТЧЕТ!A817="SKU3",C817+ОТЧЕТ!C817*0.2,C817+ОТЧЕТ!C817*0.15)</f>
        <v>456.55</v>
      </c>
      <c r="F817" s="7" t="s">
        <v>1973</v>
      </c>
      <c r="G817" s="7">
        <v>7732121736</v>
      </c>
      <c r="H817" s="20" t="s">
        <v>1965</v>
      </c>
      <c r="I817" s="22" t="str">
        <f>INDEX('Справочник Сети'!B:B,(MATCH(G817,'Справочник Сети'!C:C,0)))</f>
        <v>Планета здоровья</v>
      </c>
      <c r="J817" s="7" t="s">
        <v>149</v>
      </c>
      <c r="K817" s="7" t="s">
        <v>1274</v>
      </c>
      <c r="L817" s="7" t="s">
        <v>149</v>
      </c>
      <c r="M817" s="31">
        <v>45673</v>
      </c>
      <c r="N817" s="7" t="s">
        <v>1975</v>
      </c>
      <c r="O817" s="8">
        <v>2923</v>
      </c>
      <c r="P817" s="24">
        <v>4515</v>
      </c>
      <c r="Q817" s="22">
        <f>IF(COUNTIFS(A$2:A817,A817,I$2:I817,I817)=1,1,0)</f>
        <v>0</v>
      </c>
      <c r="R817" s="22">
        <f t="shared" si="12"/>
        <v>3</v>
      </c>
      <c r="S817" s="33">
        <f>IF(COUNTIF(O$2:O817,O817)=1,R817,0)/2.5</f>
        <v>0</v>
      </c>
    </row>
    <row r="818" spans="1:19" ht="18" customHeight="1" x14ac:dyDescent="0.25">
      <c r="A818" s="7" t="s">
        <v>37</v>
      </c>
      <c r="B818" s="8">
        <v>1</v>
      </c>
      <c r="C818" s="9">
        <v>561</v>
      </c>
      <c r="D818" s="29">
        <f>C818+IF(INDEX('Справочник по %'!B:B,(MATCH(A818,'Справочник по %'!A:A,0)))="кол-во",B818*INDEX('Справочник по %'!C:C,(MATCH(A818,'Справочник по %'!A:A,0))),ОТЧЕТ!C818*INDEX('Справочник по %'!C:C,(MATCH(A818,'Справочник по %'!A:A,0))))/100</f>
        <v>561.20000000000005</v>
      </c>
      <c r="E818" s="29">
        <f>IF(ОТЧЕТ!A818="SKU3",C818+ОТЧЕТ!C818*0.2,C818+ОТЧЕТ!C818*0.15)</f>
        <v>645.15</v>
      </c>
      <c r="F818" s="7" t="s">
        <v>1976</v>
      </c>
      <c r="G818" s="7">
        <v>7732121736</v>
      </c>
      <c r="H818" s="20" t="s">
        <v>1977</v>
      </c>
      <c r="I818" s="22" t="str">
        <f>INDEX('Справочник Сети'!B:B,(MATCH(G818,'Справочник Сети'!C:C,0)))</f>
        <v>Планета здоровья</v>
      </c>
      <c r="J818" s="7" t="s">
        <v>149</v>
      </c>
      <c r="K818" s="7" t="s">
        <v>1665</v>
      </c>
      <c r="L818" s="7" t="s">
        <v>149</v>
      </c>
      <c r="M818" s="31">
        <v>45673</v>
      </c>
      <c r="N818" s="7" t="s">
        <v>1666</v>
      </c>
      <c r="O818" s="8">
        <v>1194</v>
      </c>
      <c r="P818" s="24">
        <v>4516</v>
      </c>
      <c r="Q818" s="22">
        <f>IF(COUNTIFS(A$2:A818,A818,I$2:I818,I818)=1,1,0)</f>
        <v>0</v>
      </c>
      <c r="R818" s="22">
        <f t="shared" si="12"/>
        <v>1</v>
      </c>
      <c r="S818" s="33">
        <f>IF(COUNTIF(O$2:O818,O818)=1,R818,0)/2.5</f>
        <v>0.4</v>
      </c>
    </row>
    <row r="819" spans="1:19" ht="18" customHeight="1" x14ac:dyDescent="0.25">
      <c r="A819" s="7" t="s">
        <v>43</v>
      </c>
      <c r="B819" s="8">
        <v>1</v>
      </c>
      <c r="C819" s="9">
        <v>594</v>
      </c>
      <c r="D819" s="29">
        <f>C819+IF(INDEX('Справочник по %'!B:B,(MATCH(A819,'Справочник по %'!A:A,0)))="кол-во",B819*INDEX('Справочник по %'!C:C,(MATCH(A819,'Справочник по %'!A:A,0))),ОТЧЕТ!C819*INDEX('Справочник по %'!C:C,(MATCH(A819,'Справочник по %'!A:A,0))))/100</f>
        <v>653.4</v>
      </c>
      <c r="E819" s="29">
        <f>IF(ОТЧЕТ!A819="SKU3",C819+ОТЧЕТ!C819*0.2,C819+ОТЧЕТ!C819*0.15)</f>
        <v>683.1</v>
      </c>
      <c r="F819" s="7" t="s">
        <v>1976</v>
      </c>
      <c r="G819" s="7">
        <v>7709068298</v>
      </c>
      <c r="H819" s="20" t="s">
        <v>50</v>
      </c>
      <c r="I819" s="22" t="str">
        <f>INDEX('Справочник Сети'!B:B,(MATCH(G819,'Справочник Сети'!C:C,0)))</f>
        <v>36,6</v>
      </c>
      <c r="J819" s="7" t="s">
        <v>504</v>
      </c>
      <c r="K819" s="7" t="s">
        <v>1313</v>
      </c>
      <c r="L819" s="7" t="s">
        <v>504</v>
      </c>
      <c r="M819" s="31">
        <v>45690</v>
      </c>
      <c r="N819" s="7" t="s">
        <v>1978</v>
      </c>
      <c r="O819" s="8">
        <v>803</v>
      </c>
      <c r="P819" s="24">
        <v>4517</v>
      </c>
      <c r="Q819" s="22">
        <f>IF(COUNTIFS(A$2:A819,A819,I$2:I819,I819)=1,1,0)</f>
        <v>0</v>
      </c>
      <c r="R819" s="22">
        <f t="shared" si="12"/>
        <v>2</v>
      </c>
      <c r="S819" s="33">
        <f>IF(COUNTIF(O$2:O819,O819)=1,R819,0)/2.5</f>
        <v>0.8</v>
      </c>
    </row>
    <row r="820" spans="1:19" ht="18" customHeight="1" x14ac:dyDescent="0.25">
      <c r="A820" s="7" t="s">
        <v>43</v>
      </c>
      <c r="B820" s="8">
        <v>1</v>
      </c>
      <c r="C820" s="9">
        <v>430</v>
      </c>
      <c r="D820" s="29">
        <f>C820+IF(INDEX('Справочник по %'!B:B,(MATCH(A820,'Справочник по %'!A:A,0)))="кол-во",B820*INDEX('Справочник по %'!C:C,(MATCH(A820,'Справочник по %'!A:A,0))),ОТЧЕТ!C820*INDEX('Справочник по %'!C:C,(MATCH(A820,'Справочник по %'!A:A,0))))/100</f>
        <v>473</v>
      </c>
      <c r="E820" s="29">
        <f>IF(ОТЧЕТ!A820="SKU3",C820+ОТЧЕТ!C820*0.2,C820+ОТЧЕТ!C820*0.15)</f>
        <v>494.5</v>
      </c>
      <c r="F820" s="7" t="s">
        <v>1976</v>
      </c>
      <c r="G820" s="7">
        <v>4632054054</v>
      </c>
      <c r="H820" s="20" t="s">
        <v>1847</v>
      </c>
      <c r="I820" s="22" t="str">
        <f>INDEX('Справочник Сети'!B:B,(MATCH(G820,'Справочник Сети'!C:C,0)))</f>
        <v>Ригла</v>
      </c>
      <c r="J820" s="7" t="s">
        <v>155</v>
      </c>
      <c r="K820" s="7" t="s">
        <v>320</v>
      </c>
      <c r="L820" s="7" t="s">
        <v>155</v>
      </c>
      <c r="M820" s="31">
        <v>45716</v>
      </c>
      <c r="N820" s="7" t="s">
        <v>1979</v>
      </c>
      <c r="O820" s="8">
        <v>39</v>
      </c>
      <c r="P820" s="24">
        <v>4522</v>
      </c>
      <c r="Q820" s="22">
        <f>IF(COUNTIFS(A$2:A820,A820,I$2:I820,I820)=1,1,0)</f>
        <v>0</v>
      </c>
      <c r="R820" s="22">
        <f t="shared" si="12"/>
        <v>1</v>
      </c>
      <c r="S820" s="33">
        <f>IF(COUNTIF(O$2:O820,O820)=1,R820,0)/2.5</f>
        <v>0.4</v>
      </c>
    </row>
    <row r="821" spans="1:19" ht="18" customHeight="1" x14ac:dyDescent="0.25">
      <c r="A821" s="7" t="s">
        <v>43</v>
      </c>
      <c r="B821" s="8">
        <v>1</v>
      </c>
      <c r="C821" s="9">
        <v>444.51</v>
      </c>
      <c r="D821" s="29">
        <f>C821+IF(INDEX('Справочник по %'!B:B,(MATCH(A821,'Справочник по %'!A:A,0)))="кол-во",B821*INDEX('Справочник по %'!C:C,(MATCH(A821,'Справочник по %'!A:A,0))),ОТЧЕТ!C821*INDEX('Справочник по %'!C:C,(MATCH(A821,'Справочник по %'!A:A,0))))/100</f>
        <v>488.96100000000001</v>
      </c>
      <c r="E821" s="29">
        <f>IF(ОТЧЕТ!A821="SKU3",C821+ОТЧЕТ!C821*0.2,C821+ОТЧЕТ!C821*0.15)</f>
        <v>511.18649999999997</v>
      </c>
      <c r="F821" s="7" t="s">
        <v>1976</v>
      </c>
      <c r="G821" s="7">
        <v>7734345467</v>
      </c>
      <c r="H821" s="20" t="s">
        <v>50</v>
      </c>
      <c r="I821" s="22">
        <f>INDEX('Справочник Сети'!B:B,(MATCH(G821,'Справочник Сети'!C:C,0)))</f>
        <v>0</v>
      </c>
      <c r="J821" s="7" t="s">
        <v>353</v>
      </c>
      <c r="K821" s="7" t="s">
        <v>1482</v>
      </c>
      <c r="L821" s="7" t="s">
        <v>353</v>
      </c>
      <c r="M821" s="31">
        <v>45672</v>
      </c>
      <c r="N821" s="7" t="s">
        <v>1980</v>
      </c>
      <c r="O821" s="8">
        <v>393</v>
      </c>
      <c r="P821" s="24">
        <v>4523</v>
      </c>
      <c r="Q821" s="22">
        <f>IF(COUNTIFS(A$2:A821,A821,I$2:I821,I821)=1,1,0)</f>
        <v>0</v>
      </c>
      <c r="R821" s="22">
        <f t="shared" si="12"/>
        <v>1</v>
      </c>
      <c r="S821" s="33">
        <f>IF(COUNTIF(O$2:O821,O821)=1,R821,0)/2.5</f>
        <v>0.4</v>
      </c>
    </row>
    <row r="822" spans="1:19" ht="18" customHeight="1" x14ac:dyDescent="0.25">
      <c r="A822" s="7" t="s">
        <v>37</v>
      </c>
      <c r="B822" s="8">
        <v>1</v>
      </c>
      <c r="C822" s="9">
        <v>613.25</v>
      </c>
      <c r="D822" s="29">
        <f>C822+IF(INDEX('Справочник по %'!B:B,(MATCH(A822,'Справочник по %'!A:A,0)))="кол-во",B822*INDEX('Справочник по %'!C:C,(MATCH(A822,'Справочник по %'!A:A,0))),ОТЧЕТ!C822*INDEX('Справочник по %'!C:C,(MATCH(A822,'Справочник по %'!A:A,0))))/100</f>
        <v>613.45000000000005</v>
      </c>
      <c r="E822" s="29">
        <f>IF(ОТЧЕТ!A822="SKU3",C822+ОТЧЕТ!C822*0.2,C822+ОТЧЕТ!C822*0.15)</f>
        <v>705.23749999999995</v>
      </c>
      <c r="F822" s="7" t="s">
        <v>1976</v>
      </c>
      <c r="G822" s="7">
        <v>2460058282</v>
      </c>
      <c r="H822" s="20" t="s">
        <v>1981</v>
      </c>
      <c r="I822" s="22" t="str">
        <f>INDEX('Справочник Сети'!B:B,(MATCH(G822,'Справочник Сети'!C:C,0)))</f>
        <v>Столички</v>
      </c>
      <c r="J822" s="7" t="s">
        <v>96</v>
      </c>
      <c r="K822" s="7" t="s">
        <v>850</v>
      </c>
      <c r="L822" s="7" t="s">
        <v>96</v>
      </c>
      <c r="M822" s="31">
        <v>45727</v>
      </c>
      <c r="N822" s="7" t="s">
        <v>1982</v>
      </c>
      <c r="O822" s="8">
        <v>3408</v>
      </c>
      <c r="P822" s="24">
        <v>4524</v>
      </c>
      <c r="Q822" s="22">
        <f>IF(COUNTIFS(A$2:A822,A822,I$2:I822,I822)=1,1,0)</f>
        <v>0</v>
      </c>
      <c r="R822" s="22">
        <f t="shared" si="12"/>
        <v>1</v>
      </c>
      <c r="S822" s="33">
        <f>IF(COUNTIF(O$2:O822,O822)=1,R822,0)/2.5</f>
        <v>0.4</v>
      </c>
    </row>
    <row r="823" spans="1:19" ht="18" customHeight="1" x14ac:dyDescent="0.25">
      <c r="A823" s="7" t="s">
        <v>43</v>
      </c>
      <c r="B823" s="8">
        <v>1</v>
      </c>
      <c r="C823" s="9">
        <v>420</v>
      </c>
      <c r="D823" s="29">
        <f>C823+IF(INDEX('Справочник по %'!B:B,(MATCH(A823,'Справочник по %'!A:A,0)))="кол-во",B823*INDEX('Справочник по %'!C:C,(MATCH(A823,'Справочник по %'!A:A,0))),ОТЧЕТ!C823*INDEX('Справочник по %'!C:C,(MATCH(A823,'Справочник по %'!A:A,0))))/100</f>
        <v>462</v>
      </c>
      <c r="E823" s="29">
        <f>IF(ОТЧЕТ!A823="SKU3",C823+ОТЧЕТ!C823*0.2,C823+ОТЧЕТ!C823*0.15)</f>
        <v>483</v>
      </c>
      <c r="F823" s="7" t="s">
        <v>1976</v>
      </c>
      <c r="G823" s="7">
        <v>6164078092</v>
      </c>
      <c r="H823" s="20" t="s">
        <v>1528</v>
      </c>
      <c r="I823" s="22" t="str">
        <f>INDEX('Справочник Сети'!B:B,(MATCH(G823,'Справочник Сети'!C:C,0)))</f>
        <v>Ригла</v>
      </c>
      <c r="J823" s="7" t="s">
        <v>520</v>
      </c>
      <c r="K823" s="7" t="s">
        <v>1817</v>
      </c>
      <c r="L823" s="7" t="s">
        <v>520</v>
      </c>
      <c r="M823" s="31">
        <v>45697</v>
      </c>
      <c r="N823" s="7" t="s">
        <v>1983</v>
      </c>
      <c r="O823" s="8">
        <v>889</v>
      </c>
      <c r="P823" s="24">
        <v>4525</v>
      </c>
      <c r="Q823" s="22">
        <f>IF(COUNTIFS(A$2:A823,A823,I$2:I823,I823)=1,1,0)</f>
        <v>0</v>
      </c>
      <c r="R823" s="22">
        <f t="shared" si="12"/>
        <v>2</v>
      </c>
      <c r="S823" s="33">
        <f>IF(COUNTIF(O$2:O823,O823)=1,R823,0)/2.5</f>
        <v>0.8</v>
      </c>
    </row>
    <row r="824" spans="1:19" ht="18" customHeight="1" x14ac:dyDescent="0.25">
      <c r="A824" s="7" t="s">
        <v>37</v>
      </c>
      <c r="B824" s="8">
        <v>1</v>
      </c>
      <c r="C824" s="9">
        <v>574</v>
      </c>
      <c r="D824" s="29">
        <f>C824+IF(INDEX('Справочник по %'!B:B,(MATCH(A824,'Справочник по %'!A:A,0)))="кол-во",B824*INDEX('Справочник по %'!C:C,(MATCH(A824,'Справочник по %'!A:A,0))),ОТЧЕТ!C824*INDEX('Справочник по %'!C:C,(MATCH(A824,'Справочник по %'!A:A,0))))/100</f>
        <v>574.20000000000005</v>
      </c>
      <c r="E824" s="29">
        <f>IF(ОТЧЕТ!A824="SKU3",C824+ОТЧЕТ!C824*0.2,C824+ОТЧЕТ!C824*0.15)</f>
        <v>660.1</v>
      </c>
      <c r="F824" s="7" t="s">
        <v>1976</v>
      </c>
      <c r="G824" s="7">
        <v>7732121736</v>
      </c>
      <c r="H824" s="20" t="s">
        <v>1984</v>
      </c>
      <c r="I824" s="22" t="str">
        <f>INDEX('Справочник Сети'!B:B,(MATCH(G824,'Справочник Сети'!C:C,0)))</f>
        <v>Планета здоровья</v>
      </c>
      <c r="J824" s="7" t="s">
        <v>149</v>
      </c>
      <c r="K824" s="7" t="s">
        <v>1985</v>
      </c>
      <c r="L824" s="7" t="s">
        <v>149</v>
      </c>
      <c r="M824" s="31">
        <v>45673</v>
      </c>
      <c r="N824" s="7" t="s">
        <v>1986</v>
      </c>
      <c r="O824" s="8">
        <v>3438</v>
      </c>
      <c r="P824" s="24">
        <v>4526</v>
      </c>
      <c r="Q824" s="22">
        <f>IF(COUNTIFS(A$2:A824,A824,I$2:I824,I824)=1,1,0)</f>
        <v>0</v>
      </c>
      <c r="R824" s="22">
        <f t="shared" si="12"/>
        <v>1</v>
      </c>
      <c r="S824" s="33">
        <f>IF(COUNTIF(O$2:O824,O824)=1,R824,0)/2.5</f>
        <v>0.4</v>
      </c>
    </row>
    <row r="825" spans="1:19" ht="18" customHeight="1" x14ac:dyDescent="0.25">
      <c r="A825" s="7" t="s">
        <v>43</v>
      </c>
      <c r="B825" s="8">
        <v>1</v>
      </c>
      <c r="C825" s="9">
        <v>511</v>
      </c>
      <c r="D825" s="29">
        <f>C825+IF(INDEX('Справочник по %'!B:B,(MATCH(A825,'Справочник по %'!A:A,0)))="кол-во",B825*INDEX('Справочник по %'!C:C,(MATCH(A825,'Справочник по %'!A:A,0))),ОТЧЕТ!C825*INDEX('Справочник по %'!C:C,(MATCH(A825,'Справочник по %'!A:A,0))))/100</f>
        <v>562.1</v>
      </c>
      <c r="E825" s="29">
        <f>IF(ОТЧЕТ!A825="SKU3",C825+ОТЧЕТ!C825*0.2,C825+ОТЧЕТ!C825*0.15)</f>
        <v>587.65</v>
      </c>
      <c r="F825" s="7" t="s">
        <v>1987</v>
      </c>
      <c r="G825" s="7">
        <v>7807048010</v>
      </c>
      <c r="H825" s="20" t="s">
        <v>50</v>
      </c>
      <c r="I825" s="22" t="str">
        <f>INDEX('Справочник Сети'!B:B,(MATCH(G825,'Справочник Сети'!C:C,0)))</f>
        <v>Планета здоровья</v>
      </c>
      <c r="J825" s="7" t="s">
        <v>353</v>
      </c>
      <c r="K825" s="7" t="s">
        <v>100</v>
      </c>
      <c r="L825" s="7" t="s">
        <v>353</v>
      </c>
      <c r="M825" s="31">
        <v>45672</v>
      </c>
      <c r="N825" s="7" t="s">
        <v>1988</v>
      </c>
      <c r="O825" s="8">
        <v>760</v>
      </c>
      <c r="P825" s="24">
        <v>4530</v>
      </c>
      <c r="Q825" s="22">
        <f>IF(COUNTIFS(A$2:A825,A825,I$2:I825,I825)=1,1,0)</f>
        <v>0</v>
      </c>
      <c r="R825" s="22">
        <f t="shared" si="12"/>
        <v>2</v>
      </c>
      <c r="S825" s="33">
        <f>IF(COUNTIF(O$2:O825,O825)=1,R825,0)/2.5</f>
        <v>0.8</v>
      </c>
    </row>
    <row r="826" spans="1:19" ht="18" customHeight="1" x14ac:dyDescent="0.25">
      <c r="A826" s="7" t="s">
        <v>43</v>
      </c>
      <c r="B826" s="8">
        <v>1</v>
      </c>
      <c r="C826" s="9">
        <v>616</v>
      </c>
      <c r="D826" s="29">
        <f>C826+IF(INDEX('Справочник по %'!B:B,(MATCH(A826,'Справочник по %'!A:A,0)))="кол-во",B826*INDEX('Справочник по %'!C:C,(MATCH(A826,'Справочник по %'!A:A,0))),ОТЧЕТ!C826*INDEX('Справочник по %'!C:C,(MATCH(A826,'Справочник по %'!A:A,0))))/100</f>
        <v>677.6</v>
      </c>
      <c r="E826" s="29">
        <f>IF(ОТЧЕТ!A826="SKU3",C826+ОТЧЕТ!C826*0.2,C826+ОТЧЕТ!C826*0.15)</f>
        <v>708.4</v>
      </c>
      <c r="F826" s="7" t="s">
        <v>1989</v>
      </c>
      <c r="G826" s="7">
        <v>7714844316</v>
      </c>
      <c r="H826" s="20" t="s">
        <v>50</v>
      </c>
      <c r="I826" s="22" t="str">
        <f>INDEX('Справочник Сети'!B:B,(MATCH(G826,'Справочник Сети'!C:C,0)))</f>
        <v>Планета здоровья</v>
      </c>
      <c r="J826" s="7" t="s">
        <v>504</v>
      </c>
      <c r="K826" s="7" t="s">
        <v>1127</v>
      </c>
      <c r="L826" s="7" t="s">
        <v>504</v>
      </c>
      <c r="M826" s="31">
        <v>45690</v>
      </c>
      <c r="N826" s="7" t="s">
        <v>1990</v>
      </c>
      <c r="O826" s="8">
        <v>868</v>
      </c>
      <c r="P826" s="24">
        <v>4533</v>
      </c>
      <c r="Q826" s="22">
        <f>IF(COUNTIFS(A$2:A826,A826,I$2:I826,I826)=1,1,0)</f>
        <v>0</v>
      </c>
      <c r="R826" s="22">
        <f t="shared" si="12"/>
        <v>12</v>
      </c>
      <c r="S826" s="33">
        <f>IF(COUNTIF(O$2:O826,O826)=1,R826,0)/2.5</f>
        <v>0</v>
      </c>
    </row>
    <row r="827" spans="1:19" ht="18" customHeight="1" x14ac:dyDescent="0.25">
      <c r="A827" s="7" t="s">
        <v>43</v>
      </c>
      <c r="B827" s="8">
        <v>1</v>
      </c>
      <c r="C827" s="9">
        <v>399</v>
      </c>
      <c r="D827" s="29">
        <f>C827+IF(INDEX('Справочник по %'!B:B,(MATCH(A827,'Справочник по %'!A:A,0)))="кол-во",B827*INDEX('Справочник по %'!C:C,(MATCH(A827,'Справочник по %'!A:A,0))),ОТЧЕТ!C827*INDEX('Справочник по %'!C:C,(MATCH(A827,'Справочник по %'!A:A,0))))/100</f>
        <v>438.9</v>
      </c>
      <c r="E827" s="29">
        <f>IF(ОТЧЕТ!A827="SKU3",C827+ОТЧЕТ!C827*0.2,C827+ОТЧЕТ!C827*0.15)</f>
        <v>458.85</v>
      </c>
      <c r="F827" s="7" t="s">
        <v>1989</v>
      </c>
      <c r="G827" s="7">
        <v>6166112687</v>
      </c>
      <c r="H827" s="20" t="s">
        <v>50</v>
      </c>
      <c r="I827" s="22">
        <f>INDEX('Справочник Сети'!B:B,(MATCH(G827,'Справочник Сети'!C:C,0)))</f>
        <v>0</v>
      </c>
      <c r="J827" s="7" t="s">
        <v>203</v>
      </c>
      <c r="K827" s="7" t="s">
        <v>1991</v>
      </c>
      <c r="L827" s="7" t="s">
        <v>203</v>
      </c>
      <c r="M827" s="31">
        <v>45696</v>
      </c>
      <c r="N827" s="7" t="s">
        <v>1992</v>
      </c>
      <c r="O827" s="8">
        <v>1641</v>
      </c>
      <c r="P827" s="24">
        <v>4534</v>
      </c>
      <c r="Q827" s="22">
        <f>IF(COUNTIFS(A$2:A827,A827,I$2:I827,I827)=1,1,0)</f>
        <v>0</v>
      </c>
      <c r="R827" s="22">
        <f t="shared" si="12"/>
        <v>3</v>
      </c>
      <c r="S827" s="33">
        <f>IF(COUNTIF(O$2:O827,O827)=1,R827,0)/2.5</f>
        <v>0</v>
      </c>
    </row>
    <row r="828" spans="1:19" ht="18" customHeight="1" x14ac:dyDescent="0.25">
      <c r="A828" s="7" t="s">
        <v>43</v>
      </c>
      <c r="B828" s="8">
        <v>1</v>
      </c>
      <c r="C828" s="9">
        <v>389.83</v>
      </c>
      <c r="D828" s="29">
        <f>C828+IF(INDEX('Справочник по %'!B:B,(MATCH(A828,'Справочник по %'!A:A,0)))="кол-во",B828*INDEX('Справочник по %'!C:C,(MATCH(A828,'Справочник по %'!A:A,0))),ОТЧЕТ!C828*INDEX('Справочник по %'!C:C,(MATCH(A828,'Справочник по %'!A:A,0))))/100</f>
        <v>428.81299999999999</v>
      </c>
      <c r="E828" s="29">
        <f>IF(ОТЧЕТ!A828="SKU3",C828+ОТЧЕТ!C828*0.2,C828+ОТЧЕТ!C828*0.15)</f>
        <v>448.30449999999996</v>
      </c>
      <c r="F828" s="7" t="s">
        <v>1989</v>
      </c>
      <c r="G828" s="7">
        <v>5903090300</v>
      </c>
      <c r="H828" s="20" t="s">
        <v>39</v>
      </c>
      <c r="I828" s="22">
        <f>INDEX('Справочник Сети'!B:B,(MATCH(G828,'Справочник Сети'!C:C,0)))</f>
        <v>0</v>
      </c>
      <c r="J828" s="7" t="s">
        <v>40</v>
      </c>
      <c r="K828" s="7" t="s">
        <v>942</v>
      </c>
      <c r="L828" s="7" t="s">
        <v>40</v>
      </c>
      <c r="M828" s="31">
        <v>45712</v>
      </c>
      <c r="N828" s="7" t="s">
        <v>1993</v>
      </c>
      <c r="O828" s="8">
        <v>515</v>
      </c>
      <c r="P828" s="24">
        <v>4536</v>
      </c>
      <c r="Q828" s="22">
        <f>IF(COUNTIFS(A$2:A828,A828,I$2:I828,I828)=1,1,0)</f>
        <v>0</v>
      </c>
      <c r="R828" s="22">
        <f t="shared" si="12"/>
        <v>1</v>
      </c>
      <c r="S828" s="33">
        <f>IF(COUNTIF(O$2:O828,O828)=1,R828,0)/2.5</f>
        <v>0.4</v>
      </c>
    </row>
    <row r="829" spans="1:19" ht="18" customHeight="1" x14ac:dyDescent="0.25">
      <c r="A829" s="7" t="s">
        <v>43</v>
      </c>
      <c r="B829" s="8">
        <v>1</v>
      </c>
      <c r="C829" s="9">
        <v>377</v>
      </c>
      <c r="D829" s="29">
        <f>C829+IF(INDEX('Справочник по %'!B:B,(MATCH(A829,'Справочник по %'!A:A,0)))="кол-во",B829*INDEX('Справочник по %'!C:C,(MATCH(A829,'Справочник по %'!A:A,0))),ОТЧЕТ!C829*INDEX('Справочник по %'!C:C,(MATCH(A829,'Справочник по %'!A:A,0))))/100</f>
        <v>414.7</v>
      </c>
      <c r="E829" s="29">
        <f>IF(ОТЧЕТ!A829="SKU3",C829+ОТЧЕТ!C829*0.2,C829+ОТЧЕТ!C829*0.15)</f>
        <v>433.55</v>
      </c>
      <c r="F829" s="7" t="s">
        <v>1989</v>
      </c>
      <c r="G829" s="7">
        <v>7706795062</v>
      </c>
      <c r="H829" s="20" t="s">
        <v>880</v>
      </c>
      <c r="I829" s="22" t="str">
        <f>INDEX('Справочник Сети'!B:B,(MATCH(G829,'Справочник Сети'!C:C,0)))</f>
        <v>Планета здоровья</v>
      </c>
      <c r="J829" s="7" t="s">
        <v>87</v>
      </c>
      <c r="K829" s="7" t="s">
        <v>991</v>
      </c>
      <c r="L829" s="7" t="s">
        <v>87</v>
      </c>
      <c r="M829" s="31">
        <v>45691</v>
      </c>
      <c r="N829" s="7" t="s">
        <v>1994</v>
      </c>
      <c r="O829" s="8">
        <v>2634</v>
      </c>
      <c r="P829" s="24">
        <v>4537</v>
      </c>
      <c r="Q829" s="22">
        <f>IF(COUNTIFS(A$2:A829,A829,I$2:I829,I829)=1,1,0)</f>
        <v>0</v>
      </c>
      <c r="R829" s="22">
        <f t="shared" si="12"/>
        <v>1</v>
      </c>
      <c r="S829" s="33">
        <f>IF(COUNTIF(O$2:O829,O829)=1,R829,0)/2.5</f>
        <v>0.4</v>
      </c>
    </row>
    <row r="830" spans="1:19" ht="18" customHeight="1" x14ac:dyDescent="0.25">
      <c r="A830" s="7" t="s">
        <v>43</v>
      </c>
      <c r="B830" s="8">
        <v>1</v>
      </c>
      <c r="C830" s="9">
        <v>399</v>
      </c>
      <c r="D830" s="29">
        <f>C830+IF(INDEX('Справочник по %'!B:B,(MATCH(A830,'Справочник по %'!A:A,0)))="кол-во",B830*INDEX('Справочник по %'!C:C,(MATCH(A830,'Справочник по %'!A:A,0))),ОТЧЕТ!C830*INDEX('Справочник по %'!C:C,(MATCH(A830,'Справочник по %'!A:A,0))))/100</f>
        <v>438.9</v>
      </c>
      <c r="E830" s="29">
        <f>IF(ОТЧЕТ!A830="SKU3",C830+ОТЧЕТ!C830*0.2,C830+ОТЧЕТ!C830*0.15)</f>
        <v>458.85</v>
      </c>
      <c r="F830" s="7" t="s">
        <v>1995</v>
      </c>
      <c r="G830" s="7">
        <v>7716997445</v>
      </c>
      <c r="H830" s="20" t="s">
        <v>167</v>
      </c>
      <c r="I830" s="22" t="str">
        <f>INDEX('Справочник Сети'!B:B,(MATCH(G830,'Справочник Сети'!C:C,0)))</f>
        <v>Столички</v>
      </c>
      <c r="J830" s="7" t="s">
        <v>168</v>
      </c>
      <c r="K830" s="7" t="s">
        <v>839</v>
      </c>
      <c r="L830" s="7" t="s">
        <v>168</v>
      </c>
      <c r="M830" s="31">
        <v>45676</v>
      </c>
      <c r="N830" s="7" t="s">
        <v>1996</v>
      </c>
      <c r="O830" s="8">
        <v>2997</v>
      </c>
      <c r="P830" s="24">
        <v>4544</v>
      </c>
      <c r="Q830" s="22">
        <f>IF(COUNTIFS(A$2:A830,A830,I$2:I830,I830)=1,1,0)</f>
        <v>0</v>
      </c>
      <c r="R830" s="22">
        <f t="shared" si="12"/>
        <v>1</v>
      </c>
      <c r="S830" s="33">
        <f>IF(COUNTIF(O$2:O830,O830)=1,R830,0)/2.5</f>
        <v>0.4</v>
      </c>
    </row>
    <row r="831" spans="1:19" ht="18" customHeight="1" x14ac:dyDescent="0.25">
      <c r="A831" s="7" t="s">
        <v>43</v>
      </c>
      <c r="B831" s="8">
        <v>1</v>
      </c>
      <c r="C831" s="9">
        <v>418</v>
      </c>
      <c r="D831" s="29">
        <f>C831+IF(INDEX('Справочник по %'!B:B,(MATCH(A831,'Справочник по %'!A:A,0)))="кол-во",B831*INDEX('Справочник по %'!C:C,(MATCH(A831,'Справочник по %'!A:A,0))),ОТЧЕТ!C831*INDEX('Справочник по %'!C:C,(MATCH(A831,'Справочник по %'!A:A,0))))/100</f>
        <v>459.8</v>
      </c>
      <c r="E831" s="29">
        <f>IF(ОТЧЕТ!A831="SKU3",C831+ОТЧЕТ!C831*0.2,C831+ОТЧЕТ!C831*0.15)</f>
        <v>480.7</v>
      </c>
      <c r="F831" s="7" t="s">
        <v>1995</v>
      </c>
      <c r="G831" s="7">
        <v>6163232898</v>
      </c>
      <c r="H831" s="20" t="s">
        <v>50</v>
      </c>
      <c r="I831" s="22">
        <f>INDEX('Справочник Сети'!B:B,(MATCH(G831,'Справочник Сети'!C:C,0)))</f>
        <v>0</v>
      </c>
      <c r="J831" s="7" t="s">
        <v>520</v>
      </c>
      <c r="K831" s="7" t="s">
        <v>1868</v>
      </c>
      <c r="L831" s="7" t="s">
        <v>520</v>
      </c>
      <c r="M831" s="31">
        <v>45697</v>
      </c>
      <c r="N831" s="7" t="s">
        <v>1997</v>
      </c>
      <c r="O831" s="8">
        <v>1728</v>
      </c>
      <c r="P831" s="24">
        <v>4548</v>
      </c>
      <c r="Q831" s="22">
        <f>IF(COUNTIFS(A$2:A831,A831,I$2:I831,I831)=1,1,0)</f>
        <v>0</v>
      </c>
      <c r="R831" s="22">
        <f t="shared" si="12"/>
        <v>2</v>
      </c>
      <c r="S831" s="33">
        <f>IF(COUNTIF(O$2:O831,O831)=1,R831,0)/2.5</f>
        <v>0</v>
      </c>
    </row>
    <row r="832" spans="1:19" ht="18" customHeight="1" x14ac:dyDescent="0.25">
      <c r="A832" s="7" t="s">
        <v>37</v>
      </c>
      <c r="B832" s="8">
        <v>1</v>
      </c>
      <c r="C832" s="9">
        <v>575</v>
      </c>
      <c r="D832" s="29">
        <f>C832+IF(INDEX('Справочник по %'!B:B,(MATCH(A832,'Справочник по %'!A:A,0)))="кол-во",B832*INDEX('Справочник по %'!C:C,(MATCH(A832,'Справочник по %'!A:A,0))),ОТЧЕТ!C832*INDEX('Справочник по %'!C:C,(MATCH(A832,'Справочник по %'!A:A,0))))/100</f>
        <v>575.20000000000005</v>
      </c>
      <c r="E832" s="29">
        <f>IF(ОТЧЕТ!A832="SKU3",C832+ОТЧЕТ!C832*0.2,C832+ОТЧЕТ!C832*0.15)</f>
        <v>661.25</v>
      </c>
      <c r="F832" s="7" t="s">
        <v>1995</v>
      </c>
      <c r="G832" s="7">
        <v>7704865540</v>
      </c>
      <c r="H832" s="20" t="s">
        <v>91</v>
      </c>
      <c r="I832" s="22" t="str">
        <f>INDEX('Справочник Сети'!B:B,(MATCH(G832,'Справочник Сети'!C:C,0)))</f>
        <v>Столички</v>
      </c>
      <c r="J832" s="7" t="s">
        <v>104</v>
      </c>
      <c r="K832" s="7" t="s">
        <v>1998</v>
      </c>
      <c r="L832" s="7" t="s">
        <v>104</v>
      </c>
      <c r="M832" s="31">
        <v>45693</v>
      </c>
      <c r="N832" s="7" t="s">
        <v>1999</v>
      </c>
      <c r="O832" s="8">
        <v>2870</v>
      </c>
      <c r="P832" s="24">
        <v>4556</v>
      </c>
      <c r="Q832" s="22">
        <f>IF(COUNTIFS(A$2:A832,A832,I$2:I832,I832)=1,1,0)</f>
        <v>0</v>
      </c>
      <c r="R832" s="22">
        <f t="shared" si="12"/>
        <v>1</v>
      </c>
      <c r="S832" s="33">
        <f>IF(COUNTIF(O$2:O832,O832)=1,R832,0)/2.5</f>
        <v>0.4</v>
      </c>
    </row>
    <row r="833" spans="1:19" ht="18" customHeight="1" x14ac:dyDescent="0.25">
      <c r="A833" s="7" t="s">
        <v>43</v>
      </c>
      <c r="B833" s="8">
        <v>1</v>
      </c>
      <c r="C833" s="9">
        <v>395.9</v>
      </c>
      <c r="D833" s="29">
        <f>C833+IF(INDEX('Справочник по %'!B:B,(MATCH(A833,'Справочник по %'!A:A,0)))="кол-во",B833*INDEX('Справочник по %'!C:C,(MATCH(A833,'Справочник по %'!A:A,0))),ОТЧЕТ!C833*INDEX('Справочник по %'!C:C,(MATCH(A833,'Справочник по %'!A:A,0))))/100</f>
        <v>435.49</v>
      </c>
      <c r="E833" s="29">
        <f>IF(ОТЧЕТ!A833="SKU3",C833+ОТЧЕТ!C833*0.2,C833+ОТЧЕТ!C833*0.15)</f>
        <v>455.28499999999997</v>
      </c>
      <c r="F833" s="7" t="s">
        <v>1995</v>
      </c>
      <c r="G833" s="7">
        <v>2723197553</v>
      </c>
      <c r="H833" s="20" t="s">
        <v>50</v>
      </c>
      <c r="I833" s="22" t="str">
        <f>INDEX('Справочник Сети'!B:B,(MATCH(G833,'Справочник Сети'!C:C,0)))</f>
        <v>Ригла</v>
      </c>
      <c r="J833" s="7" t="s">
        <v>51</v>
      </c>
      <c r="K833" s="7" t="s">
        <v>738</v>
      </c>
      <c r="L833" s="7" t="s">
        <v>46</v>
      </c>
      <c r="M833" s="31">
        <v>45726</v>
      </c>
      <c r="N833" s="7" t="s">
        <v>2000</v>
      </c>
      <c r="O833" s="8">
        <v>952</v>
      </c>
      <c r="P833" s="24">
        <v>4558</v>
      </c>
      <c r="Q833" s="22">
        <f>IF(COUNTIFS(A$2:A833,A833,I$2:I833,I833)=1,1,0)</f>
        <v>0</v>
      </c>
      <c r="R833" s="22">
        <f t="shared" si="12"/>
        <v>1</v>
      </c>
      <c r="S833" s="33">
        <f>IF(COUNTIF(O$2:O833,O833)=1,R833,0)/2.5</f>
        <v>0.4</v>
      </c>
    </row>
    <row r="834" spans="1:19" ht="18" customHeight="1" x14ac:dyDescent="0.25">
      <c r="A834" s="7" t="s">
        <v>43</v>
      </c>
      <c r="B834" s="8">
        <v>1</v>
      </c>
      <c r="C834" s="9">
        <v>451</v>
      </c>
      <c r="D834" s="29">
        <f>C834+IF(INDEX('Справочник по %'!B:B,(MATCH(A834,'Справочник по %'!A:A,0)))="кол-во",B834*INDEX('Справочник по %'!C:C,(MATCH(A834,'Справочник по %'!A:A,0))),ОТЧЕТ!C834*INDEX('Справочник по %'!C:C,(MATCH(A834,'Справочник по %'!A:A,0))))/100</f>
        <v>496.1</v>
      </c>
      <c r="E834" s="29">
        <f>IF(ОТЧЕТ!A834="SKU3",C834+ОТЧЕТ!C834*0.2,C834+ОТЧЕТ!C834*0.15)</f>
        <v>518.65</v>
      </c>
      <c r="F834" s="7" t="s">
        <v>1995</v>
      </c>
      <c r="G834" s="7">
        <v>326537584</v>
      </c>
      <c r="H834" s="20" t="s">
        <v>459</v>
      </c>
      <c r="I834" s="22" t="str">
        <f>INDEX('Справочник Сети'!B:B,(MATCH(G834,'Справочник Сети'!C:C,0)))</f>
        <v>Планета здоровья</v>
      </c>
      <c r="J834" s="7" t="s">
        <v>362</v>
      </c>
      <c r="K834" s="7" t="s">
        <v>2001</v>
      </c>
      <c r="L834" s="7" t="s">
        <v>362</v>
      </c>
      <c r="M834" s="31">
        <v>45732</v>
      </c>
      <c r="N834" s="7" t="s">
        <v>2002</v>
      </c>
      <c r="O834" s="8">
        <v>1702</v>
      </c>
      <c r="P834" s="24">
        <v>4562</v>
      </c>
      <c r="Q834" s="22">
        <f>IF(COUNTIFS(A$2:A834,A834,I$2:I834,I834)=1,1,0)</f>
        <v>0</v>
      </c>
      <c r="R834" s="22">
        <f t="shared" si="12"/>
        <v>9</v>
      </c>
      <c r="S834" s="33">
        <f>IF(COUNTIF(O$2:O834,O834)=1,R834,0)/2.5</f>
        <v>0</v>
      </c>
    </row>
    <row r="835" spans="1:19" ht="18" customHeight="1" x14ac:dyDescent="0.25">
      <c r="A835" s="7" t="s">
        <v>43</v>
      </c>
      <c r="B835" s="8">
        <v>1</v>
      </c>
      <c r="C835" s="9">
        <v>370</v>
      </c>
      <c r="D835" s="29">
        <f>C835+IF(INDEX('Справочник по %'!B:B,(MATCH(A835,'Справочник по %'!A:A,0)))="кол-во",B835*INDEX('Справочник по %'!C:C,(MATCH(A835,'Справочник по %'!A:A,0))),ОТЧЕТ!C835*INDEX('Справочник по %'!C:C,(MATCH(A835,'Справочник по %'!A:A,0))))/100</f>
        <v>407</v>
      </c>
      <c r="E835" s="29">
        <f>IF(ОТЧЕТ!A835="SKU3",C835+ОТЧЕТ!C835*0.2,C835+ОТЧЕТ!C835*0.15)</f>
        <v>425.5</v>
      </c>
      <c r="F835" s="7" t="s">
        <v>1995</v>
      </c>
      <c r="G835" s="7">
        <v>2225105670</v>
      </c>
      <c r="H835" s="20" t="s">
        <v>69</v>
      </c>
      <c r="I835" s="22" t="str">
        <f>INDEX('Справочник Сети'!B:B,(MATCH(G835,'Справочник Сети'!C:C,0)))</f>
        <v>Столички</v>
      </c>
      <c r="J835" s="7" t="s">
        <v>372</v>
      </c>
      <c r="K835" s="7" t="s">
        <v>2003</v>
      </c>
      <c r="L835" s="7" t="s">
        <v>372</v>
      </c>
      <c r="M835" s="31">
        <v>45730</v>
      </c>
      <c r="N835" s="7" t="s">
        <v>2004</v>
      </c>
      <c r="O835" s="8">
        <v>1261</v>
      </c>
      <c r="P835" s="24">
        <v>4565</v>
      </c>
      <c r="Q835" s="22">
        <f>IF(COUNTIFS(A$2:A835,A835,I$2:I835,I835)=1,1,0)</f>
        <v>0</v>
      </c>
      <c r="R835" s="22">
        <f t="shared" ref="R835:R898" si="13">COUNTIF(O:O,O835)</f>
        <v>5</v>
      </c>
      <c r="S835" s="33">
        <f>IF(COUNTIF(O$2:O835,O835)=1,R835,0)/2.5</f>
        <v>2</v>
      </c>
    </row>
    <row r="836" spans="1:19" ht="18" customHeight="1" x14ac:dyDescent="0.25">
      <c r="A836" s="7" t="s">
        <v>43</v>
      </c>
      <c r="B836" s="8">
        <v>1</v>
      </c>
      <c r="C836" s="9">
        <v>512</v>
      </c>
      <c r="D836" s="29">
        <f>C836+IF(INDEX('Справочник по %'!B:B,(MATCH(A836,'Справочник по %'!A:A,0)))="кол-во",B836*INDEX('Справочник по %'!C:C,(MATCH(A836,'Справочник по %'!A:A,0))),ОТЧЕТ!C836*INDEX('Справочник по %'!C:C,(MATCH(A836,'Справочник по %'!A:A,0))))/100</f>
        <v>563.20000000000005</v>
      </c>
      <c r="E836" s="29">
        <f>IF(ОТЧЕТ!A836="SKU3",C836+ОТЧЕТ!C836*0.2,C836+ОТЧЕТ!C836*0.15)</f>
        <v>588.79999999999995</v>
      </c>
      <c r="F836" s="7" t="s">
        <v>1995</v>
      </c>
      <c r="G836" s="7">
        <v>2724157659</v>
      </c>
      <c r="H836" s="20" t="s">
        <v>50</v>
      </c>
      <c r="I836" s="22">
        <f>INDEX('Справочник Сети'!B:B,(MATCH(G836,'Справочник Сети'!C:C,0)))</f>
        <v>0</v>
      </c>
      <c r="J836" s="7" t="s">
        <v>1400</v>
      </c>
      <c r="K836" s="7" t="s">
        <v>691</v>
      </c>
      <c r="L836" s="7" t="s">
        <v>51</v>
      </c>
      <c r="M836" s="31">
        <v>45725</v>
      </c>
      <c r="N836" s="7" t="s">
        <v>2005</v>
      </c>
      <c r="O836" s="8">
        <v>2695</v>
      </c>
      <c r="P836" s="24">
        <v>4568</v>
      </c>
      <c r="Q836" s="22">
        <f>IF(COUNTIFS(A$2:A836,A836,I$2:I836,I836)=1,1,0)</f>
        <v>0</v>
      </c>
      <c r="R836" s="22">
        <f t="shared" si="13"/>
        <v>4</v>
      </c>
      <c r="S836" s="33">
        <f>IF(COUNTIF(O$2:O836,O836)=1,R836,0)/2.5</f>
        <v>1.6</v>
      </c>
    </row>
    <row r="837" spans="1:19" ht="18" customHeight="1" x14ac:dyDescent="0.25">
      <c r="A837" s="7" t="s">
        <v>43</v>
      </c>
      <c r="B837" s="8">
        <v>1</v>
      </c>
      <c r="C837" s="9">
        <v>395.88</v>
      </c>
      <c r="D837" s="29">
        <f>C837+IF(INDEX('Справочник по %'!B:B,(MATCH(A837,'Справочник по %'!A:A,0)))="кол-во",B837*INDEX('Справочник по %'!C:C,(MATCH(A837,'Справочник по %'!A:A,0))),ОТЧЕТ!C837*INDEX('Справочник по %'!C:C,(MATCH(A837,'Справочник по %'!A:A,0))))/100</f>
        <v>435.46800000000002</v>
      </c>
      <c r="E837" s="29">
        <f>IF(ОТЧЕТ!A837="SKU3",C837+ОТЧЕТ!C837*0.2,C837+ОТЧЕТ!C837*0.15)</f>
        <v>455.262</v>
      </c>
      <c r="F837" s="7" t="s">
        <v>1995</v>
      </c>
      <c r="G837" s="7">
        <v>2723197553</v>
      </c>
      <c r="H837" s="20" t="s">
        <v>50</v>
      </c>
      <c r="I837" s="22" t="str">
        <f>INDEX('Справочник Сети'!B:B,(MATCH(G837,'Справочник Сети'!C:C,0)))</f>
        <v>Ригла</v>
      </c>
      <c r="J837" s="7" t="s">
        <v>51</v>
      </c>
      <c r="K837" s="7" t="s">
        <v>388</v>
      </c>
      <c r="L837" s="7" t="s">
        <v>51</v>
      </c>
      <c r="M837" s="31">
        <v>45725</v>
      </c>
      <c r="N837" s="7" t="s">
        <v>2006</v>
      </c>
      <c r="O837" s="8">
        <v>2256</v>
      </c>
      <c r="P837" s="24">
        <v>4569</v>
      </c>
      <c r="Q837" s="22">
        <f>IF(COUNTIFS(A$2:A837,A837,I$2:I837,I837)=1,1,0)</f>
        <v>0</v>
      </c>
      <c r="R837" s="22">
        <f t="shared" si="13"/>
        <v>4</v>
      </c>
      <c r="S837" s="33">
        <f>IF(COUNTIF(O$2:O837,O837)=1,R837,0)/2.5</f>
        <v>1.6</v>
      </c>
    </row>
    <row r="838" spans="1:19" ht="18" customHeight="1" x14ac:dyDescent="0.25">
      <c r="A838" s="7" t="s">
        <v>43</v>
      </c>
      <c r="B838" s="8">
        <v>1</v>
      </c>
      <c r="C838" s="9">
        <v>395.92</v>
      </c>
      <c r="D838" s="29">
        <f>C838+IF(INDEX('Справочник по %'!B:B,(MATCH(A838,'Справочник по %'!A:A,0)))="кол-во",B838*INDEX('Справочник по %'!C:C,(MATCH(A838,'Справочник по %'!A:A,0))),ОТЧЕТ!C838*INDEX('Справочник по %'!C:C,(MATCH(A838,'Справочник по %'!A:A,0))))/100</f>
        <v>435.512</v>
      </c>
      <c r="E838" s="29">
        <f>IF(ОТЧЕТ!A838="SKU3",C838+ОТЧЕТ!C838*0.2,C838+ОТЧЕТ!C838*0.15)</f>
        <v>455.30799999999999</v>
      </c>
      <c r="F838" s="7" t="s">
        <v>1995</v>
      </c>
      <c r="G838" s="7">
        <v>2723197553</v>
      </c>
      <c r="H838" s="20" t="s">
        <v>50</v>
      </c>
      <c r="I838" s="22" t="str">
        <f>INDEX('Справочник Сети'!B:B,(MATCH(G838,'Справочник Сети'!C:C,0)))</f>
        <v>Ригла</v>
      </c>
      <c r="J838" s="7" t="s">
        <v>51</v>
      </c>
      <c r="K838" s="7" t="s">
        <v>388</v>
      </c>
      <c r="L838" s="7" t="s">
        <v>51</v>
      </c>
      <c r="M838" s="31">
        <v>45725</v>
      </c>
      <c r="N838" s="7" t="s">
        <v>2006</v>
      </c>
      <c r="O838" s="8">
        <v>2256</v>
      </c>
      <c r="P838" s="24">
        <v>4569</v>
      </c>
      <c r="Q838" s="22">
        <f>IF(COUNTIFS(A$2:A838,A838,I$2:I838,I838)=1,1,0)</f>
        <v>0</v>
      </c>
      <c r="R838" s="22">
        <f t="shared" si="13"/>
        <v>4</v>
      </c>
      <c r="S838" s="33">
        <f>IF(COUNTIF(O$2:O838,O838)=1,R838,0)/2.5</f>
        <v>0</v>
      </c>
    </row>
    <row r="839" spans="1:19" ht="18" customHeight="1" x14ac:dyDescent="0.25">
      <c r="A839" s="7" t="s">
        <v>43</v>
      </c>
      <c r="B839" s="8">
        <v>1</v>
      </c>
      <c r="C839" s="9">
        <v>359</v>
      </c>
      <c r="D839" s="29">
        <f>C839+IF(INDEX('Справочник по %'!B:B,(MATCH(A839,'Справочник по %'!A:A,0)))="кол-во",B839*INDEX('Справочник по %'!C:C,(MATCH(A839,'Справочник по %'!A:A,0))),ОТЧЕТ!C839*INDEX('Справочник по %'!C:C,(MATCH(A839,'Справочник по %'!A:A,0))))/100</f>
        <v>394.9</v>
      </c>
      <c r="E839" s="29">
        <f>IF(ОТЧЕТ!A839="SKU3",C839+ОТЧЕТ!C839*0.2,C839+ОТЧЕТ!C839*0.15)</f>
        <v>412.85</v>
      </c>
      <c r="F839" s="7" t="s">
        <v>1995</v>
      </c>
      <c r="G839" s="7">
        <v>2309111912</v>
      </c>
      <c r="H839" s="20" t="s">
        <v>50</v>
      </c>
      <c r="I839" s="22">
        <f>INDEX('Справочник Сети'!B:B,(MATCH(G839,'Справочник Сети'!C:C,0)))</f>
        <v>0</v>
      </c>
      <c r="J839" s="7" t="s">
        <v>57</v>
      </c>
      <c r="K839" s="7" t="s">
        <v>2007</v>
      </c>
      <c r="L839" s="7" t="s">
        <v>57</v>
      </c>
      <c r="M839" s="31">
        <v>45729</v>
      </c>
      <c r="N839" s="7" t="s">
        <v>2008</v>
      </c>
      <c r="O839" s="8">
        <v>2101</v>
      </c>
      <c r="P839" s="24">
        <v>4575</v>
      </c>
      <c r="Q839" s="22">
        <f>IF(COUNTIFS(A$2:A839,A839,I$2:I839,I839)=1,1,0)</f>
        <v>0</v>
      </c>
      <c r="R839" s="22">
        <f t="shared" si="13"/>
        <v>3</v>
      </c>
      <c r="S839" s="33">
        <f>IF(COUNTIF(O$2:O839,O839)=1,R839,0)/2.5</f>
        <v>1.2</v>
      </c>
    </row>
    <row r="840" spans="1:19" ht="18" customHeight="1" x14ac:dyDescent="0.25">
      <c r="A840" s="7" t="s">
        <v>43</v>
      </c>
      <c r="B840" s="8">
        <v>1</v>
      </c>
      <c r="C840" s="9">
        <v>445</v>
      </c>
      <c r="D840" s="29">
        <f>C840+IF(INDEX('Справочник по %'!B:B,(MATCH(A840,'Справочник по %'!A:A,0)))="кол-во",B840*INDEX('Справочник по %'!C:C,(MATCH(A840,'Справочник по %'!A:A,0))),ОТЧЕТ!C840*INDEX('Справочник по %'!C:C,(MATCH(A840,'Справочник по %'!A:A,0))))/100</f>
        <v>489.5</v>
      </c>
      <c r="E840" s="29">
        <f>IF(ОТЧЕТ!A840="SKU3",C840+ОТЧЕТ!C840*0.2,C840+ОТЧЕТ!C840*0.15)</f>
        <v>511.75</v>
      </c>
      <c r="F840" s="7" t="s">
        <v>2009</v>
      </c>
      <c r="G840" s="7">
        <v>4217146387</v>
      </c>
      <c r="H840" s="20" t="s">
        <v>2010</v>
      </c>
      <c r="I840" s="22">
        <f>INDEX('Справочник Сети'!B:B,(MATCH(G840,'Справочник Сети'!C:C,0)))</f>
        <v>0</v>
      </c>
      <c r="J840" s="7" t="s">
        <v>155</v>
      </c>
      <c r="K840" s="7" t="s">
        <v>1466</v>
      </c>
      <c r="L840" s="7" t="s">
        <v>155</v>
      </c>
      <c r="M840" s="31">
        <v>45716</v>
      </c>
      <c r="N840" s="7" t="s">
        <v>2011</v>
      </c>
      <c r="O840" s="8">
        <v>3557</v>
      </c>
      <c r="P840" s="24">
        <v>4578</v>
      </c>
      <c r="Q840" s="22">
        <f>IF(COUNTIFS(A$2:A840,A840,I$2:I840,I840)=1,1,0)</f>
        <v>0</v>
      </c>
      <c r="R840" s="22">
        <f t="shared" si="13"/>
        <v>1</v>
      </c>
      <c r="S840" s="33">
        <f>IF(COUNTIF(O$2:O840,O840)=1,R840,0)/2.5</f>
        <v>0.4</v>
      </c>
    </row>
    <row r="841" spans="1:19" ht="18" customHeight="1" x14ac:dyDescent="0.25">
      <c r="A841" s="7" t="s">
        <v>43</v>
      </c>
      <c r="B841" s="8">
        <v>1</v>
      </c>
      <c r="C841" s="9">
        <v>477</v>
      </c>
      <c r="D841" s="29">
        <f>C841+IF(INDEX('Справочник по %'!B:B,(MATCH(A841,'Справочник по %'!A:A,0)))="кол-во",B841*INDEX('Справочник по %'!C:C,(MATCH(A841,'Справочник по %'!A:A,0))),ОТЧЕТ!C841*INDEX('Справочник по %'!C:C,(MATCH(A841,'Справочник по %'!A:A,0))))/100</f>
        <v>524.70000000000005</v>
      </c>
      <c r="E841" s="29">
        <f>IF(ОТЧЕТ!A841="SKU3",C841+ОТЧЕТ!C841*0.2,C841+ОТЧЕТ!C841*0.15)</f>
        <v>548.54999999999995</v>
      </c>
      <c r="F841" s="7" t="s">
        <v>2009</v>
      </c>
      <c r="G841" s="7">
        <v>2460202627</v>
      </c>
      <c r="H841" s="20" t="s">
        <v>50</v>
      </c>
      <c r="I841" s="22">
        <f>INDEX('Справочник Сети'!B:B,(MATCH(G841,'Справочник Сети'!C:C,0)))</f>
        <v>0</v>
      </c>
      <c r="J841" s="7" t="s">
        <v>96</v>
      </c>
      <c r="K841" s="7" t="s">
        <v>2012</v>
      </c>
      <c r="L841" s="7" t="s">
        <v>96</v>
      </c>
      <c r="M841" s="31">
        <v>45727</v>
      </c>
      <c r="N841" s="7" t="s">
        <v>2013</v>
      </c>
      <c r="O841" s="8">
        <v>79</v>
      </c>
      <c r="P841" s="24">
        <v>4579</v>
      </c>
      <c r="Q841" s="22">
        <f>IF(COUNTIFS(A$2:A841,A841,I$2:I841,I841)=1,1,0)</f>
        <v>0</v>
      </c>
      <c r="R841" s="22">
        <f t="shared" si="13"/>
        <v>3</v>
      </c>
      <c r="S841" s="33">
        <f>IF(COUNTIF(O$2:O841,O841)=1,R841,0)/2.5</f>
        <v>0</v>
      </c>
    </row>
    <row r="842" spans="1:19" ht="18" customHeight="1" x14ac:dyDescent="0.25">
      <c r="A842" s="7" t="s">
        <v>43</v>
      </c>
      <c r="B842" s="8">
        <v>1</v>
      </c>
      <c r="C842" s="9">
        <v>325</v>
      </c>
      <c r="D842" s="29">
        <f>C842+IF(INDEX('Справочник по %'!B:B,(MATCH(A842,'Справочник по %'!A:A,0)))="кол-во",B842*INDEX('Справочник по %'!C:C,(MATCH(A842,'Справочник по %'!A:A,0))),ОТЧЕТ!C842*INDEX('Справочник по %'!C:C,(MATCH(A842,'Справочник по %'!A:A,0))))/100</f>
        <v>357.5</v>
      </c>
      <c r="E842" s="29">
        <f>IF(ОТЧЕТ!A842="SKU3",C842+ОТЧЕТ!C842*0.2,C842+ОТЧЕТ!C842*0.15)</f>
        <v>373.75</v>
      </c>
      <c r="F842" s="7" t="s">
        <v>2009</v>
      </c>
      <c r="G842" s="7">
        <v>2543023195</v>
      </c>
      <c r="H842" s="20" t="s">
        <v>69</v>
      </c>
      <c r="I842" s="22" t="str">
        <f>INDEX('Справочник Сети'!B:B,(MATCH(G842,'Справочник Сети'!C:C,0)))</f>
        <v>36,6</v>
      </c>
      <c r="J842" s="7" t="s">
        <v>46</v>
      </c>
      <c r="K842" s="7" t="s">
        <v>1010</v>
      </c>
      <c r="L842" s="7" t="s">
        <v>46</v>
      </c>
      <c r="M842" s="31">
        <v>45726</v>
      </c>
      <c r="N842" s="7" t="s">
        <v>2014</v>
      </c>
      <c r="O842" s="8">
        <v>951</v>
      </c>
      <c r="P842" s="24">
        <v>4582</v>
      </c>
      <c r="Q842" s="22">
        <f>IF(COUNTIFS(A$2:A842,A842,I$2:I842,I842)=1,1,0)</f>
        <v>0</v>
      </c>
      <c r="R842" s="22">
        <f t="shared" si="13"/>
        <v>3</v>
      </c>
      <c r="S842" s="33">
        <f>IF(COUNTIF(O$2:O842,O842)=1,R842,0)/2.5</f>
        <v>1.2</v>
      </c>
    </row>
    <row r="843" spans="1:19" ht="18" customHeight="1" x14ac:dyDescent="0.25">
      <c r="A843" s="7" t="s">
        <v>43</v>
      </c>
      <c r="B843" s="8">
        <v>1</v>
      </c>
      <c r="C843" s="9">
        <v>449.32</v>
      </c>
      <c r="D843" s="29">
        <f>C843+IF(INDEX('Справочник по %'!B:B,(MATCH(A843,'Справочник по %'!A:A,0)))="кол-во",B843*INDEX('Справочник по %'!C:C,(MATCH(A843,'Справочник по %'!A:A,0))),ОТЧЕТ!C843*INDEX('Справочник по %'!C:C,(MATCH(A843,'Справочник по %'!A:A,0))))/100</f>
        <v>494.25200000000001</v>
      </c>
      <c r="E843" s="29">
        <f>IF(ОТЧЕТ!A843="SKU3",C843+ОТЧЕТ!C843*0.2,C843+ОТЧЕТ!C843*0.15)</f>
        <v>516.71799999999996</v>
      </c>
      <c r="F843" s="7" t="s">
        <v>2009</v>
      </c>
      <c r="G843" s="7">
        <v>550704589807</v>
      </c>
      <c r="H843" s="20" t="s">
        <v>50</v>
      </c>
      <c r="I843" s="22" t="str">
        <f>INDEX('Справочник Сети'!B:B,(MATCH(G843,'Справочник Сети'!C:C,0)))</f>
        <v>Столички</v>
      </c>
      <c r="J843" s="7" t="s">
        <v>251</v>
      </c>
      <c r="K843" s="7" t="s">
        <v>1220</v>
      </c>
      <c r="L843" s="7" t="s">
        <v>251</v>
      </c>
      <c r="M843" s="31">
        <v>45659</v>
      </c>
      <c r="N843" s="7" t="s">
        <v>2015</v>
      </c>
      <c r="O843" s="8">
        <v>2526</v>
      </c>
      <c r="P843" s="24">
        <v>4583</v>
      </c>
      <c r="Q843" s="22">
        <f>IF(COUNTIFS(A$2:A843,A843,I$2:I843,I843)=1,1,0)</f>
        <v>0</v>
      </c>
      <c r="R843" s="22">
        <f t="shared" si="13"/>
        <v>3</v>
      </c>
      <c r="S843" s="33">
        <f>IF(COUNTIF(O$2:O843,O843)=1,R843,0)/2.5</f>
        <v>1.2</v>
      </c>
    </row>
    <row r="844" spans="1:19" ht="18" customHeight="1" x14ac:dyDescent="0.25">
      <c r="A844" s="7" t="s">
        <v>43</v>
      </c>
      <c r="B844" s="8">
        <v>1</v>
      </c>
      <c r="C844" s="9">
        <v>403</v>
      </c>
      <c r="D844" s="29">
        <f>C844+IF(INDEX('Справочник по %'!B:B,(MATCH(A844,'Справочник по %'!A:A,0)))="кол-во",B844*INDEX('Справочник по %'!C:C,(MATCH(A844,'Справочник по %'!A:A,0))),ОТЧЕТ!C844*INDEX('Справочник по %'!C:C,(MATCH(A844,'Справочник по %'!A:A,0))))/100</f>
        <v>443.3</v>
      </c>
      <c r="E844" s="29">
        <f>IF(ОТЧЕТ!A844="SKU3",C844+ОТЧЕТ!C844*0.2,C844+ОТЧЕТ!C844*0.15)</f>
        <v>463.45</v>
      </c>
      <c r="F844" s="7" t="s">
        <v>2009</v>
      </c>
      <c r="G844" s="7">
        <v>2724146424</v>
      </c>
      <c r="H844" s="20" t="s">
        <v>50</v>
      </c>
      <c r="I844" s="22" t="str">
        <f>INDEX('Справочник Сети'!B:B,(MATCH(G844,'Справочник Сети'!C:C,0)))</f>
        <v>Столички</v>
      </c>
      <c r="J844" s="7" t="s">
        <v>1400</v>
      </c>
      <c r="K844" s="7" t="s">
        <v>764</v>
      </c>
      <c r="L844" s="7" t="s">
        <v>51</v>
      </c>
      <c r="M844" s="31">
        <v>45725</v>
      </c>
      <c r="N844" s="7" t="s">
        <v>2016</v>
      </c>
      <c r="O844" s="8">
        <v>1025</v>
      </c>
      <c r="P844" s="24">
        <v>4584</v>
      </c>
      <c r="Q844" s="22">
        <f>IF(COUNTIFS(A$2:A844,A844,I$2:I844,I844)=1,1,0)</f>
        <v>0</v>
      </c>
      <c r="R844" s="22">
        <f t="shared" si="13"/>
        <v>3</v>
      </c>
      <c r="S844" s="33">
        <f>IF(COUNTIF(O$2:O844,O844)=1,R844,0)/2.5</f>
        <v>0</v>
      </c>
    </row>
    <row r="845" spans="1:19" ht="18" customHeight="1" x14ac:dyDescent="0.25">
      <c r="A845" s="7" t="s">
        <v>37</v>
      </c>
      <c r="B845" s="8">
        <v>1</v>
      </c>
      <c r="C845" s="9">
        <v>609.9</v>
      </c>
      <c r="D845" s="29">
        <f>C845+IF(INDEX('Справочник по %'!B:B,(MATCH(A845,'Справочник по %'!A:A,0)))="кол-во",B845*INDEX('Справочник по %'!C:C,(MATCH(A845,'Справочник по %'!A:A,0))),ОТЧЕТ!C845*INDEX('Справочник по %'!C:C,(MATCH(A845,'Справочник по %'!A:A,0))))/100</f>
        <v>610.1</v>
      </c>
      <c r="E845" s="29">
        <f>IF(ОТЧЕТ!A845="SKU3",C845+ОТЧЕТ!C845*0.2,C845+ОТЧЕТ!C845*0.15)</f>
        <v>701.38499999999999</v>
      </c>
      <c r="F845" s="7" t="s">
        <v>2009</v>
      </c>
      <c r="G845" s="7">
        <v>7204146152</v>
      </c>
      <c r="H845" s="20" t="s">
        <v>136</v>
      </c>
      <c r="I845" s="22" t="str">
        <f>INDEX('Справочник Сети'!B:B,(MATCH(G845,'Справочник Сети'!C:C,0)))</f>
        <v>36,6</v>
      </c>
      <c r="J845" s="7" t="s">
        <v>104</v>
      </c>
      <c r="K845" s="7" t="s">
        <v>2017</v>
      </c>
      <c r="L845" s="7" t="s">
        <v>106</v>
      </c>
      <c r="M845" s="31">
        <v>45694</v>
      </c>
      <c r="N845" s="7" t="s">
        <v>2018</v>
      </c>
      <c r="O845" s="8">
        <v>1188</v>
      </c>
      <c r="P845" s="24">
        <v>4586</v>
      </c>
      <c r="Q845" s="22">
        <f>IF(COUNTIFS(A$2:A845,A845,I$2:I845,I845)=1,1,0)</f>
        <v>0</v>
      </c>
      <c r="R845" s="22">
        <f t="shared" si="13"/>
        <v>14</v>
      </c>
      <c r="S845" s="33">
        <f>IF(COUNTIF(O$2:O845,O845)=1,R845,0)/2.5</f>
        <v>5.6</v>
      </c>
    </row>
    <row r="846" spans="1:19" ht="18" customHeight="1" x14ac:dyDescent="0.25">
      <c r="A846" s="7" t="s">
        <v>43</v>
      </c>
      <c r="B846" s="8">
        <v>1</v>
      </c>
      <c r="C846" s="9">
        <v>451</v>
      </c>
      <c r="D846" s="29">
        <f>C846+IF(INDEX('Справочник по %'!B:B,(MATCH(A846,'Справочник по %'!A:A,0)))="кол-во",B846*INDEX('Справочник по %'!C:C,(MATCH(A846,'Справочник по %'!A:A,0))),ОТЧЕТ!C846*INDEX('Справочник по %'!C:C,(MATCH(A846,'Справочник по %'!A:A,0))))/100</f>
        <v>496.1</v>
      </c>
      <c r="E846" s="29">
        <f>IF(ОТЧЕТ!A846="SKU3",C846+ОТЧЕТ!C846*0.2,C846+ОТЧЕТ!C846*0.15)</f>
        <v>518.65</v>
      </c>
      <c r="F846" s="7" t="s">
        <v>2009</v>
      </c>
      <c r="G846" s="7">
        <v>326537584</v>
      </c>
      <c r="H846" s="20" t="s">
        <v>459</v>
      </c>
      <c r="I846" s="22" t="str">
        <f>INDEX('Справочник Сети'!B:B,(MATCH(G846,'Справочник Сети'!C:C,0)))</f>
        <v>Планета здоровья</v>
      </c>
      <c r="J846" s="7" t="s">
        <v>362</v>
      </c>
      <c r="K846" s="7" t="s">
        <v>607</v>
      </c>
      <c r="L846" s="7" t="s">
        <v>362</v>
      </c>
      <c r="M846" s="31">
        <v>45732</v>
      </c>
      <c r="N846" s="7" t="s">
        <v>2019</v>
      </c>
      <c r="O846" s="8">
        <v>1702</v>
      </c>
      <c r="P846" s="24">
        <v>4589</v>
      </c>
      <c r="Q846" s="22">
        <f>IF(COUNTIFS(A$2:A846,A846,I$2:I846,I846)=1,1,0)</f>
        <v>0</v>
      </c>
      <c r="R846" s="22">
        <f t="shared" si="13"/>
        <v>9</v>
      </c>
      <c r="S846" s="33">
        <f>IF(COUNTIF(O$2:O846,O846)=1,R846,0)/2.5</f>
        <v>0</v>
      </c>
    </row>
    <row r="847" spans="1:19" ht="18" customHeight="1" x14ac:dyDescent="0.25">
      <c r="A847" s="7" t="s">
        <v>43</v>
      </c>
      <c r="B847" s="8">
        <v>1</v>
      </c>
      <c r="C847" s="9">
        <v>371</v>
      </c>
      <c r="D847" s="29">
        <f>C847+IF(INDEX('Справочник по %'!B:B,(MATCH(A847,'Справочник по %'!A:A,0)))="кол-во",B847*INDEX('Справочник по %'!C:C,(MATCH(A847,'Справочник по %'!A:A,0))),ОТЧЕТ!C847*INDEX('Справочник по %'!C:C,(MATCH(A847,'Справочник по %'!A:A,0))))/100</f>
        <v>408.1</v>
      </c>
      <c r="E847" s="29">
        <f>IF(ОТЧЕТ!A847="SKU3",C847+ОТЧЕТ!C847*0.2,C847+ОТЧЕТ!C847*0.15)</f>
        <v>426.65</v>
      </c>
      <c r="F847" s="7" t="s">
        <v>2009</v>
      </c>
      <c r="G847" s="7">
        <v>326537584</v>
      </c>
      <c r="H847" s="20" t="s">
        <v>50</v>
      </c>
      <c r="I847" s="22" t="str">
        <f>INDEX('Справочник Сети'!B:B,(MATCH(G847,'Справочник Сети'!C:C,0)))</f>
        <v>Планета здоровья</v>
      </c>
      <c r="J847" s="7" t="s">
        <v>362</v>
      </c>
      <c r="K847" s="7" t="s">
        <v>2020</v>
      </c>
      <c r="L847" s="7" t="s">
        <v>362</v>
      </c>
      <c r="M847" s="31">
        <v>45732</v>
      </c>
      <c r="N847" s="7" t="s">
        <v>2021</v>
      </c>
      <c r="O847" s="8">
        <v>820</v>
      </c>
      <c r="P847" s="24">
        <v>4591</v>
      </c>
      <c r="Q847" s="22">
        <f>IF(COUNTIFS(A$2:A847,A847,I$2:I847,I847)=1,1,0)</f>
        <v>0</v>
      </c>
      <c r="R847" s="22">
        <f t="shared" si="13"/>
        <v>4</v>
      </c>
      <c r="S847" s="33">
        <f>IF(COUNTIF(O$2:O847,O847)=1,R847,0)/2.5</f>
        <v>0</v>
      </c>
    </row>
    <row r="848" spans="1:19" ht="18" customHeight="1" x14ac:dyDescent="0.25">
      <c r="A848" s="7" t="s">
        <v>43</v>
      </c>
      <c r="B848" s="8">
        <v>1</v>
      </c>
      <c r="C848" s="9">
        <v>595</v>
      </c>
      <c r="D848" s="29">
        <f>C848+IF(INDEX('Справочник по %'!B:B,(MATCH(A848,'Справочник по %'!A:A,0)))="кол-во",B848*INDEX('Справочник по %'!C:C,(MATCH(A848,'Справочник по %'!A:A,0))),ОТЧЕТ!C848*INDEX('Справочник по %'!C:C,(MATCH(A848,'Справочник по %'!A:A,0))))/100</f>
        <v>654.5</v>
      </c>
      <c r="E848" s="29">
        <f>IF(ОТЧЕТ!A848="SKU3",C848+ОТЧЕТ!C848*0.2,C848+ОТЧЕТ!C848*0.15)</f>
        <v>684.25</v>
      </c>
      <c r="F848" s="7" t="s">
        <v>2009</v>
      </c>
      <c r="G848" s="7">
        <v>7719859281</v>
      </c>
      <c r="H848" s="20" t="s">
        <v>50</v>
      </c>
      <c r="I848" s="22">
        <f>INDEX('Справочник Сети'!B:B,(MATCH(G848,'Справочник Сети'!C:C,0)))</f>
        <v>0</v>
      </c>
      <c r="J848" s="7" t="s">
        <v>168</v>
      </c>
      <c r="K848" s="7" t="s">
        <v>2022</v>
      </c>
      <c r="L848" s="7" t="s">
        <v>168</v>
      </c>
      <c r="M848" s="31">
        <v>45676</v>
      </c>
      <c r="N848" s="7" t="s">
        <v>2023</v>
      </c>
      <c r="O848" s="8">
        <v>796</v>
      </c>
      <c r="P848" s="24">
        <v>4594</v>
      </c>
      <c r="Q848" s="22">
        <f>IF(COUNTIFS(A$2:A848,A848,I$2:I848,I848)=1,1,0)</f>
        <v>0</v>
      </c>
      <c r="R848" s="22">
        <f t="shared" si="13"/>
        <v>5</v>
      </c>
      <c r="S848" s="33">
        <f>IF(COUNTIF(O$2:O848,O848)=1,R848,0)/2.5</f>
        <v>0</v>
      </c>
    </row>
    <row r="849" spans="1:19" ht="18" customHeight="1" x14ac:dyDescent="0.25">
      <c r="A849" s="7" t="s">
        <v>43</v>
      </c>
      <c r="B849" s="8">
        <v>1</v>
      </c>
      <c r="C849" s="9">
        <v>385.9</v>
      </c>
      <c r="D849" s="29">
        <f>C849+IF(INDEX('Справочник по %'!B:B,(MATCH(A849,'Справочник по %'!A:A,0)))="кол-во",B849*INDEX('Справочник по %'!C:C,(MATCH(A849,'Справочник по %'!A:A,0))),ОТЧЕТ!C849*INDEX('Справочник по %'!C:C,(MATCH(A849,'Справочник по %'!A:A,0))))/100</f>
        <v>424.49</v>
      </c>
      <c r="E849" s="29">
        <f>IF(ОТЧЕТ!A849="SKU3",C849+ОТЧЕТ!C849*0.2,C849+ОТЧЕТ!C849*0.15)</f>
        <v>443.78499999999997</v>
      </c>
      <c r="F849" s="7" t="s">
        <v>2009</v>
      </c>
      <c r="G849" s="7">
        <v>3801042576</v>
      </c>
      <c r="H849" s="20" t="s">
        <v>761</v>
      </c>
      <c r="I849" s="22" t="str">
        <f>INDEX('Справочник Сети'!B:B,(MATCH(G849,'Справочник Сети'!C:C,0)))</f>
        <v>Планета здоровья</v>
      </c>
      <c r="J849" s="7" t="s">
        <v>65</v>
      </c>
      <c r="K849" s="7" t="s">
        <v>632</v>
      </c>
      <c r="L849" s="7" t="s">
        <v>65</v>
      </c>
      <c r="M849" s="31">
        <v>45717</v>
      </c>
      <c r="N849" s="7" t="s">
        <v>2024</v>
      </c>
      <c r="O849" s="8">
        <v>412</v>
      </c>
      <c r="P849" s="24">
        <v>4603</v>
      </c>
      <c r="Q849" s="22">
        <f>IF(COUNTIFS(A$2:A849,A849,I$2:I849,I849)=1,1,0)</f>
        <v>0</v>
      </c>
      <c r="R849" s="22">
        <f t="shared" si="13"/>
        <v>2</v>
      </c>
      <c r="S849" s="33">
        <f>IF(COUNTIF(O$2:O849,O849)=1,R849,0)/2.5</f>
        <v>0</v>
      </c>
    </row>
    <row r="850" spans="1:19" ht="18" customHeight="1" x14ac:dyDescent="0.25">
      <c r="A850" s="7" t="s">
        <v>43</v>
      </c>
      <c r="B850" s="8">
        <v>1</v>
      </c>
      <c r="C850" s="9">
        <v>385.9</v>
      </c>
      <c r="D850" s="29">
        <f>C850+IF(INDEX('Справочник по %'!B:B,(MATCH(A850,'Справочник по %'!A:A,0)))="кол-во",B850*INDEX('Справочник по %'!C:C,(MATCH(A850,'Справочник по %'!A:A,0))),ОТЧЕТ!C850*INDEX('Справочник по %'!C:C,(MATCH(A850,'Справочник по %'!A:A,0))))/100</f>
        <v>424.49</v>
      </c>
      <c r="E850" s="29">
        <f>IF(ОТЧЕТ!A850="SKU3",C850+ОТЧЕТ!C850*0.2,C850+ОТЧЕТ!C850*0.15)</f>
        <v>443.78499999999997</v>
      </c>
      <c r="F850" s="7" t="s">
        <v>2009</v>
      </c>
      <c r="G850" s="7">
        <v>3801042576</v>
      </c>
      <c r="H850" s="20" t="s">
        <v>64</v>
      </c>
      <c r="I850" s="22" t="str">
        <f>INDEX('Справочник Сети'!B:B,(MATCH(G850,'Справочник Сети'!C:C,0)))</f>
        <v>Планета здоровья</v>
      </c>
      <c r="J850" s="7" t="s">
        <v>65</v>
      </c>
      <c r="K850" s="7" t="s">
        <v>1090</v>
      </c>
      <c r="L850" s="7" t="s">
        <v>65</v>
      </c>
      <c r="M850" s="31">
        <v>45717</v>
      </c>
      <c r="N850" s="7" t="s">
        <v>2025</v>
      </c>
      <c r="O850" s="8">
        <v>2531</v>
      </c>
      <c r="P850" s="24">
        <v>4604</v>
      </c>
      <c r="Q850" s="22">
        <f>IF(COUNTIFS(A$2:A850,A850,I$2:I850,I850)=1,1,0)</f>
        <v>0</v>
      </c>
      <c r="R850" s="22">
        <f t="shared" si="13"/>
        <v>5</v>
      </c>
      <c r="S850" s="33">
        <f>IF(COUNTIF(O$2:O850,O850)=1,R850,0)/2.5</f>
        <v>0</v>
      </c>
    </row>
    <row r="851" spans="1:19" ht="18" customHeight="1" x14ac:dyDescent="0.25">
      <c r="A851" s="7" t="s">
        <v>43</v>
      </c>
      <c r="B851" s="8">
        <v>1</v>
      </c>
      <c r="C851" s="9">
        <v>499</v>
      </c>
      <c r="D851" s="29">
        <f>C851+IF(INDEX('Справочник по %'!B:B,(MATCH(A851,'Справочник по %'!A:A,0)))="кол-во",B851*INDEX('Справочник по %'!C:C,(MATCH(A851,'Справочник по %'!A:A,0))),ОТЧЕТ!C851*INDEX('Справочник по %'!C:C,(MATCH(A851,'Справочник по %'!A:A,0))))/100</f>
        <v>548.9</v>
      </c>
      <c r="E851" s="29">
        <f>IF(ОТЧЕТ!A851="SKU3",C851+ОТЧЕТ!C851*0.2,C851+ОТЧЕТ!C851*0.15)</f>
        <v>573.85</v>
      </c>
      <c r="F851" s="7" t="s">
        <v>2009</v>
      </c>
      <c r="G851" s="7">
        <v>5903090325</v>
      </c>
      <c r="H851" s="20" t="s">
        <v>64</v>
      </c>
      <c r="I851" s="22" t="str">
        <f>INDEX('Справочник Сети'!B:B,(MATCH(G851,'Справочник Сети'!C:C,0)))</f>
        <v>Планета здоровья</v>
      </c>
      <c r="J851" s="7" t="s">
        <v>40</v>
      </c>
      <c r="K851" s="7" t="s">
        <v>2026</v>
      </c>
      <c r="L851" s="7" t="s">
        <v>40</v>
      </c>
      <c r="M851" s="31">
        <v>45712</v>
      </c>
      <c r="N851" s="7" t="s">
        <v>2027</v>
      </c>
      <c r="O851" s="8">
        <v>2104</v>
      </c>
      <c r="P851" s="24">
        <v>4606</v>
      </c>
      <c r="Q851" s="22">
        <f>IF(COUNTIFS(A$2:A851,A851,I$2:I851,I851)=1,1,0)</f>
        <v>0</v>
      </c>
      <c r="R851" s="22">
        <f t="shared" si="13"/>
        <v>3</v>
      </c>
      <c r="S851" s="33">
        <f>IF(COUNTIF(O$2:O851,O851)=1,R851,0)/2.5</f>
        <v>1.2</v>
      </c>
    </row>
    <row r="852" spans="1:19" ht="18" customHeight="1" x14ac:dyDescent="0.25">
      <c r="A852" s="7" t="s">
        <v>43</v>
      </c>
      <c r="B852" s="8">
        <v>1</v>
      </c>
      <c r="C852" s="9">
        <v>397</v>
      </c>
      <c r="D852" s="29">
        <f>C852+IF(INDEX('Справочник по %'!B:B,(MATCH(A852,'Справочник по %'!A:A,0)))="кол-во",B852*INDEX('Справочник по %'!C:C,(MATCH(A852,'Справочник по %'!A:A,0))),ОТЧЕТ!C852*INDEX('Справочник по %'!C:C,(MATCH(A852,'Справочник по %'!A:A,0))))/100</f>
        <v>436.7</v>
      </c>
      <c r="E852" s="29">
        <f>IF(ОТЧЕТ!A852="SKU3",C852+ОТЧЕТ!C852*0.2,C852+ОТЧЕТ!C852*0.15)</f>
        <v>456.55</v>
      </c>
      <c r="F852" s="7" t="s">
        <v>2009</v>
      </c>
      <c r="G852" s="7">
        <v>7732121736</v>
      </c>
      <c r="H852" s="20" t="s">
        <v>2028</v>
      </c>
      <c r="I852" s="22" t="str">
        <f>INDEX('Справочник Сети'!B:B,(MATCH(G852,'Справочник Сети'!C:C,0)))</f>
        <v>Планета здоровья</v>
      </c>
      <c r="J852" s="7" t="s">
        <v>149</v>
      </c>
      <c r="K852" s="7" t="s">
        <v>2029</v>
      </c>
      <c r="L852" s="7" t="s">
        <v>149</v>
      </c>
      <c r="M852" s="31">
        <v>45673</v>
      </c>
      <c r="N852" s="7" t="s">
        <v>2030</v>
      </c>
      <c r="O852" s="8">
        <v>3101</v>
      </c>
      <c r="P852" s="24">
        <v>4607</v>
      </c>
      <c r="Q852" s="22">
        <f>IF(COUNTIFS(A$2:A852,A852,I$2:I852,I852)=1,1,0)</f>
        <v>0</v>
      </c>
      <c r="R852" s="22">
        <f t="shared" si="13"/>
        <v>2</v>
      </c>
      <c r="S852" s="33">
        <f>IF(COUNTIF(O$2:O852,O852)=1,R852,0)/2.5</f>
        <v>0.8</v>
      </c>
    </row>
    <row r="853" spans="1:19" ht="18" customHeight="1" x14ac:dyDescent="0.25">
      <c r="A853" s="7" t="s">
        <v>43</v>
      </c>
      <c r="B853" s="8">
        <v>1</v>
      </c>
      <c r="C853" s="9">
        <v>379.8</v>
      </c>
      <c r="D853" s="29">
        <f>C853+IF(INDEX('Справочник по %'!B:B,(MATCH(A853,'Справочник по %'!A:A,0)))="кол-во",B853*INDEX('Справочник по %'!C:C,(MATCH(A853,'Справочник по %'!A:A,0))),ОТЧЕТ!C853*INDEX('Справочник по %'!C:C,(MATCH(A853,'Справочник по %'!A:A,0))))/100</f>
        <v>417.78000000000003</v>
      </c>
      <c r="E853" s="29">
        <f>IF(ОТЧЕТ!A853="SKU3",C853+ОТЧЕТ!C853*0.2,C853+ОТЧЕТ!C853*0.15)</f>
        <v>436.77</v>
      </c>
      <c r="F853" s="7" t="s">
        <v>2009</v>
      </c>
      <c r="G853" s="7">
        <v>2466189073</v>
      </c>
      <c r="H853" s="20" t="s">
        <v>450</v>
      </c>
      <c r="I853" s="22" t="str">
        <f>INDEX('Справочник Сети'!B:B,(MATCH(G853,'Справочник Сети'!C:C,0)))</f>
        <v>Нео-фарм</v>
      </c>
      <c r="J853" s="7" t="s">
        <v>96</v>
      </c>
      <c r="K853" s="7" t="s">
        <v>2031</v>
      </c>
      <c r="L853" s="7" t="s">
        <v>96</v>
      </c>
      <c r="M853" s="31">
        <v>45727</v>
      </c>
      <c r="N853" s="7" t="s">
        <v>2032</v>
      </c>
      <c r="O853" s="8">
        <v>308</v>
      </c>
      <c r="P853" s="24">
        <v>4608</v>
      </c>
      <c r="Q853" s="22">
        <f>IF(COUNTIFS(A$2:A853,A853,I$2:I853,I853)=1,1,0)</f>
        <v>0</v>
      </c>
      <c r="R853" s="22">
        <f t="shared" si="13"/>
        <v>2</v>
      </c>
      <c r="S853" s="33">
        <f>IF(COUNTIF(O$2:O853,O853)=1,R853,0)/2.5</f>
        <v>0.8</v>
      </c>
    </row>
    <row r="854" spans="1:19" ht="18" customHeight="1" x14ac:dyDescent="0.25">
      <c r="A854" s="7" t="s">
        <v>37</v>
      </c>
      <c r="B854" s="8">
        <v>1</v>
      </c>
      <c r="C854" s="9">
        <v>585.75</v>
      </c>
      <c r="D854" s="29">
        <f>C854+IF(INDEX('Справочник по %'!B:B,(MATCH(A854,'Справочник по %'!A:A,0)))="кол-во",B854*INDEX('Справочник по %'!C:C,(MATCH(A854,'Справочник по %'!A:A,0))),ОТЧЕТ!C854*INDEX('Справочник по %'!C:C,(MATCH(A854,'Справочник по %'!A:A,0))))/100</f>
        <v>585.95000000000005</v>
      </c>
      <c r="E854" s="29">
        <f>IF(ОТЧЕТ!A854="SKU3",C854+ОТЧЕТ!C854*0.2,C854+ОТЧЕТ!C854*0.15)</f>
        <v>673.61249999999995</v>
      </c>
      <c r="F854" s="7" t="s">
        <v>2009</v>
      </c>
      <c r="G854" s="7">
        <v>7204146152</v>
      </c>
      <c r="H854" s="20" t="s">
        <v>2033</v>
      </c>
      <c r="I854" s="22" t="str">
        <f>INDEX('Справочник Сети'!B:B,(MATCH(G854,'Справочник Сети'!C:C,0)))</f>
        <v>36,6</v>
      </c>
      <c r="J854" s="7" t="s">
        <v>104</v>
      </c>
      <c r="K854" s="7" t="s">
        <v>935</v>
      </c>
      <c r="L854" s="7" t="s">
        <v>106</v>
      </c>
      <c r="M854" s="31">
        <v>45694</v>
      </c>
      <c r="N854" s="7" t="s">
        <v>2034</v>
      </c>
      <c r="O854" s="8">
        <v>771</v>
      </c>
      <c r="P854" s="24">
        <v>4613</v>
      </c>
      <c r="Q854" s="22">
        <f>IF(COUNTIFS(A$2:A854,A854,I$2:I854,I854)=1,1,0)</f>
        <v>0</v>
      </c>
      <c r="R854" s="22">
        <f t="shared" si="13"/>
        <v>5</v>
      </c>
      <c r="S854" s="33">
        <f>IF(COUNTIF(O$2:O854,O854)=1,R854,0)/2.5</f>
        <v>0</v>
      </c>
    </row>
    <row r="855" spans="1:19" ht="18" customHeight="1" x14ac:dyDescent="0.25">
      <c r="A855" s="7" t="s">
        <v>43</v>
      </c>
      <c r="B855" s="8">
        <v>1</v>
      </c>
      <c r="C855" s="9">
        <v>378</v>
      </c>
      <c r="D855" s="29">
        <f>C855+IF(INDEX('Справочник по %'!B:B,(MATCH(A855,'Справочник по %'!A:A,0)))="кол-во",B855*INDEX('Справочник по %'!C:C,(MATCH(A855,'Справочник по %'!A:A,0))),ОТЧЕТ!C855*INDEX('Справочник по %'!C:C,(MATCH(A855,'Справочник по %'!A:A,0))))/100</f>
        <v>415.8</v>
      </c>
      <c r="E855" s="29">
        <f>IF(ОТЧЕТ!A855="SKU3",C855+ОТЧЕТ!C855*0.2,C855+ОТЧЕТ!C855*0.15)</f>
        <v>434.7</v>
      </c>
      <c r="F855" s="7" t="s">
        <v>2009</v>
      </c>
      <c r="G855" s="7">
        <v>7706795062</v>
      </c>
      <c r="H855" s="20" t="s">
        <v>99</v>
      </c>
      <c r="I855" s="22" t="str">
        <f>INDEX('Справочник Сети'!B:B,(MATCH(G855,'Справочник Сети'!C:C,0)))</f>
        <v>Планета здоровья</v>
      </c>
      <c r="J855" s="7" t="s">
        <v>87</v>
      </c>
      <c r="K855" s="7" t="s">
        <v>1345</v>
      </c>
      <c r="L855" s="7" t="s">
        <v>87</v>
      </c>
      <c r="M855" s="31">
        <v>45691</v>
      </c>
      <c r="N855" s="7" t="s">
        <v>2035</v>
      </c>
      <c r="O855" s="8">
        <v>2399</v>
      </c>
      <c r="P855" s="24">
        <v>4615</v>
      </c>
      <c r="Q855" s="22">
        <f>IF(COUNTIFS(A$2:A855,A855,I$2:I855,I855)=1,1,0)</f>
        <v>0</v>
      </c>
      <c r="R855" s="22">
        <f t="shared" si="13"/>
        <v>1</v>
      </c>
      <c r="S855" s="33">
        <f>IF(COUNTIF(O$2:O855,O855)=1,R855,0)/2.5</f>
        <v>0.4</v>
      </c>
    </row>
    <row r="856" spans="1:19" ht="18" customHeight="1" x14ac:dyDescent="0.25">
      <c r="A856" s="7" t="s">
        <v>43</v>
      </c>
      <c r="B856" s="8">
        <v>1</v>
      </c>
      <c r="C856" s="9">
        <v>399</v>
      </c>
      <c r="D856" s="29">
        <f>C856+IF(INDEX('Справочник по %'!B:B,(MATCH(A856,'Справочник по %'!A:A,0)))="кол-во",B856*INDEX('Справочник по %'!C:C,(MATCH(A856,'Справочник по %'!A:A,0))),ОТЧЕТ!C856*INDEX('Справочник по %'!C:C,(MATCH(A856,'Справочник по %'!A:A,0))))/100</f>
        <v>438.9</v>
      </c>
      <c r="E856" s="29">
        <f>IF(ОТЧЕТ!A856="SKU3",C856+ОТЧЕТ!C856*0.2,C856+ОТЧЕТ!C856*0.15)</f>
        <v>458.85</v>
      </c>
      <c r="F856" s="7" t="s">
        <v>2009</v>
      </c>
      <c r="G856" s="7">
        <v>6453161631</v>
      </c>
      <c r="H856" s="20" t="s">
        <v>50</v>
      </c>
      <c r="I856" s="22" t="str">
        <f>INDEX('Справочник Сети'!B:B,(MATCH(G856,'Справочник Сети'!C:C,0)))</f>
        <v>Планета здоровья</v>
      </c>
      <c r="J856" s="7" t="s">
        <v>133</v>
      </c>
      <c r="K856" s="7" t="s">
        <v>1434</v>
      </c>
      <c r="L856" s="7" t="s">
        <v>133</v>
      </c>
      <c r="M856" s="31">
        <v>45695</v>
      </c>
      <c r="N856" s="7" t="s">
        <v>2036</v>
      </c>
      <c r="O856" s="8">
        <v>535</v>
      </c>
      <c r="P856" s="24">
        <v>4616</v>
      </c>
      <c r="Q856" s="22">
        <f>IF(COUNTIFS(A$2:A856,A856,I$2:I856,I856)=1,1,0)</f>
        <v>0</v>
      </c>
      <c r="R856" s="22">
        <f t="shared" si="13"/>
        <v>3</v>
      </c>
      <c r="S856" s="33">
        <f>IF(COUNTIF(O$2:O856,O856)=1,R856,0)/2.5</f>
        <v>0</v>
      </c>
    </row>
    <row r="857" spans="1:19" ht="18" customHeight="1" x14ac:dyDescent="0.25">
      <c r="A857" s="7" t="s">
        <v>43</v>
      </c>
      <c r="B857" s="8">
        <v>1</v>
      </c>
      <c r="C857" s="9">
        <v>491.01</v>
      </c>
      <c r="D857" s="29">
        <f>C857+IF(INDEX('Справочник по %'!B:B,(MATCH(A857,'Справочник по %'!A:A,0)))="кол-во",B857*INDEX('Справочник по %'!C:C,(MATCH(A857,'Справочник по %'!A:A,0))),ОТЧЕТ!C857*INDEX('Справочник по %'!C:C,(MATCH(A857,'Справочник по %'!A:A,0))))/100</f>
        <v>540.11099999999999</v>
      </c>
      <c r="E857" s="29">
        <f>IF(ОТЧЕТ!A857="SKU3",C857+ОТЧЕТ!C857*0.2,C857+ОТЧЕТ!C857*0.15)</f>
        <v>564.66149999999993</v>
      </c>
      <c r="F857" s="7" t="s">
        <v>2009</v>
      </c>
      <c r="G857" s="7">
        <v>2373007348</v>
      </c>
      <c r="H857" s="20" t="s">
        <v>683</v>
      </c>
      <c r="I857" s="22">
        <f>INDEX('Справочник Сети'!B:B,(MATCH(G857,'Справочник Сети'!C:C,0)))</f>
        <v>0</v>
      </c>
      <c r="J857" s="7" t="s">
        <v>96</v>
      </c>
      <c r="K857" s="7" t="s">
        <v>2037</v>
      </c>
      <c r="L857" s="7" t="s">
        <v>96</v>
      </c>
      <c r="M857" s="31">
        <v>45727</v>
      </c>
      <c r="N857" s="7" t="s">
        <v>2038</v>
      </c>
      <c r="O857" s="8">
        <v>1173</v>
      </c>
      <c r="P857" s="24">
        <v>4617</v>
      </c>
      <c r="Q857" s="22">
        <f>IF(COUNTIFS(A$2:A857,A857,I$2:I857,I857)=1,1,0)</f>
        <v>0</v>
      </c>
      <c r="R857" s="22">
        <f t="shared" si="13"/>
        <v>2</v>
      </c>
      <c r="S857" s="33">
        <f>IF(COUNTIF(O$2:O857,O857)=1,R857,0)/2.5</f>
        <v>0</v>
      </c>
    </row>
    <row r="858" spans="1:19" ht="18" customHeight="1" x14ac:dyDescent="0.25">
      <c r="A858" s="7" t="s">
        <v>43</v>
      </c>
      <c r="B858" s="8">
        <v>1</v>
      </c>
      <c r="C858" s="9">
        <v>376.25</v>
      </c>
      <c r="D858" s="29">
        <f>C858+IF(INDEX('Справочник по %'!B:B,(MATCH(A858,'Справочник по %'!A:A,0)))="кол-во",B858*INDEX('Справочник по %'!C:C,(MATCH(A858,'Справочник по %'!A:A,0))),ОТЧЕТ!C858*INDEX('Справочник по %'!C:C,(MATCH(A858,'Справочник по %'!A:A,0))))/100</f>
        <v>413.875</v>
      </c>
      <c r="E858" s="29">
        <f>IF(ОТЧЕТ!A858="SKU3",C858+ОТЧЕТ!C858*0.2,C858+ОТЧЕТ!C858*0.15)</f>
        <v>432.6875</v>
      </c>
      <c r="F858" s="7" t="s">
        <v>2009</v>
      </c>
      <c r="G858" s="7">
        <v>5902058784</v>
      </c>
      <c r="H858" s="20" t="s">
        <v>39</v>
      </c>
      <c r="I858" s="22" t="str">
        <f>INDEX('Справочник Сети'!B:B,(MATCH(G858,'Справочник Сети'!C:C,0)))</f>
        <v>Планета здоровья</v>
      </c>
      <c r="J858" s="7" t="s">
        <v>40</v>
      </c>
      <c r="K858" s="7" t="s">
        <v>2039</v>
      </c>
      <c r="L858" s="7" t="s">
        <v>40</v>
      </c>
      <c r="M858" s="31">
        <v>45712</v>
      </c>
      <c r="N858" s="7" t="s">
        <v>2040</v>
      </c>
      <c r="O858" s="8">
        <v>306</v>
      </c>
      <c r="P858" s="24">
        <v>4620</v>
      </c>
      <c r="Q858" s="22">
        <f>IF(COUNTIFS(A$2:A858,A858,I$2:I858,I858)=1,1,0)</f>
        <v>0</v>
      </c>
      <c r="R858" s="22">
        <f t="shared" si="13"/>
        <v>1</v>
      </c>
      <c r="S858" s="33">
        <f>IF(COUNTIF(O$2:O858,O858)=1,R858,0)/2.5</f>
        <v>0.4</v>
      </c>
    </row>
    <row r="859" spans="1:19" ht="18" customHeight="1" x14ac:dyDescent="0.25">
      <c r="A859" s="7" t="s">
        <v>43</v>
      </c>
      <c r="B859" s="8">
        <v>1</v>
      </c>
      <c r="C859" s="9">
        <v>410</v>
      </c>
      <c r="D859" s="29">
        <f>C859+IF(INDEX('Справочник по %'!B:B,(MATCH(A859,'Справочник по %'!A:A,0)))="кол-во",B859*INDEX('Справочник по %'!C:C,(MATCH(A859,'Справочник по %'!A:A,0))),ОТЧЕТ!C859*INDEX('Справочник по %'!C:C,(MATCH(A859,'Справочник по %'!A:A,0))))/100</f>
        <v>451</v>
      </c>
      <c r="E859" s="29">
        <f>IF(ОТЧЕТ!A859="SKU3",C859+ОТЧЕТ!C859*0.2,C859+ОТЧЕТ!C859*0.15)</f>
        <v>471.5</v>
      </c>
      <c r="F859" s="7" t="s">
        <v>2009</v>
      </c>
      <c r="G859" s="7">
        <v>2222837890</v>
      </c>
      <c r="H859" s="20" t="s">
        <v>2041</v>
      </c>
      <c r="I859" s="22">
        <f>INDEX('Справочник Сети'!B:B,(MATCH(G859,'Справочник Сети'!C:C,0)))</f>
        <v>0</v>
      </c>
      <c r="J859" s="7" t="s">
        <v>372</v>
      </c>
      <c r="K859" s="7" t="s">
        <v>1077</v>
      </c>
      <c r="L859" s="7" t="s">
        <v>372</v>
      </c>
      <c r="M859" s="31">
        <v>45730</v>
      </c>
      <c r="N859" s="7" t="s">
        <v>2042</v>
      </c>
      <c r="O859" s="8">
        <v>182</v>
      </c>
      <c r="P859" s="24">
        <v>4626</v>
      </c>
      <c r="Q859" s="22">
        <f>IF(COUNTIFS(A$2:A859,A859,I$2:I859,I859)=1,1,0)</f>
        <v>0</v>
      </c>
      <c r="R859" s="22">
        <f t="shared" si="13"/>
        <v>1</v>
      </c>
      <c r="S859" s="33">
        <f>IF(COUNTIF(O$2:O859,O859)=1,R859,0)/2.5</f>
        <v>0.4</v>
      </c>
    </row>
    <row r="860" spans="1:19" ht="18" customHeight="1" x14ac:dyDescent="0.25">
      <c r="A860" s="7" t="s">
        <v>43</v>
      </c>
      <c r="B860" s="8">
        <v>1</v>
      </c>
      <c r="C860" s="9">
        <v>403</v>
      </c>
      <c r="D860" s="29">
        <f>C860+IF(INDEX('Справочник по %'!B:B,(MATCH(A860,'Справочник по %'!A:A,0)))="кол-во",B860*INDEX('Справочник по %'!C:C,(MATCH(A860,'Справочник по %'!A:A,0))),ОТЧЕТ!C860*INDEX('Справочник по %'!C:C,(MATCH(A860,'Справочник по %'!A:A,0))))/100</f>
        <v>443.3</v>
      </c>
      <c r="E860" s="29">
        <f>IF(ОТЧЕТ!A860="SKU3",C860+ОТЧЕТ!C860*0.2,C860+ОТЧЕТ!C860*0.15)</f>
        <v>463.45</v>
      </c>
      <c r="F860" s="7" t="s">
        <v>2009</v>
      </c>
      <c r="G860" s="7">
        <v>7814443325</v>
      </c>
      <c r="H860" s="20" t="s">
        <v>50</v>
      </c>
      <c r="I860" s="22" t="str">
        <f>INDEX('Справочник Сети'!B:B,(MATCH(G860,'Справочник Сети'!C:C,0)))</f>
        <v>Планета здоровья</v>
      </c>
      <c r="J860" s="7" t="s">
        <v>121</v>
      </c>
      <c r="K860" s="7" t="s">
        <v>2043</v>
      </c>
      <c r="L860" s="7" t="s">
        <v>121</v>
      </c>
      <c r="M860" s="31">
        <v>45671</v>
      </c>
      <c r="N860" s="7" t="s">
        <v>2044</v>
      </c>
      <c r="O860" s="8">
        <v>38</v>
      </c>
      <c r="P860" s="24">
        <v>4630</v>
      </c>
      <c r="Q860" s="22">
        <f>IF(COUNTIFS(A$2:A860,A860,I$2:I860,I860)=1,1,0)</f>
        <v>0</v>
      </c>
      <c r="R860" s="22">
        <f t="shared" si="13"/>
        <v>3</v>
      </c>
      <c r="S860" s="33">
        <f>IF(COUNTIF(O$2:O860,O860)=1,R860,0)/2.5</f>
        <v>1.2</v>
      </c>
    </row>
    <row r="861" spans="1:19" ht="18" customHeight="1" x14ac:dyDescent="0.25">
      <c r="A861" s="7" t="s">
        <v>43</v>
      </c>
      <c r="B861" s="8">
        <v>1</v>
      </c>
      <c r="C861" s="9">
        <v>569.52</v>
      </c>
      <c r="D861" s="29">
        <f>C861+IF(INDEX('Справочник по %'!B:B,(MATCH(A861,'Справочник по %'!A:A,0)))="кол-во",B861*INDEX('Справочник по %'!C:C,(MATCH(A861,'Справочник по %'!A:A,0))),ОТЧЕТ!C861*INDEX('Справочник по %'!C:C,(MATCH(A861,'Справочник по %'!A:A,0))))/100</f>
        <v>626.47199999999998</v>
      </c>
      <c r="E861" s="29">
        <f>IF(ОТЧЕТ!A861="SKU3",C861+ОТЧЕТ!C861*0.2,C861+ОТЧЕТ!C861*0.15)</f>
        <v>654.94799999999998</v>
      </c>
      <c r="F861" s="7" t="s">
        <v>2009</v>
      </c>
      <c r="G861" s="7">
        <v>7705947629</v>
      </c>
      <c r="H861" s="20" t="s">
        <v>50</v>
      </c>
      <c r="I861" s="22" t="str">
        <f>INDEX('Справочник Сети'!B:B,(MATCH(G861,'Справочник Сети'!C:C,0)))</f>
        <v>36,6</v>
      </c>
      <c r="J861" s="7" t="s">
        <v>116</v>
      </c>
      <c r="K861" s="7" t="s">
        <v>529</v>
      </c>
      <c r="L861" s="7" t="s">
        <v>116</v>
      </c>
      <c r="M861" s="31">
        <v>45692</v>
      </c>
      <c r="N861" s="7" t="s">
        <v>2045</v>
      </c>
      <c r="O861" s="8">
        <v>3691</v>
      </c>
      <c r="P861" s="24">
        <v>4632</v>
      </c>
      <c r="Q861" s="22">
        <f>IF(COUNTIFS(A$2:A861,A861,I$2:I861,I861)=1,1,0)</f>
        <v>0</v>
      </c>
      <c r="R861" s="22">
        <f t="shared" si="13"/>
        <v>1</v>
      </c>
      <c r="S861" s="33">
        <f>IF(COUNTIF(O$2:O861,O861)=1,R861,0)/2.5</f>
        <v>0.4</v>
      </c>
    </row>
    <row r="862" spans="1:19" ht="18" customHeight="1" x14ac:dyDescent="0.25">
      <c r="A862" s="7" t="s">
        <v>43</v>
      </c>
      <c r="B862" s="8">
        <v>1</v>
      </c>
      <c r="C862" s="9">
        <v>529</v>
      </c>
      <c r="D862" s="29">
        <f>C862+IF(INDEX('Справочник по %'!B:B,(MATCH(A862,'Справочник по %'!A:A,0)))="кол-во",B862*INDEX('Справочник по %'!C:C,(MATCH(A862,'Справочник по %'!A:A,0))),ОТЧЕТ!C862*INDEX('Справочник по %'!C:C,(MATCH(A862,'Справочник по %'!A:A,0))))/100</f>
        <v>581.9</v>
      </c>
      <c r="E862" s="29">
        <f>IF(ОТЧЕТ!A862="SKU3",C862+ОТЧЕТ!C862*0.2,C862+ОТЧЕТ!C862*0.15)</f>
        <v>608.35</v>
      </c>
      <c r="F862" s="7" t="s">
        <v>2009</v>
      </c>
      <c r="G862" s="7">
        <v>7732121736</v>
      </c>
      <c r="H862" s="20" t="s">
        <v>1425</v>
      </c>
      <c r="I862" s="22" t="str">
        <f>INDEX('Справочник Сети'!B:B,(MATCH(G862,'Справочник Сети'!C:C,0)))</f>
        <v>Планета здоровья</v>
      </c>
      <c r="J862" s="7" t="s">
        <v>149</v>
      </c>
      <c r="K862" s="7" t="s">
        <v>2046</v>
      </c>
      <c r="L862" s="7" t="s">
        <v>142</v>
      </c>
      <c r="M862" s="31">
        <v>45674</v>
      </c>
      <c r="N862" s="7" t="s">
        <v>2047</v>
      </c>
      <c r="O862" s="8">
        <v>403</v>
      </c>
      <c r="P862" s="24">
        <v>4634</v>
      </c>
      <c r="Q862" s="22">
        <f>IF(COUNTIFS(A$2:A862,A862,I$2:I862,I862)=1,1,0)</f>
        <v>0</v>
      </c>
      <c r="R862" s="22">
        <f t="shared" si="13"/>
        <v>2</v>
      </c>
      <c r="S862" s="33">
        <f>IF(COUNTIF(O$2:O862,O862)=1,R862,0)/2.5</f>
        <v>0</v>
      </c>
    </row>
    <row r="863" spans="1:19" ht="18" customHeight="1" x14ac:dyDescent="0.25">
      <c r="A863" s="7" t="s">
        <v>37</v>
      </c>
      <c r="B863" s="8">
        <v>1</v>
      </c>
      <c r="C863" s="9">
        <v>613</v>
      </c>
      <c r="D863" s="29">
        <f>C863+IF(INDEX('Справочник по %'!B:B,(MATCH(A863,'Справочник по %'!A:A,0)))="кол-во",B863*INDEX('Справочник по %'!C:C,(MATCH(A863,'Справочник по %'!A:A,0))),ОТЧЕТ!C863*INDEX('Справочник по %'!C:C,(MATCH(A863,'Справочник по %'!A:A,0))))/100</f>
        <v>613.20000000000005</v>
      </c>
      <c r="E863" s="29">
        <f>IF(ОТЧЕТ!A863="SKU3",C863+ОТЧЕТ!C863*0.2,C863+ОТЧЕТ!C863*0.15)</f>
        <v>704.95</v>
      </c>
      <c r="F863" s="7" t="s">
        <v>2009</v>
      </c>
      <c r="G863" s="7">
        <v>6155064128</v>
      </c>
      <c r="H863" s="20" t="s">
        <v>2048</v>
      </c>
      <c r="I863" s="22">
        <f>INDEX('Справочник Сети'!B:B,(MATCH(G863,'Справочник Сети'!C:C,0)))</f>
        <v>0</v>
      </c>
      <c r="J863" s="7" t="s">
        <v>520</v>
      </c>
      <c r="K863" s="7" t="s">
        <v>2049</v>
      </c>
      <c r="L863" s="7" t="s">
        <v>520</v>
      </c>
      <c r="M863" s="31">
        <v>45697</v>
      </c>
      <c r="N863" s="7" t="s">
        <v>2050</v>
      </c>
      <c r="O863" s="8">
        <v>3136</v>
      </c>
      <c r="P863" s="24">
        <v>4636</v>
      </c>
      <c r="Q863" s="22">
        <f>IF(COUNTIFS(A$2:A863,A863,I$2:I863,I863)=1,1,0)</f>
        <v>0</v>
      </c>
      <c r="R863" s="22">
        <f t="shared" si="13"/>
        <v>1</v>
      </c>
      <c r="S863" s="33">
        <f>IF(COUNTIF(O$2:O863,O863)=1,R863,0)/2.5</f>
        <v>0.4</v>
      </c>
    </row>
    <row r="864" spans="1:19" ht="18" customHeight="1" x14ac:dyDescent="0.25">
      <c r="A864" s="7" t="s">
        <v>43</v>
      </c>
      <c r="B864" s="8">
        <v>1</v>
      </c>
      <c r="C864" s="9">
        <v>460</v>
      </c>
      <c r="D864" s="29">
        <f>C864+IF(INDEX('Справочник по %'!B:B,(MATCH(A864,'Справочник по %'!A:A,0)))="кол-во",B864*INDEX('Справочник по %'!C:C,(MATCH(A864,'Справочник по %'!A:A,0))),ОТЧЕТ!C864*INDEX('Справочник по %'!C:C,(MATCH(A864,'Справочник по %'!A:A,0))))/100</f>
        <v>506</v>
      </c>
      <c r="E864" s="29">
        <f>IF(ОТЧЕТ!A864="SKU3",C864+ОТЧЕТ!C864*0.2,C864+ОТЧЕТ!C864*0.15)</f>
        <v>529</v>
      </c>
      <c r="F864" s="7" t="s">
        <v>2051</v>
      </c>
      <c r="G864" s="7">
        <v>910900095729</v>
      </c>
      <c r="H864" s="20" t="s">
        <v>1046</v>
      </c>
      <c r="I864" s="22">
        <f>INDEX('Справочник Сети'!B:B,(MATCH(G864,'Справочник Сети'!C:C,0)))</f>
        <v>0</v>
      </c>
      <c r="J864" s="7" t="s">
        <v>322</v>
      </c>
      <c r="K864" s="7" t="s">
        <v>2052</v>
      </c>
      <c r="L864" s="7" t="s">
        <v>322</v>
      </c>
      <c r="M864" s="31">
        <v>45658</v>
      </c>
      <c r="N864" s="7" t="s">
        <v>2053</v>
      </c>
      <c r="O864" s="8">
        <v>3127</v>
      </c>
      <c r="P864" s="24">
        <v>4644</v>
      </c>
      <c r="Q864" s="22">
        <f>IF(COUNTIFS(A$2:A864,A864,I$2:I864,I864)=1,1,0)</f>
        <v>0</v>
      </c>
      <c r="R864" s="22">
        <f t="shared" si="13"/>
        <v>4</v>
      </c>
      <c r="S864" s="33">
        <f>IF(COUNTIF(O$2:O864,O864)=1,R864,0)/2.5</f>
        <v>0</v>
      </c>
    </row>
    <row r="865" spans="1:19" ht="18" customHeight="1" x14ac:dyDescent="0.25">
      <c r="A865" s="7" t="s">
        <v>37</v>
      </c>
      <c r="B865" s="8">
        <v>1</v>
      </c>
      <c r="C865" s="9">
        <v>628.9</v>
      </c>
      <c r="D865" s="29">
        <f>C865+IF(INDEX('Справочник по %'!B:B,(MATCH(A865,'Справочник по %'!A:A,0)))="кол-во",B865*INDEX('Справочник по %'!C:C,(MATCH(A865,'Справочник по %'!A:A,0))),ОТЧЕТ!C865*INDEX('Справочник по %'!C:C,(MATCH(A865,'Справочник по %'!A:A,0))))/100</f>
        <v>629.1</v>
      </c>
      <c r="E865" s="29">
        <f>IF(ОТЧЕТ!A865="SKU3",C865+ОТЧЕТ!C865*0.2,C865+ОТЧЕТ!C865*0.15)</f>
        <v>723.23500000000001</v>
      </c>
      <c r="F865" s="7" t="s">
        <v>2051</v>
      </c>
      <c r="G865" s="7">
        <v>3305719564</v>
      </c>
      <c r="H865" s="20" t="s">
        <v>91</v>
      </c>
      <c r="I865" s="22">
        <f>INDEX('Справочник Сети'!B:B,(MATCH(G865,'Справочник Сети'!C:C,0)))</f>
        <v>0</v>
      </c>
      <c r="J865" s="7" t="s">
        <v>193</v>
      </c>
      <c r="K865" s="7" t="s">
        <v>1103</v>
      </c>
      <c r="L865" s="7" t="s">
        <v>193</v>
      </c>
      <c r="M865" s="31">
        <v>45718</v>
      </c>
      <c r="N865" s="7" t="s">
        <v>2054</v>
      </c>
      <c r="O865" s="8">
        <v>2245</v>
      </c>
      <c r="P865" s="24">
        <v>4645</v>
      </c>
      <c r="Q865" s="22">
        <f>IF(COUNTIFS(A$2:A865,A865,I$2:I865,I865)=1,1,0)</f>
        <v>0</v>
      </c>
      <c r="R865" s="22">
        <f t="shared" si="13"/>
        <v>3</v>
      </c>
      <c r="S865" s="33">
        <f>IF(COUNTIF(O$2:O865,O865)=1,R865,0)/2.5</f>
        <v>1.2</v>
      </c>
    </row>
    <row r="866" spans="1:19" ht="18" customHeight="1" x14ac:dyDescent="0.25">
      <c r="A866" s="7" t="s">
        <v>43</v>
      </c>
      <c r="B866" s="8">
        <v>1</v>
      </c>
      <c r="C866" s="9">
        <v>398</v>
      </c>
      <c r="D866" s="29">
        <f>C866+IF(INDEX('Справочник по %'!B:B,(MATCH(A866,'Справочник по %'!A:A,0)))="кол-во",B866*INDEX('Справочник по %'!C:C,(MATCH(A866,'Справочник по %'!A:A,0))),ОТЧЕТ!C866*INDEX('Справочник по %'!C:C,(MATCH(A866,'Справочник по %'!A:A,0))))/100</f>
        <v>437.8</v>
      </c>
      <c r="E866" s="29">
        <f>IF(ОТЧЕТ!A866="SKU3",C866+ОТЧЕТ!C866*0.2,C866+ОТЧЕТ!C866*0.15)</f>
        <v>457.7</v>
      </c>
      <c r="F866" s="7" t="s">
        <v>2051</v>
      </c>
      <c r="G866" s="7">
        <v>5260408672</v>
      </c>
      <c r="H866" s="20" t="s">
        <v>50</v>
      </c>
      <c r="I866" s="22">
        <f>INDEX('Справочник Сети'!B:B,(MATCH(G866,'Справочник Сети'!C:C,0)))</f>
        <v>0</v>
      </c>
      <c r="J866" s="7" t="s">
        <v>92</v>
      </c>
      <c r="K866" s="7" t="s">
        <v>456</v>
      </c>
      <c r="L866" s="7" t="s">
        <v>92</v>
      </c>
      <c r="M866" s="31">
        <v>45714</v>
      </c>
      <c r="N866" s="7" t="s">
        <v>2055</v>
      </c>
      <c r="O866" s="8">
        <v>2467</v>
      </c>
      <c r="P866" s="24">
        <v>4652</v>
      </c>
      <c r="Q866" s="22">
        <f>IF(COUNTIFS(A$2:A866,A866,I$2:I866,I866)=1,1,0)</f>
        <v>0</v>
      </c>
      <c r="R866" s="22">
        <f t="shared" si="13"/>
        <v>2</v>
      </c>
      <c r="S866" s="33">
        <f>IF(COUNTIF(O$2:O866,O866)=1,R866,0)/2.5</f>
        <v>0.8</v>
      </c>
    </row>
    <row r="867" spans="1:19" ht="18" customHeight="1" x14ac:dyDescent="0.25">
      <c r="A867" s="7" t="s">
        <v>43</v>
      </c>
      <c r="B867" s="8">
        <v>1</v>
      </c>
      <c r="C867" s="9">
        <v>456</v>
      </c>
      <c r="D867" s="29">
        <f>C867+IF(INDEX('Справочник по %'!B:B,(MATCH(A867,'Справочник по %'!A:A,0)))="кол-во",B867*INDEX('Справочник по %'!C:C,(MATCH(A867,'Справочник по %'!A:A,0))),ОТЧЕТ!C867*INDEX('Справочник по %'!C:C,(MATCH(A867,'Справочник по %'!A:A,0))))/100</f>
        <v>501.6</v>
      </c>
      <c r="E867" s="29">
        <f>IF(ОТЧЕТ!A867="SKU3",C867+ОТЧЕТ!C867*0.2,C867+ОТЧЕТ!C867*0.15)</f>
        <v>524.4</v>
      </c>
      <c r="F867" s="7" t="s">
        <v>2056</v>
      </c>
      <c r="G867" s="7">
        <v>5024140567</v>
      </c>
      <c r="H867" s="20" t="s">
        <v>50</v>
      </c>
      <c r="I867" s="22">
        <f>INDEX('Справочник Сети'!B:B,(MATCH(G867,'Справочник Сети'!C:C,0)))</f>
        <v>0</v>
      </c>
      <c r="J867" s="7" t="s">
        <v>83</v>
      </c>
      <c r="K867" s="7" t="s">
        <v>2057</v>
      </c>
      <c r="L867" s="7" t="s">
        <v>83</v>
      </c>
      <c r="M867" s="31">
        <v>45715</v>
      </c>
      <c r="N867" s="7" t="s">
        <v>2058</v>
      </c>
      <c r="O867" s="8">
        <v>1042</v>
      </c>
      <c r="P867" s="24">
        <v>4656</v>
      </c>
      <c r="Q867" s="22">
        <f>IF(COUNTIFS(A$2:A867,A867,I$2:I867,I867)=1,1,0)</f>
        <v>0</v>
      </c>
      <c r="R867" s="22">
        <f t="shared" si="13"/>
        <v>3</v>
      </c>
      <c r="S867" s="33">
        <f>IF(COUNTIF(O$2:O867,O867)=1,R867,0)/2.5</f>
        <v>1.2</v>
      </c>
    </row>
    <row r="868" spans="1:19" ht="18" customHeight="1" x14ac:dyDescent="0.25">
      <c r="A868" s="7" t="s">
        <v>43</v>
      </c>
      <c r="B868" s="8">
        <v>1</v>
      </c>
      <c r="C868" s="9">
        <v>377</v>
      </c>
      <c r="D868" s="29">
        <f>C868+IF(INDEX('Справочник по %'!B:B,(MATCH(A868,'Справочник по %'!A:A,0)))="кол-во",B868*INDEX('Справочник по %'!C:C,(MATCH(A868,'Справочник по %'!A:A,0))),ОТЧЕТ!C868*INDEX('Справочник по %'!C:C,(MATCH(A868,'Справочник по %'!A:A,0))))/100</f>
        <v>414.7</v>
      </c>
      <c r="E868" s="29">
        <f>IF(ОТЧЕТ!A868="SKU3",C868+ОТЧЕТ!C868*0.2,C868+ОТЧЕТ!C868*0.15)</f>
        <v>433.55</v>
      </c>
      <c r="F868" s="7" t="s">
        <v>2056</v>
      </c>
      <c r="G868" s="7">
        <v>7706795062</v>
      </c>
      <c r="H868" s="20" t="s">
        <v>2059</v>
      </c>
      <c r="I868" s="22" t="str">
        <f>INDEX('Справочник Сети'!B:B,(MATCH(G868,'Справочник Сети'!C:C,0)))</f>
        <v>Планета здоровья</v>
      </c>
      <c r="J868" s="7" t="s">
        <v>87</v>
      </c>
      <c r="K868" s="7" t="s">
        <v>1355</v>
      </c>
      <c r="L868" s="7" t="s">
        <v>87</v>
      </c>
      <c r="M868" s="31">
        <v>45691</v>
      </c>
      <c r="N868" s="7" t="s">
        <v>2060</v>
      </c>
      <c r="O868" s="8">
        <v>1816</v>
      </c>
      <c r="P868" s="24">
        <v>4657</v>
      </c>
      <c r="Q868" s="22">
        <f>IF(COUNTIFS(A$2:A868,A868,I$2:I868,I868)=1,1,0)</f>
        <v>0</v>
      </c>
      <c r="R868" s="22">
        <f t="shared" si="13"/>
        <v>2</v>
      </c>
      <c r="S868" s="33">
        <f>IF(COUNTIF(O$2:O868,O868)=1,R868,0)/2.5</f>
        <v>0.8</v>
      </c>
    </row>
    <row r="869" spans="1:19" ht="18" customHeight="1" x14ac:dyDescent="0.25">
      <c r="A869" s="7" t="s">
        <v>43</v>
      </c>
      <c r="B869" s="8">
        <v>1</v>
      </c>
      <c r="C869" s="9">
        <v>388</v>
      </c>
      <c r="D869" s="29">
        <f>C869+IF(INDEX('Справочник по %'!B:B,(MATCH(A869,'Справочник по %'!A:A,0)))="кол-во",B869*INDEX('Справочник по %'!C:C,(MATCH(A869,'Справочник по %'!A:A,0))),ОТЧЕТ!C869*INDEX('Справочник по %'!C:C,(MATCH(A869,'Справочник по %'!A:A,0))))/100</f>
        <v>426.8</v>
      </c>
      <c r="E869" s="29">
        <f>IF(ОТЧЕТ!A869="SKU3",C869+ОТЧЕТ!C869*0.2,C869+ОТЧЕТ!C869*0.15)</f>
        <v>446.2</v>
      </c>
      <c r="F869" s="7" t="s">
        <v>2056</v>
      </c>
      <c r="G869" s="7">
        <v>7732121736</v>
      </c>
      <c r="H869" s="20" t="s">
        <v>2061</v>
      </c>
      <c r="I869" s="22" t="str">
        <f>INDEX('Справочник Сети'!B:B,(MATCH(G869,'Справочник Сети'!C:C,0)))</f>
        <v>Планета здоровья</v>
      </c>
      <c r="J869" s="7" t="s">
        <v>149</v>
      </c>
      <c r="K869" s="7" t="s">
        <v>1355</v>
      </c>
      <c r="L869" s="7" t="s">
        <v>149</v>
      </c>
      <c r="M869" s="31">
        <v>45673</v>
      </c>
      <c r="N869" s="7" t="s">
        <v>2062</v>
      </c>
      <c r="O869" s="8">
        <v>1746</v>
      </c>
      <c r="P869" s="24">
        <v>4658</v>
      </c>
      <c r="Q869" s="22">
        <f>IF(COUNTIFS(A$2:A869,A869,I$2:I869,I869)=1,1,0)</f>
        <v>0</v>
      </c>
      <c r="R869" s="22">
        <f t="shared" si="13"/>
        <v>1</v>
      </c>
      <c r="S869" s="33">
        <f>IF(COUNTIF(O$2:O869,O869)=1,R869,0)/2.5</f>
        <v>0.4</v>
      </c>
    </row>
    <row r="870" spans="1:19" ht="18" customHeight="1" x14ac:dyDescent="0.25">
      <c r="A870" s="7" t="s">
        <v>43</v>
      </c>
      <c r="B870" s="8">
        <v>1</v>
      </c>
      <c r="C870" s="9">
        <v>399</v>
      </c>
      <c r="D870" s="29">
        <f>C870+IF(INDEX('Справочник по %'!B:B,(MATCH(A870,'Справочник по %'!A:A,0)))="кол-во",B870*INDEX('Справочник по %'!C:C,(MATCH(A870,'Справочник по %'!A:A,0))),ОТЧЕТ!C870*INDEX('Справочник по %'!C:C,(MATCH(A870,'Справочник по %'!A:A,0))))/100</f>
        <v>438.9</v>
      </c>
      <c r="E870" s="29">
        <f>IF(ОТЧЕТ!A870="SKU3",C870+ОТЧЕТ!C870*0.2,C870+ОТЧЕТ!C870*0.15)</f>
        <v>458.85</v>
      </c>
      <c r="F870" s="7" t="s">
        <v>2056</v>
      </c>
      <c r="G870" s="7">
        <v>7716997445</v>
      </c>
      <c r="H870" s="20" t="s">
        <v>167</v>
      </c>
      <c r="I870" s="22" t="str">
        <f>INDEX('Справочник Сети'!B:B,(MATCH(G870,'Справочник Сети'!C:C,0)))</f>
        <v>Столички</v>
      </c>
      <c r="J870" s="7" t="s">
        <v>168</v>
      </c>
      <c r="K870" s="7" t="s">
        <v>2063</v>
      </c>
      <c r="L870" s="7" t="s">
        <v>168</v>
      </c>
      <c r="M870" s="31">
        <v>45676</v>
      </c>
      <c r="N870" s="7" t="s">
        <v>2064</v>
      </c>
      <c r="O870" s="8">
        <v>3291</v>
      </c>
      <c r="P870" s="24">
        <v>4659</v>
      </c>
      <c r="Q870" s="22">
        <f>IF(COUNTIFS(A$2:A870,A870,I$2:I870,I870)=1,1,0)</f>
        <v>0</v>
      </c>
      <c r="R870" s="22">
        <f t="shared" si="13"/>
        <v>1</v>
      </c>
      <c r="S870" s="33">
        <f>IF(COUNTIF(O$2:O870,O870)=1,R870,0)/2.5</f>
        <v>0.4</v>
      </c>
    </row>
    <row r="871" spans="1:19" ht="18" customHeight="1" x14ac:dyDescent="0.25">
      <c r="A871" s="7" t="s">
        <v>43</v>
      </c>
      <c r="B871" s="8">
        <v>1</v>
      </c>
      <c r="C871" s="9">
        <v>409.69</v>
      </c>
      <c r="D871" s="29">
        <f>C871+IF(INDEX('Справочник по %'!B:B,(MATCH(A871,'Справочник по %'!A:A,0)))="кол-во",B871*INDEX('Справочник по %'!C:C,(MATCH(A871,'Справочник по %'!A:A,0))),ОТЧЕТ!C871*INDEX('Справочник по %'!C:C,(MATCH(A871,'Справочник по %'!A:A,0))))/100</f>
        <v>450.65899999999999</v>
      </c>
      <c r="E871" s="29">
        <f>IF(ОТЧЕТ!A871="SKU3",C871+ОТЧЕТ!C871*0.2,C871+ОТЧЕТ!C871*0.15)</f>
        <v>471.14350000000002</v>
      </c>
      <c r="F871" s="7" t="s">
        <v>2065</v>
      </c>
      <c r="G871" s="7">
        <v>2502053747</v>
      </c>
      <c r="H871" s="20" t="s">
        <v>50</v>
      </c>
      <c r="I871" s="22">
        <f>INDEX('Справочник Сети'!B:B,(MATCH(G871,'Справочник Сети'!C:C,0)))</f>
        <v>0</v>
      </c>
      <c r="J871" s="7" t="s">
        <v>96</v>
      </c>
      <c r="K871" s="7" t="s">
        <v>77</v>
      </c>
      <c r="L871" s="7" t="s">
        <v>96</v>
      </c>
      <c r="M871" s="31">
        <v>45727</v>
      </c>
      <c r="N871" s="7" t="s">
        <v>2066</v>
      </c>
      <c r="O871" s="8">
        <v>2544</v>
      </c>
      <c r="P871" s="24">
        <v>4665</v>
      </c>
      <c r="Q871" s="22">
        <f>IF(COUNTIFS(A$2:A871,A871,I$2:I871,I871)=1,1,0)</f>
        <v>0</v>
      </c>
      <c r="R871" s="22">
        <f t="shared" si="13"/>
        <v>6</v>
      </c>
      <c r="S871" s="33">
        <f>IF(COUNTIF(O$2:O871,O871)=1,R871,0)/2.5</f>
        <v>2.4</v>
      </c>
    </row>
    <row r="872" spans="1:19" ht="18" customHeight="1" x14ac:dyDescent="0.25">
      <c r="A872" s="7" t="s">
        <v>43</v>
      </c>
      <c r="B872" s="8">
        <v>1</v>
      </c>
      <c r="C872" s="9">
        <v>411</v>
      </c>
      <c r="D872" s="29">
        <f>C872+IF(INDEX('Справочник по %'!B:B,(MATCH(A872,'Справочник по %'!A:A,0)))="кол-во",B872*INDEX('Справочник по %'!C:C,(MATCH(A872,'Справочник по %'!A:A,0))),ОТЧЕТ!C872*INDEX('Справочник по %'!C:C,(MATCH(A872,'Справочник по %'!A:A,0))))/100</f>
        <v>452.1</v>
      </c>
      <c r="E872" s="29">
        <f>IF(ОТЧЕТ!A872="SKU3",C872+ОТЧЕТ!C872*0.2,C872+ОТЧЕТ!C872*0.15)</f>
        <v>472.65</v>
      </c>
      <c r="F872" s="7" t="s">
        <v>2067</v>
      </c>
      <c r="G872" s="7">
        <v>2308110232</v>
      </c>
      <c r="H872" s="20" t="s">
        <v>69</v>
      </c>
      <c r="I872" s="22" t="str">
        <f>INDEX('Справочник Сети'!B:B,(MATCH(G872,'Справочник Сети'!C:C,0)))</f>
        <v>Нео-фарм</v>
      </c>
      <c r="J872" s="7" t="s">
        <v>372</v>
      </c>
      <c r="K872" s="7" t="s">
        <v>2068</v>
      </c>
      <c r="L872" s="7" t="s">
        <v>372</v>
      </c>
      <c r="M872" s="31">
        <v>45730</v>
      </c>
      <c r="N872" s="7" t="s">
        <v>2069</v>
      </c>
      <c r="O872" s="8">
        <v>1523</v>
      </c>
      <c r="P872" s="24">
        <v>4668</v>
      </c>
      <c r="Q872" s="22">
        <f>IF(COUNTIFS(A$2:A872,A872,I$2:I872,I872)=1,1,0)</f>
        <v>0</v>
      </c>
      <c r="R872" s="22">
        <f t="shared" si="13"/>
        <v>5</v>
      </c>
      <c r="S872" s="33">
        <f>IF(COUNTIF(O$2:O872,O872)=1,R872,0)/2.5</f>
        <v>0</v>
      </c>
    </row>
    <row r="873" spans="1:19" ht="18" customHeight="1" x14ac:dyDescent="0.25">
      <c r="A873" s="7" t="s">
        <v>43</v>
      </c>
      <c r="B873" s="8">
        <v>1</v>
      </c>
      <c r="C873" s="9">
        <v>525</v>
      </c>
      <c r="D873" s="29">
        <f>C873+IF(INDEX('Справочник по %'!B:B,(MATCH(A873,'Справочник по %'!A:A,0)))="кол-во",B873*INDEX('Справочник по %'!C:C,(MATCH(A873,'Справочник по %'!A:A,0))),ОТЧЕТ!C873*INDEX('Справочник по %'!C:C,(MATCH(A873,'Справочник по %'!A:A,0))))/100</f>
        <v>577.5</v>
      </c>
      <c r="E873" s="29">
        <f>IF(ОТЧЕТ!A873="SKU3",C873+ОТЧЕТ!C873*0.2,C873+ОТЧЕТ!C873*0.15)</f>
        <v>603.75</v>
      </c>
      <c r="F873" s="7" t="s">
        <v>2070</v>
      </c>
      <c r="G873" s="7">
        <v>5001113493</v>
      </c>
      <c r="H873" s="20" t="s">
        <v>50</v>
      </c>
      <c r="I873" s="22">
        <f>INDEX('Справочник Сети'!B:B,(MATCH(G873,'Справочник Сети'!C:C,0)))</f>
        <v>0</v>
      </c>
      <c r="J873" s="7" t="s">
        <v>83</v>
      </c>
      <c r="K873" s="7" t="s">
        <v>2071</v>
      </c>
      <c r="L873" s="7" t="s">
        <v>83</v>
      </c>
      <c r="M873" s="31">
        <v>45715</v>
      </c>
      <c r="N873" s="7" t="s">
        <v>2072</v>
      </c>
      <c r="O873" s="8">
        <v>433</v>
      </c>
      <c r="P873" s="24">
        <v>4669</v>
      </c>
      <c r="Q873" s="22">
        <f>IF(COUNTIFS(A$2:A873,A873,I$2:I873,I873)=1,1,0)</f>
        <v>0</v>
      </c>
      <c r="R873" s="22">
        <f t="shared" si="13"/>
        <v>1</v>
      </c>
      <c r="S873" s="33">
        <f>IF(COUNTIF(O$2:O873,O873)=1,R873,0)/2.5</f>
        <v>0.4</v>
      </c>
    </row>
    <row r="874" spans="1:19" ht="18" customHeight="1" x14ac:dyDescent="0.25">
      <c r="A874" s="7" t="s">
        <v>43</v>
      </c>
      <c r="B874" s="8">
        <v>1</v>
      </c>
      <c r="C874" s="9">
        <v>450</v>
      </c>
      <c r="D874" s="29">
        <f>C874+IF(INDEX('Справочник по %'!B:B,(MATCH(A874,'Справочник по %'!A:A,0)))="кол-во",B874*INDEX('Справочник по %'!C:C,(MATCH(A874,'Справочник по %'!A:A,0))),ОТЧЕТ!C874*INDEX('Справочник по %'!C:C,(MATCH(A874,'Справочник по %'!A:A,0))))/100</f>
        <v>495</v>
      </c>
      <c r="E874" s="29">
        <f>IF(ОТЧЕТ!A874="SKU3",C874+ОТЧЕТ!C874*0.2,C874+ОТЧЕТ!C874*0.15)</f>
        <v>517.5</v>
      </c>
      <c r="F874" s="7" t="s">
        <v>2073</v>
      </c>
      <c r="G874" s="7">
        <v>333412028128</v>
      </c>
      <c r="H874" s="20" t="s">
        <v>91</v>
      </c>
      <c r="I874" s="22">
        <f>INDEX('Справочник Сети'!B:B,(MATCH(G874,'Справочник Сети'!C:C,0)))</f>
        <v>0</v>
      </c>
      <c r="J874" s="7" t="s">
        <v>110</v>
      </c>
      <c r="K874" s="7" t="s">
        <v>675</v>
      </c>
      <c r="L874" s="7" t="s">
        <v>110</v>
      </c>
      <c r="M874" s="31">
        <v>45660</v>
      </c>
      <c r="N874" s="7" t="s">
        <v>2074</v>
      </c>
      <c r="O874" s="8">
        <v>2481</v>
      </c>
      <c r="P874" s="24">
        <v>4673</v>
      </c>
      <c r="Q874" s="22">
        <f>IF(COUNTIFS(A$2:A874,A874,I$2:I874,I874)=1,1,0)</f>
        <v>0</v>
      </c>
      <c r="R874" s="22">
        <f t="shared" si="13"/>
        <v>3</v>
      </c>
      <c r="S874" s="33">
        <f>IF(COUNTIF(O$2:O874,O874)=1,R874,0)/2.5</f>
        <v>0</v>
      </c>
    </row>
    <row r="875" spans="1:19" ht="18" customHeight="1" x14ac:dyDescent="0.25">
      <c r="A875" s="7" t="s">
        <v>43</v>
      </c>
      <c r="B875" s="8">
        <v>1</v>
      </c>
      <c r="C875" s="9">
        <v>534</v>
      </c>
      <c r="D875" s="29">
        <f>C875+IF(INDEX('Справочник по %'!B:B,(MATCH(A875,'Справочник по %'!A:A,0)))="кол-во",B875*INDEX('Справочник по %'!C:C,(MATCH(A875,'Справочник по %'!A:A,0))),ОТЧЕТ!C875*INDEX('Справочник по %'!C:C,(MATCH(A875,'Справочник по %'!A:A,0))))/100</f>
        <v>587.4</v>
      </c>
      <c r="E875" s="29">
        <f>IF(ОТЧЕТ!A875="SKU3",C875+ОТЧЕТ!C875*0.2,C875+ОТЧЕТ!C875*0.15)</f>
        <v>614.1</v>
      </c>
      <c r="F875" s="7" t="s">
        <v>2075</v>
      </c>
      <c r="G875" s="7">
        <v>7732121736</v>
      </c>
      <c r="H875" s="20" t="s">
        <v>2076</v>
      </c>
      <c r="I875" s="22" t="str">
        <f>INDEX('Справочник Сети'!B:B,(MATCH(G875,'Справочник Сети'!C:C,0)))</f>
        <v>Планета здоровья</v>
      </c>
      <c r="J875" s="7" t="s">
        <v>149</v>
      </c>
      <c r="K875" s="7" t="s">
        <v>2077</v>
      </c>
      <c r="L875" s="7" t="s">
        <v>149</v>
      </c>
      <c r="M875" s="31">
        <v>45673</v>
      </c>
      <c r="N875" s="7" t="s">
        <v>2078</v>
      </c>
      <c r="O875" s="8">
        <v>2916</v>
      </c>
      <c r="P875" s="24">
        <v>4675</v>
      </c>
      <c r="Q875" s="22">
        <f>IF(COUNTIFS(A$2:A875,A875,I$2:I875,I875)=1,1,0)</f>
        <v>0</v>
      </c>
      <c r="R875" s="22">
        <f t="shared" si="13"/>
        <v>2</v>
      </c>
      <c r="S875" s="33">
        <f>IF(COUNTIF(O$2:O875,O875)=1,R875,0)/2.5</f>
        <v>0.8</v>
      </c>
    </row>
    <row r="876" spans="1:19" ht="18" customHeight="1" x14ac:dyDescent="0.25">
      <c r="A876" s="7" t="s">
        <v>43</v>
      </c>
      <c r="B876" s="8">
        <v>1</v>
      </c>
      <c r="C876" s="9">
        <v>430</v>
      </c>
      <c r="D876" s="29">
        <f>C876+IF(INDEX('Справочник по %'!B:B,(MATCH(A876,'Справочник по %'!A:A,0)))="кол-во",B876*INDEX('Справочник по %'!C:C,(MATCH(A876,'Справочник по %'!A:A,0))),ОТЧЕТ!C876*INDEX('Справочник по %'!C:C,(MATCH(A876,'Справочник по %'!A:A,0))))/100</f>
        <v>473</v>
      </c>
      <c r="E876" s="29">
        <f>IF(ОТЧЕТ!A876="SKU3",C876+ОТЧЕТ!C876*0.2,C876+ОТЧЕТ!C876*0.15)</f>
        <v>494.5</v>
      </c>
      <c r="F876" s="7" t="s">
        <v>2075</v>
      </c>
      <c r="G876" s="7">
        <v>9102213935</v>
      </c>
      <c r="H876" s="20" t="s">
        <v>868</v>
      </c>
      <c r="I876" s="22" t="str">
        <f>INDEX('Справочник Сети'!B:B,(MATCH(G876,'Справочник Сети'!C:C,0)))</f>
        <v>Ригла</v>
      </c>
      <c r="J876" s="7" t="s">
        <v>315</v>
      </c>
      <c r="K876" s="7" t="s">
        <v>2079</v>
      </c>
      <c r="L876" s="7" t="s">
        <v>315</v>
      </c>
      <c r="M876" s="31">
        <v>45670</v>
      </c>
      <c r="N876" s="7" t="s">
        <v>2080</v>
      </c>
      <c r="O876" s="8">
        <v>3055</v>
      </c>
      <c r="P876" s="24">
        <v>4680</v>
      </c>
      <c r="Q876" s="22">
        <f>IF(COUNTIFS(A$2:A876,A876,I$2:I876,I876)=1,1,0)</f>
        <v>0</v>
      </c>
      <c r="R876" s="22">
        <f t="shared" si="13"/>
        <v>4</v>
      </c>
      <c r="S876" s="33">
        <f>IF(COUNTIF(O$2:O876,O876)=1,R876,0)/2.5</f>
        <v>0</v>
      </c>
    </row>
    <row r="877" spans="1:19" ht="18" customHeight="1" x14ac:dyDescent="0.25">
      <c r="A877" s="7" t="s">
        <v>43</v>
      </c>
      <c r="B877" s="8">
        <v>1</v>
      </c>
      <c r="C877" s="9">
        <v>450</v>
      </c>
      <c r="D877" s="29">
        <f>C877+IF(INDEX('Справочник по %'!B:B,(MATCH(A877,'Справочник по %'!A:A,0)))="кол-во",B877*INDEX('Справочник по %'!C:C,(MATCH(A877,'Справочник по %'!A:A,0))),ОТЧЕТ!C877*INDEX('Справочник по %'!C:C,(MATCH(A877,'Справочник по %'!A:A,0))))/100</f>
        <v>495</v>
      </c>
      <c r="E877" s="29">
        <f>IF(ОТЧЕТ!A877="SKU3",C877+ОТЧЕТ!C877*0.2,C877+ОТЧЕТ!C877*0.15)</f>
        <v>517.5</v>
      </c>
      <c r="F877" s="7" t="s">
        <v>2075</v>
      </c>
      <c r="G877" s="7">
        <v>333412028128</v>
      </c>
      <c r="H877" s="20" t="s">
        <v>91</v>
      </c>
      <c r="I877" s="22">
        <f>INDEX('Справочник Сети'!B:B,(MATCH(G877,'Справочник Сети'!C:C,0)))</f>
        <v>0</v>
      </c>
      <c r="J877" s="7" t="s">
        <v>110</v>
      </c>
      <c r="K877" s="7" t="s">
        <v>1090</v>
      </c>
      <c r="L877" s="7" t="s">
        <v>110</v>
      </c>
      <c r="M877" s="31">
        <v>45660</v>
      </c>
      <c r="N877" s="7" t="s">
        <v>2081</v>
      </c>
      <c r="O877" s="8">
        <v>2481</v>
      </c>
      <c r="P877" s="24">
        <v>4681</v>
      </c>
      <c r="Q877" s="22">
        <f>IF(COUNTIFS(A$2:A877,A877,I$2:I877,I877)=1,1,0)</f>
        <v>0</v>
      </c>
      <c r="R877" s="22">
        <f t="shared" si="13"/>
        <v>3</v>
      </c>
      <c r="S877" s="33">
        <f>IF(COUNTIF(O$2:O877,O877)=1,R877,0)/2.5</f>
        <v>0</v>
      </c>
    </row>
    <row r="878" spans="1:19" ht="18" customHeight="1" x14ac:dyDescent="0.25">
      <c r="A878" s="7" t="s">
        <v>43</v>
      </c>
      <c r="B878" s="8">
        <v>1</v>
      </c>
      <c r="C878" s="9">
        <v>387</v>
      </c>
      <c r="D878" s="29">
        <f>C878+IF(INDEX('Справочник по %'!B:B,(MATCH(A878,'Справочник по %'!A:A,0)))="кол-во",B878*INDEX('Справочник по %'!C:C,(MATCH(A878,'Справочник по %'!A:A,0))),ОТЧЕТ!C878*INDEX('Справочник по %'!C:C,(MATCH(A878,'Справочник по %'!A:A,0))))/100</f>
        <v>425.7</v>
      </c>
      <c r="E878" s="29">
        <f>IF(ОТЧЕТ!A878="SKU3",C878+ОТЧЕТ!C878*0.2,C878+ОТЧЕТ!C878*0.15)</f>
        <v>445.05</v>
      </c>
      <c r="F878" s="7" t="s">
        <v>2075</v>
      </c>
      <c r="G878" s="7">
        <v>9102213935</v>
      </c>
      <c r="H878" s="20" t="s">
        <v>868</v>
      </c>
      <c r="I878" s="22" t="str">
        <f>INDEX('Справочник Сети'!B:B,(MATCH(G878,'Справочник Сети'!C:C,0)))</f>
        <v>Ригла</v>
      </c>
      <c r="J878" s="7" t="s">
        <v>315</v>
      </c>
      <c r="K878" s="7" t="s">
        <v>2082</v>
      </c>
      <c r="L878" s="7" t="s">
        <v>315</v>
      </c>
      <c r="M878" s="31">
        <v>45670</v>
      </c>
      <c r="N878" s="7" t="s">
        <v>2083</v>
      </c>
      <c r="O878" s="8">
        <v>3055</v>
      </c>
      <c r="P878" s="24">
        <v>4682</v>
      </c>
      <c r="Q878" s="22">
        <f>IF(COUNTIFS(A$2:A878,A878,I$2:I878,I878)=1,1,0)</f>
        <v>0</v>
      </c>
      <c r="R878" s="22">
        <f t="shared" si="13"/>
        <v>4</v>
      </c>
      <c r="S878" s="33">
        <f>IF(COUNTIF(O$2:O878,O878)=1,R878,0)/2.5</f>
        <v>0</v>
      </c>
    </row>
    <row r="879" spans="1:19" ht="18" customHeight="1" x14ac:dyDescent="0.25">
      <c r="A879" s="7" t="s">
        <v>43</v>
      </c>
      <c r="B879" s="8">
        <v>1</v>
      </c>
      <c r="C879" s="9">
        <v>375</v>
      </c>
      <c r="D879" s="29">
        <f>C879+IF(INDEX('Справочник по %'!B:B,(MATCH(A879,'Справочник по %'!A:A,0)))="кол-во",B879*INDEX('Справочник по %'!C:C,(MATCH(A879,'Справочник по %'!A:A,0))),ОТЧЕТ!C879*INDEX('Справочник по %'!C:C,(MATCH(A879,'Справочник по %'!A:A,0))))/100</f>
        <v>412.5</v>
      </c>
      <c r="E879" s="29">
        <f>IF(ОТЧЕТ!A879="SKU3",C879+ОТЧЕТ!C879*0.2,C879+ОТЧЕТ!C879*0.15)</f>
        <v>431.25</v>
      </c>
      <c r="F879" s="7" t="s">
        <v>2084</v>
      </c>
      <c r="G879" s="7">
        <v>5903114664</v>
      </c>
      <c r="H879" s="20" t="s">
        <v>39</v>
      </c>
      <c r="I879" s="22" t="str">
        <f>INDEX('Справочник Сети'!B:B,(MATCH(G879,'Справочник Сети'!C:C,0)))</f>
        <v>Нео-фарм</v>
      </c>
      <c r="J879" s="7" t="s">
        <v>40</v>
      </c>
      <c r="K879" s="7" t="s">
        <v>2085</v>
      </c>
      <c r="L879" s="7" t="s">
        <v>40</v>
      </c>
      <c r="M879" s="31">
        <v>45712</v>
      </c>
      <c r="N879" s="7" t="s">
        <v>2086</v>
      </c>
      <c r="O879" s="8">
        <v>520</v>
      </c>
      <c r="P879" s="24">
        <v>4684</v>
      </c>
      <c r="Q879" s="22">
        <f>IF(COUNTIFS(A$2:A879,A879,I$2:I879,I879)=1,1,0)</f>
        <v>0</v>
      </c>
      <c r="R879" s="22">
        <f t="shared" si="13"/>
        <v>2</v>
      </c>
      <c r="S879" s="33">
        <f>IF(COUNTIF(O$2:O879,O879)=1,R879,0)/2.5</f>
        <v>0.8</v>
      </c>
    </row>
    <row r="880" spans="1:19" ht="18" customHeight="1" x14ac:dyDescent="0.25">
      <c r="A880" s="7" t="s">
        <v>43</v>
      </c>
      <c r="B880" s="8">
        <v>1</v>
      </c>
      <c r="C880" s="9">
        <v>375</v>
      </c>
      <c r="D880" s="29">
        <f>C880+IF(INDEX('Справочник по %'!B:B,(MATCH(A880,'Справочник по %'!A:A,0)))="кол-во",B880*INDEX('Справочник по %'!C:C,(MATCH(A880,'Справочник по %'!A:A,0))),ОТЧЕТ!C880*INDEX('Справочник по %'!C:C,(MATCH(A880,'Справочник по %'!A:A,0))))/100</f>
        <v>412.5</v>
      </c>
      <c r="E880" s="29">
        <f>IF(ОТЧЕТ!A880="SKU3",C880+ОТЧЕТ!C880*0.2,C880+ОТЧЕТ!C880*0.15)</f>
        <v>431.25</v>
      </c>
      <c r="F880" s="7" t="s">
        <v>2084</v>
      </c>
      <c r="G880" s="7">
        <v>5903114664</v>
      </c>
      <c r="H880" s="20" t="s">
        <v>39</v>
      </c>
      <c r="I880" s="22" t="str">
        <f>INDEX('Справочник Сети'!B:B,(MATCH(G880,'Справочник Сети'!C:C,0)))</f>
        <v>Нео-фарм</v>
      </c>
      <c r="J880" s="7" t="s">
        <v>40</v>
      </c>
      <c r="K880" s="7" t="s">
        <v>2085</v>
      </c>
      <c r="L880" s="7" t="s">
        <v>40</v>
      </c>
      <c r="M880" s="31">
        <v>45712</v>
      </c>
      <c r="N880" s="7" t="s">
        <v>2086</v>
      </c>
      <c r="O880" s="8">
        <v>520</v>
      </c>
      <c r="P880" s="24">
        <v>4684</v>
      </c>
      <c r="Q880" s="22">
        <f>IF(COUNTIFS(A$2:A880,A880,I$2:I880,I880)=1,1,0)</f>
        <v>0</v>
      </c>
      <c r="R880" s="22">
        <f t="shared" si="13"/>
        <v>2</v>
      </c>
      <c r="S880" s="33">
        <f>IF(COUNTIF(O$2:O880,O880)=1,R880,0)/2.5</f>
        <v>0</v>
      </c>
    </row>
    <row r="881" spans="1:19" ht="18" customHeight="1" x14ac:dyDescent="0.25">
      <c r="A881" s="7" t="s">
        <v>43</v>
      </c>
      <c r="B881" s="8">
        <v>1</v>
      </c>
      <c r="C881" s="9">
        <v>468.44</v>
      </c>
      <c r="D881" s="29">
        <f>C881+IF(INDEX('Справочник по %'!B:B,(MATCH(A881,'Справочник по %'!A:A,0)))="кол-во",B881*INDEX('Справочник по %'!C:C,(MATCH(A881,'Справочник по %'!A:A,0))),ОТЧЕТ!C881*INDEX('Справочник по %'!C:C,(MATCH(A881,'Справочник по %'!A:A,0))))/100</f>
        <v>515.28399999999999</v>
      </c>
      <c r="E881" s="29">
        <f>IF(ОТЧЕТ!A881="SKU3",C881+ОТЧЕТ!C881*0.2,C881+ОТЧЕТ!C881*0.15)</f>
        <v>538.70600000000002</v>
      </c>
      <c r="F881" s="7" t="s">
        <v>2084</v>
      </c>
      <c r="G881" s="7">
        <v>550711904930</v>
      </c>
      <c r="H881" s="20" t="s">
        <v>50</v>
      </c>
      <c r="I881" s="22" t="str">
        <f>INDEX('Справочник Сети'!B:B,(MATCH(G881,'Справочник Сети'!C:C,0)))</f>
        <v>Ригла</v>
      </c>
      <c r="J881" s="7" t="s">
        <v>251</v>
      </c>
      <c r="K881" s="7" t="s">
        <v>1054</v>
      </c>
      <c r="L881" s="7" t="s">
        <v>251</v>
      </c>
      <c r="M881" s="31">
        <v>45659</v>
      </c>
      <c r="N881" s="7" t="s">
        <v>2087</v>
      </c>
      <c r="O881" s="8">
        <v>3477</v>
      </c>
      <c r="P881" s="24">
        <v>4689</v>
      </c>
      <c r="Q881" s="22">
        <f>IF(COUNTIFS(A$2:A881,A881,I$2:I881,I881)=1,1,0)</f>
        <v>0</v>
      </c>
      <c r="R881" s="22">
        <f t="shared" si="13"/>
        <v>4</v>
      </c>
      <c r="S881" s="33">
        <f>IF(COUNTIF(O$2:O881,O881)=1,R881,0)/2.5</f>
        <v>0</v>
      </c>
    </row>
    <row r="882" spans="1:19" ht="18" customHeight="1" x14ac:dyDescent="0.25">
      <c r="A882" s="7" t="s">
        <v>37</v>
      </c>
      <c r="B882" s="8">
        <v>1</v>
      </c>
      <c r="C882" s="9">
        <v>589</v>
      </c>
      <c r="D882" s="29">
        <f>C882+IF(INDEX('Справочник по %'!B:B,(MATCH(A882,'Справочник по %'!A:A,0)))="кол-во",B882*INDEX('Справочник по %'!C:C,(MATCH(A882,'Справочник по %'!A:A,0))),ОТЧЕТ!C882*INDEX('Справочник по %'!C:C,(MATCH(A882,'Справочник по %'!A:A,0))))/100</f>
        <v>589.20000000000005</v>
      </c>
      <c r="E882" s="29">
        <f>IF(ОТЧЕТ!A882="SKU3",C882+ОТЧЕТ!C882*0.2,C882+ОТЧЕТ!C882*0.15)</f>
        <v>677.35</v>
      </c>
      <c r="F882" s="7" t="s">
        <v>2084</v>
      </c>
      <c r="G882" s="7">
        <v>6166045261</v>
      </c>
      <c r="H882" s="20" t="s">
        <v>2088</v>
      </c>
      <c r="I882" s="22" t="str">
        <f>INDEX('Справочник Сети'!B:B,(MATCH(G882,'Справочник Сети'!C:C,0)))</f>
        <v>Столички</v>
      </c>
      <c r="J882" s="7" t="s">
        <v>203</v>
      </c>
      <c r="K882" s="7" t="s">
        <v>2089</v>
      </c>
      <c r="L882" s="7" t="s">
        <v>520</v>
      </c>
      <c r="M882" s="31">
        <v>45697</v>
      </c>
      <c r="N882" s="7" t="s">
        <v>2090</v>
      </c>
      <c r="O882" s="8">
        <v>2079</v>
      </c>
      <c r="P882" s="24">
        <v>4690</v>
      </c>
      <c r="Q882" s="22">
        <f>IF(COUNTIFS(A$2:A882,A882,I$2:I882,I882)=1,1,0)</f>
        <v>0</v>
      </c>
      <c r="R882" s="22">
        <f t="shared" si="13"/>
        <v>2</v>
      </c>
      <c r="S882" s="33">
        <f>IF(COUNTIF(O$2:O882,O882)=1,R882,0)/2.5</f>
        <v>0.8</v>
      </c>
    </row>
    <row r="883" spans="1:19" ht="18" customHeight="1" x14ac:dyDescent="0.25">
      <c r="A883" s="7" t="s">
        <v>43</v>
      </c>
      <c r="B883" s="8">
        <v>1</v>
      </c>
      <c r="C883" s="9">
        <v>506</v>
      </c>
      <c r="D883" s="29">
        <f>C883+IF(INDEX('Справочник по %'!B:B,(MATCH(A883,'Справочник по %'!A:A,0)))="кол-во",B883*INDEX('Справочник по %'!C:C,(MATCH(A883,'Справочник по %'!A:A,0))),ОТЧЕТ!C883*INDEX('Справочник по %'!C:C,(MATCH(A883,'Справочник по %'!A:A,0))))/100</f>
        <v>556.6</v>
      </c>
      <c r="E883" s="29">
        <f>IF(ОТЧЕТ!A883="SKU3",C883+ОТЧЕТ!C883*0.2,C883+ОТЧЕТ!C883*0.15)</f>
        <v>581.9</v>
      </c>
      <c r="F883" s="7" t="s">
        <v>2091</v>
      </c>
      <c r="G883" s="7">
        <v>1650103421</v>
      </c>
      <c r="H883" s="20" t="s">
        <v>2092</v>
      </c>
      <c r="I883" s="22" t="str">
        <f>INDEX('Справочник Сети'!B:B,(MATCH(G883,'Справочник Сети'!C:C,0)))</f>
        <v>Ригла</v>
      </c>
      <c r="J883" s="7" t="s">
        <v>335</v>
      </c>
      <c r="K883" s="7" t="s">
        <v>2093</v>
      </c>
      <c r="L883" s="7" t="s">
        <v>335</v>
      </c>
      <c r="M883" s="31">
        <v>45731</v>
      </c>
      <c r="N883" s="7" t="s">
        <v>2094</v>
      </c>
      <c r="O883" s="8">
        <v>62</v>
      </c>
      <c r="P883" s="24">
        <v>4700</v>
      </c>
      <c r="Q883" s="22">
        <f>IF(COUNTIFS(A$2:A883,A883,I$2:I883,I883)=1,1,0)</f>
        <v>0</v>
      </c>
      <c r="R883" s="22">
        <f t="shared" si="13"/>
        <v>1</v>
      </c>
      <c r="S883" s="33">
        <f>IF(COUNTIF(O$2:O883,O883)=1,R883,0)/2.5</f>
        <v>0.4</v>
      </c>
    </row>
    <row r="884" spans="1:19" ht="18" customHeight="1" x14ac:dyDescent="0.25">
      <c r="A884" s="7" t="s">
        <v>43</v>
      </c>
      <c r="B884" s="8">
        <v>1</v>
      </c>
      <c r="C884" s="9">
        <v>453</v>
      </c>
      <c r="D884" s="29">
        <f>C884+IF(INDEX('Справочник по %'!B:B,(MATCH(A884,'Справочник по %'!A:A,0)))="кол-во",B884*INDEX('Справочник по %'!C:C,(MATCH(A884,'Справочник по %'!A:A,0))),ОТЧЕТ!C884*INDEX('Справочник по %'!C:C,(MATCH(A884,'Справочник по %'!A:A,0))))/100</f>
        <v>498.3</v>
      </c>
      <c r="E884" s="29">
        <f>IF(ОТЧЕТ!A884="SKU3",C884+ОТЧЕТ!C884*0.2,C884+ОТЧЕТ!C884*0.15)</f>
        <v>520.95000000000005</v>
      </c>
      <c r="F884" s="7" t="s">
        <v>2091</v>
      </c>
      <c r="G884" s="7">
        <v>7128500722</v>
      </c>
      <c r="H884" s="20" t="s">
        <v>91</v>
      </c>
      <c r="I884" s="22">
        <f>INDEX('Справочник Сети'!B:B,(MATCH(G884,'Справочник Сети'!C:C,0)))</f>
        <v>0</v>
      </c>
      <c r="J884" s="7" t="s">
        <v>106</v>
      </c>
      <c r="K884" s="7" t="s">
        <v>495</v>
      </c>
      <c r="L884" s="7" t="s">
        <v>106</v>
      </c>
      <c r="M884" s="31">
        <v>45694</v>
      </c>
      <c r="N884" s="7" t="s">
        <v>2095</v>
      </c>
      <c r="O884" s="8">
        <v>2225</v>
      </c>
      <c r="P884" s="24">
        <v>4701</v>
      </c>
      <c r="Q884" s="22">
        <f>IF(COUNTIFS(A$2:A884,A884,I$2:I884,I884)=1,1,0)</f>
        <v>0</v>
      </c>
      <c r="R884" s="22">
        <f t="shared" si="13"/>
        <v>2</v>
      </c>
      <c r="S884" s="33">
        <f>IF(COUNTIF(O$2:O884,O884)=1,R884,0)/2.5</f>
        <v>0.8</v>
      </c>
    </row>
    <row r="885" spans="1:19" ht="18" customHeight="1" x14ac:dyDescent="0.25">
      <c r="A885" s="7" t="s">
        <v>43</v>
      </c>
      <c r="B885" s="8">
        <v>1</v>
      </c>
      <c r="C885" s="9">
        <v>395</v>
      </c>
      <c r="D885" s="29">
        <f>C885+IF(INDEX('Справочник по %'!B:B,(MATCH(A885,'Справочник по %'!A:A,0)))="кол-во",B885*INDEX('Справочник по %'!C:C,(MATCH(A885,'Справочник по %'!A:A,0))),ОТЧЕТ!C885*INDEX('Справочник по %'!C:C,(MATCH(A885,'Справочник по %'!A:A,0))))/100</f>
        <v>434.5</v>
      </c>
      <c r="E885" s="29">
        <f>IF(ОТЧЕТ!A885="SKU3",C885+ОТЧЕТ!C885*0.2,C885+ОТЧЕТ!C885*0.15)</f>
        <v>454.25</v>
      </c>
      <c r="F885" s="7" t="s">
        <v>2091</v>
      </c>
      <c r="G885" s="7">
        <v>5803012468</v>
      </c>
      <c r="H885" s="20" t="s">
        <v>2096</v>
      </c>
      <c r="I885" s="22">
        <f>INDEX('Справочник Сети'!B:B,(MATCH(G885,'Справочник Сети'!C:C,0)))</f>
        <v>0</v>
      </c>
      <c r="J885" s="7" t="s">
        <v>40</v>
      </c>
      <c r="K885" s="7" t="s">
        <v>738</v>
      </c>
      <c r="L885" s="7" t="s">
        <v>40</v>
      </c>
      <c r="M885" s="31">
        <v>45712</v>
      </c>
      <c r="N885" s="7" t="s">
        <v>2097</v>
      </c>
      <c r="O885" s="8">
        <v>539</v>
      </c>
      <c r="P885" s="24">
        <v>4702</v>
      </c>
      <c r="Q885" s="22">
        <f>IF(COUNTIFS(A$2:A885,A885,I$2:I885,I885)=1,1,0)</f>
        <v>0</v>
      </c>
      <c r="R885" s="22">
        <f t="shared" si="13"/>
        <v>2</v>
      </c>
      <c r="S885" s="33">
        <f>IF(COUNTIF(O$2:O885,O885)=1,R885,0)/2.5</f>
        <v>0.8</v>
      </c>
    </row>
    <row r="886" spans="1:19" ht="18" customHeight="1" x14ac:dyDescent="0.25">
      <c r="A886" s="7" t="s">
        <v>43</v>
      </c>
      <c r="B886" s="8">
        <v>1</v>
      </c>
      <c r="C886" s="9">
        <v>369.8</v>
      </c>
      <c r="D886" s="29">
        <f>C886+IF(INDEX('Справочник по %'!B:B,(MATCH(A886,'Справочник по %'!A:A,0)))="кол-во",B886*INDEX('Справочник по %'!C:C,(MATCH(A886,'Справочник по %'!A:A,0))),ОТЧЕТ!C886*INDEX('Справочник по %'!C:C,(MATCH(A886,'Справочник по %'!A:A,0))))/100</f>
        <v>406.78000000000003</v>
      </c>
      <c r="E886" s="29">
        <f>IF(ОТЧЕТ!A886="SKU3",C886+ОТЧЕТ!C886*0.2,C886+ОТЧЕТ!C886*0.15)</f>
        <v>425.27</v>
      </c>
      <c r="F886" s="7" t="s">
        <v>2091</v>
      </c>
      <c r="G886" s="7">
        <v>5517010163</v>
      </c>
      <c r="H886" s="20" t="s">
        <v>615</v>
      </c>
      <c r="I886" s="22">
        <f>INDEX('Справочник Сети'!B:B,(MATCH(G886,'Справочник Сети'!C:C,0)))</f>
        <v>0</v>
      </c>
      <c r="J886" s="7" t="s">
        <v>255</v>
      </c>
      <c r="K886" s="7" t="s">
        <v>2098</v>
      </c>
      <c r="L886" s="7" t="s">
        <v>255</v>
      </c>
      <c r="M886" s="31">
        <v>45713</v>
      </c>
      <c r="N886" s="7" t="s">
        <v>2099</v>
      </c>
      <c r="O886" s="8">
        <v>1706</v>
      </c>
      <c r="P886" s="24">
        <v>4703</v>
      </c>
      <c r="Q886" s="22">
        <f>IF(COUNTIFS(A$2:A886,A886,I$2:I886,I886)=1,1,0)</f>
        <v>0</v>
      </c>
      <c r="R886" s="22">
        <f t="shared" si="13"/>
        <v>1</v>
      </c>
      <c r="S886" s="33">
        <f>IF(COUNTIF(O$2:O886,O886)=1,R886,0)/2.5</f>
        <v>0.4</v>
      </c>
    </row>
    <row r="887" spans="1:19" ht="18" customHeight="1" x14ac:dyDescent="0.25">
      <c r="A887" s="7" t="s">
        <v>43</v>
      </c>
      <c r="B887" s="8">
        <v>1</v>
      </c>
      <c r="C887" s="9">
        <v>325</v>
      </c>
      <c r="D887" s="29">
        <f>C887+IF(INDEX('Справочник по %'!B:B,(MATCH(A887,'Справочник по %'!A:A,0)))="кол-во",B887*INDEX('Справочник по %'!C:C,(MATCH(A887,'Справочник по %'!A:A,0))),ОТЧЕТ!C887*INDEX('Справочник по %'!C:C,(MATCH(A887,'Справочник по %'!A:A,0))))/100</f>
        <v>357.5</v>
      </c>
      <c r="E887" s="29">
        <f>IF(ОТЧЕТ!A887="SKU3",C887+ОТЧЕТ!C887*0.2,C887+ОТЧЕТ!C887*0.15)</f>
        <v>373.75</v>
      </c>
      <c r="F887" s="7" t="s">
        <v>2091</v>
      </c>
      <c r="G887" s="7">
        <v>2543023195</v>
      </c>
      <c r="H887" s="20" t="s">
        <v>69</v>
      </c>
      <c r="I887" s="22" t="str">
        <f>INDEX('Справочник Сети'!B:B,(MATCH(G887,'Справочник Сети'!C:C,0)))</f>
        <v>36,6</v>
      </c>
      <c r="J887" s="7" t="s">
        <v>46</v>
      </c>
      <c r="K887" s="7" t="s">
        <v>2100</v>
      </c>
      <c r="L887" s="7" t="s">
        <v>46</v>
      </c>
      <c r="M887" s="31">
        <v>45726</v>
      </c>
      <c r="N887" s="7" t="s">
        <v>2101</v>
      </c>
      <c r="O887" s="8">
        <v>951</v>
      </c>
      <c r="P887" s="24">
        <v>4704</v>
      </c>
      <c r="Q887" s="22">
        <f>IF(COUNTIFS(A$2:A887,A887,I$2:I887,I887)=1,1,0)</f>
        <v>0</v>
      </c>
      <c r="R887" s="22">
        <f t="shared" si="13"/>
        <v>3</v>
      </c>
      <c r="S887" s="33">
        <f>IF(COUNTIF(O$2:O887,O887)=1,R887,0)/2.5</f>
        <v>0</v>
      </c>
    </row>
    <row r="888" spans="1:19" ht="18" customHeight="1" x14ac:dyDescent="0.25">
      <c r="A888" s="7" t="s">
        <v>43</v>
      </c>
      <c r="B888" s="8">
        <v>1</v>
      </c>
      <c r="C888" s="9">
        <v>370</v>
      </c>
      <c r="D888" s="29">
        <f>C888+IF(INDEX('Справочник по %'!B:B,(MATCH(A888,'Справочник по %'!A:A,0)))="кол-во",B888*INDEX('Справочник по %'!C:C,(MATCH(A888,'Справочник по %'!A:A,0))),ОТЧЕТ!C888*INDEX('Справочник по %'!C:C,(MATCH(A888,'Справочник по %'!A:A,0))))/100</f>
        <v>407</v>
      </c>
      <c r="E888" s="29">
        <f>IF(ОТЧЕТ!A888="SKU3",C888+ОТЧЕТ!C888*0.2,C888+ОТЧЕТ!C888*0.15)</f>
        <v>425.5</v>
      </c>
      <c r="F888" s="7" t="s">
        <v>2102</v>
      </c>
      <c r="G888" s="7">
        <v>2225105670</v>
      </c>
      <c r="H888" s="20" t="s">
        <v>69</v>
      </c>
      <c r="I888" s="22" t="str">
        <f>INDEX('Справочник Сети'!B:B,(MATCH(G888,'Справочник Сети'!C:C,0)))</f>
        <v>Столички</v>
      </c>
      <c r="J888" s="7" t="s">
        <v>372</v>
      </c>
      <c r="K888" s="7" t="s">
        <v>2103</v>
      </c>
      <c r="L888" s="7" t="s">
        <v>372</v>
      </c>
      <c r="M888" s="31">
        <v>45730</v>
      </c>
      <c r="N888" s="7" t="s">
        <v>2104</v>
      </c>
      <c r="O888" s="8">
        <v>1261</v>
      </c>
      <c r="P888" s="24">
        <v>4706</v>
      </c>
      <c r="Q888" s="22">
        <f>IF(COUNTIFS(A$2:A888,A888,I$2:I888,I888)=1,1,0)</f>
        <v>0</v>
      </c>
      <c r="R888" s="22">
        <f t="shared" si="13"/>
        <v>5</v>
      </c>
      <c r="S888" s="33">
        <f>IF(COUNTIF(O$2:O888,O888)=1,R888,0)/2.5</f>
        <v>0</v>
      </c>
    </row>
    <row r="889" spans="1:19" ht="18" customHeight="1" x14ac:dyDescent="0.25">
      <c r="A889" s="7" t="s">
        <v>37</v>
      </c>
      <c r="B889" s="8">
        <v>1</v>
      </c>
      <c r="C889" s="9">
        <v>578</v>
      </c>
      <c r="D889" s="29">
        <f>C889+IF(INDEX('Справочник по %'!B:B,(MATCH(A889,'Справочник по %'!A:A,0)))="кол-во",B889*INDEX('Справочник по %'!C:C,(MATCH(A889,'Справочник по %'!A:A,0))),ОТЧЕТ!C889*INDEX('Справочник по %'!C:C,(MATCH(A889,'Справочник по %'!A:A,0))))/100</f>
        <v>578.20000000000005</v>
      </c>
      <c r="E889" s="29">
        <f>IF(ОТЧЕТ!A889="SKU3",C889+ОТЧЕТ!C889*0.2,C889+ОТЧЕТ!C889*0.15)</f>
        <v>664.7</v>
      </c>
      <c r="F889" s="7" t="s">
        <v>2105</v>
      </c>
      <c r="G889" s="7">
        <v>2308110232</v>
      </c>
      <c r="H889" s="20" t="s">
        <v>69</v>
      </c>
      <c r="I889" s="22" t="str">
        <f>INDEX('Справочник Сети'!B:B,(MATCH(G889,'Справочник Сети'!C:C,0)))</f>
        <v>Нео-фарм</v>
      </c>
      <c r="J889" s="7" t="s">
        <v>372</v>
      </c>
      <c r="K889" s="7" t="s">
        <v>2106</v>
      </c>
      <c r="L889" s="7" t="s">
        <v>372</v>
      </c>
      <c r="M889" s="31">
        <v>45730</v>
      </c>
      <c r="N889" s="7" t="s">
        <v>2107</v>
      </c>
      <c r="O889" s="8">
        <v>313</v>
      </c>
      <c r="P889" s="24">
        <v>4708</v>
      </c>
      <c r="Q889" s="22">
        <f>IF(COUNTIFS(A$2:A889,A889,I$2:I889,I889)=1,1,0)</f>
        <v>0</v>
      </c>
      <c r="R889" s="22">
        <f t="shared" si="13"/>
        <v>2</v>
      </c>
      <c r="S889" s="33">
        <f>IF(COUNTIF(O$2:O889,O889)=1,R889,0)/2.5</f>
        <v>0.8</v>
      </c>
    </row>
    <row r="890" spans="1:19" ht="18" customHeight="1" x14ac:dyDescent="0.25">
      <c r="A890" s="7" t="s">
        <v>43</v>
      </c>
      <c r="B890" s="8">
        <v>1</v>
      </c>
      <c r="C890" s="9">
        <v>371</v>
      </c>
      <c r="D890" s="29">
        <f>C890+IF(INDEX('Справочник по %'!B:B,(MATCH(A890,'Справочник по %'!A:A,0)))="кол-во",B890*INDEX('Справочник по %'!C:C,(MATCH(A890,'Справочник по %'!A:A,0))),ОТЧЕТ!C890*INDEX('Справочник по %'!C:C,(MATCH(A890,'Справочник по %'!A:A,0))))/100</f>
        <v>408.1</v>
      </c>
      <c r="E890" s="29">
        <f>IF(ОТЧЕТ!A890="SKU3",C890+ОТЧЕТ!C890*0.2,C890+ОТЧЕТ!C890*0.15)</f>
        <v>426.65</v>
      </c>
      <c r="F890" s="7" t="s">
        <v>2108</v>
      </c>
      <c r="G890" s="7">
        <v>7706795062</v>
      </c>
      <c r="H890" s="20" t="s">
        <v>327</v>
      </c>
      <c r="I890" s="22" t="str">
        <f>INDEX('Справочник Сети'!B:B,(MATCH(G890,'Справочник Сети'!C:C,0)))</f>
        <v>Планета здоровья</v>
      </c>
      <c r="J890" s="7" t="s">
        <v>87</v>
      </c>
      <c r="K890" s="7" t="s">
        <v>2109</v>
      </c>
      <c r="L890" s="7" t="s">
        <v>87</v>
      </c>
      <c r="M890" s="31">
        <v>45691</v>
      </c>
      <c r="N890" s="7" t="s">
        <v>2110</v>
      </c>
      <c r="O890" s="8">
        <v>1670</v>
      </c>
      <c r="P890" s="24">
        <v>4714</v>
      </c>
      <c r="Q890" s="22">
        <f>IF(COUNTIFS(A$2:A890,A890,I$2:I890,I890)=1,1,0)</f>
        <v>0</v>
      </c>
      <c r="R890" s="22">
        <f t="shared" si="13"/>
        <v>1</v>
      </c>
      <c r="S890" s="33">
        <f>IF(COUNTIF(O$2:O890,O890)=1,R890,0)/2.5</f>
        <v>0.4</v>
      </c>
    </row>
    <row r="891" spans="1:19" ht="18" customHeight="1" x14ac:dyDescent="0.25">
      <c r="A891" s="7" t="s">
        <v>43</v>
      </c>
      <c r="B891" s="8">
        <v>1</v>
      </c>
      <c r="C891" s="9">
        <v>495</v>
      </c>
      <c r="D891" s="29">
        <f>C891+IF(INDEX('Справочник по %'!B:B,(MATCH(A891,'Справочник по %'!A:A,0)))="кол-во",B891*INDEX('Справочник по %'!C:C,(MATCH(A891,'Справочник по %'!A:A,0))),ОТЧЕТ!C891*INDEX('Справочник по %'!C:C,(MATCH(A891,'Справочник по %'!A:A,0))))/100</f>
        <v>544.5</v>
      </c>
      <c r="E891" s="29">
        <f>IF(ОТЧЕТ!A891="SKU3",C891+ОТЧЕТ!C891*0.2,C891+ОТЧЕТ!C891*0.15)</f>
        <v>569.25</v>
      </c>
      <c r="F891" s="7" t="s">
        <v>2111</v>
      </c>
      <c r="G891" s="7">
        <v>7840411560</v>
      </c>
      <c r="H891" s="20" t="s">
        <v>2112</v>
      </c>
      <c r="I891" s="22" t="str">
        <f>INDEX('Справочник Сети'!B:B,(MATCH(G891,'Справочник Сети'!C:C,0)))</f>
        <v>Столички</v>
      </c>
      <c r="J891" s="7" t="s">
        <v>315</v>
      </c>
      <c r="K891" s="7" t="s">
        <v>2113</v>
      </c>
      <c r="L891" s="7" t="s">
        <v>315</v>
      </c>
      <c r="M891" s="31">
        <v>45670</v>
      </c>
      <c r="N891" s="7" t="s">
        <v>2114</v>
      </c>
      <c r="O891" s="8">
        <v>919</v>
      </c>
      <c r="P891" s="24">
        <v>4717</v>
      </c>
      <c r="Q891" s="22">
        <f>IF(COUNTIFS(A$2:A891,A891,I$2:I891,I891)=1,1,0)</f>
        <v>0</v>
      </c>
      <c r="R891" s="22">
        <f t="shared" si="13"/>
        <v>2</v>
      </c>
      <c r="S891" s="33">
        <f>IF(COUNTIF(O$2:O891,O891)=1,R891,0)/2.5</f>
        <v>0.8</v>
      </c>
    </row>
    <row r="892" spans="1:19" ht="18" customHeight="1" x14ac:dyDescent="0.25">
      <c r="A892" s="7" t="s">
        <v>43</v>
      </c>
      <c r="B892" s="8">
        <v>1</v>
      </c>
      <c r="C892" s="9">
        <v>407</v>
      </c>
      <c r="D892" s="29">
        <f>C892+IF(INDEX('Справочник по %'!B:B,(MATCH(A892,'Справочник по %'!A:A,0)))="кол-во",B892*INDEX('Справочник по %'!C:C,(MATCH(A892,'Справочник по %'!A:A,0))),ОТЧЕТ!C892*INDEX('Справочник по %'!C:C,(MATCH(A892,'Справочник по %'!A:A,0))))/100</f>
        <v>447.7</v>
      </c>
      <c r="E892" s="29">
        <f>IF(ОТЧЕТ!A892="SKU3",C892+ОТЧЕТ!C892*0.2,C892+ОТЧЕТ!C892*0.15)</f>
        <v>468.05</v>
      </c>
      <c r="F892" s="7" t="s">
        <v>2115</v>
      </c>
      <c r="G892" s="7">
        <v>5321137817</v>
      </c>
      <c r="H892" s="20" t="s">
        <v>50</v>
      </c>
      <c r="I892" s="22" t="str">
        <f>INDEX('Справочник Сети'!B:B,(MATCH(G892,'Справочник Сети'!C:C,0)))</f>
        <v>Ригла</v>
      </c>
      <c r="J892" s="7" t="s">
        <v>92</v>
      </c>
      <c r="K892" s="7" t="s">
        <v>2113</v>
      </c>
      <c r="L892" s="7" t="s">
        <v>92</v>
      </c>
      <c r="M892" s="31">
        <v>45714</v>
      </c>
      <c r="N892" s="7" t="s">
        <v>2116</v>
      </c>
      <c r="O892" s="8">
        <v>3574</v>
      </c>
      <c r="P892" s="24">
        <v>4724</v>
      </c>
      <c r="Q892" s="22">
        <f>IF(COUNTIFS(A$2:A892,A892,I$2:I892,I892)=1,1,0)</f>
        <v>0</v>
      </c>
      <c r="R892" s="22">
        <f t="shared" si="13"/>
        <v>2</v>
      </c>
      <c r="S892" s="33">
        <f>IF(COUNTIF(O$2:O892,O892)=1,R892,0)/2.5</f>
        <v>0.8</v>
      </c>
    </row>
    <row r="893" spans="1:19" ht="18" customHeight="1" x14ac:dyDescent="0.25">
      <c r="A893" s="7" t="s">
        <v>43</v>
      </c>
      <c r="B893" s="8">
        <v>1</v>
      </c>
      <c r="C893" s="9">
        <v>422</v>
      </c>
      <c r="D893" s="29">
        <f>C893+IF(INDEX('Справочник по %'!B:B,(MATCH(A893,'Справочник по %'!A:A,0)))="кол-во",B893*INDEX('Справочник по %'!C:C,(MATCH(A893,'Справочник по %'!A:A,0))),ОТЧЕТ!C893*INDEX('Справочник по %'!C:C,(MATCH(A893,'Справочник по %'!A:A,0))))/100</f>
        <v>464.2</v>
      </c>
      <c r="E893" s="29">
        <f>IF(ОТЧЕТ!A893="SKU3",C893+ОТЧЕТ!C893*0.2,C893+ОТЧЕТ!C893*0.15)</f>
        <v>485.3</v>
      </c>
      <c r="F893" s="7" t="s">
        <v>2115</v>
      </c>
      <c r="G893" s="7">
        <v>5904196645</v>
      </c>
      <c r="H893" s="20" t="s">
        <v>39</v>
      </c>
      <c r="I893" s="22" t="str">
        <f>INDEX('Справочник Сети'!B:B,(MATCH(G893,'Справочник Сети'!C:C,0)))</f>
        <v>36,6</v>
      </c>
      <c r="J893" s="7" t="s">
        <v>40</v>
      </c>
      <c r="K893" s="7" t="s">
        <v>1499</v>
      </c>
      <c r="L893" s="7" t="s">
        <v>40</v>
      </c>
      <c r="M893" s="31">
        <v>45712</v>
      </c>
      <c r="N893" s="7" t="s">
        <v>2117</v>
      </c>
      <c r="O893" s="8">
        <v>1932</v>
      </c>
      <c r="P893" s="24">
        <v>4725</v>
      </c>
      <c r="Q893" s="22">
        <f>IF(COUNTIFS(A$2:A893,A893,I$2:I893,I893)=1,1,0)</f>
        <v>0</v>
      </c>
      <c r="R893" s="22">
        <f t="shared" si="13"/>
        <v>1</v>
      </c>
      <c r="S893" s="33">
        <f>IF(COUNTIF(O$2:O893,O893)=1,R893,0)/2.5</f>
        <v>0.4</v>
      </c>
    </row>
    <row r="894" spans="1:19" ht="18" customHeight="1" x14ac:dyDescent="0.25">
      <c r="A894" s="7" t="s">
        <v>43</v>
      </c>
      <c r="B894" s="8">
        <v>1</v>
      </c>
      <c r="C894" s="9">
        <v>410</v>
      </c>
      <c r="D894" s="29">
        <f>C894+IF(INDEX('Справочник по %'!B:B,(MATCH(A894,'Справочник по %'!A:A,0)))="кол-во",B894*INDEX('Справочник по %'!C:C,(MATCH(A894,'Справочник по %'!A:A,0))),ОТЧЕТ!C894*INDEX('Справочник по %'!C:C,(MATCH(A894,'Справочник по %'!A:A,0))))/100</f>
        <v>451</v>
      </c>
      <c r="E894" s="29">
        <f>IF(ОТЧЕТ!A894="SKU3",C894+ОТЧЕТ!C894*0.2,C894+ОТЧЕТ!C894*0.15)</f>
        <v>471.5</v>
      </c>
      <c r="F894" s="7" t="s">
        <v>2118</v>
      </c>
      <c r="G894" s="7">
        <v>7814431591</v>
      </c>
      <c r="H894" s="20" t="s">
        <v>50</v>
      </c>
      <c r="I894" s="22">
        <f>INDEX('Справочник Сети'!B:B,(MATCH(G894,'Справочник Сети'!C:C,0)))</f>
        <v>0</v>
      </c>
      <c r="J894" s="7" t="s">
        <v>121</v>
      </c>
      <c r="K894" s="7" t="s">
        <v>1398</v>
      </c>
      <c r="L894" s="7" t="s">
        <v>121</v>
      </c>
      <c r="M894" s="31">
        <v>45671</v>
      </c>
      <c r="N894" s="7" t="s">
        <v>2119</v>
      </c>
      <c r="O894" s="8">
        <v>65</v>
      </c>
      <c r="P894" s="24">
        <v>4729</v>
      </c>
      <c r="Q894" s="22">
        <f>IF(COUNTIFS(A$2:A894,A894,I$2:I894,I894)=1,1,0)</f>
        <v>0</v>
      </c>
      <c r="R894" s="22">
        <f t="shared" si="13"/>
        <v>4</v>
      </c>
      <c r="S894" s="33">
        <f>IF(COUNTIF(O$2:O894,O894)=1,R894,0)/2.5</f>
        <v>1.6</v>
      </c>
    </row>
    <row r="895" spans="1:19" ht="18" customHeight="1" x14ac:dyDescent="0.25">
      <c r="A895" s="7" t="s">
        <v>43</v>
      </c>
      <c r="B895" s="8">
        <v>1</v>
      </c>
      <c r="C895" s="9">
        <v>399</v>
      </c>
      <c r="D895" s="29">
        <f>C895+IF(INDEX('Справочник по %'!B:B,(MATCH(A895,'Справочник по %'!A:A,0)))="кол-во",B895*INDEX('Справочник по %'!C:C,(MATCH(A895,'Справочник по %'!A:A,0))),ОТЧЕТ!C895*INDEX('Справочник по %'!C:C,(MATCH(A895,'Справочник по %'!A:A,0))))/100</f>
        <v>438.9</v>
      </c>
      <c r="E895" s="29">
        <f>IF(ОТЧЕТ!A895="SKU3",C895+ОТЧЕТ!C895*0.2,C895+ОТЧЕТ!C895*0.15)</f>
        <v>458.85</v>
      </c>
      <c r="F895" s="7" t="s">
        <v>2120</v>
      </c>
      <c r="G895" s="7">
        <v>7716997445</v>
      </c>
      <c r="H895" s="20" t="s">
        <v>167</v>
      </c>
      <c r="I895" s="22" t="str">
        <f>INDEX('Справочник Сети'!B:B,(MATCH(G895,'Справочник Сети'!C:C,0)))</f>
        <v>Столички</v>
      </c>
      <c r="J895" s="7" t="s">
        <v>168</v>
      </c>
      <c r="K895" s="7" t="s">
        <v>1471</v>
      </c>
      <c r="L895" s="7" t="s">
        <v>168</v>
      </c>
      <c r="M895" s="31">
        <v>45676</v>
      </c>
      <c r="N895" s="7" t="s">
        <v>2121</v>
      </c>
      <c r="O895" s="8">
        <v>506</v>
      </c>
      <c r="P895" s="24">
        <v>4732</v>
      </c>
      <c r="Q895" s="22">
        <f>IF(COUNTIFS(A$2:A895,A895,I$2:I895,I895)=1,1,0)</f>
        <v>0</v>
      </c>
      <c r="R895" s="22">
        <f t="shared" si="13"/>
        <v>1</v>
      </c>
      <c r="S895" s="33">
        <f>IF(COUNTIF(O$2:O895,O895)=1,R895,0)/2.5</f>
        <v>0.4</v>
      </c>
    </row>
    <row r="896" spans="1:19" ht="18" customHeight="1" x14ac:dyDescent="0.25">
      <c r="A896" s="7" t="s">
        <v>37</v>
      </c>
      <c r="B896" s="8">
        <v>1</v>
      </c>
      <c r="C896" s="9">
        <v>609.9</v>
      </c>
      <c r="D896" s="29">
        <f>C896+IF(INDEX('Справочник по %'!B:B,(MATCH(A896,'Справочник по %'!A:A,0)))="кол-во",B896*INDEX('Справочник по %'!C:C,(MATCH(A896,'Справочник по %'!A:A,0))),ОТЧЕТ!C896*INDEX('Справочник по %'!C:C,(MATCH(A896,'Справочник по %'!A:A,0))))/100</f>
        <v>610.1</v>
      </c>
      <c r="E896" s="29">
        <f>IF(ОТЧЕТ!A896="SKU3",C896+ОТЧЕТ!C896*0.2,C896+ОТЧЕТ!C896*0.15)</f>
        <v>701.38499999999999</v>
      </c>
      <c r="F896" s="7" t="s">
        <v>2122</v>
      </c>
      <c r="G896" s="7">
        <v>7204146152</v>
      </c>
      <c r="H896" s="20" t="s">
        <v>136</v>
      </c>
      <c r="I896" s="22" t="str">
        <f>INDEX('Справочник Сети'!B:B,(MATCH(G896,'Справочник Сети'!C:C,0)))</f>
        <v>36,6</v>
      </c>
      <c r="J896" s="7" t="s">
        <v>104</v>
      </c>
      <c r="K896" s="7" t="s">
        <v>616</v>
      </c>
      <c r="L896" s="7" t="s">
        <v>106</v>
      </c>
      <c r="M896" s="31">
        <v>45694</v>
      </c>
      <c r="N896" s="7" t="s">
        <v>2123</v>
      </c>
      <c r="O896" s="8">
        <v>1188</v>
      </c>
      <c r="P896" s="24">
        <v>4734</v>
      </c>
      <c r="Q896" s="22">
        <f>IF(COUNTIFS(A$2:A896,A896,I$2:I896,I896)=1,1,0)</f>
        <v>0</v>
      </c>
      <c r="R896" s="22">
        <f t="shared" si="13"/>
        <v>14</v>
      </c>
      <c r="S896" s="33">
        <f>IF(COUNTIF(O$2:O896,O896)=1,R896,0)/2.5</f>
        <v>0</v>
      </c>
    </row>
    <row r="897" spans="1:19" ht="18" customHeight="1" x14ac:dyDescent="0.25">
      <c r="A897" s="7" t="s">
        <v>43</v>
      </c>
      <c r="B897" s="8">
        <v>1</v>
      </c>
      <c r="C897" s="9">
        <v>427.5</v>
      </c>
      <c r="D897" s="29">
        <f>C897+IF(INDEX('Справочник по %'!B:B,(MATCH(A897,'Справочник по %'!A:A,0)))="кол-во",B897*INDEX('Справочник по %'!C:C,(MATCH(A897,'Справочник по %'!A:A,0))),ОТЧЕТ!C897*INDEX('Справочник по %'!C:C,(MATCH(A897,'Справочник по %'!A:A,0))))/100</f>
        <v>470.25</v>
      </c>
      <c r="E897" s="29">
        <f>IF(ОТЧЕТ!A897="SKU3",C897+ОТЧЕТ!C897*0.2,C897+ОТЧЕТ!C897*0.15)</f>
        <v>491.625</v>
      </c>
      <c r="F897" s="7" t="s">
        <v>2124</v>
      </c>
      <c r="G897" s="7">
        <v>5700011864</v>
      </c>
      <c r="H897" s="20" t="s">
        <v>91</v>
      </c>
      <c r="I897" s="22" t="str">
        <f>INDEX('Справочник Сети'!B:B,(MATCH(G897,'Справочник Сети'!C:C,0)))</f>
        <v>Ригла</v>
      </c>
      <c r="J897" s="7" t="s">
        <v>40</v>
      </c>
      <c r="K897" s="7" t="s">
        <v>2125</v>
      </c>
      <c r="L897" s="7" t="s">
        <v>255</v>
      </c>
      <c r="M897" s="31">
        <v>45713</v>
      </c>
      <c r="N897" s="7" t="s">
        <v>2126</v>
      </c>
      <c r="O897" s="8">
        <v>1265</v>
      </c>
      <c r="P897" s="24">
        <v>4736</v>
      </c>
      <c r="Q897" s="22">
        <f>IF(COUNTIFS(A$2:A897,A897,I$2:I897,I897)=1,1,0)</f>
        <v>0</v>
      </c>
      <c r="R897" s="22">
        <f t="shared" si="13"/>
        <v>2</v>
      </c>
      <c r="S897" s="33">
        <f>IF(COUNTIF(O$2:O897,O897)=1,R897,0)/2.5</f>
        <v>0.8</v>
      </c>
    </row>
    <row r="898" spans="1:19" ht="18" customHeight="1" x14ac:dyDescent="0.25">
      <c r="A898" s="7" t="s">
        <v>43</v>
      </c>
      <c r="B898" s="8">
        <v>1</v>
      </c>
      <c r="C898" s="9">
        <v>408.5</v>
      </c>
      <c r="D898" s="29">
        <f>C898+IF(INDEX('Справочник по %'!B:B,(MATCH(A898,'Справочник по %'!A:A,0)))="кол-во",B898*INDEX('Справочник по %'!C:C,(MATCH(A898,'Справочник по %'!A:A,0))),ОТЧЕТ!C898*INDEX('Справочник по %'!C:C,(MATCH(A898,'Справочник по %'!A:A,0))))/100</f>
        <v>449.35</v>
      </c>
      <c r="E898" s="29">
        <f>IF(ОТЧЕТ!A898="SKU3",C898+ОТЧЕТ!C898*0.2,C898+ОТЧЕТ!C898*0.15)</f>
        <v>469.77499999999998</v>
      </c>
      <c r="F898" s="7" t="s">
        <v>2124</v>
      </c>
      <c r="G898" s="7">
        <v>2635020395</v>
      </c>
      <c r="H898" s="20" t="s">
        <v>2127</v>
      </c>
      <c r="I898" s="22">
        <f>INDEX('Справочник Сети'!B:B,(MATCH(G898,'Справочник Сети'!C:C,0)))</f>
        <v>0</v>
      </c>
      <c r="J898" s="7" t="s">
        <v>46</v>
      </c>
      <c r="K898" s="7" t="s">
        <v>495</v>
      </c>
      <c r="L898" s="7" t="s">
        <v>46</v>
      </c>
      <c r="M898" s="31">
        <v>45726</v>
      </c>
      <c r="N898" s="7" t="s">
        <v>2128</v>
      </c>
      <c r="O898" s="8">
        <v>3462</v>
      </c>
      <c r="P898" s="24">
        <v>4737</v>
      </c>
      <c r="Q898" s="22">
        <f>IF(COUNTIFS(A$2:A898,A898,I$2:I898,I898)=1,1,0)</f>
        <v>0</v>
      </c>
      <c r="R898" s="22">
        <f t="shared" si="13"/>
        <v>1</v>
      </c>
      <c r="S898" s="33">
        <f>IF(COUNTIF(O$2:O898,O898)=1,R898,0)/2.5</f>
        <v>0.4</v>
      </c>
    </row>
    <row r="899" spans="1:19" ht="18" customHeight="1" x14ac:dyDescent="0.25">
      <c r="A899" s="7" t="s">
        <v>43</v>
      </c>
      <c r="B899" s="8">
        <v>1</v>
      </c>
      <c r="C899" s="9">
        <v>521.41</v>
      </c>
      <c r="D899" s="29">
        <f>C899+IF(INDEX('Справочник по %'!B:B,(MATCH(A899,'Справочник по %'!A:A,0)))="кол-во",B899*INDEX('Справочник по %'!C:C,(MATCH(A899,'Справочник по %'!A:A,0))),ОТЧЕТ!C899*INDEX('Справочник по %'!C:C,(MATCH(A899,'Справочник по %'!A:A,0))))/100</f>
        <v>573.55099999999993</v>
      </c>
      <c r="E899" s="29">
        <f>IF(ОТЧЕТ!A899="SKU3",C899+ОТЧЕТ!C899*0.2,C899+ОТЧЕТ!C899*0.15)</f>
        <v>599.62149999999997</v>
      </c>
      <c r="F899" s="7" t="s">
        <v>2129</v>
      </c>
      <c r="G899" s="7">
        <v>7705947629</v>
      </c>
      <c r="H899" s="20" t="s">
        <v>50</v>
      </c>
      <c r="I899" s="22" t="str">
        <f>INDEX('Справочник Сети'!B:B,(MATCH(G899,'Справочник Сети'!C:C,0)))</f>
        <v>36,6</v>
      </c>
      <c r="J899" s="7" t="s">
        <v>104</v>
      </c>
      <c r="K899" s="7" t="s">
        <v>2130</v>
      </c>
      <c r="L899" s="7" t="s">
        <v>104</v>
      </c>
      <c r="M899" s="31">
        <v>45693</v>
      </c>
      <c r="N899" s="7" t="s">
        <v>2131</v>
      </c>
      <c r="O899" s="8">
        <v>1631</v>
      </c>
      <c r="P899" s="24">
        <v>4742</v>
      </c>
      <c r="Q899" s="22">
        <f>IF(COUNTIFS(A$2:A899,A899,I$2:I899,I899)=1,1,0)</f>
        <v>0</v>
      </c>
      <c r="R899" s="22">
        <f t="shared" ref="R899:R962" si="14">COUNTIF(O:O,O899)</f>
        <v>5</v>
      </c>
      <c r="S899" s="33">
        <f>IF(COUNTIF(O$2:O899,O899)=1,R899,0)/2.5</f>
        <v>0</v>
      </c>
    </row>
    <row r="900" spans="1:19" ht="18" customHeight="1" x14ac:dyDescent="0.25">
      <c r="A900" s="7" t="s">
        <v>37</v>
      </c>
      <c r="B900" s="8">
        <v>1</v>
      </c>
      <c r="C900" s="9">
        <v>552</v>
      </c>
      <c r="D900" s="29">
        <f>C900+IF(INDEX('Справочник по %'!B:B,(MATCH(A900,'Справочник по %'!A:A,0)))="кол-во",B900*INDEX('Справочник по %'!C:C,(MATCH(A900,'Справочник по %'!A:A,0))),ОТЧЕТ!C900*INDEX('Справочник по %'!C:C,(MATCH(A900,'Справочник по %'!A:A,0))))/100</f>
        <v>552.20000000000005</v>
      </c>
      <c r="E900" s="29">
        <f>IF(ОТЧЕТ!A900="SKU3",C900+ОТЧЕТ!C900*0.2,C900+ОТЧЕТ!C900*0.15)</f>
        <v>634.79999999999995</v>
      </c>
      <c r="F900" s="7" t="s">
        <v>2132</v>
      </c>
      <c r="G900" s="7">
        <v>2724207973</v>
      </c>
      <c r="H900" s="20" t="s">
        <v>50</v>
      </c>
      <c r="I900" s="22">
        <f>INDEX('Справочник Сети'!B:B,(MATCH(G900,'Справочник Сети'!C:C,0)))</f>
        <v>0</v>
      </c>
      <c r="J900" s="7" t="s">
        <v>2133</v>
      </c>
      <c r="K900" s="7" t="s">
        <v>1280</v>
      </c>
      <c r="L900" s="7" t="s">
        <v>2133</v>
      </c>
      <c r="M900" s="31">
        <v>45722</v>
      </c>
      <c r="N900" s="7" t="s">
        <v>2134</v>
      </c>
      <c r="O900" s="8">
        <v>2025</v>
      </c>
      <c r="P900" s="24">
        <v>4745</v>
      </c>
      <c r="Q900" s="22">
        <f>IF(COUNTIFS(A$2:A900,A900,I$2:I900,I900)=1,1,0)</f>
        <v>0</v>
      </c>
      <c r="R900" s="22">
        <f t="shared" si="14"/>
        <v>1</v>
      </c>
      <c r="S900" s="33">
        <f>IF(COUNTIF(O$2:O900,O900)=1,R900,0)/2.5</f>
        <v>0.4</v>
      </c>
    </row>
    <row r="901" spans="1:19" ht="18" customHeight="1" x14ac:dyDescent="0.25">
      <c r="A901" s="7" t="s">
        <v>43</v>
      </c>
      <c r="B901" s="8">
        <v>1</v>
      </c>
      <c r="C901" s="9">
        <v>447</v>
      </c>
      <c r="D901" s="29">
        <f>C901+IF(INDEX('Справочник по %'!B:B,(MATCH(A901,'Справочник по %'!A:A,0)))="кол-во",B901*INDEX('Справочник по %'!C:C,(MATCH(A901,'Справочник по %'!A:A,0))),ОТЧЕТ!C901*INDEX('Справочник по %'!C:C,(MATCH(A901,'Справочник по %'!A:A,0))))/100</f>
        <v>491.7</v>
      </c>
      <c r="E901" s="29">
        <f>IF(ОТЧЕТ!A901="SKU3",C901+ОТЧЕТ!C901*0.2,C901+ОТЧЕТ!C901*0.15)</f>
        <v>514.04999999999995</v>
      </c>
      <c r="F901" s="7" t="s">
        <v>2132</v>
      </c>
      <c r="G901" s="7">
        <v>7732121736</v>
      </c>
      <c r="H901" s="20" t="s">
        <v>2135</v>
      </c>
      <c r="I901" s="22" t="str">
        <f>INDEX('Справочник Сети'!B:B,(MATCH(G901,'Справочник Сети'!C:C,0)))</f>
        <v>Планета здоровья</v>
      </c>
      <c r="J901" s="7" t="s">
        <v>149</v>
      </c>
      <c r="K901" s="7" t="s">
        <v>2136</v>
      </c>
      <c r="L901" s="7" t="s">
        <v>149</v>
      </c>
      <c r="M901" s="31">
        <v>45673</v>
      </c>
      <c r="N901" s="7" t="s">
        <v>2137</v>
      </c>
      <c r="O901" s="8">
        <v>2016</v>
      </c>
      <c r="P901" s="24">
        <v>4746</v>
      </c>
      <c r="Q901" s="22">
        <f>IF(COUNTIFS(A$2:A901,A901,I$2:I901,I901)=1,1,0)</f>
        <v>0</v>
      </c>
      <c r="R901" s="22">
        <f t="shared" si="14"/>
        <v>2</v>
      </c>
      <c r="S901" s="33">
        <f>IF(COUNTIF(O$2:O901,O901)=1,R901,0)/2.5</f>
        <v>0.8</v>
      </c>
    </row>
    <row r="902" spans="1:19" ht="18" customHeight="1" x14ac:dyDescent="0.25">
      <c r="A902" s="7" t="s">
        <v>43</v>
      </c>
      <c r="B902" s="8">
        <v>1</v>
      </c>
      <c r="C902" s="9">
        <v>398.97</v>
      </c>
      <c r="D902" s="29">
        <f>C902+IF(INDEX('Справочник по %'!B:B,(MATCH(A902,'Справочник по %'!A:A,0)))="кол-во",B902*INDEX('Справочник по %'!C:C,(MATCH(A902,'Справочник по %'!A:A,0))),ОТЧЕТ!C902*INDEX('Справочник по %'!C:C,(MATCH(A902,'Справочник по %'!A:A,0))))/100</f>
        <v>438.86700000000002</v>
      </c>
      <c r="E902" s="29">
        <f>IF(ОТЧЕТ!A902="SKU3",C902+ОТЧЕТ!C902*0.2,C902+ОТЧЕТ!C902*0.15)</f>
        <v>458.81550000000004</v>
      </c>
      <c r="F902" s="7" t="s">
        <v>2138</v>
      </c>
      <c r="G902" s="7">
        <v>5501217490</v>
      </c>
      <c r="H902" s="20" t="s">
        <v>1217</v>
      </c>
      <c r="I902" s="22">
        <f>INDEX('Справочник Сети'!B:B,(MATCH(G902,'Справочник Сети'!C:C,0)))</f>
        <v>0</v>
      </c>
      <c r="J902" s="7" t="s">
        <v>255</v>
      </c>
      <c r="K902" s="7" t="s">
        <v>691</v>
      </c>
      <c r="L902" s="7" t="s">
        <v>255</v>
      </c>
      <c r="M902" s="31">
        <v>45713</v>
      </c>
      <c r="N902" s="7" t="s">
        <v>2139</v>
      </c>
      <c r="O902" s="8">
        <v>1916</v>
      </c>
      <c r="P902" s="24">
        <v>4747</v>
      </c>
      <c r="Q902" s="22">
        <f>IF(COUNTIFS(A$2:A902,A902,I$2:I902,I902)=1,1,0)</f>
        <v>0</v>
      </c>
      <c r="R902" s="22">
        <f t="shared" si="14"/>
        <v>6</v>
      </c>
      <c r="S902" s="33">
        <f>IF(COUNTIF(O$2:O902,O902)=1,R902,0)/2.5</f>
        <v>0</v>
      </c>
    </row>
    <row r="903" spans="1:19" ht="18" customHeight="1" x14ac:dyDescent="0.25">
      <c r="A903" s="7" t="s">
        <v>43</v>
      </c>
      <c r="B903" s="8">
        <v>1</v>
      </c>
      <c r="C903" s="9">
        <v>374</v>
      </c>
      <c r="D903" s="29">
        <f>C903+IF(INDEX('Справочник по %'!B:B,(MATCH(A903,'Справочник по %'!A:A,0)))="кол-во",B903*INDEX('Справочник по %'!C:C,(MATCH(A903,'Справочник по %'!A:A,0))),ОТЧЕТ!C903*INDEX('Справочник по %'!C:C,(MATCH(A903,'Справочник по %'!A:A,0))))/100</f>
        <v>411.4</v>
      </c>
      <c r="E903" s="29">
        <f>IF(ОТЧЕТ!A903="SKU3",C903+ОТЧЕТ!C903*0.2,C903+ОТЧЕТ!C903*0.15)</f>
        <v>430.1</v>
      </c>
      <c r="F903" s="7" t="s">
        <v>2140</v>
      </c>
      <c r="G903" s="7">
        <v>7706795062</v>
      </c>
      <c r="H903" s="20" t="s">
        <v>982</v>
      </c>
      <c r="I903" s="22" t="str">
        <f>INDEX('Справочник Сети'!B:B,(MATCH(G903,'Справочник Сети'!C:C,0)))</f>
        <v>Планета здоровья</v>
      </c>
      <c r="J903" s="7" t="s">
        <v>87</v>
      </c>
      <c r="K903" s="7" t="s">
        <v>2141</v>
      </c>
      <c r="L903" s="7" t="s">
        <v>87</v>
      </c>
      <c r="M903" s="31">
        <v>45691</v>
      </c>
      <c r="N903" s="7" t="s">
        <v>2142</v>
      </c>
      <c r="O903" s="8">
        <v>3270</v>
      </c>
      <c r="P903" s="24">
        <v>4751</v>
      </c>
      <c r="Q903" s="22">
        <f>IF(COUNTIFS(A$2:A903,A903,I$2:I903,I903)=1,1,0)</f>
        <v>0</v>
      </c>
      <c r="R903" s="22">
        <f t="shared" si="14"/>
        <v>2</v>
      </c>
      <c r="S903" s="33">
        <f>IF(COUNTIF(O$2:O903,O903)=1,R903,0)/2.5</f>
        <v>0</v>
      </c>
    </row>
    <row r="904" spans="1:19" ht="18" customHeight="1" x14ac:dyDescent="0.25">
      <c r="A904" s="7" t="s">
        <v>43</v>
      </c>
      <c r="B904" s="8">
        <v>1</v>
      </c>
      <c r="C904" s="9">
        <v>317.97000000000003</v>
      </c>
      <c r="D904" s="29">
        <f>C904+IF(INDEX('Справочник по %'!B:B,(MATCH(A904,'Справочник по %'!A:A,0)))="кол-во",B904*INDEX('Справочник по %'!C:C,(MATCH(A904,'Справочник по %'!A:A,0))),ОТЧЕТ!C904*INDEX('Справочник по %'!C:C,(MATCH(A904,'Справочник по %'!A:A,0))))/100</f>
        <v>349.76700000000005</v>
      </c>
      <c r="E904" s="29">
        <f>IF(ОТЧЕТ!A904="SKU3",C904+ОТЧЕТ!C904*0.2,C904+ОТЧЕТ!C904*0.15)</f>
        <v>365.66550000000001</v>
      </c>
      <c r="F904" s="7" t="s">
        <v>2143</v>
      </c>
      <c r="G904" s="7">
        <v>230907071819</v>
      </c>
      <c r="H904" s="20" t="s">
        <v>2144</v>
      </c>
      <c r="I904" s="22">
        <f>INDEX('Справочник Сети'!B:B,(MATCH(G904,'Справочник Сети'!C:C,0)))</f>
        <v>0</v>
      </c>
      <c r="J904" s="7" t="s">
        <v>74</v>
      </c>
      <c r="K904" s="7" t="s">
        <v>917</v>
      </c>
      <c r="L904" s="7" t="s">
        <v>74</v>
      </c>
      <c r="M904" s="31">
        <v>45661</v>
      </c>
      <c r="N904" s="7" t="s">
        <v>2145</v>
      </c>
      <c r="O904" s="8">
        <v>3268</v>
      </c>
      <c r="P904" s="24">
        <v>4752</v>
      </c>
      <c r="Q904" s="22">
        <f>IF(COUNTIFS(A$2:A904,A904,I$2:I904,I904)=1,1,0)</f>
        <v>0</v>
      </c>
      <c r="R904" s="22">
        <f t="shared" si="14"/>
        <v>5</v>
      </c>
      <c r="S904" s="33">
        <f>IF(COUNTIF(O$2:O904,O904)=1,R904,0)/2.5</f>
        <v>0</v>
      </c>
    </row>
    <row r="905" spans="1:19" ht="18" customHeight="1" x14ac:dyDescent="0.25">
      <c r="A905" s="7" t="s">
        <v>43</v>
      </c>
      <c r="B905" s="8">
        <v>1</v>
      </c>
      <c r="C905" s="9">
        <v>315.5</v>
      </c>
      <c r="D905" s="29">
        <f>C905+IF(INDEX('Справочник по %'!B:B,(MATCH(A905,'Справочник по %'!A:A,0)))="кол-во",B905*INDEX('Справочник по %'!C:C,(MATCH(A905,'Справочник по %'!A:A,0))),ОТЧЕТ!C905*INDEX('Справочник по %'!C:C,(MATCH(A905,'Справочник по %'!A:A,0))))/100</f>
        <v>347.05</v>
      </c>
      <c r="E905" s="29">
        <f>IF(ОТЧЕТ!A905="SKU3",C905+ОТЧЕТ!C905*0.2,C905+ОТЧЕТ!C905*0.15)</f>
        <v>362.82499999999999</v>
      </c>
      <c r="F905" s="7" t="s">
        <v>2146</v>
      </c>
      <c r="G905" s="7">
        <v>230907071819</v>
      </c>
      <c r="H905" s="20" t="s">
        <v>2144</v>
      </c>
      <c r="I905" s="22">
        <f>INDEX('Справочник Сети'!B:B,(MATCH(G905,'Справочник Сети'!C:C,0)))</f>
        <v>0</v>
      </c>
      <c r="J905" s="7" t="s">
        <v>74</v>
      </c>
      <c r="K905" s="7" t="s">
        <v>917</v>
      </c>
      <c r="L905" s="7" t="s">
        <v>74</v>
      </c>
      <c r="M905" s="31">
        <v>45661</v>
      </c>
      <c r="N905" s="7" t="s">
        <v>2145</v>
      </c>
      <c r="O905" s="8">
        <v>3268</v>
      </c>
      <c r="P905" s="24">
        <v>4752</v>
      </c>
      <c r="Q905" s="22">
        <f>IF(COUNTIFS(A$2:A905,A905,I$2:I905,I905)=1,1,0)</f>
        <v>0</v>
      </c>
      <c r="R905" s="22">
        <f t="shared" si="14"/>
        <v>5</v>
      </c>
      <c r="S905" s="33">
        <f>IF(COUNTIF(O$2:O905,O905)=1,R905,0)/2.5</f>
        <v>0</v>
      </c>
    </row>
    <row r="906" spans="1:19" ht="18" customHeight="1" x14ac:dyDescent="0.25">
      <c r="A906" s="7" t="s">
        <v>43</v>
      </c>
      <c r="B906" s="8">
        <v>1</v>
      </c>
      <c r="C906" s="9">
        <v>317.95999999999998</v>
      </c>
      <c r="D906" s="29">
        <f>C906+IF(INDEX('Справочник по %'!B:B,(MATCH(A906,'Справочник по %'!A:A,0)))="кол-во",B906*INDEX('Справочник по %'!C:C,(MATCH(A906,'Справочник по %'!A:A,0))),ОТЧЕТ!C906*INDEX('Справочник по %'!C:C,(MATCH(A906,'Справочник по %'!A:A,0))))/100</f>
        <v>349.75599999999997</v>
      </c>
      <c r="E906" s="29">
        <f>IF(ОТЧЕТ!A906="SKU3",C906+ОТЧЕТ!C906*0.2,C906+ОТЧЕТ!C906*0.15)</f>
        <v>365.654</v>
      </c>
      <c r="F906" s="7" t="s">
        <v>2146</v>
      </c>
      <c r="G906" s="7">
        <v>230907071819</v>
      </c>
      <c r="H906" s="20" t="s">
        <v>2144</v>
      </c>
      <c r="I906" s="22">
        <f>INDEX('Справочник Сети'!B:B,(MATCH(G906,'Справочник Сети'!C:C,0)))</f>
        <v>0</v>
      </c>
      <c r="J906" s="7" t="s">
        <v>74</v>
      </c>
      <c r="K906" s="7" t="s">
        <v>917</v>
      </c>
      <c r="L906" s="7" t="s">
        <v>74</v>
      </c>
      <c r="M906" s="31">
        <v>45661</v>
      </c>
      <c r="N906" s="7" t="s">
        <v>2145</v>
      </c>
      <c r="O906" s="8">
        <v>3268</v>
      </c>
      <c r="P906" s="24">
        <v>4752</v>
      </c>
      <c r="Q906" s="22">
        <f>IF(COUNTIFS(A$2:A906,A906,I$2:I906,I906)=1,1,0)</f>
        <v>0</v>
      </c>
      <c r="R906" s="22">
        <f t="shared" si="14"/>
        <v>5</v>
      </c>
      <c r="S906" s="33">
        <f>IF(COUNTIF(O$2:O906,O906)=1,R906,0)/2.5</f>
        <v>0</v>
      </c>
    </row>
    <row r="907" spans="1:19" ht="18" customHeight="1" x14ac:dyDescent="0.25">
      <c r="A907" s="7" t="s">
        <v>43</v>
      </c>
      <c r="B907" s="8">
        <v>1</v>
      </c>
      <c r="C907" s="9">
        <v>392</v>
      </c>
      <c r="D907" s="29">
        <f>C907+IF(INDEX('Справочник по %'!B:B,(MATCH(A907,'Справочник по %'!A:A,0)))="кол-во",B907*INDEX('Справочник по %'!C:C,(MATCH(A907,'Справочник по %'!A:A,0))),ОТЧЕТ!C907*INDEX('Справочник по %'!C:C,(MATCH(A907,'Справочник по %'!A:A,0))))/100</f>
        <v>431.2</v>
      </c>
      <c r="E907" s="29">
        <f>IF(ОТЧЕТ!A907="SKU3",C907+ОТЧЕТ!C907*0.2,C907+ОТЧЕТ!C907*0.15)</f>
        <v>450.8</v>
      </c>
      <c r="F907" s="7" t="s">
        <v>2147</v>
      </c>
      <c r="G907" s="7">
        <v>6166045261</v>
      </c>
      <c r="H907" s="20" t="s">
        <v>2088</v>
      </c>
      <c r="I907" s="22" t="str">
        <f>INDEX('Справочник Сети'!B:B,(MATCH(G907,'Справочник Сети'!C:C,0)))</f>
        <v>Столички</v>
      </c>
      <c r="J907" s="7" t="s">
        <v>203</v>
      </c>
      <c r="K907" s="7" t="s">
        <v>949</v>
      </c>
      <c r="L907" s="7" t="s">
        <v>520</v>
      </c>
      <c r="M907" s="31">
        <v>45697</v>
      </c>
      <c r="N907" s="7" t="s">
        <v>2148</v>
      </c>
      <c r="O907" s="8">
        <v>1773</v>
      </c>
      <c r="P907" s="24">
        <v>4753</v>
      </c>
      <c r="Q907" s="22">
        <f>IF(COUNTIFS(A$2:A907,A907,I$2:I907,I907)=1,1,0)</f>
        <v>0</v>
      </c>
      <c r="R907" s="22">
        <f t="shared" si="14"/>
        <v>4</v>
      </c>
      <c r="S907" s="33">
        <f>IF(COUNTIF(O$2:O907,O907)=1,R907,0)/2.5</f>
        <v>1.6</v>
      </c>
    </row>
    <row r="908" spans="1:19" ht="18" customHeight="1" x14ac:dyDescent="0.25">
      <c r="A908" s="7" t="s">
        <v>37</v>
      </c>
      <c r="B908" s="8">
        <v>1</v>
      </c>
      <c r="C908" s="9">
        <v>640.91999999999996</v>
      </c>
      <c r="D908" s="29">
        <f>C908+IF(INDEX('Справочник по %'!B:B,(MATCH(A908,'Справочник по %'!A:A,0)))="кол-во",B908*INDEX('Справочник по %'!C:C,(MATCH(A908,'Справочник по %'!A:A,0))),ОТЧЕТ!C908*INDEX('Справочник по %'!C:C,(MATCH(A908,'Справочник по %'!A:A,0))))/100</f>
        <v>641.12</v>
      </c>
      <c r="E908" s="29">
        <f>IF(ОТЧЕТ!A908="SKU3",C908+ОТЧЕТ!C908*0.2,C908+ОТЧЕТ!C908*0.15)</f>
        <v>737.05799999999999</v>
      </c>
      <c r="F908" s="7" t="s">
        <v>2149</v>
      </c>
      <c r="G908" s="7">
        <v>550704589807</v>
      </c>
      <c r="H908" s="20" t="s">
        <v>50</v>
      </c>
      <c r="I908" s="22" t="str">
        <f>INDEX('Справочник Сети'!B:B,(MATCH(G908,'Справочник Сети'!C:C,0)))</f>
        <v>Столички</v>
      </c>
      <c r="J908" s="7" t="s">
        <v>251</v>
      </c>
      <c r="K908" s="7" t="s">
        <v>714</v>
      </c>
      <c r="L908" s="7" t="s">
        <v>251</v>
      </c>
      <c r="M908" s="31">
        <v>45659</v>
      </c>
      <c r="N908" s="7" t="s">
        <v>2150</v>
      </c>
      <c r="O908" s="8">
        <v>1471</v>
      </c>
      <c r="P908" s="24">
        <v>4755</v>
      </c>
      <c r="Q908" s="22">
        <f>IF(COUNTIFS(A$2:A908,A908,I$2:I908,I908)=1,1,0)</f>
        <v>0</v>
      </c>
      <c r="R908" s="22">
        <f t="shared" si="14"/>
        <v>2</v>
      </c>
      <c r="S908" s="33">
        <f>IF(COUNTIF(O$2:O908,O908)=1,R908,0)/2.5</f>
        <v>0.8</v>
      </c>
    </row>
    <row r="909" spans="1:19" ht="18" customHeight="1" x14ac:dyDescent="0.25">
      <c r="A909" s="7" t="s">
        <v>43</v>
      </c>
      <c r="B909" s="8">
        <v>1</v>
      </c>
      <c r="C909" s="9">
        <v>432.34</v>
      </c>
      <c r="D909" s="29">
        <f>C909+IF(INDEX('Справочник по %'!B:B,(MATCH(A909,'Справочник по %'!A:A,0)))="кол-во",B909*INDEX('Справочник по %'!C:C,(MATCH(A909,'Справочник по %'!A:A,0))),ОТЧЕТ!C909*INDEX('Справочник по %'!C:C,(MATCH(A909,'Справочник по %'!A:A,0))))/100</f>
        <v>475.57399999999996</v>
      </c>
      <c r="E909" s="29">
        <f>IF(ОТЧЕТ!A909="SKU3",C909+ОТЧЕТ!C909*0.2,C909+ОТЧЕТ!C909*0.15)</f>
        <v>497.19099999999997</v>
      </c>
      <c r="F909" s="7" t="s">
        <v>2151</v>
      </c>
      <c r="G909" s="7">
        <v>550700455672</v>
      </c>
      <c r="H909" s="20" t="s">
        <v>50</v>
      </c>
      <c r="I909" s="22">
        <f>INDEX('Справочник Сети'!B:B,(MATCH(G909,'Справочник Сети'!C:C,0)))</f>
        <v>0</v>
      </c>
      <c r="J909" s="7" t="s">
        <v>251</v>
      </c>
      <c r="K909" s="7" t="s">
        <v>290</v>
      </c>
      <c r="L909" s="7" t="s">
        <v>251</v>
      </c>
      <c r="M909" s="31">
        <v>45659</v>
      </c>
      <c r="N909" s="7" t="s">
        <v>2152</v>
      </c>
      <c r="O909" s="8">
        <v>3236</v>
      </c>
      <c r="P909" s="24">
        <v>4758</v>
      </c>
      <c r="Q909" s="22">
        <f>IF(COUNTIFS(A$2:A909,A909,I$2:I909,I909)=1,1,0)</f>
        <v>0</v>
      </c>
      <c r="R909" s="22">
        <f t="shared" si="14"/>
        <v>1</v>
      </c>
      <c r="S909" s="33">
        <f>IF(COUNTIF(O$2:O909,O909)=1,R909,0)/2.5</f>
        <v>0.4</v>
      </c>
    </row>
    <row r="910" spans="1:19" ht="18" customHeight="1" x14ac:dyDescent="0.25">
      <c r="A910" s="7" t="s">
        <v>43</v>
      </c>
      <c r="B910" s="8">
        <v>1</v>
      </c>
      <c r="C910" s="9">
        <v>391.9</v>
      </c>
      <c r="D910" s="29">
        <f>C910+IF(INDEX('Справочник по %'!B:B,(MATCH(A910,'Справочник по %'!A:A,0)))="кол-во",B910*INDEX('Справочник по %'!C:C,(MATCH(A910,'Справочник по %'!A:A,0))),ОТЧЕТ!C910*INDEX('Справочник по %'!C:C,(MATCH(A910,'Справочник по %'!A:A,0))))/100</f>
        <v>431.09</v>
      </c>
      <c r="E910" s="29">
        <f>IF(ОТЧЕТ!A910="SKU3",C910+ОТЧЕТ!C910*0.2,C910+ОТЧЕТ!C910*0.15)</f>
        <v>450.68499999999995</v>
      </c>
      <c r="F910" s="7" t="s">
        <v>2153</v>
      </c>
      <c r="G910" s="7">
        <v>5262292840</v>
      </c>
      <c r="H910" s="20" t="s">
        <v>50</v>
      </c>
      <c r="I910" s="22" t="str">
        <f>INDEX('Справочник Сети'!B:B,(MATCH(G910,'Справочник Сети'!C:C,0)))</f>
        <v>Ригла</v>
      </c>
      <c r="J910" s="7" t="s">
        <v>92</v>
      </c>
      <c r="K910" s="7" t="s">
        <v>917</v>
      </c>
      <c r="L910" s="7" t="s">
        <v>92</v>
      </c>
      <c r="M910" s="31">
        <v>45714</v>
      </c>
      <c r="N910" s="7" t="s">
        <v>2154</v>
      </c>
      <c r="O910" s="8">
        <v>1377</v>
      </c>
      <c r="P910" s="24">
        <v>4762</v>
      </c>
      <c r="Q910" s="22">
        <f>IF(COUNTIFS(A$2:A910,A910,I$2:I910,I910)=1,1,0)</f>
        <v>0</v>
      </c>
      <c r="R910" s="22">
        <f t="shared" si="14"/>
        <v>1</v>
      </c>
      <c r="S910" s="33">
        <f>IF(COUNTIF(O$2:O910,O910)=1,R910,0)/2.5</f>
        <v>0.4</v>
      </c>
    </row>
    <row r="911" spans="1:19" ht="18" customHeight="1" x14ac:dyDescent="0.25">
      <c r="A911" s="7" t="s">
        <v>43</v>
      </c>
      <c r="B911" s="8">
        <v>1</v>
      </c>
      <c r="C911" s="9">
        <v>393.3</v>
      </c>
      <c r="D911" s="29">
        <f>C911+IF(INDEX('Справочник по %'!B:B,(MATCH(A911,'Справочник по %'!A:A,0)))="кол-во",B911*INDEX('Справочник по %'!C:C,(MATCH(A911,'Справочник по %'!A:A,0))),ОТЧЕТ!C911*INDEX('Справочник по %'!C:C,(MATCH(A911,'Справочник по %'!A:A,0))))/100</f>
        <v>432.63</v>
      </c>
      <c r="E911" s="29">
        <f>IF(ОТЧЕТ!A911="SKU3",C911+ОТЧЕТ!C911*0.2,C911+ОТЧЕТ!C911*0.15)</f>
        <v>452.29500000000002</v>
      </c>
      <c r="F911" s="7" t="s">
        <v>2153</v>
      </c>
      <c r="G911" s="7">
        <v>2466189073</v>
      </c>
      <c r="H911" s="20" t="s">
        <v>2155</v>
      </c>
      <c r="I911" s="22" t="str">
        <f>INDEX('Справочник Сети'!B:B,(MATCH(G911,'Справочник Сети'!C:C,0)))</f>
        <v>Нео-фарм</v>
      </c>
      <c r="J911" s="7" t="s">
        <v>96</v>
      </c>
      <c r="K911" s="7" t="s">
        <v>619</v>
      </c>
      <c r="L911" s="7" t="s">
        <v>96</v>
      </c>
      <c r="M911" s="31">
        <v>45727</v>
      </c>
      <c r="N911" s="7" t="s">
        <v>2156</v>
      </c>
      <c r="O911" s="8">
        <v>3434</v>
      </c>
      <c r="P911" s="24">
        <v>4764</v>
      </c>
      <c r="Q911" s="22">
        <f>IF(COUNTIFS(A$2:A911,A911,I$2:I911,I911)=1,1,0)</f>
        <v>0</v>
      </c>
      <c r="R911" s="22">
        <f t="shared" si="14"/>
        <v>2</v>
      </c>
      <c r="S911" s="33">
        <f>IF(COUNTIF(O$2:O911,O911)=1,R911,0)/2.5</f>
        <v>0.8</v>
      </c>
    </row>
    <row r="912" spans="1:19" ht="18" customHeight="1" x14ac:dyDescent="0.25">
      <c r="A912" s="7" t="s">
        <v>43</v>
      </c>
      <c r="B912" s="8">
        <v>1</v>
      </c>
      <c r="C912" s="9">
        <v>405.54</v>
      </c>
      <c r="D912" s="29">
        <f>C912+IF(INDEX('Справочник по %'!B:B,(MATCH(A912,'Справочник по %'!A:A,0)))="кол-во",B912*INDEX('Справочник по %'!C:C,(MATCH(A912,'Справочник по %'!A:A,0))),ОТЧЕТ!C912*INDEX('Справочник по %'!C:C,(MATCH(A912,'Справочник по %'!A:A,0))))/100</f>
        <v>446.09400000000005</v>
      </c>
      <c r="E912" s="29">
        <f>IF(ОТЧЕТ!A912="SKU3",C912+ОТЧЕТ!C912*0.2,C912+ОТЧЕТ!C912*0.15)</f>
        <v>466.37100000000004</v>
      </c>
      <c r="F912" s="7" t="s">
        <v>2153</v>
      </c>
      <c r="G912" s="7">
        <v>602700120511</v>
      </c>
      <c r="H912" s="20" t="s">
        <v>50</v>
      </c>
      <c r="I912" s="22" t="str">
        <f>INDEX('Справочник Сети'!B:B,(MATCH(G912,'Справочник Сети'!C:C,0)))</f>
        <v>Ригла</v>
      </c>
      <c r="J912" s="7" t="s">
        <v>251</v>
      </c>
      <c r="K912" s="7" t="s">
        <v>1962</v>
      </c>
      <c r="L912" s="7" t="s">
        <v>251</v>
      </c>
      <c r="M912" s="31">
        <v>45659</v>
      </c>
      <c r="N912" s="7" t="s">
        <v>2157</v>
      </c>
      <c r="O912" s="8">
        <v>3497</v>
      </c>
      <c r="P912" s="24">
        <v>4771</v>
      </c>
      <c r="Q912" s="22">
        <f>IF(COUNTIFS(A$2:A912,A912,I$2:I912,I912)=1,1,0)</f>
        <v>0</v>
      </c>
      <c r="R912" s="22">
        <f t="shared" si="14"/>
        <v>1</v>
      </c>
      <c r="S912" s="33">
        <f>IF(COUNTIF(O$2:O912,O912)=1,R912,0)/2.5</f>
        <v>0.4</v>
      </c>
    </row>
    <row r="913" spans="1:19" ht="18" customHeight="1" x14ac:dyDescent="0.25">
      <c r="A913" s="7" t="s">
        <v>37</v>
      </c>
      <c r="B913" s="8">
        <v>1</v>
      </c>
      <c r="C913" s="9">
        <v>635</v>
      </c>
      <c r="D913" s="29">
        <f>C913+IF(INDEX('Справочник по %'!B:B,(MATCH(A913,'Справочник по %'!A:A,0)))="кол-во",B913*INDEX('Справочник по %'!C:C,(MATCH(A913,'Справочник по %'!A:A,0))),ОТЧЕТ!C913*INDEX('Справочник по %'!C:C,(MATCH(A913,'Справочник по %'!A:A,0))))/100</f>
        <v>635.20000000000005</v>
      </c>
      <c r="E913" s="29">
        <f>IF(ОТЧЕТ!A913="SKU3",C913+ОТЧЕТ!C913*0.2,C913+ОТЧЕТ!C913*0.15)</f>
        <v>730.25</v>
      </c>
      <c r="F913" s="7" t="s">
        <v>2153</v>
      </c>
      <c r="G913" s="7">
        <v>7705947629</v>
      </c>
      <c r="H913" s="20" t="s">
        <v>50</v>
      </c>
      <c r="I913" s="22" t="str">
        <f>INDEX('Справочник Сети'!B:B,(MATCH(G913,'Справочник Сети'!C:C,0)))</f>
        <v>36,6</v>
      </c>
      <c r="J913" s="7" t="s">
        <v>116</v>
      </c>
      <c r="K913" s="7" t="s">
        <v>2158</v>
      </c>
      <c r="L913" s="7" t="s">
        <v>104</v>
      </c>
      <c r="M913" s="31">
        <v>45693</v>
      </c>
      <c r="N913" s="7" t="s">
        <v>2159</v>
      </c>
      <c r="O913" s="8">
        <v>3161</v>
      </c>
      <c r="P913" s="24">
        <v>4773</v>
      </c>
      <c r="Q913" s="22">
        <f>IF(COUNTIFS(A$2:A913,A913,I$2:I913,I913)=1,1,0)</f>
        <v>0</v>
      </c>
      <c r="R913" s="22">
        <f t="shared" si="14"/>
        <v>1</v>
      </c>
      <c r="S913" s="33">
        <f>IF(COUNTIF(O$2:O913,O913)=1,R913,0)/2.5</f>
        <v>0.4</v>
      </c>
    </row>
    <row r="914" spans="1:19" ht="18" customHeight="1" x14ac:dyDescent="0.25">
      <c r="A914" s="7" t="s">
        <v>43</v>
      </c>
      <c r="B914" s="8">
        <v>1</v>
      </c>
      <c r="C914" s="9">
        <v>375</v>
      </c>
      <c r="D914" s="29">
        <f>C914+IF(INDEX('Справочник по %'!B:B,(MATCH(A914,'Справочник по %'!A:A,0)))="кол-во",B914*INDEX('Справочник по %'!C:C,(MATCH(A914,'Справочник по %'!A:A,0))),ОТЧЕТ!C914*INDEX('Справочник по %'!C:C,(MATCH(A914,'Справочник по %'!A:A,0))))/100</f>
        <v>412.5</v>
      </c>
      <c r="E914" s="29">
        <f>IF(ОТЧЕТ!A914="SKU3",C914+ОТЧЕТ!C914*0.2,C914+ОТЧЕТ!C914*0.15)</f>
        <v>431.25</v>
      </c>
      <c r="F914" s="7" t="s">
        <v>2160</v>
      </c>
      <c r="G914" s="7">
        <v>2225105670</v>
      </c>
      <c r="H914" s="20" t="s">
        <v>69</v>
      </c>
      <c r="I914" s="22" t="str">
        <f>INDEX('Справочник Сети'!B:B,(MATCH(G914,'Справочник Сети'!C:C,0)))</f>
        <v>Столички</v>
      </c>
      <c r="J914" s="7" t="s">
        <v>372</v>
      </c>
      <c r="K914" s="7" t="s">
        <v>1657</v>
      </c>
      <c r="L914" s="7" t="s">
        <v>372</v>
      </c>
      <c r="M914" s="31">
        <v>45730</v>
      </c>
      <c r="N914" s="7" t="s">
        <v>2161</v>
      </c>
      <c r="O914" s="8">
        <v>2919</v>
      </c>
      <c r="P914" s="24">
        <v>4782</v>
      </c>
      <c r="Q914" s="22">
        <f>IF(COUNTIFS(A$2:A914,A914,I$2:I914,I914)=1,1,0)</f>
        <v>0</v>
      </c>
      <c r="R914" s="22">
        <f t="shared" si="14"/>
        <v>8</v>
      </c>
      <c r="S914" s="33">
        <f>IF(COUNTIF(O$2:O914,O914)=1,R914,0)/2.5</f>
        <v>0</v>
      </c>
    </row>
    <row r="915" spans="1:19" ht="18" customHeight="1" x14ac:dyDescent="0.25">
      <c r="A915" s="7" t="s">
        <v>43</v>
      </c>
      <c r="B915" s="8">
        <v>1</v>
      </c>
      <c r="C915" s="9">
        <v>368</v>
      </c>
      <c r="D915" s="29">
        <f>C915+IF(INDEX('Справочник по %'!B:B,(MATCH(A915,'Справочник по %'!A:A,0)))="кол-во",B915*INDEX('Справочник по %'!C:C,(MATCH(A915,'Справочник по %'!A:A,0))),ОТЧЕТ!C915*INDEX('Справочник по %'!C:C,(MATCH(A915,'Справочник по %'!A:A,0))))/100</f>
        <v>404.8</v>
      </c>
      <c r="E915" s="29">
        <f>IF(ОТЧЕТ!A915="SKU3",C915+ОТЧЕТ!C915*0.2,C915+ОТЧЕТ!C915*0.15)</f>
        <v>423.2</v>
      </c>
      <c r="F915" s="7" t="s">
        <v>2162</v>
      </c>
      <c r="G915" s="7">
        <v>7706795062</v>
      </c>
      <c r="H915" s="20" t="s">
        <v>2163</v>
      </c>
      <c r="I915" s="22" t="str">
        <f>INDEX('Справочник Сети'!B:B,(MATCH(G915,'Справочник Сети'!C:C,0)))</f>
        <v>Планета здоровья</v>
      </c>
      <c r="J915" s="7" t="s">
        <v>87</v>
      </c>
      <c r="K915" s="7" t="s">
        <v>2164</v>
      </c>
      <c r="L915" s="7" t="s">
        <v>87</v>
      </c>
      <c r="M915" s="31">
        <v>45691</v>
      </c>
      <c r="N915" s="7" t="s">
        <v>2165</v>
      </c>
      <c r="O915" s="8">
        <v>2353</v>
      </c>
      <c r="P915" s="24">
        <v>4784</v>
      </c>
      <c r="Q915" s="22">
        <f>IF(COUNTIFS(A$2:A915,A915,I$2:I915,I915)=1,1,0)</f>
        <v>0</v>
      </c>
      <c r="R915" s="22">
        <f t="shared" si="14"/>
        <v>5</v>
      </c>
      <c r="S915" s="33">
        <f>IF(COUNTIF(O$2:O915,O915)=1,R915,0)/2.5</f>
        <v>2</v>
      </c>
    </row>
    <row r="916" spans="1:19" ht="18" customHeight="1" x14ac:dyDescent="0.25">
      <c r="A916" s="7" t="s">
        <v>43</v>
      </c>
      <c r="B916" s="8">
        <v>1</v>
      </c>
      <c r="C916" s="9">
        <v>329</v>
      </c>
      <c r="D916" s="29">
        <f>C916+IF(INDEX('Справочник по %'!B:B,(MATCH(A916,'Справочник по %'!A:A,0)))="кол-во",B916*INDEX('Справочник по %'!C:C,(MATCH(A916,'Справочник по %'!A:A,0))),ОТЧЕТ!C916*INDEX('Справочник по %'!C:C,(MATCH(A916,'Справочник по %'!A:A,0))))/100</f>
        <v>361.9</v>
      </c>
      <c r="E916" s="29">
        <f>IF(ОТЧЕТ!A916="SKU3",C916+ОТЧЕТ!C916*0.2,C916+ОТЧЕТ!C916*0.15)</f>
        <v>378.35</v>
      </c>
      <c r="F916" s="7" t="s">
        <v>2166</v>
      </c>
      <c r="G916" s="7">
        <v>2311169959</v>
      </c>
      <c r="H916" s="20" t="s">
        <v>50</v>
      </c>
      <c r="I916" s="22">
        <f>INDEX('Справочник Сети'!B:B,(MATCH(G916,'Справочник Сети'!C:C,0)))</f>
        <v>0</v>
      </c>
      <c r="J916" s="7" t="s">
        <v>70</v>
      </c>
      <c r="K916" s="7" t="s">
        <v>2167</v>
      </c>
      <c r="L916" s="7" t="s">
        <v>70</v>
      </c>
      <c r="M916" s="31">
        <v>45728</v>
      </c>
      <c r="N916" s="7" t="s">
        <v>1518</v>
      </c>
      <c r="O916" s="8">
        <v>1439</v>
      </c>
      <c r="P916" s="24">
        <v>4788</v>
      </c>
      <c r="Q916" s="22">
        <f>IF(COUNTIFS(A$2:A916,A916,I$2:I916,I916)=1,1,0)</f>
        <v>0</v>
      </c>
      <c r="R916" s="22">
        <f t="shared" si="14"/>
        <v>1</v>
      </c>
      <c r="S916" s="33">
        <f>IF(COUNTIF(O$2:O916,O916)=1,R916,0)/2.5</f>
        <v>0.4</v>
      </c>
    </row>
    <row r="917" spans="1:19" ht="18" customHeight="1" x14ac:dyDescent="0.25">
      <c r="A917" s="7" t="s">
        <v>43</v>
      </c>
      <c r="B917" s="8">
        <v>1</v>
      </c>
      <c r="C917" s="9">
        <v>481</v>
      </c>
      <c r="D917" s="29">
        <f>C917+IF(INDEX('Справочник по %'!B:B,(MATCH(A917,'Справочник по %'!A:A,0)))="кол-во",B917*INDEX('Справочник по %'!C:C,(MATCH(A917,'Справочник по %'!A:A,0))),ОТЧЕТ!C917*INDEX('Справочник по %'!C:C,(MATCH(A917,'Справочник по %'!A:A,0))))/100</f>
        <v>529.1</v>
      </c>
      <c r="E917" s="29">
        <f>IF(ОТЧЕТ!A917="SKU3",C917+ОТЧЕТ!C917*0.2,C917+ОТЧЕТ!C917*0.15)</f>
        <v>553.15</v>
      </c>
      <c r="F917" s="7" t="s">
        <v>2166</v>
      </c>
      <c r="G917" s="7">
        <v>2543102471</v>
      </c>
      <c r="H917" s="20" t="s">
        <v>1050</v>
      </c>
      <c r="I917" s="22" t="str">
        <f>INDEX('Справочник Сети'!B:B,(MATCH(G917,'Справочник Сети'!C:C,0)))</f>
        <v>Столички</v>
      </c>
      <c r="J917" s="7" t="s">
        <v>46</v>
      </c>
      <c r="K917" s="7" t="s">
        <v>2168</v>
      </c>
      <c r="L917" s="7" t="s">
        <v>46</v>
      </c>
      <c r="M917" s="31">
        <v>45726</v>
      </c>
      <c r="N917" s="7" t="s">
        <v>2169</v>
      </c>
      <c r="O917" s="8">
        <v>2770</v>
      </c>
      <c r="P917" s="24">
        <v>4790</v>
      </c>
      <c r="Q917" s="22">
        <f>IF(COUNTIFS(A$2:A917,A917,I$2:I917,I917)=1,1,0)</f>
        <v>0</v>
      </c>
      <c r="R917" s="22">
        <f t="shared" si="14"/>
        <v>3</v>
      </c>
      <c r="S917" s="33">
        <f>IF(COUNTIF(O$2:O917,O917)=1,R917,0)/2.5</f>
        <v>0</v>
      </c>
    </row>
    <row r="918" spans="1:19" ht="18" customHeight="1" x14ac:dyDescent="0.25">
      <c r="A918" s="7" t="s">
        <v>37</v>
      </c>
      <c r="B918" s="8">
        <v>1</v>
      </c>
      <c r="C918" s="9">
        <v>690</v>
      </c>
      <c r="D918" s="29">
        <f>C918+IF(INDEX('Справочник по %'!B:B,(MATCH(A918,'Справочник по %'!A:A,0)))="кол-во",B918*INDEX('Справочник по %'!C:C,(MATCH(A918,'Справочник по %'!A:A,0))),ОТЧЕТ!C918*INDEX('Справочник по %'!C:C,(MATCH(A918,'Справочник по %'!A:A,0))))/100</f>
        <v>690.2</v>
      </c>
      <c r="E918" s="29">
        <f>IF(ОТЧЕТ!A918="SKU3",C918+ОТЧЕТ!C918*0.2,C918+ОТЧЕТ!C918*0.15)</f>
        <v>793.5</v>
      </c>
      <c r="F918" s="7" t="s">
        <v>2170</v>
      </c>
      <c r="G918" s="7">
        <v>2538047433</v>
      </c>
      <c r="H918" s="20" t="s">
        <v>2171</v>
      </c>
      <c r="I918" s="22">
        <f>INDEX('Справочник Сети'!B:B,(MATCH(G918,'Справочник Сети'!C:C,0)))</f>
        <v>0</v>
      </c>
      <c r="J918" s="7" t="s">
        <v>46</v>
      </c>
      <c r="K918" s="7" t="s">
        <v>1812</v>
      </c>
      <c r="L918" s="7" t="s">
        <v>96</v>
      </c>
      <c r="M918" s="31">
        <v>45727</v>
      </c>
      <c r="N918" s="7" t="s">
        <v>2172</v>
      </c>
      <c r="O918" s="8">
        <v>907</v>
      </c>
      <c r="P918" s="24">
        <v>4791</v>
      </c>
      <c r="Q918" s="22">
        <f>IF(COUNTIFS(A$2:A918,A918,I$2:I918,I918)=1,1,0)</f>
        <v>0</v>
      </c>
      <c r="R918" s="22">
        <f t="shared" si="14"/>
        <v>3</v>
      </c>
      <c r="S918" s="33">
        <f>IF(COUNTIF(O$2:O918,O918)=1,R918,0)/2.5</f>
        <v>1.2</v>
      </c>
    </row>
    <row r="919" spans="1:19" ht="18" customHeight="1" x14ac:dyDescent="0.25">
      <c r="A919" s="7" t="s">
        <v>43</v>
      </c>
      <c r="B919" s="8">
        <v>1</v>
      </c>
      <c r="C919" s="9">
        <v>423</v>
      </c>
      <c r="D919" s="29">
        <f>C919+IF(INDEX('Справочник по %'!B:B,(MATCH(A919,'Справочник по %'!A:A,0)))="кол-во",B919*INDEX('Справочник по %'!C:C,(MATCH(A919,'Справочник по %'!A:A,0))),ОТЧЕТ!C919*INDEX('Справочник по %'!C:C,(MATCH(A919,'Справочник по %'!A:A,0))))/100</f>
        <v>465.3</v>
      </c>
      <c r="E919" s="29">
        <f>IF(ОТЧЕТ!A919="SKU3",C919+ОТЧЕТ!C919*0.2,C919+ОТЧЕТ!C919*0.15)</f>
        <v>486.45</v>
      </c>
      <c r="F919" s="7" t="s">
        <v>2170</v>
      </c>
      <c r="G919" s="7">
        <v>2310200444</v>
      </c>
      <c r="H919" s="20" t="s">
        <v>69</v>
      </c>
      <c r="I919" s="22" t="str">
        <f>INDEX('Справочник Сети'!B:B,(MATCH(G919,'Справочник Сети'!C:C,0)))</f>
        <v>Планета здоровья</v>
      </c>
      <c r="J919" s="7" t="s">
        <v>70</v>
      </c>
      <c r="K919" s="7" t="s">
        <v>896</v>
      </c>
      <c r="L919" s="7" t="s">
        <v>57</v>
      </c>
      <c r="M919" s="31">
        <v>45729</v>
      </c>
      <c r="N919" s="7" t="s">
        <v>2173</v>
      </c>
      <c r="O919" s="8">
        <v>2434</v>
      </c>
      <c r="P919" s="24">
        <v>4793</v>
      </c>
      <c r="Q919" s="22">
        <f>IF(COUNTIFS(A$2:A919,A919,I$2:I919,I919)=1,1,0)</f>
        <v>0</v>
      </c>
      <c r="R919" s="22">
        <f t="shared" si="14"/>
        <v>1</v>
      </c>
      <c r="S919" s="33">
        <f>IF(COUNTIF(O$2:O919,O919)=1,R919,0)/2.5</f>
        <v>0.4</v>
      </c>
    </row>
    <row r="920" spans="1:19" ht="18" customHeight="1" x14ac:dyDescent="0.25">
      <c r="A920" s="7" t="s">
        <v>43</v>
      </c>
      <c r="B920" s="8">
        <v>1</v>
      </c>
      <c r="C920" s="9">
        <v>438.8</v>
      </c>
      <c r="D920" s="29">
        <f>C920+IF(INDEX('Справочник по %'!B:B,(MATCH(A920,'Справочник по %'!A:A,0)))="кол-во",B920*INDEX('Справочник по %'!C:C,(MATCH(A920,'Справочник по %'!A:A,0))),ОТЧЕТ!C920*INDEX('Справочник по %'!C:C,(MATCH(A920,'Справочник по %'!A:A,0))))/100</f>
        <v>482.68</v>
      </c>
      <c r="E920" s="29">
        <f>IF(ОТЧЕТ!A920="SKU3",C920+ОТЧЕТ!C920*0.2,C920+ОТЧЕТ!C920*0.15)</f>
        <v>504.62</v>
      </c>
      <c r="F920" s="7" t="s">
        <v>2170</v>
      </c>
      <c r="G920" s="7">
        <v>672702290009</v>
      </c>
      <c r="H920" s="20" t="s">
        <v>2174</v>
      </c>
      <c r="I920" s="22">
        <f>INDEX('Справочник Сети'!B:B,(MATCH(G920,'Справочник Сети'!C:C,0)))</f>
        <v>0</v>
      </c>
      <c r="J920" s="7" t="s">
        <v>251</v>
      </c>
      <c r="K920" s="7" t="s">
        <v>488</v>
      </c>
      <c r="L920" s="7" t="s">
        <v>251</v>
      </c>
      <c r="M920" s="31">
        <v>45659</v>
      </c>
      <c r="N920" s="7" t="s">
        <v>2175</v>
      </c>
      <c r="O920" s="8">
        <v>2130</v>
      </c>
      <c r="P920" s="24">
        <v>4797</v>
      </c>
      <c r="Q920" s="22">
        <f>IF(COUNTIFS(A$2:A920,A920,I$2:I920,I920)=1,1,0)</f>
        <v>0</v>
      </c>
      <c r="R920" s="22">
        <f t="shared" si="14"/>
        <v>1</v>
      </c>
      <c r="S920" s="33">
        <f>IF(COUNTIF(O$2:O920,O920)=1,R920,0)/2.5</f>
        <v>0.4</v>
      </c>
    </row>
    <row r="921" spans="1:19" ht="18" customHeight="1" x14ac:dyDescent="0.25">
      <c r="A921" s="7" t="s">
        <v>43</v>
      </c>
      <c r="B921" s="8">
        <v>1</v>
      </c>
      <c r="C921" s="9">
        <v>507</v>
      </c>
      <c r="D921" s="29">
        <f>C921+IF(INDEX('Справочник по %'!B:B,(MATCH(A921,'Справочник по %'!A:A,0)))="кол-во",B921*INDEX('Справочник по %'!C:C,(MATCH(A921,'Справочник по %'!A:A,0))),ОТЧЕТ!C921*INDEX('Справочник по %'!C:C,(MATCH(A921,'Справочник по %'!A:A,0))))/100</f>
        <v>557.70000000000005</v>
      </c>
      <c r="E921" s="29">
        <f>IF(ОТЧЕТ!A921="SKU3",C921+ОТЧЕТ!C921*0.2,C921+ОТЧЕТ!C921*0.15)</f>
        <v>583.04999999999995</v>
      </c>
      <c r="F921" s="7" t="s">
        <v>2170</v>
      </c>
      <c r="G921" s="7">
        <v>6166074953</v>
      </c>
      <c r="H921" s="20" t="s">
        <v>1677</v>
      </c>
      <c r="I921" s="22">
        <f>INDEX('Справочник Сети'!B:B,(MATCH(G921,'Справочник Сети'!C:C,0)))</f>
        <v>0</v>
      </c>
      <c r="J921" s="7" t="s">
        <v>203</v>
      </c>
      <c r="K921" s="7" t="s">
        <v>2176</v>
      </c>
      <c r="L921" s="7" t="s">
        <v>203</v>
      </c>
      <c r="M921" s="31">
        <v>45696</v>
      </c>
      <c r="N921" s="7" t="s">
        <v>2177</v>
      </c>
      <c r="O921" s="8">
        <v>2641</v>
      </c>
      <c r="P921" s="24">
        <v>4798</v>
      </c>
      <c r="Q921" s="22">
        <f>IF(COUNTIFS(A$2:A921,A921,I$2:I921,I921)=1,1,0)</f>
        <v>0</v>
      </c>
      <c r="R921" s="22">
        <f t="shared" si="14"/>
        <v>2</v>
      </c>
      <c r="S921" s="33">
        <f>IF(COUNTIF(O$2:O921,O921)=1,R921,0)/2.5</f>
        <v>0</v>
      </c>
    </row>
    <row r="922" spans="1:19" ht="18" customHeight="1" x14ac:dyDescent="0.25">
      <c r="A922" s="7" t="s">
        <v>37</v>
      </c>
      <c r="B922" s="8">
        <v>1</v>
      </c>
      <c r="C922" s="9">
        <v>661</v>
      </c>
      <c r="D922" s="29">
        <f>C922+IF(INDEX('Справочник по %'!B:B,(MATCH(A922,'Справочник по %'!A:A,0)))="кол-во",B922*INDEX('Справочник по %'!C:C,(MATCH(A922,'Справочник по %'!A:A,0))),ОТЧЕТ!C922*INDEX('Справочник по %'!C:C,(MATCH(A922,'Справочник по %'!A:A,0))))/100</f>
        <v>661.2</v>
      </c>
      <c r="E922" s="29">
        <f>IF(ОТЧЕТ!A922="SKU3",C922+ОТЧЕТ!C922*0.2,C922+ОТЧЕТ!C922*0.15)</f>
        <v>760.15</v>
      </c>
      <c r="F922" s="7" t="s">
        <v>2170</v>
      </c>
      <c r="G922" s="7">
        <v>4707025487</v>
      </c>
      <c r="H922" s="20" t="s">
        <v>50</v>
      </c>
      <c r="I922" s="22">
        <f>INDEX('Справочник Сети'!B:B,(MATCH(G922,'Справочник Сети'!C:C,0)))</f>
        <v>0</v>
      </c>
      <c r="J922" s="7" t="s">
        <v>83</v>
      </c>
      <c r="K922" s="7" t="s">
        <v>2178</v>
      </c>
      <c r="L922" s="7" t="s">
        <v>83</v>
      </c>
      <c r="M922" s="31">
        <v>45715</v>
      </c>
      <c r="N922" s="7" t="s">
        <v>2179</v>
      </c>
      <c r="O922" s="8">
        <v>3081</v>
      </c>
      <c r="P922" s="24">
        <v>4800</v>
      </c>
      <c r="Q922" s="22">
        <f>IF(COUNTIFS(A$2:A922,A922,I$2:I922,I922)=1,1,0)</f>
        <v>0</v>
      </c>
      <c r="R922" s="22">
        <f t="shared" si="14"/>
        <v>1</v>
      </c>
      <c r="S922" s="33">
        <f>IF(COUNTIF(O$2:O922,O922)=1,R922,0)/2.5</f>
        <v>0.4</v>
      </c>
    </row>
    <row r="923" spans="1:19" ht="18" customHeight="1" x14ac:dyDescent="0.25">
      <c r="A923" s="7" t="s">
        <v>43</v>
      </c>
      <c r="B923" s="8">
        <v>1</v>
      </c>
      <c r="C923" s="9">
        <v>397</v>
      </c>
      <c r="D923" s="29">
        <f>C923+IF(INDEX('Справочник по %'!B:B,(MATCH(A923,'Справочник по %'!A:A,0)))="кол-во",B923*INDEX('Справочник по %'!C:C,(MATCH(A923,'Справочник по %'!A:A,0))),ОТЧЕТ!C923*INDEX('Справочник по %'!C:C,(MATCH(A923,'Справочник по %'!A:A,0))))/100</f>
        <v>436.7</v>
      </c>
      <c r="E923" s="29">
        <f>IF(ОТЧЕТ!A923="SKU3",C923+ОТЧЕТ!C923*0.2,C923+ОТЧЕТ!C923*0.15)</f>
        <v>456.55</v>
      </c>
      <c r="F923" s="7" t="s">
        <v>2170</v>
      </c>
      <c r="G923" s="7">
        <v>6166045261</v>
      </c>
      <c r="H923" s="20" t="s">
        <v>2088</v>
      </c>
      <c r="I923" s="22" t="str">
        <f>INDEX('Справочник Сети'!B:B,(MATCH(G923,'Справочник Сети'!C:C,0)))</f>
        <v>Столички</v>
      </c>
      <c r="J923" s="7" t="s">
        <v>203</v>
      </c>
      <c r="K923" s="7" t="s">
        <v>1552</v>
      </c>
      <c r="L923" s="7" t="s">
        <v>520</v>
      </c>
      <c r="M923" s="31">
        <v>45697</v>
      </c>
      <c r="N923" s="7" t="s">
        <v>2180</v>
      </c>
      <c r="O923" s="8">
        <v>1773</v>
      </c>
      <c r="P923" s="24">
        <v>4805</v>
      </c>
      <c r="Q923" s="22">
        <f>IF(COUNTIFS(A$2:A923,A923,I$2:I923,I923)=1,1,0)</f>
        <v>0</v>
      </c>
      <c r="R923" s="22">
        <f t="shared" si="14"/>
        <v>4</v>
      </c>
      <c r="S923" s="33">
        <f>IF(COUNTIF(O$2:O923,O923)=1,R923,0)/2.5</f>
        <v>0</v>
      </c>
    </row>
    <row r="924" spans="1:19" ht="18" customHeight="1" x14ac:dyDescent="0.25">
      <c r="A924" s="7" t="s">
        <v>43</v>
      </c>
      <c r="B924" s="8">
        <v>1</v>
      </c>
      <c r="C924" s="9">
        <v>469</v>
      </c>
      <c r="D924" s="29">
        <f>C924+IF(INDEX('Справочник по %'!B:B,(MATCH(A924,'Справочник по %'!A:A,0)))="кол-во",B924*INDEX('Справочник по %'!C:C,(MATCH(A924,'Справочник по %'!A:A,0))),ОТЧЕТ!C924*INDEX('Справочник по %'!C:C,(MATCH(A924,'Справочник по %'!A:A,0))))/100</f>
        <v>515.9</v>
      </c>
      <c r="E924" s="29">
        <f>IF(ОТЧЕТ!A924="SKU3",C924+ОТЧЕТ!C924*0.2,C924+ОТЧЕТ!C924*0.15)</f>
        <v>539.35</v>
      </c>
      <c r="F924" s="7" t="s">
        <v>2170</v>
      </c>
      <c r="G924" s="7">
        <v>3661052490</v>
      </c>
      <c r="H924" s="20" t="s">
        <v>91</v>
      </c>
      <c r="I924" s="22">
        <f>INDEX('Справочник Сети'!B:B,(MATCH(G924,'Справочник Сети'!C:C,0)))</f>
        <v>0</v>
      </c>
      <c r="J924" s="7" t="s">
        <v>65</v>
      </c>
      <c r="K924" s="7" t="s">
        <v>2181</v>
      </c>
      <c r="L924" s="7" t="s">
        <v>65</v>
      </c>
      <c r="M924" s="31">
        <v>45717</v>
      </c>
      <c r="N924" s="7" t="s">
        <v>2182</v>
      </c>
      <c r="O924" s="8">
        <v>875</v>
      </c>
      <c r="P924" s="24">
        <v>4808</v>
      </c>
      <c r="Q924" s="22">
        <f>IF(COUNTIFS(A$2:A924,A924,I$2:I924,I924)=1,1,0)</f>
        <v>0</v>
      </c>
      <c r="R924" s="22">
        <f t="shared" si="14"/>
        <v>1</v>
      </c>
      <c r="S924" s="33">
        <f>IF(COUNTIF(O$2:O924,O924)=1,R924,0)/2.5</f>
        <v>0.4</v>
      </c>
    </row>
    <row r="925" spans="1:19" ht="18" customHeight="1" x14ac:dyDescent="0.25">
      <c r="A925" s="7" t="s">
        <v>43</v>
      </c>
      <c r="B925" s="8">
        <v>1</v>
      </c>
      <c r="C925" s="9">
        <v>395</v>
      </c>
      <c r="D925" s="29">
        <f>C925+IF(INDEX('Справочник по %'!B:B,(MATCH(A925,'Справочник по %'!A:A,0)))="кол-во",B925*INDEX('Справочник по %'!C:C,(MATCH(A925,'Справочник по %'!A:A,0))),ОТЧЕТ!C925*INDEX('Справочник по %'!C:C,(MATCH(A925,'Справочник по %'!A:A,0))))/100</f>
        <v>434.5</v>
      </c>
      <c r="E925" s="29">
        <f>IF(ОТЧЕТ!A925="SKU3",C925+ОТЧЕТ!C925*0.2,C925+ОТЧЕТ!C925*0.15)</f>
        <v>454.25</v>
      </c>
      <c r="F925" s="7" t="s">
        <v>2170</v>
      </c>
      <c r="G925" s="7">
        <v>5610067407</v>
      </c>
      <c r="H925" s="20" t="s">
        <v>2183</v>
      </c>
      <c r="I925" s="22" t="str">
        <f>INDEX('Справочник Сети'!B:B,(MATCH(G925,'Справочник Сети'!C:C,0)))</f>
        <v>Ригла</v>
      </c>
      <c r="J925" s="7" t="s">
        <v>255</v>
      </c>
      <c r="K925" s="7" t="s">
        <v>400</v>
      </c>
      <c r="L925" s="7" t="s">
        <v>255</v>
      </c>
      <c r="M925" s="31">
        <v>45713</v>
      </c>
      <c r="N925" s="7" t="s">
        <v>2184</v>
      </c>
      <c r="O925" s="8">
        <v>2546</v>
      </c>
      <c r="P925" s="24">
        <v>4811</v>
      </c>
      <c r="Q925" s="22">
        <f>IF(COUNTIFS(A$2:A925,A925,I$2:I925,I925)=1,1,0)</f>
        <v>0</v>
      </c>
      <c r="R925" s="22">
        <f t="shared" si="14"/>
        <v>2</v>
      </c>
      <c r="S925" s="33">
        <f>IF(COUNTIF(O$2:O925,O925)=1,R925,0)/2.5</f>
        <v>0.8</v>
      </c>
    </row>
    <row r="926" spans="1:19" ht="18" customHeight="1" x14ac:dyDescent="0.25">
      <c r="A926" s="7" t="s">
        <v>43</v>
      </c>
      <c r="B926" s="8">
        <v>1</v>
      </c>
      <c r="C926" s="9">
        <v>466</v>
      </c>
      <c r="D926" s="29">
        <f>C926+IF(INDEX('Справочник по %'!B:B,(MATCH(A926,'Справочник по %'!A:A,0)))="кол-во",B926*INDEX('Справочник по %'!C:C,(MATCH(A926,'Справочник по %'!A:A,0))),ОТЧЕТ!C926*INDEX('Справочник по %'!C:C,(MATCH(A926,'Справочник по %'!A:A,0))))/100</f>
        <v>512.6</v>
      </c>
      <c r="E926" s="29">
        <f>IF(ОТЧЕТ!A926="SKU3",C926+ОТЧЕТ!C926*0.2,C926+ОТЧЕТ!C926*0.15)</f>
        <v>535.9</v>
      </c>
      <c r="F926" s="7" t="s">
        <v>2170</v>
      </c>
      <c r="G926" s="7">
        <v>2543102471</v>
      </c>
      <c r="H926" s="20" t="s">
        <v>1412</v>
      </c>
      <c r="I926" s="22" t="str">
        <f>INDEX('Справочник Сети'!B:B,(MATCH(G926,'Справочник Сети'!C:C,0)))</f>
        <v>Столички</v>
      </c>
      <c r="J926" s="7" t="s">
        <v>46</v>
      </c>
      <c r="K926" s="7" t="s">
        <v>172</v>
      </c>
      <c r="L926" s="7" t="s">
        <v>46</v>
      </c>
      <c r="M926" s="31">
        <v>45726</v>
      </c>
      <c r="N926" s="7" t="s">
        <v>2185</v>
      </c>
      <c r="O926" s="8">
        <v>710</v>
      </c>
      <c r="P926" s="24">
        <v>4812</v>
      </c>
      <c r="Q926" s="22">
        <f>IF(COUNTIFS(A$2:A926,A926,I$2:I926,I926)=1,1,0)</f>
        <v>0</v>
      </c>
      <c r="R926" s="22">
        <f t="shared" si="14"/>
        <v>6</v>
      </c>
      <c r="S926" s="33">
        <f>IF(COUNTIF(O$2:O926,O926)=1,R926,0)/2.5</f>
        <v>0</v>
      </c>
    </row>
    <row r="927" spans="1:19" ht="18" customHeight="1" x14ac:dyDescent="0.25">
      <c r="A927" s="7" t="s">
        <v>37</v>
      </c>
      <c r="B927" s="8">
        <v>1</v>
      </c>
      <c r="C927" s="9">
        <v>559</v>
      </c>
      <c r="D927" s="29">
        <f>C927+IF(INDEX('Справочник по %'!B:B,(MATCH(A927,'Справочник по %'!A:A,0)))="кол-во",B927*INDEX('Справочник по %'!C:C,(MATCH(A927,'Справочник по %'!A:A,0))),ОТЧЕТ!C927*INDEX('Справочник по %'!C:C,(MATCH(A927,'Справочник по %'!A:A,0))))/100</f>
        <v>559.20000000000005</v>
      </c>
      <c r="E927" s="29">
        <f>IF(ОТЧЕТ!A927="SKU3",C927+ОТЧЕТ!C927*0.2,C927+ОТЧЕТ!C927*0.15)</f>
        <v>642.85</v>
      </c>
      <c r="F927" s="7" t="s">
        <v>2170</v>
      </c>
      <c r="G927" s="7">
        <v>5902850365</v>
      </c>
      <c r="H927" s="20" t="s">
        <v>39</v>
      </c>
      <c r="I927" s="22">
        <f>INDEX('Справочник Сети'!B:B,(MATCH(G927,'Справочник Сети'!C:C,0)))</f>
        <v>0</v>
      </c>
      <c r="J927" s="7" t="s">
        <v>40</v>
      </c>
      <c r="K927" s="7" t="s">
        <v>2186</v>
      </c>
      <c r="L927" s="7" t="s">
        <v>40</v>
      </c>
      <c r="M927" s="31">
        <v>45712</v>
      </c>
      <c r="N927" s="7" t="s">
        <v>2187</v>
      </c>
      <c r="O927" s="8">
        <v>204</v>
      </c>
      <c r="P927" s="24">
        <v>4815</v>
      </c>
      <c r="Q927" s="22">
        <f>IF(COUNTIFS(A$2:A927,A927,I$2:I927,I927)=1,1,0)</f>
        <v>0</v>
      </c>
      <c r="R927" s="22">
        <f t="shared" si="14"/>
        <v>1</v>
      </c>
      <c r="S927" s="33">
        <f>IF(COUNTIF(O$2:O927,O927)=1,R927,0)/2.5</f>
        <v>0.4</v>
      </c>
    </row>
    <row r="928" spans="1:19" ht="18" customHeight="1" x14ac:dyDescent="0.25">
      <c r="A928" s="7" t="s">
        <v>43</v>
      </c>
      <c r="B928" s="8">
        <v>1</v>
      </c>
      <c r="C928" s="9">
        <v>380</v>
      </c>
      <c r="D928" s="29">
        <f>C928+IF(INDEX('Справочник по %'!B:B,(MATCH(A928,'Справочник по %'!A:A,0)))="кол-во",B928*INDEX('Справочник по %'!C:C,(MATCH(A928,'Справочник по %'!A:A,0))),ОТЧЕТ!C928*INDEX('Справочник по %'!C:C,(MATCH(A928,'Справочник по %'!A:A,0))))/100</f>
        <v>418</v>
      </c>
      <c r="E928" s="29">
        <f>IF(ОТЧЕТ!A928="SKU3",C928+ОТЧЕТ!C928*0.2,C928+ОТЧЕТ!C928*0.15)</f>
        <v>437</v>
      </c>
      <c r="F928" s="7" t="s">
        <v>2170</v>
      </c>
      <c r="G928" s="7">
        <v>5038049773</v>
      </c>
      <c r="H928" s="20" t="s">
        <v>700</v>
      </c>
      <c r="I928" s="22">
        <f>INDEX('Справочник Сети'!B:B,(MATCH(G928,'Справочник Сети'!C:C,0)))</f>
        <v>0</v>
      </c>
      <c r="J928" s="7" t="s">
        <v>92</v>
      </c>
      <c r="K928" s="7" t="s">
        <v>2188</v>
      </c>
      <c r="L928" s="7" t="s">
        <v>92</v>
      </c>
      <c r="M928" s="31">
        <v>45714</v>
      </c>
      <c r="N928" s="7" t="s">
        <v>2189</v>
      </c>
      <c r="O928" s="8">
        <v>614</v>
      </c>
      <c r="P928" s="24">
        <v>4816</v>
      </c>
      <c r="Q928" s="22">
        <f>IF(COUNTIFS(A$2:A928,A928,I$2:I928,I928)=1,1,0)</f>
        <v>0</v>
      </c>
      <c r="R928" s="22">
        <f t="shared" si="14"/>
        <v>2</v>
      </c>
      <c r="S928" s="33">
        <f>IF(COUNTIF(O$2:O928,O928)=1,R928,0)/2.5</f>
        <v>0.8</v>
      </c>
    </row>
    <row r="929" spans="1:19" ht="18" customHeight="1" x14ac:dyDescent="0.25">
      <c r="A929" s="7" t="s">
        <v>43</v>
      </c>
      <c r="B929" s="8">
        <v>1</v>
      </c>
      <c r="C929" s="9">
        <v>415</v>
      </c>
      <c r="D929" s="29">
        <f>C929+IF(INDEX('Справочник по %'!B:B,(MATCH(A929,'Справочник по %'!A:A,0)))="кол-во",B929*INDEX('Справочник по %'!C:C,(MATCH(A929,'Справочник по %'!A:A,0))),ОТЧЕТ!C929*INDEX('Справочник по %'!C:C,(MATCH(A929,'Справочник по %'!A:A,0))))/100</f>
        <v>456.5</v>
      </c>
      <c r="E929" s="29">
        <f>IF(ОТЧЕТ!A929="SKU3",C929+ОТЧЕТ!C929*0.2,C929+ОТЧЕТ!C929*0.15)</f>
        <v>477.25</v>
      </c>
      <c r="F929" s="7" t="s">
        <v>2170</v>
      </c>
      <c r="G929" s="7">
        <v>6452124997</v>
      </c>
      <c r="H929" s="20" t="s">
        <v>2190</v>
      </c>
      <c r="I929" s="22">
        <f>INDEX('Справочник Сети'!B:B,(MATCH(G929,'Справочник Сети'!C:C,0)))</f>
        <v>0</v>
      </c>
      <c r="J929" s="7" t="s">
        <v>133</v>
      </c>
      <c r="K929" s="7" t="s">
        <v>2020</v>
      </c>
      <c r="L929" s="7" t="s">
        <v>133</v>
      </c>
      <c r="M929" s="31">
        <v>45695</v>
      </c>
      <c r="N929" s="7" t="s">
        <v>2191</v>
      </c>
      <c r="O929" s="8">
        <v>920</v>
      </c>
      <c r="P929" s="24">
        <v>4817</v>
      </c>
      <c r="Q929" s="22">
        <f>IF(COUNTIFS(A$2:A929,A929,I$2:I929,I929)=1,1,0)</f>
        <v>0</v>
      </c>
      <c r="R929" s="22">
        <f t="shared" si="14"/>
        <v>1</v>
      </c>
      <c r="S929" s="33">
        <f>IF(COUNTIF(O$2:O929,O929)=1,R929,0)/2.5</f>
        <v>0.4</v>
      </c>
    </row>
    <row r="930" spans="1:19" ht="18" customHeight="1" x14ac:dyDescent="0.25">
      <c r="A930" s="7" t="s">
        <v>43</v>
      </c>
      <c r="B930" s="8">
        <v>1</v>
      </c>
      <c r="C930" s="9">
        <v>492</v>
      </c>
      <c r="D930" s="29">
        <f>C930+IF(INDEX('Справочник по %'!B:B,(MATCH(A930,'Справочник по %'!A:A,0)))="кол-во",B930*INDEX('Справочник по %'!C:C,(MATCH(A930,'Справочник по %'!A:A,0))),ОТЧЕТ!C930*INDEX('Справочник по %'!C:C,(MATCH(A930,'Справочник по %'!A:A,0))))/100</f>
        <v>541.20000000000005</v>
      </c>
      <c r="E930" s="29">
        <f>IF(ОТЧЕТ!A930="SKU3",C930+ОТЧЕТ!C930*0.2,C930+ОТЧЕТ!C930*0.15)</f>
        <v>565.79999999999995</v>
      </c>
      <c r="F930" s="7" t="s">
        <v>2170</v>
      </c>
      <c r="G930" s="7">
        <v>2543009225</v>
      </c>
      <c r="H930" s="20" t="s">
        <v>2192</v>
      </c>
      <c r="I930" s="22" t="str">
        <f>INDEX('Справочник Сети'!B:B,(MATCH(G930,'Справочник Сети'!C:C,0)))</f>
        <v>Нео-фарм</v>
      </c>
      <c r="J930" s="7" t="s">
        <v>46</v>
      </c>
      <c r="K930" s="7" t="s">
        <v>1808</v>
      </c>
      <c r="L930" s="7" t="s">
        <v>46</v>
      </c>
      <c r="M930" s="31">
        <v>45726</v>
      </c>
      <c r="N930" s="7" t="s">
        <v>2193</v>
      </c>
      <c r="O930" s="8">
        <v>3625</v>
      </c>
      <c r="P930" s="24">
        <v>4818</v>
      </c>
      <c r="Q930" s="22">
        <f>IF(COUNTIFS(A$2:A930,A930,I$2:I930,I930)=1,1,0)</f>
        <v>0</v>
      </c>
      <c r="R930" s="22">
        <f t="shared" si="14"/>
        <v>1</v>
      </c>
      <c r="S930" s="33">
        <f>IF(COUNTIF(O$2:O930,O930)=1,R930,0)/2.5</f>
        <v>0.4</v>
      </c>
    </row>
    <row r="931" spans="1:19" ht="18" customHeight="1" x14ac:dyDescent="0.25">
      <c r="A931" s="7" t="s">
        <v>37</v>
      </c>
      <c r="B931" s="8">
        <v>1</v>
      </c>
      <c r="C931" s="9">
        <v>599.9</v>
      </c>
      <c r="D931" s="29">
        <f>C931+IF(INDEX('Справочник по %'!B:B,(MATCH(A931,'Справочник по %'!A:A,0)))="кол-во",B931*INDEX('Справочник по %'!C:C,(MATCH(A931,'Справочник по %'!A:A,0))),ОТЧЕТ!C931*INDEX('Справочник по %'!C:C,(MATCH(A931,'Справочник по %'!A:A,0))))/100</f>
        <v>600.1</v>
      </c>
      <c r="E931" s="29">
        <f>IF(ОТЧЕТ!A931="SKU3",C931+ОТЧЕТ!C931*0.2,C931+ОТЧЕТ!C931*0.15)</f>
        <v>689.88499999999999</v>
      </c>
      <c r="F931" s="7" t="s">
        <v>2170</v>
      </c>
      <c r="G931" s="7">
        <v>4217146404</v>
      </c>
      <c r="H931" s="20" t="s">
        <v>2194</v>
      </c>
      <c r="I931" s="22">
        <f>INDEX('Справочник Сети'!B:B,(MATCH(G931,'Справочник Сети'!C:C,0)))</f>
        <v>0</v>
      </c>
      <c r="J931" s="7" t="s">
        <v>155</v>
      </c>
      <c r="K931" s="7" t="s">
        <v>2093</v>
      </c>
      <c r="L931" s="7" t="s">
        <v>155</v>
      </c>
      <c r="M931" s="31">
        <v>45716</v>
      </c>
      <c r="N931" s="7" t="s">
        <v>2195</v>
      </c>
      <c r="O931" s="8">
        <v>544</v>
      </c>
      <c r="P931" s="24">
        <v>4821</v>
      </c>
      <c r="Q931" s="22">
        <f>IF(COUNTIFS(A$2:A931,A931,I$2:I931,I931)=1,1,0)</f>
        <v>0</v>
      </c>
      <c r="R931" s="22">
        <f t="shared" si="14"/>
        <v>1</v>
      </c>
      <c r="S931" s="33">
        <f>IF(COUNTIF(O$2:O931,O931)=1,R931,0)/2.5</f>
        <v>0.4</v>
      </c>
    </row>
    <row r="932" spans="1:19" ht="18" customHeight="1" x14ac:dyDescent="0.25">
      <c r="A932" s="7" t="s">
        <v>43</v>
      </c>
      <c r="B932" s="8">
        <v>1</v>
      </c>
      <c r="C932" s="9">
        <v>590</v>
      </c>
      <c r="D932" s="29">
        <f>C932+IF(INDEX('Справочник по %'!B:B,(MATCH(A932,'Справочник по %'!A:A,0)))="кол-во",B932*INDEX('Справочник по %'!C:C,(MATCH(A932,'Справочник по %'!A:A,0))),ОТЧЕТ!C932*INDEX('Справочник по %'!C:C,(MATCH(A932,'Справочник по %'!A:A,0))))/100</f>
        <v>649</v>
      </c>
      <c r="E932" s="29">
        <f>IF(ОТЧЕТ!A932="SKU3",C932+ОТЧЕТ!C932*0.2,C932+ОТЧЕТ!C932*0.15)</f>
        <v>678.5</v>
      </c>
      <c r="F932" s="7" t="s">
        <v>2170</v>
      </c>
      <c r="G932" s="7">
        <v>7714844316</v>
      </c>
      <c r="H932" s="20" t="s">
        <v>50</v>
      </c>
      <c r="I932" s="22" t="str">
        <f>INDEX('Справочник Сети'!B:B,(MATCH(G932,'Справочник Сети'!C:C,0)))</f>
        <v>Планета здоровья</v>
      </c>
      <c r="J932" s="7" t="s">
        <v>504</v>
      </c>
      <c r="K932" s="7" t="s">
        <v>521</v>
      </c>
      <c r="L932" s="7" t="s">
        <v>504</v>
      </c>
      <c r="M932" s="31">
        <v>45690</v>
      </c>
      <c r="N932" s="7" t="s">
        <v>2196</v>
      </c>
      <c r="O932" s="8">
        <v>868</v>
      </c>
      <c r="P932" s="24">
        <v>4822</v>
      </c>
      <c r="Q932" s="22">
        <f>IF(COUNTIFS(A$2:A932,A932,I$2:I932,I932)=1,1,0)</f>
        <v>0</v>
      </c>
      <c r="R932" s="22">
        <f t="shared" si="14"/>
        <v>12</v>
      </c>
      <c r="S932" s="33">
        <f>IF(COUNTIF(O$2:O932,O932)=1,R932,0)/2.5</f>
        <v>0</v>
      </c>
    </row>
    <row r="933" spans="1:19" ht="18" customHeight="1" x14ac:dyDescent="0.25">
      <c r="A933" s="7" t="s">
        <v>37</v>
      </c>
      <c r="B933" s="8">
        <v>1</v>
      </c>
      <c r="C933" s="9">
        <v>589.9</v>
      </c>
      <c r="D933" s="29">
        <f>C933+IF(INDEX('Справочник по %'!B:B,(MATCH(A933,'Справочник по %'!A:A,0)))="кол-во",B933*INDEX('Справочник по %'!C:C,(MATCH(A933,'Справочник по %'!A:A,0))),ОТЧЕТ!C933*INDEX('Справочник по %'!C:C,(MATCH(A933,'Справочник по %'!A:A,0))))/100</f>
        <v>590.1</v>
      </c>
      <c r="E933" s="29">
        <f>IF(ОТЧЕТ!A933="SKU3",C933+ОТЧЕТ!C933*0.2,C933+ОТЧЕТ!C933*0.15)</f>
        <v>678.38499999999999</v>
      </c>
      <c r="F933" s="7" t="s">
        <v>2170</v>
      </c>
      <c r="G933" s="7">
        <v>1840003432</v>
      </c>
      <c r="H933" s="20" t="s">
        <v>2197</v>
      </c>
      <c r="I933" s="22">
        <f>INDEX('Справочник Сети'!B:B,(MATCH(G933,'Справочник Сети'!C:C,0)))</f>
        <v>0</v>
      </c>
      <c r="J933" s="7" t="s">
        <v>372</v>
      </c>
      <c r="K933" s="7" t="s">
        <v>2103</v>
      </c>
      <c r="L933" s="7" t="s">
        <v>335</v>
      </c>
      <c r="M933" s="31">
        <v>45731</v>
      </c>
      <c r="N933" s="7" t="s">
        <v>2198</v>
      </c>
      <c r="O933" s="8">
        <v>2223</v>
      </c>
      <c r="P933" s="24">
        <v>4823</v>
      </c>
      <c r="Q933" s="22">
        <f>IF(COUNTIFS(A$2:A933,A933,I$2:I933,I933)=1,1,0)</f>
        <v>0</v>
      </c>
      <c r="R933" s="22">
        <f t="shared" si="14"/>
        <v>2</v>
      </c>
      <c r="S933" s="33">
        <f>IF(COUNTIF(O$2:O933,O933)=1,R933,0)/2.5</f>
        <v>0.8</v>
      </c>
    </row>
    <row r="934" spans="1:19" ht="18" customHeight="1" x14ac:dyDescent="0.25">
      <c r="A934" s="7" t="s">
        <v>43</v>
      </c>
      <c r="B934" s="8">
        <v>1</v>
      </c>
      <c r="C934" s="9">
        <v>530</v>
      </c>
      <c r="D934" s="29">
        <f>C934+IF(INDEX('Справочник по %'!B:B,(MATCH(A934,'Справочник по %'!A:A,0)))="кол-во",B934*INDEX('Справочник по %'!C:C,(MATCH(A934,'Справочник по %'!A:A,0))),ОТЧЕТ!C934*INDEX('Справочник по %'!C:C,(MATCH(A934,'Справочник по %'!A:A,0))))/100</f>
        <v>583</v>
      </c>
      <c r="E934" s="29">
        <f>IF(ОТЧЕТ!A934="SKU3",C934+ОТЧЕТ!C934*0.2,C934+ОТЧЕТ!C934*0.15)</f>
        <v>609.5</v>
      </c>
      <c r="F934" s="7" t="s">
        <v>2170</v>
      </c>
      <c r="G934" s="7">
        <v>4205389561</v>
      </c>
      <c r="H934" s="20" t="s">
        <v>2199</v>
      </c>
      <c r="I934" s="22">
        <f>INDEX('Справочник Сети'!B:B,(MATCH(G934,'Справочник Сети'!C:C,0)))</f>
        <v>0</v>
      </c>
      <c r="J934" s="7" t="s">
        <v>155</v>
      </c>
      <c r="K934" s="7" t="s">
        <v>1495</v>
      </c>
      <c r="L934" s="7" t="s">
        <v>155</v>
      </c>
      <c r="M934" s="31">
        <v>45716</v>
      </c>
      <c r="N934" s="7" t="s">
        <v>2200</v>
      </c>
      <c r="O934" s="8">
        <v>808</v>
      </c>
      <c r="P934" s="24">
        <v>4824</v>
      </c>
      <c r="Q934" s="22">
        <f>IF(COUNTIFS(A$2:A934,A934,I$2:I934,I934)=1,1,0)</f>
        <v>0</v>
      </c>
      <c r="R934" s="22">
        <f t="shared" si="14"/>
        <v>2</v>
      </c>
      <c r="S934" s="33">
        <f>IF(COUNTIF(O$2:O934,O934)=1,R934,0)/2.5</f>
        <v>0.8</v>
      </c>
    </row>
    <row r="935" spans="1:19" ht="18" customHeight="1" x14ac:dyDescent="0.25">
      <c r="A935" s="7" t="s">
        <v>43</v>
      </c>
      <c r="B935" s="8">
        <v>1</v>
      </c>
      <c r="C935" s="9">
        <v>448</v>
      </c>
      <c r="D935" s="29">
        <f>C935+IF(INDEX('Справочник по %'!B:B,(MATCH(A935,'Справочник по %'!A:A,0)))="кол-во",B935*INDEX('Справочник по %'!C:C,(MATCH(A935,'Справочник по %'!A:A,0))),ОТЧЕТ!C935*INDEX('Справочник по %'!C:C,(MATCH(A935,'Справочник по %'!A:A,0))))/100</f>
        <v>492.8</v>
      </c>
      <c r="E935" s="29">
        <f>IF(ОТЧЕТ!A935="SKU3",C935+ОТЧЕТ!C935*0.2,C935+ОТЧЕТ!C935*0.15)</f>
        <v>515.20000000000005</v>
      </c>
      <c r="F935" s="7" t="s">
        <v>2170</v>
      </c>
      <c r="G935" s="7">
        <v>7728395276</v>
      </c>
      <c r="H935" s="20" t="s">
        <v>50</v>
      </c>
      <c r="I935" s="22">
        <f>INDEX('Справочник Сети'!B:B,(MATCH(G935,'Справочник Сети'!C:C,0)))</f>
        <v>0</v>
      </c>
      <c r="J935" s="7" t="s">
        <v>142</v>
      </c>
      <c r="K935" s="7" t="s">
        <v>2201</v>
      </c>
      <c r="L935" s="7" t="s">
        <v>142</v>
      </c>
      <c r="M935" s="31">
        <v>45674</v>
      </c>
      <c r="N935" s="7" t="s">
        <v>2202</v>
      </c>
      <c r="O935" s="8">
        <v>1534</v>
      </c>
      <c r="P935" s="24">
        <v>4825</v>
      </c>
      <c r="Q935" s="22">
        <f>IF(COUNTIFS(A$2:A935,A935,I$2:I935,I935)=1,1,0)</f>
        <v>0</v>
      </c>
      <c r="R935" s="22">
        <f t="shared" si="14"/>
        <v>4</v>
      </c>
      <c r="S935" s="33">
        <f>IF(COUNTIF(O$2:O935,O935)=1,R935,0)/2.5</f>
        <v>0</v>
      </c>
    </row>
    <row r="936" spans="1:19" ht="18" customHeight="1" x14ac:dyDescent="0.25">
      <c r="A936" s="7" t="s">
        <v>43</v>
      </c>
      <c r="B936" s="8">
        <v>1</v>
      </c>
      <c r="C936" s="9">
        <v>448</v>
      </c>
      <c r="D936" s="29">
        <f>C936+IF(INDEX('Справочник по %'!B:B,(MATCH(A936,'Справочник по %'!A:A,0)))="кол-во",B936*INDEX('Справочник по %'!C:C,(MATCH(A936,'Справочник по %'!A:A,0))),ОТЧЕТ!C936*INDEX('Справочник по %'!C:C,(MATCH(A936,'Справочник по %'!A:A,0))))/100</f>
        <v>492.8</v>
      </c>
      <c r="E936" s="29">
        <f>IF(ОТЧЕТ!A936="SKU3",C936+ОТЧЕТ!C936*0.2,C936+ОТЧЕТ!C936*0.15)</f>
        <v>515.20000000000005</v>
      </c>
      <c r="F936" s="7" t="s">
        <v>2170</v>
      </c>
      <c r="G936" s="7">
        <v>7728395276</v>
      </c>
      <c r="H936" s="20" t="s">
        <v>50</v>
      </c>
      <c r="I936" s="22">
        <f>INDEX('Справочник Сети'!B:B,(MATCH(G936,'Справочник Сети'!C:C,0)))</f>
        <v>0</v>
      </c>
      <c r="J936" s="7" t="s">
        <v>142</v>
      </c>
      <c r="K936" s="7" t="s">
        <v>2203</v>
      </c>
      <c r="L936" s="7" t="s">
        <v>142</v>
      </c>
      <c r="M936" s="31">
        <v>45674</v>
      </c>
      <c r="N936" s="7" t="s">
        <v>2204</v>
      </c>
      <c r="O936" s="8">
        <v>1534</v>
      </c>
      <c r="P936" s="24">
        <v>4826</v>
      </c>
      <c r="Q936" s="22">
        <f>IF(COUNTIFS(A$2:A936,A936,I$2:I936,I936)=1,1,0)</f>
        <v>0</v>
      </c>
      <c r="R936" s="22">
        <f t="shared" si="14"/>
        <v>4</v>
      </c>
      <c r="S936" s="33">
        <f>IF(COUNTIF(O$2:O936,O936)=1,R936,0)/2.5</f>
        <v>0</v>
      </c>
    </row>
    <row r="937" spans="1:19" ht="18" customHeight="1" x14ac:dyDescent="0.25">
      <c r="A937" s="7" t="s">
        <v>43</v>
      </c>
      <c r="B937" s="8">
        <v>1</v>
      </c>
      <c r="C937" s="9">
        <v>377</v>
      </c>
      <c r="D937" s="29">
        <f>C937+IF(INDEX('Справочник по %'!B:B,(MATCH(A937,'Справочник по %'!A:A,0)))="кол-во",B937*INDEX('Справочник по %'!C:C,(MATCH(A937,'Справочник по %'!A:A,0))),ОТЧЕТ!C937*INDEX('Справочник по %'!C:C,(MATCH(A937,'Справочник по %'!A:A,0))))/100</f>
        <v>414.7</v>
      </c>
      <c r="E937" s="29">
        <f>IF(ОТЧЕТ!A937="SKU3",C937+ОТЧЕТ!C937*0.2,C937+ОТЧЕТ!C937*0.15)</f>
        <v>433.55</v>
      </c>
      <c r="F937" s="7" t="s">
        <v>2170</v>
      </c>
      <c r="G937" s="7">
        <v>7706795062</v>
      </c>
      <c r="H937" s="20" t="s">
        <v>487</v>
      </c>
      <c r="I937" s="22" t="str">
        <f>INDEX('Справочник Сети'!B:B,(MATCH(G937,'Справочник Сети'!C:C,0)))</f>
        <v>Планета здоровья</v>
      </c>
      <c r="J937" s="7" t="s">
        <v>87</v>
      </c>
      <c r="K937" s="7" t="s">
        <v>1499</v>
      </c>
      <c r="L937" s="7" t="s">
        <v>87</v>
      </c>
      <c r="M937" s="31">
        <v>45691</v>
      </c>
      <c r="N937" s="7" t="s">
        <v>2205</v>
      </c>
      <c r="O937" s="8">
        <v>1549</v>
      </c>
      <c r="P937" s="24">
        <v>4828</v>
      </c>
      <c r="Q937" s="22">
        <f>IF(COUNTIFS(A$2:A937,A937,I$2:I937,I937)=1,1,0)</f>
        <v>0</v>
      </c>
      <c r="R937" s="22">
        <f t="shared" si="14"/>
        <v>8</v>
      </c>
      <c r="S937" s="33">
        <f>IF(COUNTIF(O$2:O937,O937)=1,R937,0)/2.5</f>
        <v>0</v>
      </c>
    </row>
    <row r="938" spans="1:19" ht="18" customHeight="1" x14ac:dyDescent="0.25">
      <c r="A938" s="7" t="s">
        <v>43</v>
      </c>
      <c r="B938" s="8">
        <v>1</v>
      </c>
      <c r="C938" s="9">
        <v>401</v>
      </c>
      <c r="D938" s="29">
        <f>C938+IF(INDEX('Справочник по %'!B:B,(MATCH(A938,'Справочник по %'!A:A,0)))="кол-во",B938*INDEX('Справочник по %'!C:C,(MATCH(A938,'Справочник по %'!A:A,0))),ОТЧЕТ!C938*INDEX('Справочник по %'!C:C,(MATCH(A938,'Справочник по %'!A:A,0))))/100</f>
        <v>441.1</v>
      </c>
      <c r="E938" s="29">
        <f>IF(ОТЧЕТ!A938="SKU3",C938+ОТЧЕТ!C938*0.2,C938+ОТЧЕТ!C938*0.15)</f>
        <v>461.15</v>
      </c>
      <c r="F938" s="7" t="s">
        <v>2170</v>
      </c>
      <c r="G938" s="7">
        <v>2373007450</v>
      </c>
      <c r="H938" s="20" t="s">
        <v>2206</v>
      </c>
      <c r="I938" s="22">
        <f>INDEX('Справочник Сети'!B:B,(MATCH(G938,'Справочник Сети'!C:C,0)))</f>
        <v>0</v>
      </c>
      <c r="J938" s="7" t="s">
        <v>96</v>
      </c>
      <c r="K938" s="7" t="s">
        <v>1499</v>
      </c>
      <c r="L938" s="7" t="s">
        <v>96</v>
      </c>
      <c r="M938" s="31">
        <v>45727</v>
      </c>
      <c r="N938" s="7" t="s">
        <v>2207</v>
      </c>
      <c r="O938" s="8">
        <v>255</v>
      </c>
      <c r="P938" s="24">
        <v>4829</v>
      </c>
      <c r="Q938" s="22">
        <f>IF(COUNTIFS(A$2:A938,A938,I$2:I938,I938)=1,1,0)</f>
        <v>0</v>
      </c>
      <c r="R938" s="22">
        <f t="shared" si="14"/>
        <v>2</v>
      </c>
      <c r="S938" s="33">
        <f>IF(COUNTIF(O$2:O938,O938)=1,R938,0)/2.5</f>
        <v>0.8</v>
      </c>
    </row>
    <row r="939" spans="1:19" ht="18" customHeight="1" x14ac:dyDescent="0.25">
      <c r="A939" s="7" t="s">
        <v>43</v>
      </c>
      <c r="B939" s="8">
        <v>1</v>
      </c>
      <c r="C939" s="9">
        <v>423.9</v>
      </c>
      <c r="D939" s="29">
        <f>C939+IF(INDEX('Справочник по %'!B:B,(MATCH(A939,'Справочник по %'!A:A,0)))="кол-во",B939*INDEX('Справочник по %'!C:C,(MATCH(A939,'Справочник по %'!A:A,0))),ОТЧЕТ!C939*INDEX('Справочник по %'!C:C,(MATCH(A939,'Справочник по %'!A:A,0))))/100</f>
        <v>466.28999999999996</v>
      </c>
      <c r="E939" s="29">
        <f>IF(ОТЧЕТ!A939="SKU3",C939+ОТЧЕТ!C939*0.2,C939+ОТЧЕТ!C939*0.15)</f>
        <v>487.48499999999996</v>
      </c>
      <c r="F939" s="7" t="s">
        <v>2170</v>
      </c>
      <c r="G939" s="7">
        <v>7840411560</v>
      </c>
      <c r="H939" s="20" t="s">
        <v>595</v>
      </c>
      <c r="I939" s="22" t="str">
        <f>INDEX('Справочник Сети'!B:B,(MATCH(G939,'Справочник Сети'!C:C,0)))</f>
        <v>Столички</v>
      </c>
      <c r="J939" s="7" t="s">
        <v>315</v>
      </c>
      <c r="K939" s="7" t="s">
        <v>41</v>
      </c>
      <c r="L939" s="7" t="s">
        <v>315</v>
      </c>
      <c r="M939" s="31">
        <v>45670</v>
      </c>
      <c r="N939" s="7" t="s">
        <v>2208</v>
      </c>
      <c r="O939" s="8">
        <v>141</v>
      </c>
      <c r="P939" s="24">
        <v>4830</v>
      </c>
      <c r="Q939" s="22">
        <f>IF(COUNTIFS(A$2:A939,A939,I$2:I939,I939)=1,1,0)</f>
        <v>0</v>
      </c>
      <c r="R939" s="22">
        <f t="shared" si="14"/>
        <v>2</v>
      </c>
      <c r="S939" s="33">
        <f>IF(COUNTIF(O$2:O939,O939)=1,R939,0)/2.5</f>
        <v>0.8</v>
      </c>
    </row>
    <row r="940" spans="1:19" ht="18" customHeight="1" x14ac:dyDescent="0.25">
      <c r="A940" s="7" t="s">
        <v>43</v>
      </c>
      <c r="B940" s="8">
        <v>1</v>
      </c>
      <c r="C940" s="9">
        <v>507</v>
      </c>
      <c r="D940" s="29">
        <f>C940+IF(INDEX('Справочник по %'!B:B,(MATCH(A940,'Справочник по %'!A:A,0)))="кол-во",B940*INDEX('Справочник по %'!C:C,(MATCH(A940,'Справочник по %'!A:A,0))),ОТЧЕТ!C940*INDEX('Справочник по %'!C:C,(MATCH(A940,'Справочник по %'!A:A,0))))/100</f>
        <v>557.70000000000005</v>
      </c>
      <c r="E940" s="29">
        <f>IF(ОТЧЕТ!A940="SKU3",C940+ОТЧЕТ!C940*0.2,C940+ОТЧЕТ!C940*0.15)</f>
        <v>583.04999999999995</v>
      </c>
      <c r="F940" s="7" t="s">
        <v>2170</v>
      </c>
      <c r="G940" s="7">
        <v>9718164298</v>
      </c>
      <c r="H940" s="20" t="s">
        <v>91</v>
      </c>
      <c r="I940" s="22">
        <f>INDEX('Справочник Сети'!B:B,(MATCH(G940,'Справочник Сети'!C:C,0)))</f>
        <v>0</v>
      </c>
      <c r="J940" s="7" t="s">
        <v>239</v>
      </c>
      <c r="K940" s="7" t="s">
        <v>2209</v>
      </c>
      <c r="L940" s="7" t="s">
        <v>239</v>
      </c>
      <c r="M940" s="31">
        <v>45662</v>
      </c>
      <c r="N940" s="7" t="s">
        <v>2210</v>
      </c>
      <c r="O940" s="8">
        <v>2572</v>
      </c>
      <c r="P940" s="24">
        <v>4831</v>
      </c>
      <c r="Q940" s="22">
        <f>IF(COUNTIFS(A$2:A940,A940,I$2:I940,I940)=1,1,0)</f>
        <v>0</v>
      </c>
      <c r="R940" s="22">
        <f t="shared" si="14"/>
        <v>3</v>
      </c>
      <c r="S940" s="33">
        <f>IF(COUNTIF(O$2:O940,O940)=1,R940,0)/2.5</f>
        <v>1.2</v>
      </c>
    </row>
    <row r="941" spans="1:19" ht="18" customHeight="1" x14ac:dyDescent="0.25">
      <c r="A941" s="7" t="s">
        <v>37</v>
      </c>
      <c r="B941" s="8">
        <v>1</v>
      </c>
      <c r="C941" s="9">
        <v>627</v>
      </c>
      <c r="D941" s="29">
        <f>C941+IF(INDEX('Справочник по %'!B:B,(MATCH(A941,'Справочник по %'!A:A,0)))="кол-во",B941*INDEX('Справочник по %'!C:C,(MATCH(A941,'Справочник по %'!A:A,0))),ОТЧЕТ!C941*INDEX('Справочник по %'!C:C,(MATCH(A941,'Справочник по %'!A:A,0))))/100</f>
        <v>627.20000000000005</v>
      </c>
      <c r="E941" s="29">
        <f>IF(ОТЧЕТ!A941="SKU3",C941+ОТЧЕТ!C941*0.2,C941+ОТЧЕТ!C941*0.15)</f>
        <v>721.05</v>
      </c>
      <c r="F941" s="7" t="s">
        <v>2170</v>
      </c>
      <c r="G941" s="7">
        <v>7706795062</v>
      </c>
      <c r="H941" s="20" t="s">
        <v>1094</v>
      </c>
      <c r="I941" s="22" t="str">
        <f>INDEX('Справочник Сети'!B:B,(MATCH(G941,'Справочник Сети'!C:C,0)))</f>
        <v>Планета здоровья</v>
      </c>
      <c r="J941" s="7" t="s">
        <v>87</v>
      </c>
      <c r="K941" s="7" t="s">
        <v>552</v>
      </c>
      <c r="L941" s="7" t="s">
        <v>87</v>
      </c>
      <c r="M941" s="31">
        <v>45691</v>
      </c>
      <c r="N941" s="7" t="s">
        <v>2211</v>
      </c>
      <c r="O941" s="8">
        <v>3295</v>
      </c>
      <c r="P941" s="24">
        <v>4832</v>
      </c>
      <c r="Q941" s="22">
        <f>IF(COUNTIFS(A$2:A941,A941,I$2:I941,I941)=1,1,0)</f>
        <v>0</v>
      </c>
      <c r="R941" s="22">
        <f t="shared" si="14"/>
        <v>3</v>
      </c>
      <c r="S941" s="33">
        <f>IF(COUNTIF(O$2:O941,O941)=1,R941,0)/2.5</f>
        <v>0</v>
      </c>
    </row>
    <row r="942" spans="1:19" ht="18" customHeight="1" x14ac:dyDescent="0.25">
      <c r="A942" s="7" t="s">
        <v>37</v>
      </c>
      <c r="B942" s="8">
        <v>1</v>
      </c>
      <c r="C942" s="9">
        <v>662</v>
      </c>
      <c r="D942" s="29">
        <f>C942+IF(INDEX('Справочник по %'!B:B,(MATCH(A942,'Справочник по %'!A:A,0)))="кол-во",B942*INDEX('Справочник по %'!C:C,(MATCH(A942,'Справочник по %'!A:A,0))),ОТЧЕТ!C942*INDEX('Справочник по %'!C:C,(MATCH(A942,'Справочник по %'!A:A,0))))/100</f>
        <v>662.2</v>
      </c>
      <c r="E942" s="29">
        <f>IF(ОТЧЕТ!A942="SKU3",C942+ОТЧЕТ!C942*0.2,C942+ОТЧЕТ!C942*0.15)</f>
        <v>761.3</v>
      </c>
      <c r="F942" s="7" t="s">
        <v>2212</v>
      </c>
      <c r="G942" s="7">
        <v>7806510994</v>
      </c>
      <c r="H942" s="20" t="s">
        <v>50</v>
      </c>
      <c r="I942" s="22" t="str">
        <f>INDEX('Справочник Сети'!B:B,(MATCH(G942,'Справочник Сети'!C:C,0)))</f>
        <v>Ригла</v>
      </c>
      <c r="J942" s="7" t="s">
        <v>353</v>
      </c>
      <c r="K942" s="7" t="s">
        <v>1048</v>
      </c>
      <c r="L942" s="7" t="s">
        <v>353</v>
      </c>
      <c r="M942" s="31">
        <v>45672</v>
      </c>
      <c r="N942" s="7" t="s">
        <v>2213</v>
      </c>
      <c r="O942" s="8">
        <v>2360</v>
      </c>
      <c r="P942" s="24">
        <v>4840</v>
      </c>
      <c r="Q942" s="22">
        <f>IF(COUNTIFS(A$2:A942,A942,I$2:I942,I942)=1,1,0)</f>
        <v>0</v>
      </c>
      <c r="R942" s="22">
        <f t="shared" si="14"/>
        <v>2</v>
      </c>
      <c r="S942" s="33">
        <f>IF(COUNTIF(O$2:O942,O942)=1,R942,0)/2.5</f>
        <v>0.8</v>
      </c>
    </row>
    <row r="943" spans="1:19" ht="18" customHeight="1" x14ac:dyDescent="0.25">
      <c r="A943" s="7" t="s">
        <v>43</v>
      </c>
      <c r="B943" s="8">
        <v>1</v>
      </c>
      <c r="C943" s="9">
        <v>389</v>
      </c>
      <c r="D943" s="29">
        <f>C943+IF(INDEX('Справочник по %'!B:B,(MATCH(A943,'Справочник по %'!A:A,0)))="кол-во",B943*INDEX('Справочник по %'!C:C,(MATCH(A943,'Справочник по %'!A:A,0))),ОТЧЕТ!C943*INDEX('Справочник по %'!C:C,(MATCH(A943,'Справочник по %'!A:A,0))))/100</f>
        <v>427.9</v>
      </c>
      <c r="E943" s="29">
        <f>IF(ОТЧЕТ!A943="SKU3",C943+ОТЧЕТ!C943*0.2,C943+ОТЧЕТ!C943*0.15)</f>
        <v>447.35</v>
      </c>
      <c r="F943" s="7" t="s">
        <v>2214</v>
      </c>
      <c r="G943" s="7">
        <v>2466189073</v>
      </c>
      <c r="H943" s="20" t="s">
        <v>1601</v>
      </c>
      <c r="I943" s="22" t="str">
        <f>INDEX('Справочник Сети'!B:B,(MATCH(G943,'Справочник Сети'!C:C,0)))</f>
        <v>Нео-фарм</v>
      </c>
      <c r="J943" s="7" t="s">
        <v>96</v>
      </c>
      <c r="K943" s="7" t="s">
        <v>2215</v>
      </c>
      <c r="L943" s="7" t="s">
        <v>96</v>
      </c>
      <c r="M943" s="31">
        <v>45727</v>
      </c>
      <c r="N943" s="7" t="s">
        <v>2216</v>
      </c>
      <c r="O943" s="8">
        <v>2841</v>
      </c>
      <c r="P943" s="24">
        <v>4851</v>
      </c>
      <c r="Q943" s="22">
        <f>IF(COUNTIFS(A$2:A943,A943,I$2:I943,I943)=1,1,0)</f>
        <v>0</v>
      </c>
      <c r="R943" s="22">
        <f t="shared" si="14"/>
        <v>5</v>
      </c>
      <c r="S943" s="33">
        <f>IF(COUNTIF(O$2:O943,O943)=1,R943,0)/2.5</f>
        <v>0</v>
      </c>
    </row>
    <row r="944" spans="1:19" ht="18" customHeight="1" x14ac:dyDescent="0.25">
      <c r="A944" s="7" t="s">
        <v>43</v>
      </c>
      <c r="B944" s="8">
        <v>1</v>
      </c>
      <c r="C944" s="9">
        <v>400</v>
      </c>
      <c r="D944" s="29">
        <f>C944+IF(INDEX('Справочник по %'!B:B,(MATCH(A944,'Справочник по %'!A:A,0)))="кол-во",B944*INDEX('Справочник по %'!C:C,(MATCH(A944,'Справочник по %'!A:A,0))),ОТЧЕТ!C944*INDEX('Справочник по %'!C:C,(MATCH(A944,'Справочник по %'!A:A,0))))/100</f>
        <v>440</v>
      </c>
      <c r="E944" s="29">
        <f>IF(ОТЧЕТ!A944="SKU3",C944+ОТЧЕТ!C944*0.2,C944+ОТЧЕТ!C944*0.15)</f>
        <v>460</v>
      </c>
      <c r="F944" s="7" t="s">
        <v>2214</v>
      </c>
      <c r="G944" s="7">
        <v>6166126591</v>
      </c>
      <c r="H944" s="20" t="s">
        <v>2217</v>
      </c>
      <c r="I944" s="22" t="str">
        <f>INDEX('Справочник Сети'!B:B,(MATCH(G944,'Справочник Сети'!C:C,0)))</f>
        <v>Ригла</v>
      </c>
      <c r="J944" s="7" t="s">
        <v>203</v>
      </c>
      <c r="K944" s="7" t="s">
        <v>2218</v>
      </c>
      <c r="L944" s="7" t="s">
        <v>203</v>
      </c>
      <c r="M944" s="31">
        <v>45696</v>
      </c>
      <c r="N944" s="7" t="s">
        <v>2219</v>
      </c>
      <c r="O944" s="8">
        <v>1231</v>
      </c>
      <c r="P944" s="24">
        <v>4852</v>
      </c>
      <c r="Q944" s="22">
        <f>IF(COUNTIFS(A$2:A944,A944,I$2:I944,I944)=1,1,0)</f>
        <v>0</v>
      </c>
      <c r="R944" s="22">
        <f t="shared" si="14"/>
        <v>1</v>
      </c>
      <c r="S944" s="33">
        <f>IF(COUNTIF(O$2:O944,O944)=1,R944,0)/2.5</f>
        <v>0.4</v>
      </c>
    </row>
    <row r="945" spans="1:19" ht="18" customHeight="1" x14ac:dyDescent="0.25">
      <c r="A945" s="7" t="s">
        <v>37</v>
      </c>
      <c r="B945" s="8">
        <v>1</v>
      </c>
      <c r="C945" s="9">
        <v>580</v>
      </c>
      <c r="D945" s="29">
        <f>C945+IF(INDEX('Справочник по %'!B:B,(MATCH(A945,'Справочник по %'!A:A,0)))="кол-во",B945*INDEX('Справочник по %'!C:C,(MATCH(A945,'Справочник по %'!A:A,0))),ОТЧЕТ!C945*INDEX('Справочник по %'!C:C,(MATCH(A945,'Справочник по %'!A:A,0))))/100</f>
        <v>580.20000000000005</v>
      </c>
      <c r="E945" s="29">
        <f>IF(ОТЧЕТ!A945="SKU3",C945+ОТЧЕТ!C945*0.2,C945+ОТЧЕТ!C945*0.15)</f>
        <v>667</v>
      </c>
      <c r="F945" s="7" t="s">
        <v>2214</v>
      </c>
      <c r="G945" s="7">
        <v>7706795062</v>
      </c>
      <c r="H945" s="20" t="s">
        <v>1270</v>
      </c>
      <c r="I945" s="22" t="str">
        <f>INDEX('Справочник Сети'!B:B,(MATCH(G945,'Справочник Сети'!C:C,0)))</f>
        <v>Планета здоровья</v>
      </c>
      <c r="J945" s="7" t="s">
        <v>87</v>
      </c>
      <c r="K945" s="7" t="s">
        <v>1215</v>
      </c>
      <c r="L945" s="7" t="s">
        <v>87</v>
      </c>
      <c r="M945" s="31">
        <v>45691</v>
      </c>
      <c r="N945" s="7" t="s">
        <v>2220</v>
      </c>
      <c r="O945" s="8">
        <v>2506</v>
      </c>
      <c r="P945" s="24">
        <v>4855</v>
      </c>
      <c r="Q945" s="22">
        <f>IF(COUNTIFS(A$2:A945,A945,I$2:I945,I945)=1,1,0)</f>
        <v>0</v>
      </c>
      <c r="R945" s="22">
        <f t="shared" si="14"/>
        <v>4</v>
      </c>
      <c r="S945" s="33">
        <f>IF(COUNTIF(O$2:O945,O945)=1,R945,0)/2.5</f>
        <v>0</v>
      </c>
    </row>
    <row r="946" spans="1:19" ht="18" customHeight="1" x14ac:dyDescent="0.25">
      <c r="A946" s="7" t="s">
        <v>37</v>
      </c>
      <c r="B946" s="8">
        <v>1</v>
      </c>
      <c r="C946" s="9">
        <v>653</v>
      </c>
      <c r="D946" s="29">
        <f>C946+IF(INDEX('Справочник по %'!B:B,(MATCH(A946,'Справочник по %'!A:A,0)))="кол-во",B946*INDEX('Справочник по %'!C:C,(MATCH(A946,'Справочник по %'!A:A,0))),ОТЧЕТ!C946*INDEX('Справочник по %'!C:C,(MATCH(A946,'Справочник по %'!A:A,0))))/100</f>
        <v>653.20000000000005</v>
      </c>
      <c r="E946" s="29">
        <f>IF(ОТЧЕТ!A946="SKU3",C946+ОТЧЕТ!C946*0.2,C946+ОТЧЕТ!C946*0.15)</f>
        <v>750.95</v>
      </c>
      <c r="F946" s="7" t="s">
        <v>2221</v>
      </c>
      <c r="G946" s="7">
        <v>6673189456</v>
      </c>
      <c r="H946" s="20" t="s">
        <v>132</v>
      </c>
      <c r="I946" s="22" t="str">
        <f>INDEX('Справочник Сети'!B:B,(MATCH(G946,'Справочник Сети'!C:C,0)))</f>
        <v>Столички</v>
      </c>
      <c r="J946" s="7" t="s">
        <v>133</v>
      </c>
      <c r="K946" s="7" t="s">
        <v>1971</v>
      </c>
      <c r="L946" s="7" t="s">
        <v>133</v>
      </c>
      <c r="M946" s="31">
        <v>45695</v>
      </c>
      <c r="N946" s="7" t="s">
        <v>2222</v>
      </c>
      <c r="O946" s="8">
        <v>2329</v>
      </c>
      <c r="P946" s="24">
        <v>4858</v>
      </c>
      <c r="Q946" s="22">
        <f>IF(COUNTIFS(A$2:A946,A946,I$2:I946,I946)=1,1,0)</f>
        <v>0</v>
      </c>
      <c r="R946" s="22">
        <f t="shared" si="14"/>
        <v>1</v>
      </c>
      <c r="S946" s="33">
        <f>IF(COUNTIF(O$2:O946,O946)=1,R946,0)/2.5</f>
        <v>0.4</v>
      </c>
    </row>
    <row r="947" spans="1:19" ht="18" customHeight="1" x14ac:dyDescent="0.25">
      <c r="A947" s="7" t="s">
        <v>43</v>
      </c>
      <c r="B947" s="8">
        <v>1</v>
      </c>
      <c r="C947" s="9">
        <v>402</v>
      </c>
      <c r="D947" s="29">
        <f>C947+IF(INDEX('Справочник по %'!B:B,(MATCH(A947,'Справочник по %'!A:A,0)))="кол-во",B947*INDEX('Справочник по %'!C:C,(MATCH(A947,'Справочник по %'!A:A,0))),ОТЧЕТ!C947*INDEX('Справочник по %'!C:C,(MATCH(A947,'Справочник по %'!A:A,0))))/100</f>
        <v>442.2</v>
      </c>
      <c r="E947" s="29">
        <f>IF(ОТЧЕТ!A947="SKU3",C947+ОТЧЕТ!C947*0.2,C947+ОТЧЕТ!C947*0.15)</f>
        <v>462.3</v>
      </c>
      <c r="F947" s="7" t="s">
        <v>2221</v>
      </c>
      <c r="G947" s="7">
        <v>7732121736</v>
      </c>
      <c r="H947" s="20" t="s">
        <v>2223</v>
      </c>
      <c r="I947" s="22" t="str">
        <f>INDEX('Справочник Сети'!B:B,(MATCH(G947,'Справочник Сети'!C:C,0)))</f>
        <v>Планета здоровья</v>
      </c>
      <c r="J947" s="7" t="s">
        <v>149</v>
      </c>
      <c r="K947" s="7" t="s">
        <v>1921</v>
      </c>
      <c r="L947" s="7" t="s">
        <v>142</v>
      </c>
      <c r="M947" s="31">
        <v>45674</v>
      </c>
      <c r="N947" s="7" t="s">
        <v>2224</v>
      </c>
      <c r="O947" s="8">
        <v>651</v>
      </c>
      <c r="P947" s="24">
        <v>4859</v>
      </c>
      <c r="Q947" s="22">
        <f>IF(COUNTIFS(A$2:A947,A947,I$2:I947,I947)=1,1,0)</f>
        <v>0</v>
      </c>
      <c r="R947" s="22">
        <f t="shared" si="14"/>
        <v>2</v>
      </c>
      <c r="S947" s="33">
        <f>IF(COUNTIF(O$2:O947,O947)=1,R947,0)/2.5</f>
        <v>0</v>
      </c>
    </row>
    <row r="948" spans="1:19" ht="18" customHeight="1" x14ac:dyDescent="0.25">
      <c r="A948" s="7" t="s">
        <v>43</v>
      </c>
      <c r="B948" s="8">
        <v>1</v>
      </c>
      <c r="C948" s="9">
        <v>381.4</v>
      </c>
      <c r="D948" s="29">
        <f>C948+IF(INDEX('Справочник по %'!B:B,(MATCH(A948,'Справочник по %'!A:A,0)))="кол-во",B948*INDEX('Справочник по %'!C:C,(MATCH(A948,'Справочник по %'!A:A,0))),ОТЧЕТ!C948*INDEX('Справочник по %'!C:C,(MATCH(A948,'Справочник по %'!A:A,0))))/100</f>
        <v>419.53999999999996</v>
      </c>
      <c r="E948" s="29">
        <f>IF(ОТЧЕТ!A948="SKU3",C948+ОТЧЕТ!C948*0.2,C948+ОТЧЕТ!C948*0.15)</f>
        <v>438.60999999999996</v>
      </c>
      <c r="F948" s="7" t="s">
        <v>2221</v>
      </c>
      <c r="G948" s="7">
        <v>3801042576</v>
      </c>
      <c r="H948" s="20" t="s">
        <v>2225</v>
      </c>
      <c r="I948" s="22" t="str">
        <f>INDEX('Справочник Сети'!B:B,(MATCH(G948,'Справочник Сети'!C:C,0)))</f>
        <v>Планета здоровья</v>
      </c>
      <c r="J948" s="7" t="s">
        <v>65</v>
      </c>
      <c r="K948" s="7" t="s">
        <v>663</v>
      </c>
      <c r="L948" s="7" t="s">
        <v>65</v>
      </c>
      <c r="M948" s="31">
        <v>45717</v>
      </c>
      <c r="N948" s="7" t="s">
        <v>2226</v>
      </c>
      <c r="O948" s="8">
        <v>3540</v>
      </c>
      <c r="P948" s="24">
        <v>4861</v>
      </c>
      <c r="Q948" s="22">
        <f>IF(COUNTIFS(A$2:A948,A948,I$2:I948,I948)=1,1,0)</f>
        <v>0</v>
      </c>
      <c r="R948" s="22">
        <f t="shared" si="14"/>
        <v>4</v>
      </c>
      <c r="S948" s="33">
        <f>IF(COUNTIF(O$2:O948,O948)=1,R948,0)/2.5</f>
        <v>1.6</v>
      </c>
    </row>
    <row r="949" spans="1:19" ht="18" customHeight="1" x14ac:dyDescent="0.25">
      <c r="A949" s="7" t="s">
        <v>43</v>
      </c>
      <c r="B949" s="8">
        <v>1</v>
      </c>
      <c r="C949" s="9">
        <v>381.4</v>
      </c>
      <c r="D949" s="29">
        <f>C949+IF(INDEX('Справочник по %'!B:B,(MATCH(A949,'Справочник по %'!A:A,0)))="кол-во",B949*INDEX('Справочник по %'!C:C,(MATCH(A949,'Справочник по %'!A:A,0))),ОТЧЕТ!C949*INDEX('Справочник по %'!C:C,(MATCH(A949,'Справочник по %'!A:A,0))))/100</f>
        <v>419.53999999999996</v>
      </c>
      <c r="E949" s="29">
        <f>IF(ОТЧЕТ!A949="SKU3",C949+ОТЧЕТ!C949*0.2,C949+ОТЧЕТ!C949*0.15)</f>
        <v>438.60999999999996</v>
      </c>
      <c r="F949" s="7" t="s">
        <v>2221</v>
      </c>
      <c r="G949" s="7">
        <v>3801042576</v>
      </c>
      <c r="H949" s="20" t="s">
        <v>2225</v>
      </c>
      <c r="I949" s="22" t="str">
        <f>INDEX('Справочник Сети'!B:B,(MATCH(G949,'Справочник Сети'!C:C,0)))</f>
        <v>Планета здоровья</v>
      </c>
      <c r="J949" s="7" t="s">
        <v>65</v>
      </c>
      <c r="K949" s="7" t="s">
        <v>663</v>
      </c>
      <c r="L949" s="7" t="s">
        <v>65</v>
      </c>
      <c r="M949" s="31">
        <v>45717</v>
      </c>
      <c r="N949" s="7" t="s">
        <v>2226</v>
      </c>
      <c r="O949" s="8">
        <v>3540</v>
      </c>
      <c r="P949" s="24">
        <v>4861</v>
      </c>
      <c r="Q949" s="22">
        <f>IF(COUNTIFS(A$2:A949,A949,I$2:I949,I949)=1,1,0)</f>
        <v>0</v>
      </c>
      <c r="R949" s="22">
        <f t="shared" si="14"/>
        <v>4</v>
      </c>
      <c r="S949" s="33">
        <f>IF(COUNTIF(O$2:O949,O949)=1,R949,0)/2.5</f>
        <v>0</v>
      </c>
    </row>
    <row r="950" spans="1:19" ht="18" customHeight="1" x14ac:dyDescent="0.25">
      <c r="A950" s="7" t="s">
        <v>43</v>
      </c>
      <c r="B950" s="8">
        <v>1</v>
      </c>
      <c r="C950" s="9">
        <v>377</v>
      </c>
      <c r="D950" s="29">
        <f>C950+IF(INDEX('Справочник по %'!B:B,(MATCH(A950,'Справочник по %'!A:A,0)))="кол-во",B950*INDEX('Справочник по %'!C:C,(MATCH(A950,'Справочник по %'!A:A,0))),ОТЧЕТ!C950*INDEX('Справочник по %'!C:C,(MATCH(A950,'Справочник по %'!A:A,0))))/100</f>
        <v>414.7</v>
      </c>
      <c r="E950" s="29">
        <f>IF(ОТЧЕТ!A950="SKU3",C950+ОТЧЕТ!C950*0.2,C950+ОТЧЕТ!C950*0.15)</f>
        <v>433.55</v>
      </c>
      <c r="F950" s="7" t="s">
        <v>2227</v>
      </c>
      <c r="G950" s="7">
        <v>2466189073</v>
      </c>
      <c r="H950" s="20" t="s">
        <v>1601</v>
      </c>
      <c r="I950" s="22" t="str">
        <f>INDEX('Справочник Сети'!B:B,(MATCH(G950,'Справочник Сети'!C:C,0)))</f>
        <v>Нео-фарм</v>
      </c>
      <c r="J950" s="7" t="s">
        <v>96</v>
      </c>
      <c r="K950" s="7" t="s">
        <v>1772</v>
      </c>
      <c r="L950" s="7" t="s">
        <v>96</v>
      </c>
      <c r="M950" s="31">
        <v>45727</v>
      </c>
      <c r="N950" s="7" t="s">
        <v>2228</v>
      </c>
      <c r="O950" s="8">
        <v>2841</v>
      </c>
      <c r="P950" s="24">
        <v>4864</v>
      </c>
      <c r="Q950" s="22">
        <f>IF(COUNTIFS(A$2:A950,A950,I$2:I950,I950)=1,1,0)</f>
        <v>0</v>
      </c>
      <c r="R950" s="22">
        <f t="shared" si="14"/>
        <v>5</v>
      </c>
      <c r="S950" s="33">
        <f>IF(COUNTIF(O$2:O950,O950)=1,R950,0)/2.5</f>
        <v>0</v>
      </c>
    </row>
    <row r="951" spans="1:19" ht="18" customHeight="1" x14ac:dyDescent="0.25">
      <c r="A951" s="7" t="s">
        <v>43</v>
      </c>
      <c r="B951" s="8">
        <v>1</v>
      </c>
      <c r="C951" s="9">
        <v>527</v>
      </c>
      <c r="D951" s="29">
        <f>C951+IF(INDEX('Справочник по %'!B:B,(MATCH(A951,'Справочник по %'!A:A,0)))="кол-во",B951*INDEX('Справочник по %'!C:C,(MATCH(A951,'Справочник по %'!A:A,0))),ОТЧЕТ!C951*INDEX('Справочник по %'!C:C,(MATCH(A951,'Справочник по %'!A:A,0))))/100</f>
        <v>579.70000000000005</v>
      </c>
      <c r="E951" s="29">
        <f>IF(ОТЧЕТ!A951="SKU3",C951+ОТЧЕТ!C951*0.2,C951+ОТЧЕТ!C951*0.15)</f>
        <v>606.04999999999995</v>
      </c>
      <c r="F951" s="7" t="s">
        <v>2229</v>
      </c>
      <c r="G951" s="7">
        <v>7705947629</v>
      </c>
      <c r="H951" s="20" t="s">
        <v>50</v>
      </c>
      <c r="I951" s="22" t="str">
        <f>INDEX('Справочник Сети'!B:B,(MATCH(G951,'Справочник Сети'!C:C,0)))</f>
        <v>36,6</v>
      </c>
      <c r="J951" s="7" t="s">
        <v>104</v>
      </c>
      <c r="K951" s="7" t="s">
        <v>212</v>
      </c>
      <c r="L951" s="7" t="s">
        <v>104</v>
      </c>
      <c r="M951" s="31">
        <v>45693</v>
      </c>
      <c r="N951" s="7" t="s">
        <v>2230</v>
      </c>
      <c r="O951" s="8">
        <v>1593</v>
      </c>
      <c r="P951" s="24">
        <v>4865</v>
      </c>
      <c r="Q951" s="22">
        <f>IF(COUNTIFS(A$2:A951,A951,I$2:I951,I951)=1,1,0)</f>
        <v>0</v>
      </c>
      <c r="R951" s="22">
        <f t="shared" si="14"/>
        <v>2</v>
      </c>
      <c r="S951" s="33">
        <f>IF(COUNTIF(O$2:O951,O951)=1,R951,0)/2.5</f>
        <v>0.8</v>
      </c>
    </row>
    <row r="952" spans="1:19" ht="18" customHeight="1" x14ac:dyDescent="0.25">
      <c r="A952" s="7" t="s">
        <v>43</v>
      </c>
      <c r="B952" s="8">
        <v>1</v>
      </c>
      <c r="C952" s="9">
        <v>397</v>
      </c>
      <c r="D952" s="29">
        <f>C952+IF(INDEX('Справочник по %'!B:B,(MATCH(A952,'Справочник по %'!A:A,0)))="кол-во",B952*INDEX('Справочник по %'!C:C,(MATCH(A952,'Справочник по %'!A:A,0))),ОТЧЕТ!C952*INDEX('Справочник по %'!C:C,(MATCH(A952,'Справочник по %'!A:A,0))))/100</f>
        <v>436.7</v>
      </c>
      <c r="E952" s="29">
        <f>IF(ОТЧЕТ!A952="SKU3",C952+ОТЧЕТ!C952*0.2,C952+ОТЧЕТ!C952*0.15)</f>
        <v>456.55</v>
      </c>
      <c r="F952" s="7" t="s">
        <v>2231</v>
      </c>
      <c r="G952" s="7">
        <v>7728339546</v>
      </c>
      <c r="H952" s="20" t="s">
        <v>2232</v>
      </c>
      <c r="I952" s="22" t="str">
        <f>INDEX('Справочник Сети'!B:B,(MATCH(G952,'Справочник Сети'!C:C,0)))</f>
        <v>Планета здоровья</v>
      </c>
      <c r="J952" s="7" t="s">
        <v>142</v>
      </c>
      <c r="K952" s="7" t="s">
        <v>2233</v>
      </c>
      <c r="L952" s="7" t="s">
        <v>142</v>
      </c>
      <c r="M952" s="31">
        <v>45674</v>
      </c>
      <c r="N952" s="7" t="s">
        <v>2234</v>
      </c>
      <c r="O952" s="8">
        <v>3034</v>
      </c>
      <c r="P952" s="24">
        <v>4868</v>
      </c>
      <c r="Q952" s="22">
        <f>IF(COUNTIFS(A$2:A952,A952,I$2:I952,I952)=1,1,0)</f>
        <v>0</v>
      </c>
      <c r="R952" s="22">
        <f t="shared" si="14"/>
        <v>7</v>
      </c>
      <c r="S952" s="33">
        <f>IF(COUNTIF(O$2:O952,O952)=1,R952,0)/2.5</f>
        <v>2.8</v>
      </c>
    </row>
    <row r="953" spans="1:19" ht="18" customHeight="1" x14ac:dyDescent="0.25">
      <c r="A953" s="7" t="s">
        <v>43</v>
      </c>
      <c r="B953" s="8">
        <v>1</v>
      </c>
      <c r="C953" s="9">
        <v>447</v>
      </c>
      <c r="D953" s="29">
        <f>C953+IF(INDEX('Справочник по %'!B:B,(MATCH(A953,'Справочник по %'!A:A,0)))="кол-во",B953*INDEX('Справочник по %'!C:C,(MATCH(A953,'Справочник по %'!A:A,0))),ОТЧЕТ!C953*INDEX('Справочник по %'!C:C,(MATCH(A953,'Справочник по %'!A:A,0))))/100</f>
        <v>491.7</v>
      </c>
      <c r="E953" s="29">
        <f>IF(ОТЧЕТ!A953="SKU3",C953+ОТЧЕТ!C953*0.2,C953+ОТЧЕТ!C953*0.15)</f>
        <v>514.04999999999995</v>
      </c>
      <c r="F953" s="7" t="s">
        <v>2231</v>
      </c>
      <c r="G953" s="7">
        <v>6673189456</v>
      </c>
      <c r="H953" s="20" t="s">
        <v>132</v>
      </c>
      <c r="I953" s="22" t="str">
        <f>INDEX('Справочник Сети'!B:B,(MATCH(G953,'Справочник Сети'!C:C,0)))</f>
        <v>Столички</v>
      </c>
      <c r="J953" s="7" t="s">
        <v>133</v>
      </c>
      <c r="K953" s="7" t="s">
        <v>379</v>
      </c>
      <c r="L953" s="7" t="s">
        <v>133</v>
      </c>
      <c r="M953" s="31">
        <v>45695</v>
      </c>
      <c r="N953" s="7" t="s">
        <v>2235</v>
      </c>
      <c r="O953" s="8">
        <v>2598</v>
      </c>
      <c r="P953" s="24">
        <v>4869</v>
      </c>
      <c r="Q953" s="22">
        <f>IF(COUNTIFS(A$2:A953,A953,I$2:I953,I953)=1,1,0)</f>
        <v>0</v>
      </c>
      <c r="R953" s="22">
        <f t="shared" si="14"/>
        <v>1</v>
      </c>
      <c r="S953" s="33">
        <f>IF(COUNTIF(O$2:O953,O953)=1,R953,0)/2.5</f>
        <v>0.4</v>
      </c>
    </row>
    <row r="954" spans="1:19" ht="18" customHeight="1" x14ac:dyDescent="0.25">
      <c r="A954" s="7" t="s">
        <v>43</v>
      </c>
      <c r="B954" s="8">
        <v>1</v>
      </c>
      <c r="C954" s="9">
        <v>481</v>
      </c>
      <c r="D954" s="29">
        <f>C954+IF(INDEX('Справочник по %'!B:B,(MATCH(A954,'Справочник по %'!A:A,0)))="кол-во",B954*INDEX('Справочник по %'!C:C,(MATCH(A954,'Справочник по %'!A:A,0))),ОТЧЕТ!C954*INDEX('Справочник по %'!C:C,(MATCH(A954,'Справочник по %'!A:A,0))))/100</f>
        <v>529.1</v>
      </c>
      <c r="E954" s="29">
        <f>IF(ОТЧЕТ!A954="SKU3",C954+ОТЧЕТ!C954*0.2,C954+ОТЧЕТ!C954*0.15)</f>
        <v>553.15</v>
      </c>
      <c r="F954" s="7" t="s">
        <v>2231</v>
      </c>
      <c r="G954" s="7">
        <v>2543102471</v>
      </c>
      <c r="H954" s="20" t="s">
        <v>1050</v>
      </c>
      <c r="I954" s="22" t="str">
        <f>INDEX('Справочник Сети'!B:B,(MATCH(G954,'Справочник Сети'!C:C,0)))</f>
        <v>Столички</v>
      </c>
      <c r="J954" s="7" t="s">
        <v>46</v>
      </c>
      <c r="K954" s="7" t="s">
        <v>222</v>
      </c>
      <c r="L954" s="7" t="s">
        <v>46</v>
      </c>
      <c r="M954" s="31">
        <v>45726</v>
      </c>
      <c r="N954" s="7" t="s">
        <v>2236</v>
      </c>
      <c r="O954" s="8">
        <v>2770</v>
      </c>
      <c r="P954" s="24">
        <v>4871</v>
      </c>
      <c r="Q954" s="22">
        <f>IF(COUNTIFS(A$2:A954,A954,I$2:I954,I954)=1,1,0)</f>
        <v>0</v>
      </c>
      <c r="R954" s="22">
        <f t="shared" si="14"/>
        <v>3</v>
      </c>
      <c r="S954" s="33">
        <f>IF(COUNTIF(O$2:O954,O954)=1,R954,0)/2.5</f>
        <v>0</v>
      </c>
    </row>
    <row r="955" spans="1:19" ht="18" customHeight="1" x14ac:dyDescent="0.25">
      <c r="A955" s="7" t="s">
        <v>37</v>
      </c>
      <c r="B955" s="8">
        <v>1</v>
      </c>
      <c r="C955" s="9">
        <v>544.83000000000004</v>
      </c>
      <c r="D955" s="29">
        <f>C955+IF(INDEX('Справочник по %'!B:B,(MATCH(A955,'Справочник по %'!A:A,0)))="кол-во",B955*INDEX('Справочник по %'!C:C,(MATCH(A955,'Справочник по %'!A:A,0))),ОТЧЕТ!C955*INDEX('Справочник по %'!C:C,(MATCH(A955,'Справочник по %'!A:A,0))))/100</f>
        <v>545.03000000000009</v>
      </c>
      <c r="E955" s="29">
        <f>IF(ОТЧЕТ!A955="SKU3",C955+ОТЧЕТ!C955*0.2,C955+ОТЧЕТ!C955*0.15)</f>
        <v>626.55450000000008</v>
      </c>
      <c r="F955" s="7" t="s">
        <v>2231</v>
      </c>
      <c r="G955" s="7">
        <v>5610242970</v>
      </c>
      <c r="H955" s="20" t="s">
        <v>2237</v>
      </c>
      <c r="I955" s="22">
        <f>INDEX('Справочник Сети'!B:B,(MATCH(G955,'Справочник Сети'!C:C,0)))</f>
        <v>0</v>
      </c>
      <c r="J955" s="7" t="s">
        <v>255</v>
      </c>
      <c r="K955" s="7" t="s">
        <v>774</v>
      </c>
      <c r="L955" s="7" t="s">
        <v>255</v>
      </c>
      <c r="M955" s="31">
        <v>45713</v>
      </c>
      <c r="N955" s="7" t="s">
        <v>2238</v>
      </c>
      <c r="O955" s="8">
        <v>253</v>
      </c>
      <c r="P955" s="24">
        <v>4872</v>
      </c>
      <c r="Q955" s="22">
        <f>IF(COUNTIFS(A$2:A955,A955,I$2:I955,I955)=1,1,0)</f>
        <v>0</v>
      </c>
      <c r="R955" s="22">
        <f t="shared" si="14"/>
        <v>2</v>
      </c>
      <c r="S955" s="33">
        <f>IF(COUNTIF(O$2:O955,O955)=1,R955,0)/2.5</f>
        <v>0.8</v>
      </c>
    </row>
    <row r="956" spans="1:19" ht="18" customHeight="1" x14ac:dyDescent="0.25">
      <c r="A956" s="7" t="s">
        <v>43</v>
      </c>
      <c r="B956" s="8">
        <v>1</v>
      </c>
      <c r="C956" s="9">
        <v>387</v>
      </c>
      <c r="D956" s="29">
        <f>C956+IF(INDEX('Справочник по %'!B:B,(MATCH(A956,'Справочник по %'!A:A,0)))="кол-во",B956*INDEX('Справочник по %'!C:C,(MATCH(A956,'Справочник по %'!A:A,0))),ОТЧЕТ!C956*INDEX('Справочник по %'!C:C,(MATCH(A956,'Справочник по %'!A:A,0))))/100</f>
        <v>425.7</v>
      </c>
      <c r="E956" s="29">
        <f>IF(ОТЧЕТ!A956="SKU3",C956+ОТЧЕТ!C956*0.2,C956+ОТЧЕТ!C956*0.15)</f>
        <v>445.05</v>
      </c>
      <c r="F956" s="7" t="s">
        <v>2239</v>
      </c>
      <c r="G956" s="7">
        <v>2543023195</v>
      </c>
      <c r="H956" s="20" t="s">
        <v>69</v>
      </c>
      <c r="I956" s="22" t="str">
        <f>INDEX('Справочник Сети'!B:B,(MATCH(G956,'Справочник Сети'!C:C,0)))</f>
        <v>36,6</v>
      </c>
      <c r="J956" s="7" t="s">
        <v>46</v>
      </c>
      <c r="K956" s="7" t="s">
        <v>732</v>
      </c>
      <c r="L956" s="7" t="s">
        <v>46</v>
      </c>
      <c r="M956" s="31">
        <v>45726</v>
      </c>
      <c r="N956" s="7" t="s">
        <v>2240</v>
      </c>
      <c r="O956" s="8">
        <v>626</v>
      </c>
      <c r="P956" s="24">
        <v>4876</v>
      </c>
      <c r="Q956" s="22">
        <f>IF(COUNTIFS(A$2:A956,A956,I$2:I956,I956)=1,1,0)</f>
        <v>0</v>
      </c>
      <c r="R956" s="22">
        <f t="shared" si="14"/>
        <v>1</v>
      </c>
      <c r="S956" s="33">
        <f>IF(COUNTIF(O$2:O956,O956)=1,R956,0)/2.5</f>
        <v>0.4</v>
      </c>
    </row>
    <row r="957" spans="1:19" ht="18" customHeight="1" x14ac:dyDescent="0.25">
      <c r="A957" s="7" t="s">
        <v>43</v>
      </c>
      <c r="B957" s="8">
        <v>1</v>
      </c>
      <c r="C957" s="9">
        <v>580</v>
      </c>
      <c r="D957" s="29">
        <f>C957+IF(INDEX('Справочник по %'!B:B,(MATCH(A957,'Справочник по %'!A:A,0)))="кол-во",B957*INDEX('Справочник по %'!C:C,(MATCH(A957,'Справочник по %'!A:A,0))),ОТЧЕТ!C957*INDEX('Справочник по %'!C:C,(MATCH(A957,'Справочник по %'!A:A,0))))/100</f>
        <v>638</v>
      </c>
      <c r="E957" s="29">
        <f>IF(ОТЧЕТ!A957="SKU3",C957+ОТЧЕТ!C957*0.2,C957+ОТЧЕТ!C957*0.15)</f>
        <v>667</v>
      </c>
      <c r="F957" s="7" t="s">
        <v>2239</v>
      </c>
      <c r="G957" s="7">
        <v>2723197553</v>
      </c>
      <c r="H957" s="20" t="s">
        <v>50</v>
      </c>
      <c r="I957" s="22" t="str">
        <f>INDEX('Справочник Сети'!B:B,(MATCH(G957,'Справочник Сети'!C:C,0)))</f>
        <v>Ригла</v>
      </c>
      <c r="J957" s="7" t="s">
        <v>51</v>
      </c>
      <c r="K957" s="7" t="s">
        <v>2241</v>
      </c>
      <c r="L957" s="7" t="s">
        <v>51</v>
      </c>
      <c r="M957" s="31">
        <v>45725</v>
      </c>
      <c r="N957" s="7" t="s">
        <v>2242</v>
      </c>
      <c r="O957" s="8">
        <v>2256</v>
      </c>
      <c r="P957" s="24">
        <v>4878</v>
      </c>
      <c r="Q957" s="22">
        <f>IF(COUNTIFS(A$2:A957,A957,I$2:I957,I957)=1,1,0)</f>
        <v>0</v>
      </c>
      <c r="R957" s="22">
        <f t="shared" si="14"/>
        <v>4</v>
      </c>
      <c r="S957" s="33">
        <f>IF(COUNTIF(O$2:O957,O957)=1,R957,0)/2.5</f>
        <v>0</v>
      </c>
    </row>
    <row r="958" spans="1:19" ht="18" customHeight="1" x14ac:dyDescent="0.25">
      <c r="A958" s="7" t="s">
        <v>43</v>
      </c>
      <c r="B958" s="8">
        <v>1</v>
      </c>
      <c r="C958" s="9">
        <v>368</v>
      </c>
      <c r="D958" s="29">
        <f>C958+IF(INDEX('Справочник по %'!B:B,(MATCH(A958,'Справочник по %'!A:A,0)))="кол-во",B958*INDEX('Справочник по %'!C:C,(MATCH(A958,'Справочник по %'!A:A,0))),ОТЧЕТ!C958*INDEX('Справочник по %'!C:C,(MATCH(A958,'Справочник по %'!A:A,0))))/100</f>
        <v>404.8</v>
      </c>
      <c r="E958" s="29">
        <f>IF(ОТЧЕТ!A958="SKU3",C958+ОТЧЕТ!C958*0.2,C958+ОТЧЕТ!C958*0.15)</f>
        <v>423.2</v>
      </c>
      <c r="F958" s="7" t="s">
        <v>2239</v>
      </c>
      <c r="G958" s="7">
        <v>7706795062</v>
      </c>
      <c r="H958" s="20" t="s">
        <v>2243</v>
      </c>
      <c r="I958" s="22" t="str">
        <f>INDEX('Справочник Сети'!B:B,(MATCH(G958,'Справочник Сети'!C:C,0)))</f>
        <v>Планета здоровья</v>
      </c>
      <c r="J958" s="7" t="s">
        <v>87</v>
      </c>
      <c r="K958" s="7" t="s">
        <v>1365</v>
      </c>
      <c r="L958" s="7" t="s">
        <v>87</v>
      </c>
      <c r="M958" s="31">
        <v>45691</v>
      </c>
      <c r="N958" s="7" t="s">
        <v>2244</v>
      </c>
      <c r="O958" s="8">
        <v>1796</v>
      </c>
      <c r="P958" s="24">
        <v>4879</v>
      </c>
      <c r="Q958" s="22">
        <f>IF(COUNTIFS(A$2:A958,A958,I$2:I958,I958)=1,1,0)</f>
        <v>0</v>
      </c>
      <c r="R958" s="22">
        <f t="shared" si="14"/>
        <v>8</v>
      </c>
      <c r="S958" s="33">
        <f>IF(COUNTIF(O$2:O958,O958)=1,R958,0)/2.5</f>
        <v>0</v>
      </c>
    </row>
    <row r="959" spans="1:19" ht="18" customHeight="1" x14ac:dyDescent="0.25">
      <c r="A959" s="7" t="s">
        <v>37</v>
      </c>
      <c r="B959" s="8">
        <v>1</v>
      </c>
      <c r="C959" s="9">
        <v>577</v>
      </c>
      <c r="D959" s="29">
        <f>C959+IF(INDEX('Справочник по %'!B:B,(MATCH(A959,'Справочник по %'!A:A,0)))="кол-во",B959*INDEX('Справочник по %'!C:C,(MATCH(A959,'Справочник по %'!A:A,0))),ОТЧЕТ!C959*INDEX('Справочник по %'!C:C,(MATCH(A959,'Справочник по %'!A:A,0))))/100</f>
        <v>577.20000000000005</v>
      </c>
      <c r="E959" s="29">
        <f>IF(ОТЧЕТ!A959="SKU3",C959+ОТЧЕТ!C959*0.2,C959+ОТЧЕТ!C959*0.15)</f>
        <v>663.55</v>
      </c>
      <c r="F959" s="7" t="s">
        <v>2239</v>
      </c>
      <c r="G959" s="7">
        <v>7204146152</v>
      </c>
      <c r="H959" s="20" t="s">
        <v>103</v>
      </c>
      <c r="I959" s="22" t="str">
        <f>INDEX('Справочник Сети'!B:B,(MATCH(G959,'Справочник Сети'!C:C,0)))</f>
        <v>36,6</v>
      </c>
      <c r="J959" s="7" t="s">
        <v>104</v>
      </c>
      <c r="K959" s="7" t="s">
        <v>764</v>
      </c>
      <c r="L959" s="7" t="s">
        <v>106</v>
      </c>
      <c r="M959" s="31">
        <v>45694</v>
      </c>
      <c r="N959" s="7" t="s">
        <v>2245</v>
      </c>
      <c r="O959" s="8">
        <v>1072</v>
      </c>
      <c r="P959" s="24">
        <v>4880</v>
      </c>
      <c r="Q959" s="22">
        <f>IF(COUNTIFS(A$2:A959,A959,I$2:I959,I959)=1,1,0)</f>
        <v>0</v>
      </c>
      <c r="R959" s="22">
        <f t="shared" si="14"/>
        <v>4</v>
      </c>
      <c r="S959" s="33">
        <f>IF(COUNTIF(O$2:O959,O959)=1,R959,0)/2.5</f>
        <v>0</v>
      </c>
    </row>
    <row r="960" spans="1:19" ht="18" customHeight="1" x14ac:dyDescent="0.25">
      <c r="A960" s="7" t="s">
        <v>43</v>
      </c>
      <c r="B960" s="8">
        <v>1</v>
      </c>
      <c r="C960" s="9">
        <v>406</v>
      </c>
      <c r="D960" s="29">
        <f>C960+IF(INDEX('Справочник по %'!B:B,(MATCH(A960,'Справочник по %'!A:A,0)))="кол-во",B960*INDEX('Справочник по %'!C:C,(MATCH(A960,'Справочник по %'!A:A,0))),ОТЧЕТ!C960*INDEX('Справочник по %'!C:C,(MATCH(A960,'Справочник по %'!A:A,0))))/100</f>
        <v>446.6</v>
      </c>
      <c r="E960" s="29">
        <f>IF(ОТЧЕТ!A960="SKU3",C960+ОТЧЕТ!C960*0.2,C960+ОТЧЕТ!C960*0.15)</f>
        <v>466.9</v>
      </c>
      <c r="F960" s="7" t="s">
        <v>2239</v>
      </c>
      <c r="G960" s="7">
        <v>5501217490</v>
      </c>
      <c r="H960" s="20" t="s">
        <v>2246</v>
      </c>
      <c r="I960" s="22">
        <f>INDEX('Справочник Сети'!B:B,(MATCH(G960,'Справочник Сети'!C:C,0)))</f>
        <v>0</v>
      </c>
      <c r="J960" s="7" t="s">
        <v>255</v>
      </c>
      <c r="K960" s="7" t="s">
        <v>1598</v>
      </c>
      <c r="L960" s="7" t="s">
        <v>255</v>
      </c>
      <c r="M960" s="31">
        <v>45713</v>
      </c>
      <c r="N960" s="7" t="s">
        <v>2247</v>
      </c>
      <c r="O960" s="8">
        <v>1916</v>
      </c>
      <c r="P960" s="24">
        <v>4883</v>
      </c>
      <c r="Q960" s="22">
        <f>IF(COUNTIFS(A$2:A960,A960,I$2:I960,I960)=1,1,0)</f>
        <v>0</v>
      </c>
      <c r="R960" s="22">
        <f t="shared" si="14"/>
        <v>6</v>
      </c>
      <c r="S960" s="33">
        <f>IF(COUNTIF(O$2:O960,O960)=1,R960,0)/2.5</f>
        <v>0</v>
      </c>
    </row>
    <row r="961" spans="1:19" ht="18" customHeight="1" x14ac:dyDescent="0.25">
      <c r="A961" s="7" t="s">
        <v>43</v>
      </c>
      <c r="B961" s="8">
        <v>1</v>
      </c>
      <c r="C961" s="9">
        <v>368</v>
      </c>
      <c r="D961" s="29">
        <f>C961+IF(INDEX('Справочник по %'!B:B,(MATCH(A961,'Справочник по %'!A:A,0)))="кол-во",B961*INDEX('Справочник по %'!C:C,(MATCH(A961,'Справочник по %'!A:A,0))),ОТЧЕТ!C961*INDEX('Справочник по %'!C:C,(MATCH(A961,'Справочник по %'!A:A,0))))/100</f>
        <v>404.8</v>
      </c>
      <c r="E961" s="29">
        <f>IF(ОТЧЕТ!A961="SKU3",C961+ОТЧЕТ!C961*0.2,C961+ОТЧЕТ!C961*0.15)</f>
        <v>423.2</v>
      </c>
      <c r="F961" s="7" t="s">
        <v>2239</v>
      </c>
      <c r="G961" s="7">
        <v>2225105670</v>
      </c>
      <c r="H961" s="20" t="s">
        <v>69</v>
      </c>
      <c r="I961" s="22" t="str">
        <f>INDEX('Справочник Сети'!B:B,(MATCH(G961,'Справочник Сети'!C:C,0)))</f>
        <v>Столички</v>
      </c>
      <c r="J961" s="7" t="s">
        <v>372</v>
      </c>
      <c r="K961" s="7" t="s">
        <v>2248</v>
      </c>
      <c r="L961" s="7" t="s">
        <v>372</v>
      </c>
      <c r="M961" s="31">
        <v>45730</v>
      </c>
      <c r="N961" s="7" t="s">
        <v>2249</v>
      </c>
      <c r="O961" s="8">
        <v>1261</v>
      </c>
      <c r="P961" s="24">
        <v>4884</v>
      </c>
      <c r="Q961" s="22">
        <f>IF(COUNTIFS(A$2:A961,A961,I$2:I961,I961)=1,1,0)</f>
        <v>0</v>
      </c>
      <c r="R961" s="22">
        <f t="shared" si="14"/>
        <v>5</v>
      </c>
      <c r="S961" s="33">
        <f>IF(COUNTIF(O$2:O961,O961)=1,R961,0)/2.5</f>
        <v>0</v>
      </c>
    </row>
    <row r="962" spans="1:19" ht="18" customHeight="1" x14ac:dyDescent="0.25">
      <c r="A962" s="7" t="s">
        <v>43</v>
      </c>
      <c r="B962" s="8">
        <v>1</v>
      </c>
      <c r="C962" s="9">
        <v>372</v>
      </c>
      <c r="D962" s="29">
        <f>C962+IF(INDEX('Справочник по %'!B:B,(MATCH(A962,'Справочник по %'!A:A,0)))="кол-во",B962*INDEX('Справочник по %'!C:C,(MATCH(A962,'Справочник по %'!A:A,0))),ОТЧЕТ!C962*INDEX('Справочник по %'!C:C,(MATCH(A962,'Справочник по %'!A:A,0))))/100</f>
        <v>409.2</v>
      </c>
      <c r="E962" s="29">
        <f>IF(ОТЧЕТ!A962="SKU3",C962+ОТЧЕТ!C962*0.2,C962+ОТЧЕТ!C962*0.15)</f>
        <v>427.8</v>
      </c>
      <c r="F962" s="7" t="s">
        <v>2250</v>
      </c>
      <c r="G962" s="7">
        <v>7706795062</v>
      </c>
      <c r="H962" s="20" t="s">
        <v>687</v>
      </c>
      <c r="I962" s="22" t="str">
        <f>INDEX('Справочник Сети'!B:B,(MATCH(G962,'Справочник Сети'!C:C,0)))</f>
        <v>Планета здоровья</v>
      </c>
      <c r="J962" s="7" t="s">
        <v>87</v>
      </c>
      <c r="K962" s="7" t="s">
        <v>1178</v>
      </c>
      <c r="L962" s="7" t="s">
        <v>87</v>
      </c>
      <c r="M962" s="31">
        <v>45691</v>
      </c>
      <c r="N962" s="7" t="s">
        <v>2251</v>
      </c>
      <c r="O962" s="8">
        <v>2295</v>
      </c>
      <c r="P962" s="24">
        <v>4892</v>
      </c>
      <c r="Q962" s="22">
        <f>IF(COUNTIFS(A$2:A962,A962,I$2:I962,I962)=1,1,0)</f>
        <v>0</v>
      </c>
      <c r="R962" s="22">
        <f t="shared" si="14"/>
        <v>1</v>
      </c>
      <c r="S962" s="33">
        <f>IF(COUNTIF(O$2:O962,O962)=1,R962,0)/2.5</f>
        <v>0.4</v>
      </c>
    </row>
    <row r="963" spans="1:19" ht="18" customHeight="1" x14ac:dyDescent="0.25">
      <c r="A963" s="7" t="s">
        <v>43</v>
      </c>
      <c r="B963" s="8">
        <v>1</v>
      </c>
      <c r="C963" s="9">
        <v>379</v>
      </c>
      <c r="D963" s="29">
        <f>C963+IF(INDEX('Справочник по %'!B:B,(MATCH(A963,'Справочник по %'!A:A,0)))="кол-во",B963*INDEX('Справочник по %'!C:C,(MATCH(A963,'Справочник по %'!A:A,0))),ОТЧЕТ!C963*INDEX('Справочник по %'!C:C,(MATCH(A963,'Справочник по %'!A:A,0))))/100</f>
        <v>416.9</v>
      </c>
      <c r="E963" s="29">
        <f>IF(ОТЧЕТ!A963="SKU3",C963+ОТЧЕТ!C963*0.2,C963+ОТЧЕТ!C963*0.15)</f>
        <v>435.85</v>
      </c>
      <c r="F963" s="7" t="s">
        <v>2250</v>
      </c>
      <c r="G963" s="7">
        <v>5903110437</v>
      </c>
      <c r="H963" s="20" t="s">
        <v>39</v>
      </c>
      <c r="I963" s="22">
        <f>INDEX('Справочник Сети'!B:B,(MATCH(G963,'Справочник Сети'!C:C,0)))</f>
        <v>0</v>
      </c>
      <c r="J963" s="7" t="s">
        <v>40</v>
      </c>
      <c r="K963" s="7" t="s">
        <v>825</v>
      </c>
      <c r="L963" s="7" t="s">
        <v>40</v>
      </c>
      <c r="M963" s="31">
        <v>45712</v>
      </c>
      <c r="N963" s="7" t="s">
        <v>2252</v>
      </c>
      <c r="O963" s="8">
        <v>269</v>
      </c>
      <c r="P963" s="24">
        <v>4896</v>
      </c>
      <c r="Q963" s="22">
        <f>IF(COUNTIFS(A$2:A963,A963,I$2:I963,I963)=1,1,0)</f>
        <v>0</v>
      </c>
      <c r="R963" s="22">
        <f t="shared" ref="R963:R1026" si="15">COUNTIF(O:O,O963)</f>
        <v>1</v>
      </c>
      <c r="S963" s="33">
        <f>IF(COUNTIF(O$2:O963,O963)=1,R963,0)/2.5</f>
        <v>0.4</v>
      </c>
    </row>
    <row r="964" spans="1:19" ht="18" customHeight="1" x14ac:dyDescent="0.25">
      <c r="A964" s="7" t="s">
        <v>43</v>
      </c>
      <c r="B964" s="8">
        <v>1</v>
      </c>
      <c r="C964" s="9">
        <v>432</v>
      </c>
      <c r="D964" s="29">
        <f>C964+IF(INDEX('Справочник по %'!B:B,(MATCH(A964,'Справочник по %'!A:A,0)))="кол-во",B964*INDEX('Справочник по %'!C:C,(MATCH(A964,'Справочник по %'!A:A,0))),ОТЧЕТ!C964*INDEX('Справочник по %'!C:C,(MATCH(A964,'Справочник по %'!A:A,0))))/100</f>
        <v>475.2</v>
      </c>
      <c r="E964" s="29">
        <f>IF(ОТЧЕТ!A964="SKU3",C964+ОТЧЕТ!C964*0.2,C964+ОТЧЕТ!C964*0.15)</f>
        <v>496.8</v>
      </c>
      <c r="F964" s="7" t="s">
        <v>2250</v>
      </c>
      <c r="G964" s="7">
        <v>2543009225</v>
      </c>
      <c r="H964" s="20" t="s">
        <v>2253</v>
      </c>
      <c r="I964" s="22" t="str">
        <f>INDEX('Справочник Сети'!B:B,(MATCH(G964,'Справочник Сети'!C:C,0)))</f>
        <v>Нео-фарм</v>
      </c>
      <c r="J964" s="7" t="s">
        <v>46</v>
      </c>
      <c r="K964" s="7" t="s">
        <v>2254</v>
      </c>
      <c r="L964" s="7" t="s">
        <v>46</v>
      </c>
      <c r="M964" s="31">
        <v>45726</v>
      </c>
      <c r="N964" s="7" t="s">
        <v>2255</v>
      </c>
      <c r="O964" s="8">
        <v>3406</v>
      </c>
      <c r="P964" s="24">
        <v>4897</v>
      </c>
      <c r="Q964" s="22">
        <f>IF(COUNTIFS(A$2:A964,A964,I$2:I964,I964)=1,1,0)</f>
        <v>0</v>
      </c>
      <c r="R964" s="22">
        <f t="shared" si="15"/>
        <v>1</v>
      </c>
      <c r="S964" s="33">
        <f>IF(COUNTIF(O$2:O964,O964)=1,R964,0)/2.5</f>
        <v>0.4</v>
      </c>
    </row>
    <row r="965" spans="1:19" ht="18" customHeight="1" x14ac:dyDescent="0.25">
      <c r="A965" s="7" t="s">
        <v>37</v>
      </c>
      <c r="B965" s="8">
        <v>1</v>
      </c>
      <c r="C965" s="9">
        <v>649</v>
      </c>
      <c r="D965" s="29">
        <f>C965+IF(INDEX('Справочник по %'!B:B,(MATCH(A965,'Справочник по %'!A:A,0)))="кол-во",B965*INDEX('Справочник по %'!C:C,(MATCH(A965,'Справочник по %'!A:A,0))),ОТЧЕТ!C965*INDEX('Справочник по %'!C:C,(MATCH(A965,'Справочник по %'!A:A,0))))/100</f>
        <v>649.20000000000005</v>
      </c>
      <c r="E965" s="29">
        <f>IF(ОТЧЕТ!A965="SKU3",C965+ОТЧЕТ!C965*0.2,C965+ОТЧЕТ!C965*0.15)</f>
        <v>746.35</v>
      </c>
      <c r="F965" s="7" t="s">
        <v>2250</v>
      </c>
      <c r="G965" s="7">
        <v>7802194843</v>
      </c>
      <c r="H965" s="20" t="s">
        <v>50</v>
      </c>
      <c r="I965" s="22" t="str">
        <f>INDEX('Справочник Сети'!B:B,(MATCH(G965,'Справочник Сети'!C:C,0)))</f>
        <v>Столички</v>
      </c>
      <c r="J965" s="7" t="s">
        <v>353</v>
      </c>
      <c r="K965" s="7" t="s">
        <v>2256</v>
      </c>
      <c r="L965" s="7" t="s">
        <v>353</v>
      </c>
      <c r="M965" s="31">
        <v>45672</v>
      </c>
      <c r="N965" s="7" t="s">
        <v>2257</v>
      </c>
      <c r="O965" s="8">
        <v>307</v>
      </c>
      <c r="P965" s="24">
        <v>4898</v>
      </c>
      <c r="Q965" s="22">
        <f>IF(COUNTIFS(A$2:A965,A965,I$2:I965,I965)=1,1,0)</f>
        <v>0</v>
      </c>
      <c r="R965" s="22">
        <f t="shared" si="15"/>
        <v>1</v>
      </c>
      <c r="S965" s="33">
        <f>IF(COUNTIF(O$2:O965,O965)=1,R965,0)/2.5</f>
        <v>0.4</v>
      </c>
    </row>
    <row r="966" spans="1:19" ht="18" customHeight="1" x14ac:dyDescent="0.25">
      <c r="A966" s="7" t="s">
        <v>43</v>
      </c>
      <c r="B966" s="8">
        <v>1</v>
      </c>
      <c r="C966" s="9">
        <v>455</v>
      </c>
      <c r="D966" s="29">
        <f>C966+IF(INDEX('Справочник по %'!B:B,(MATCH(A966,'Справочник по %'!A:A,0)))="кол-во",B966*INDEX('Справочник по %'!C:C,(MATCH(A966,'Справочник по %'!A:A,0))),ОТЧЕТ!C966*INDEX('Справочник по %'!C:C,(MATCH(A966,'Справочник по %'!A:A,0))))/100</f>
        <v>500.5</v>
      </c>
      <c r="E966" s="29">
        <f>IF(ОТЧЕТ!A966="SKU3",C966+ОТЧЕТ!C966*0.2,C966+ОТЧЕТ!C966*0.15)</f>
        <v>523.25</v>
      </c>
      <c r="F966" s="7" t="s">
        <v>2250</v>
      </c>
      <c r="G966" s="7">
        <v>332908266729</v>
      </c>
      <c r="H966" s="20" t="s">
        <v>2258</v>
      </c>
      <c r="I966" s="22" t="str">
        <f>INDEX('Справочник Сети'!B:B,(MATCH(G966,'Справочник Сети'!C:C,0)))</f>
        <v>Планета здоровья</v>
      </c>
      <c r="J966" s="7" t="s">
        <v>110</v>
      </c>
      <c r="K966" s="7" t="s">
        <v>2077</v>
      </c>
      <c r="L966" s="7" t="s">
        <v>110</v>
      </c>
      <c r="M966" s="31">
        <v>45660</v>
      </c>
      <c r="N966" s="7" t="s">
        <v>1063</v>
      </c>
      <c r="O966" s="8">
        <v>3534</v>
      </c>
      <c r="P966" s="24">
        <v>4902</v>
      </c>
      <c r="Q966" s="22">
        <f>IF(COUNTIFS(A$2:A966,A966,I$2:I966,I966)=1,1,0)</f>
        <v>0</v>
      </c>
      <c r="R966" s="22">
        <f t="shared" si="15"/>
        <v>1</v>
      </c>
      <c r="S966" s="33">
        <f>IF(COUNTIF(O$2:O966,O966)=1,R966,0)/2.5</f>
        <v>0.4</v>
      </c>
    </row>
    <row r="967" spans="1:19" ht="18" customHeight="1" x14ac:dyDescent="0.25">
      <c r="A967" s="7" t="s">
        <v>43</v>
      </c>
      <c r="B967" s="8">
        <v>1</v>
      </c>
      <c r="C967" s="9">
        <v>408</v>
      </c>
      <c r="D967" s="29">
        <f>C967+IF(INDEX('Справочник по %'!B:B,(MATCH(A967,'Справочник по %'!A:A,0)))="кол-во",B967*INDEX('Справочник по %'!C:C,(MATCH(A967,'Справочник по %'!A:A,0))),ОТЧЕТ!C967*INDEX('Справочник по %'!C:C,(MATCH(A967,'Справочник по %'!A:A,0))))/100</f>
        <v>448.8</v>
      </c>
      <c r="E967" s="29">
        <f>IF(ОТЧЕТ!A967="SKU3",C967+ОТЧЕТ!C967*0.2,C967+ОТЧЕТ!C967*0.15)</f>
        <v>469.2</v>
      </c>
      <c r="F967" s="7" t="s">
        <v>2259</v>
      </c>
      <c r="G967" s="7">
        <v>2310219170</v>
      </c>
      <c r="H967" s="20" t="s">
        <v>69</v>
      </c>
      <c r="I967" s="22" t="str">
        <f>INDEX('Справочник Сети'!B:B,(MATCH(G967,'Справочник Сети'!C:C,0)))</f>
        <v>Столички</v>
      </c>
      <c r="J967" s="7" t="s">
        <v>70</v>
      </c>
      <c r="K967" s="7" t="s">
        <v>726</v>
      </c>
      <c r="L967" s="7" t="s">
        <v>70</v>
      </c>
      <c r="M967" s="31">
        <v>45728</v>
      </c>
      <c r="N967" s="7" t="s">
        <v>2260</v>
      </c>
      <c r="O967" s="8">
        <v>1128</v>
      </c>
      <c r="P967" s="24">
        <v>4907</v>
      </c>
      <c r="Q967" s="22">
        <f>IF(COUNTIFS(A$2:A967,A967,I$2:I967,I967)=1,1,0)</f>
        <v>0</v>
      </c>
      <c r="R967" s="22">
        <f t="shared" si="15"/>
        <v>2</v>
      </c>
      <c r="S967" s="33">
        <f>IF(COUNTIF(O$2:O967,O967)=1,R967,0)/2.5</f>
        <v>0</v>
      </c>
    </row>
    <row r="968" spans="1:19" ht="18" customHeight="1" x14ac:dyDescent="0.25">
      <c r="A968" s="7" t="s">
        <v>43</v>
      </c>
      <c r="B968" s="8">
        <v>1</v>
      </c>
      <c r="C968" s="9">
        <v>464</v>
      </c>
      <c r="D968" s="29">
        <f>C968+IF(INDEX('Справочник по %'!B:B,(MATCH(A968,'Справочник по %'!A:A,0)))="кол-во",B968*INDEX('Справочник по %'!C:C,(MATCH(A968,'Справочник по %'!A:A,0))),ОТЧЕТ!C968*INDEX('Справочник по %'!C:C,(MATCH(A968,'Справочник по %'!A:A,0))))/100</f>
        <v>510.4</v>
      </c>
      <c r="E968" s="29">
        <f>IF(ОТЧЕТ!A968="SKU3",C968+ОТЧЕТ!C968*0.2,C968+ОТЧЕТ!C968*0.15)</f>
        <v>533.6</v>
      </c>
      <c r="F968" s="7" t="s">
        <v>2259</v>
      </c>
      <c r="G968" s="7">
        <v>2543102471</v>
      </c>
      <c r="H968" s="20" t="s">
        <v>1412</v>
      </c>
      <c r="I968" s="22" t="str">
        <f>INDEX('Справочник Сети'!B:B,(MATCH(G968,'Справочник Сети'!C:C,0)))</f>
        <v>Столички</v>
      </c>
      <c r="J968" s="7" t="s">
        <v>46</v>
      </c>
      <c r="K968" s="7" t="s">
        <v>2261</v>
      </c>
      <c r="L968" s="7" t="s">
        <v>46</v>
      </c>
      <c r="M968" s="31">
        <v>45726</v>
      </c>
      <c r="N968" s="7" t="s">
        <v>2262</v>
      </c>
      <c r="O968" s="8">
        <v>710</v>
      </c>
      <c r="P968" s="24">
        <v>4908</v>
      </c>
      <c r="Q968" s="22">
        <f>IF(COUNTIFS(A$2:A968,A968,I$2:I968,I968)=1,1,0)</f>
        <v>0</v>
      </c>
      <c r="R968" s="22">
        <f t="shared" si="15"/>
        <v>6</v>
      </c>
      <c r="S968" s="33">
        <f>IF(COUNTIF(O$2:O968,O968)=1,R968,0)/2.5</f>
        <v>0</v>
      </c>
    </row>
    <row r="969" spans="1:19" ht="18" customHeight="1" x14ac:dyDescent="0.25">
      <c r="A969" s="7" t="s">
        <v>43</v>
      </c>
      <c r="B969" s="8">
        <v>1</v>
      </c>
      <c r="C969" s="9">
        <v>382</v>
      </c>
      <c r="D969" s="29">
        <f>C969+IF(INDEX('Справочник по %'!B:B,(MATCH(A969,'Справочник по %'!A:A,0)))="кол-во",B969*INDEX('Справочник по %'!C:C,(MATCH(A969,'Справочник по %'!A:A,0))),ОТЧЕТ!C969*INDEX('Справочник по %'!C:C,(MATCH(A969,'Справочник по %'!A:A,0))))/100</f>
        <v>420.2</v>
      </c>
      <c r="E969" s="29">
        <f>IF(ОТЧЕТ!A969="SKU3",C969+ОТЧЕТ!C969*0.2,C969+ОТЧЕТ!C969*0.15)</f>
        <v>439.3</v>
      </c>
      <c r="F969" s="7" t="s">
        <v>2263</v>
      </c>
      <c r="G969" s="7">
        <v>7732121736</v>
      </c>
      <c r="H969" s="20" t="s">
        <v>2264</v>
      </c>
      <c r="I969" s="22" t="str">
        <f>INDEX('Справочник Сети'!B:B,(MATCH(G969,'Справочник Сети'!C:C,0)))</f>
        <v>Планета здоровья</v>
      </c>
      <c r="J969" s="7" t="s">
        <v>149</v>
      </c>
      <c r="K969" s="7" t="s">
        <v>1393</v>
      </c>
      <c r="L969" s="7" t="s">
        <v>149</v>
      </c>
      <c r="M969" s="31">
        <v>45673</v>
      </c>
      <c r="N969" s="7" t="s">
        <v>2265</v>
      </c>
      <c r="O969" s="8">
        <v>1967</v>
      </c>
      <c r="P969" s="24">
        <v>4918</v>
      </c>
      <c r="Q969" s="22">
        <f>IF(COUNTIFS(A$2:A969,A969,I$2:I969,I969)=1,1,0)</f>
        <v>0</v>
      </c>
      <c r="R969" s="22">
        <f t="shared" si="15"/>
        <v>2</v>
      </c>
      <c r="S969" s="33">
        <f>IF(COUNTIF(O$2:O969,O969)=1,R969,0)/2.5</f>
        <v>0.8</v>
      </c>
    </row>
    <row r="970" spans="1:19" ht="18" customHeight="1" x14ac:dyDescent="0.25">
      <c r="A970" s="7" t="s">
        <v>43</v>
      </c>
      <c r="B970" s="8">
        <v>1</v>
      </c>
      <c r="C970" s="9">
        <v>353</v>
      </c>
      <c r="D970" s="29">
        <f>C970+IF(INDEX('Справочник по %'!B:B,(MATCH(A970,'Справочник по %'!A:A,0)))="кол-во",B970*INDEX('Справочник по %'!C:C,(MATCH(A970,'Справочник по %'!A:A,0))),ОТЧЕТ!C970*INDEX('Справочник по %'!C:C,(MATCH(A970,'Справочник по %'!A:A,0))))/100</f>
        <v>388.3</v>
      </c>
      <c r="E970" s="29">
        <f>IF(ОТЧЕТ!A970="SKU3",C970+ОТЧЕТ!C970*0.2,C970+ОТЧЕТ!C970*0.15)</f>
        <v>405.95</v>
      </c>
      <c r="F970" s="7" t="s">
        <v>2263</v>
      </c>
      <c r="G970" s="7">
        <v>6166074939</v>
      </c>
      <c r="H970" s="20" t="s">
        <v>2266</v>
      </c>
      <c r="I970" s="22">
        <f>INDEX('Справочник Сети'!B:B,(MATCH(G970,'Справочник Сети'!C:C,0)))</f>
        <v>0</v>
      </c>
      <c r="J970" s="7" t="s">
        <v>203</v>
      </c>
      <c r="K970" s="7" t="s">
        <v>2267</v>
      </c>
      <c r="L970" s="7" t="s">
        <v>203</v>
      </c>
      <c r="M970" s="31">
        <v>45696</v>
      </c>
      <c r="N970" s="7" t="s">
        <v>2268</v>
      </c>
      <c r="O970" s="8">
        <v>3016</v>
      </c>
      <c r="P970" s="24">
        <v>4919</v>
      </c>
      <c r="Q970" s="22">
        <f>IF(COUNTIFS(A$2:A970,A970,I$2:I970,I970)=1,1,0)</f>
        <v>0</v>
      </c>
      <c r="R970" s="22">
        <f t="shared" si="15"/>
        <v>2</v>
      </c>
      <c r="S970" s="33">
        <f>IF(COUNTIF(O$2:O970,O970)=1,R970,0)/2.5</f>
        <v>0.8</v>
      </c>
    </row>
    <row r="971" spans="1:19" ht="18" customHeight="1" x14ac:dyDescent="0.25">
      <c r="A971" s="7" t="s">
        <v>43</v>
      </c>
      <c r="B971" s="8">
        <v>1</v>
      </c>
      <c r="C971" s="9">
        <v>358</v>
      </c>
      <c r="D971" s="29">
        <f>C971+IF(INDEX('Справочник по %'!B:B,(MATCH(A971,'Справочник по %'!A:A,0)))="кол-во",B971*INDEX('Справочник по %'!C:C,(MATCH(A971,'Справочник по %'!A:A,0))),ОТЧЕТ!C971*INDEX('Справочник по %'!C:C,(MATCH(A971,'Справочник по %'!A:A,0))))/100</f>
        <v>393.8</v>
      </c>
      <c r="E971" s="29">
        <f>IF(ОТЧЕТ!A971="SKU3",C971+ОТЧЕТ!C971*0.2,C971+ОТЧЕТ!C971*0.15)</f>
        <v>411.7</v>
      </c>
      <c r="F971" s="7" t="s">
        <v>2269</v>
      </c>
      <c r="G971" s="7">
        <v>2309137766</v>
      </c>
      <c r="H971" s="20" t="s">
        <v>50</v>
      </c>
      <c r="I971" s="22" t="str">
        <f>INDEX('Справочник Сети'!B:B,(MATCH(G971,'Справочник Сети'!C:C,0)))</f>
        <v>Ригла</v>
      </c>
      <c r="J971" s="7" t="s">
        <v>57</v>
      </c>
      <c r="K971" s="7" t="s">
        <v>1503</v>
      </c>
      <c r="L971" s="7" t="s">
        <v>57</v>
      </c>
      <c r="M971" s="31">
        <v>45729</v>
      </c>
      <c r="N971" s="7" t="s">
        <v>2270</v>
      </c>
      <c r="O971" s="8">
        <v>584</v>
      </c>
      <c r="P971" s="24">
        <v>4925</v>
      </c>
      <c r="Q971" s="22">
        <f>IF(COUNTIFS(A$2:A971,A971,I$2:I971,I971)=1,1,0)</f>
        <v>0</v>
      </c>
      <c r="R971" s="22">
        <f t="shared" si="15"/>
        <v>1</v>
      </c>
      <c r="S971" s="33">
        <f>IF(COUNTIF(O$2:O971,O971)=1,R971,0)/2.5</f>
        <v>0.4</v>
      </c>
    </row>
    <row r="972" spans="1:19" ht="18" customHeight="1" x14ac:dyDescent="0.25">
      <c r="A972" s="7" t="s">
        <v>43</v>
      </c>
      <c r="B972" s="8">
        <v>1</v>
      </c>
      <c r="C972" s="9">
        <v>510</v>
      </c>
      <c r="D972" s="29">
        <f>C972+IF(INDEX('Справочник по %'!B:B,(MATCH(A972,'Справочник по %'!A:A,0)))="кол-во",B972*INDEX('Справочник по %'!C:C,(MATCH(A972,'Справочник по %'!A:A,0))),ОТЧЕТ!C972*INDEX('Справочник по %'!C:C,(MATCH(A972,'Справочник по %'!A:A,0))))/100</f>
        <v>561</v>
      </c>
      <c r="E972" s="29">
        <f>IF(ОТЧЕТ!A972="SKU3",C972+ОТЧЕТ!C972*0.2,C972+ОТЧЕТ!C972*0.15)</f>
        <v>586.5</v>
      </c>
      <c r="F972" s="7" t="s">
        <v>2271</v>
      </c>
      <c r="G972" s="7">
        <v>4222016270</v>
      </c>
      <c r="H972" s="20" t="s">
        <v>2272</v>
      </c>
      <c r="I972" s="22" t="str">
        <f>INDEX('Справочник Сети'!B:B,(MATCH(G972,'Справочник Сети'!C:C,0)))</f>
        <v>Столички</v>
      </c>
      <c r="J972" s="7" t="s">
        <v>155</v>
      </c>
      <c r="K972" s="7" t="s">
        <v>154</v>
      </c>
      <c r="L972" s="7" t="s">
        <v>155</v>
      </c>
      <c r="M972" s="31">
        <v>45716</v>
      </c>
      <c r="N972" s="7" t="s">
        <v>2273</v>
      </c>
      <c r="O972" s="8">
        <v>3109</v>
      </c>
      <c r="P972" s="24">
        <v>4932</v>
      </c>
      <c r="Q972" s="22">
        <f>IF(COUNTIFS(A$2:A972,A972,I$2:I972,I972)=1,1,0)</f>
        <v>0</v>
      </c>
      <c r="R972" s="22">
        <f t="shared" si="15"/>
        <v>5</v>
      </c>
      <c r="S972" s="33">
        <f>IF(COUNTIF(O$2:O972,O972)=1,R972,0)/2.5</f>
        <v>2</v>
      </c>
    </row>
    <row r="973" spans="1:19" ht="18" customHeight="1" x14ac:dyDescent="0.25">
      <c r="A973" s="7" t="s">
        <v>43</v>
      </c>
      <c r="B973" s="8">
        <v>1</v>
      </c>
      <c r="C973" s="9">
        <v>369</v>
      </c>
      <c r="D973" s="29">
        <f>C973+IF(INDEX('Справочник по %'!B:B,(MATCH(A973,'Справочник по %'!A:A,0)))="кол-во",B973*INDEX('Справочник по %'!C:C,(MATCH(A973,'Справочник по %'!A:A,0))),ОТЧЕТ!C973*INDEX('Справочник по %'!C:C,(MATCH(A973,'Справочник по %'!A:A,0))))/100</f>
        <v>405.9</v>
      </c>
      <c r="E973" s="29">
        <f>IF(ОТЧЕТ!A973="SKU3",C973+ОТЧЕТ!C973*0.2,C973+ОТЧЕТ!C973*0.15)</f>
        <v>424.35</v>
      </c>
      <c r="F973" s="7" t="s">
        <v>2271</v>
      </c>
      <c r="G973" s="7">
        <v>7728339546</v>
      </c>
      <c r="H973" s="20" t="s">
        <v>2274</v>
      </c>
      <c r="I973" s="22" t="str">
        <f>INDEX('Справочник Сети'!B:B,(MATCH(G973,'Справочник Сети'!C:C,0)))</f>
        <v>Планета здоровья</v>
      </c>
      <c r="J973" s="7" t="s">
        <v>142</v>
      </c>
      <c r="K973" s="7" t="s">
        <v>764</v>
      </c>
      <c r="L973" s="7" t="s">
        <v>142</v>
      </c>
      <c r="M973" s="31">
        <v>45674</v>
      </c>
      <c r="N973" s="7" t="s">
        <v>2275</v>
      </c>
      <c r="O973" s="8">
        <v>897</v>
      </c>
      <c r="P973" s="24">
        <v>4934</v>
      </c>
      <c r="Q973" s="22">
        <f>IF(COUNTIFS(A$2:A973,A973,I$2:I973,I973)=1,1,0)</f>
        <v>0</v>
      </c>
      <c r="R973" s="22">
        <f t="shared" si="15"/>
        <v>5</v>
      </c>
      <c r="S973" s="33">
        <f>IF(COUNTIF(O$2:O973,O973)=1,R973,0)/2.5</f>
        <v>2</v>
      </c>
    </row>
    <row r="974" spans="1:19" ht="18" customHeight="1" x14ac:dyDescent="0.25">
      <c r="A974" s="7" t="s">
        <v>43</v>
      </c>
      <c r="B974" s="8">
        <v>1</v>
      </c>
      <c r="C974" s="9">
        <v>342</v>
      </c>
      <c r="D974" s="29">
        <f>C974+IF(INDEX('Справочник по %'!B:B,(MATCH(A974,'Справочник по %'!A:A,0)))="кол-во",B974*INDEX('Справочник по %'!C:C,(MATCH(A974,'Справочник по %'!A:A,0))),ОТЧЕТ!C974*INDEX('Справочник по %'!C:C,(MATCH(A974,'Справочник по %'!A:A,0))))/100</f>
        <v>376.2</v>
      </c>
      <c r="E974" s="29">
        <f>IF(ОТЧЕТ!A974="SKU3",C974+ОТЧЕТ!C974*0.2,C974+ОТЧЕТ!C974*0.15)</f>
        <v>393.3</v>
      </c>
      <c r="F974" s="7" t="s">
        <v>2271</v>
      </c>
      <c r="G974" s="7">
        <v>7732121736</v>
      </c>
      <c r="H974" s="20" t="s">
        <v>2276</v>
      </c>
      <c r="I974" s="22" t="str">
        <f>INDEX('Справочник Сети'!B:B,(MATCH(G974,'Справочник Сети'!C:C,0)))</f>
        <v>Планета здоровья</v>
      </c>
      <c r="J974" s="7" t="s">
        <v>149</v>
      </c>
      <c r="K974" s="7" t="s">
        <v>41</v>
      </c>
      <c r="L974" s="7" t="s">
        <v>149</v>
      </c>
      <c r="M974" s="31">
        <v>45673</v>
      </c>
      <c r="N974" s="7" t="s">
        <v>2277</v>
      </c>
      <c r="O974" s="8">
        <v>2812</v>
      </c>
      <c r="P974" s="24">
        <v>4936</v>
      </c>
      <c r="Q974" s="22">
        <f>IF(COUNTIFS(A$2:A974,A974,I$2:I974,I974)=1,1,0)</f>
        <v>0</v>
      </c>
      <c r="R974" s="22">
        <f t="shared" si="15"/>
        <v>1</v>
      </c>
      <c r="S974" s="33">
        <f>IF(COUNTIF(O$2:O974,O974)=1,R974,0)/2.5</f>
        <v>0.4</v>
      </c>
    </row>
    <row r="975" spans="1:19" ht="18" customHeight="1" x14ac:dyDescent="0.25">
      <c r="A975" s="7" t="s">
        <v>43</v>
      </c>
      <c r="B975" s="8">
        <v>1</v>
      </c>
      <c r="C975" s="9">
        <v>405</v>
      </c>
      <c r="D975" s="29">
        <f>C975+IF(INDEX('Справочник по %'!B:B,(MATCH(A975,'Справочник по %'!A:A,0)))="кол-во",B975*INDEX('Справочник по %'!C:C,(MATCH(A975,'Справочник по %'!A:A,0))),ОТЧЕТ!C975*INDEX('Справочник по %'!C:C,(MATCH(A975,'Справочник по %'!A:A,0))))/100</f>
        <v>445.5</v>
      </c>
      <c r="E975" s="29">
        <f>IF(ОТЧЕТ!A975="SKU3",C975+ОТЧЕТ!C975*0.2,C975+ОТЧЕТ!C975*0.15)</f>
        <v>465.75</v>
      </c>
      <c r="F975" s="7" t="s">
        <v>2271</v>
      </c>
      <c r="G975" s="7">
        <v>6164289657</v>
      </c>
      <c r="H975" s="20" t="s">
        <v>50</v>
      </c>
      <c r="I975" s="22">
        <f>INDEX('Справочник Сети'!B:B,(MATCH(G975,'Справочник Сети'!C:C,0)))</f>
        <v>0</v>
      </c>
      <c r="J975" s="7" t="s">
        <v>520</v>
      </c>
      <c r="K975" s="7" t="s">
        <v>764</v>
      </c>
      <c r="L975" s="7" t="s">
        <v>520</v>
      </c>
      <c r="M975" s="31">
        <v>45697</v>
      </c>
      <c r="N975" s="7" t="s">
        <v>2278</v>
      </c>
      <c r="O975" s="8">
        <v>2220</v>
      </c>
      <c r="P975" s="24">
        <v>4937</v>
      </c>
      <c r="Q975" s="22">
        <f>IF(COUNTIFS(A$2:A975,A975,I$2:I975,I975)=1,1,0)</f>
        <v>0</v>
      </c>
      <c r="R975" s="22">
        <f t="shared" si="15"/>
        <v>1</v>
      </c>
      <c r="S975" s="33">
        <f>IF(COUNTIF(O$2:O975,O975)=1,R975,0)/2.5</f>
        <v>0.4</v>
      </c>
    </row>
    <row r="976" spans="1:19" ht="18" customHeight="1" x14ac:dyDescent="0.25">
      <c r="A976" s="7" t="s">
        <v>43</v>
      </c>
      <c r="B976" s="8">
        <v>1</v>
      </c>
      <c r="C976" s="9">
        <v>590</v>
      </c>
      <c r="D976" s="29">
        <f>C976+IF(INDEX('Справочник по %'!B:B,(MATCH(A976,'Справочник по %'!A:A,0)))="кол-во",B976*INDEX('Справочник по %'!C:C,(MATCH(A976,'Справочник по %'!A:A,0))),ОТЧЕТ!C976*INDEX('Справочник по %'!C:C,(MATCH(A976,'Справочник по %'!A:A,0))))/100</f>
        <v>649</v>
      </c>
      <c r="E976" s="29">
        <f>IF(ОТЧЕТ!A976="SKU3",C976+ОТЧЕТ!C976*0.2,C976+ОТЧЕТ!C976*0.15)</f>
        <v>678.5</v>
      </c>
      <c r="F976" s="7" t="s">
        <v>2271</v>
      </c>
      <c r="G976" s="7">
        <v>7714844316</v>
      </c>
      <c r="H976" s="20" t="s">
        <v>50</v>
      </c>
      <c r="I976" s="22" t="str">
        <f>INDEX('Справочник Сети'!B:B,(MATCH(G976,'Справочник Сети'!C:C,0)))</f>
        <v>Планета здоровья</v>
      </c>
      <c r="J976" s="7" t="s">
        <v>504</v>
      </c>
      <c r="K976" s="7" t="s">
        <v>704</v>
      </c>
      <c r="L976" s="7" t="s">
        <v>504</v>
      </c>
      <c r="M976" s="31">
        <v>45690</v>
      </c>
      <c r="N976" s="7" t="s">
        <v>2279</v>
      </c>
      <c r="O976" s="8">
        <v>868</v>
      </c>
      <c r="P976" s="24">
        <v>4938</v>
      </c>
      <c r="Q976" s="22">
        <f>IF(COUNTIFS(A$2:A976,A976,I$2:I976,I976)=1,1,0)</f>
        <v>0</v>
      </c>
      <c r="R976" s="22">
        <f t="shared" si="15"/>
        <v>12</v>
      </c>
      <c r="S976" s="33">
        <f>IF(COUNTIF(O$2:O976,O976)=1,R976,0)/2.5</f>
        <v>0</v>
      </c>
    </row>
    <row r="977" spans="1:19" ht="18" customHeight="1" x14ac:dyDescent="0.25">
      <c r="A977" s="7" t="s">
        <v>43</v>
      </c>
      <c r="B977" s="8">
        <v>1</v>
      </c>
      <c r="C977" s="9">
        <v>367</v>
      </c>
      <c r="D977" s="29">
        <f>C977+IF(INDEX('Справочник по %'!B:B,(MATCH(A977,'Справочник по %'!A:A,0)))="кол-во",B977*INDEX('Справочник по %'!C:C,(MATCH(A977,'Справочник по %'!A:A,0))),ОТЧЕТ!C977*INDEX('Справочник по %'!C:C,(MATCH(A977,'Справочник по %'!A:A,0))))/100</f>
        <v>403.7</v>
      </c>
      <c r="E977" s="29">
        <f>IF(ОТЧЕТ!A977="SKU3",C977+ОТЧЕТ!C977*0.2,C977+ОТЧЕТ!C977*0.15)</f>
        <v>422.05</v>
      </c>
      <c r="F977" s="7" t="s">
        <v>2271</v>
      </c>
      <c r="G977" s="7">
        <v>7728339546</v>
      </c>
      <c r="H977" s="20" t="s">
        <v>2274</v>
      </c>
      <c r="I977" s="22" t="str">
        <f>INDEX('Справочник Сети'!B:B,(MATCH(G977,'Справочник Сети'!C:C,0)))</f>
        <v>Планета здоровья</v>
      </c>
      <c r="J977" s="7" t="s">
        <v>142</v>
      </c>
      <c r="K977" s="7" t="s">
        <v>744</v>
      </c>
      <c r="L977" s="7" t="s">
        <v>142</v>
      </c>
      <c r="M977" s="31">
        <v>45674</v>
      </c>
      <c r="N977" s="7" t="s">
        <v>2280</v>
      </c>
      <c r="O977" s="8">
        <v>897</v>
      </c>
      <c r="P977" s="24">
        <v>4939</v>
      </c>
      <c r="Q977" s="22">
        <f>IF(COUNTIFS(A$2:A977,A977,I$2:I977,I977)=1,1,0)</f>
        <v>0</v>
      </c>
      <c r="R977" s="22">
        <f t="shared" si="15"/>
        <v>5</v>
      </c>
      <c r="S977" s="33">
        <f>IF(COUNTIF(O$2:O977,O977)=1,R977,0)/2.5</f>
        <v>0</v>
      </c>
    </row>
    <row r="978" spans="1:19" ht="18" customHeight="1" x14ac:dyDescent="0.25">
      <c r="A978" s="7" t="s">
        <v>43</v>
      </c>
      <c r="B978" s="8">
        <v>1</v>
      </c>
      <c r="C978" s="9">
        <v>425.9</v>
      </c>
      <c r="D978" s="29">
        <f>C978+IF(INDEX('Справочник по %'!B:B,(MATCH(A978,'Справочник по %'!A:A,0)))="кол-во",B978*INDEX('Справочник по %'!C:C,(MATCH(A978,'Справочник по %'!A:A,0))),ОТЧЕТ!C978*INDEX('Справочник по %'!C:C,(MATCH(A978,'Справочник по %'!A:A,0))))/100</f>
        <v>468.49</v>
      </c>
      <c r="E978" s="29">
        <f>IF(ОТЧЕТ!A978="SKU3",C978+ОТЧЕТ!C978*0.2,C978+ОТЧЕТ!C978*0.15)</f>
        <v>489.78499999999997</v>
      </c>
      <c r="F978" s="7" t="s">
        <v>2271</v>
      </c>
      <c r="G978" s="7">
        <v>1831060811</v>
      </c>
      <c r="H978" s="20" t="s">
        <v>800</v>
      </c>
      <c r="I978" s="22" t="str">
        <f>INDEX('Справочник Сети'!B:B,(MATCH(G978,'Справочник Сети'!C:C,0)))</f>
        <v>Ригла</v>
      </c>
      <c r="J978" s="7" t="s">
        <v>335</v>
      </c>
      <c r="K978" s="7" t="s">
        <v>2188</v>
      </c>
      <c r="L978" s="7" t="s">
        <v>335</v>
      </c>
      <c r="M978" s="31">
        <v>45731</v>
      </c>
      <c r="N978" s="7" t="s">
        <v>2281</v>
      </c>
      <c r="O978" s="8">
        <v>133</v>
      </c>
      <c r="P978" s="24">
        <v>4942</v>
      </c>
      <c r="Q978" s="22">
        <f>IF(COUNTIFS(A$2:A978,A978,I$2:I978,I978)=1,1,0)</f>
        <v>0</v>
      </c>
      <c r="R978" s="22">
        <f t="shared" si="15"/>
        <v>14</v>
      </c>
      <c r="S978" s="33">
        <f>IF(COUNTIF(O$2:O978,O978)=1,R978,0)/2.5</f>
        <v>0</v>
      </c>
    </row>
    <row r="979" spans="1:19" ht="18" customHeight="1" x14ac:dyDescent="0.25">
      <c r="A979" s="7" t="s">
        <v>43</v>
      </c>
      <c r="B979" s="8">
        <v>1</v>
      </c>
      <c r="C979" s="9">
        <v>379</v>
      </c>
      <c r="D979" s="29">
        <f>C979+IF(INDEX('Справочник по %'!B:B,(MATCH(A979,'Справочник по %'!A:A,0)))="кол-во",B979*INDEX('Справочник по %'!C:C,(MATCH(A979,'Справочник по %'!A:A,0))),ОТЧЕТ!C979*INDEX('Справочник по %'!C:C,(MATCH(A979,'Справочник по %'!A:A,0))))/100</f>
        <v>416.9</v>
      </c>
      <c r="E979" s="29">
        <f>IF(ОТЧЕТ!A979="SKU3",C979+ОТЧЕТ!C979*0.2,C979+ОТЧЕТ!C979*0.15)</f>
        <v>435.85</v>
      </c>
      <c r="F979" s="7" t="s">
        <v>2271</v>
      </c>
      <c r="G979" s="7">
        <v>7728339546</v>
      </c>
      <c r="H979" s="20" t="s">
        <v>2232</v>
      </c>
      <c r="I979" s="22" t="str">
        <f>INDEX('Справочник Сети'!B:B,(MATCH(G979,'Справочник Сети'!C:C,0)))</f>
        <v>Планета здоровья</v>
      </c>
      <c r="J979" s="7" t="s">
        <v>142</v>
      </c>
      <c r="K979" s="7" t="s">
        <v>744</v>
      </c>
      <c r="L979" s="7" t="s">
        <v>142</v>
      </c>
      <c r="M979" s="31">
        <v>45674</v>
      </c>
      <c r="N979" s="7" t="s">
        <v>2282</v>
      </c>
      <c r="O979" s="8">
        <v>3034</v>
      </c>
      <c r="P979" s="24">
        <v>4943</v>
      </c>
      <c r="Q979" s="22">
        <f>IF(COUNTIFS(A$2:A979,A979,I$2:I979,I979)=1,1,0)</f>
        <v>0</v>
      </c>
      <c r="R979" s="22">
        <f t="shared" si="15"/>
        <v>7</v>
      </c>
      <c r="S979" s="33">
        <f>IF(COUNTIF(O$2:O979,O979)=1,R979,0)/2.5</f>
        <v>0</v>
      </c>
    </row>
    <row r="980" spans="1:19" ht="18" customHeight="1" x14ac:dyDescent="0.25">
      <c r="A980" s="7" t="s">
        <v>43</v>
      </c>
      <c r="B980" s="8">
        <v>1</v>
      </c>
      <c r="C980" s="9">
        <v>383</v>
      </c>
      <c r="D980" s="29">
        <f>C980+IF(INDEX('Справочник по %'!B:B,(MATCH(A980,'Справочник по %'!A:A,0)))="кол-во",B980*INDEX('Справочник по %'!C:C,(MATCH(A980,'Справочник по %'!A:A,0))),ОТЧЕТ!C980*INDEX('Справочник по %'!C:C,(MATCH(A980,'Справочник по %'!A:A,0))))/100</f>
        <v>421.3</v>
      </c>
      <c r="E980" s="29">
        <f>IF(ОТЧЕТ!A980="SKU3",C980+ОТЧЕТ!C980*0.2,C980+ОТЧЕТ!C980*0.15)</f>
        <v>440.45</v>
      </c>
      <c r="F980" s="7" t="s">
        <v>2271</v>
      </c>
      <c r="G980" s="7">
        <v>7706795062</v>
      </c>
      <c r="H980" s="20" t="s">
        <v>327</v>
      </c>
      <c r="I980" s="22" t="str">
        <f>INDEX('Справочник Сети'!B:B,(MATCH(G980,'Справочник Сети'!C:C,0)))</f>
        <v>Планета здоровья</v>
      </c>
      <c r="J980" s="7" t="s">
        <v>87</v>
      </c>
      <c r="K980" s="7" t="s">
        <v>1710</v>
      </c>
      <c r="L980" s="7" t="s">
        <v>87</v>
      </c>
      <c r="M980" s="31">
        <v>45691</v>
      </c>
      <c r="N980" s="7" t="s">
        <v>2283</v>
      </c>
      <c r="O980" s="8">
        <v>2086</v>
      </c>
      <c r="P980" s="24">
        <v>4944</v>
      </c>
      <c r="Q980" s="22">
        <f>IF(COUNTIFS(A$2:A980,A980,I$2:I980,I980)=1,1,0)</f>
        <v>0</v>
      </c>
      <c r="R980" s="22">
        <f t="shared" si="15"/>
        <v>4</v>
      </c>
      <c r="S980" s="33">
        <f>IF(COUNTIF(O$2:O980,O980)=1,R980,0)/2.5</f>
        <v>1.6</v>
      </c>
    </row>
    <row r="981" spans="1:19" ht="18" customHeight="1" x14ac:dyDescent="0.25">
      <c r="A981" s="7" t="s">
        <v>43</v>
      </c>
      <c r="B981" s="8">
        <v>1</v>
      </c>
      <c r="C981" s="9">
        <v>377</v>
      </c>
      <c r="D981" s="29">
        <f>C981+IF(INDEX('Справочник по %'!B:B,(MATCH(A981,'Справочник по %'!A:A,0)))="кол-во",B981*INDEX('Справочник по %'!C:C,(MATCH(A981,'Справочник по %'!A:A,0))),ОТЧЕТ!C981*INDEX('Справочник по %'!C:C,(MATCH(A981,'Справочник по %'!A:A,0))))/100</f>
        <v>414.7</v>
      </c>
      <c r="E981" s="29">
        <f>IF(ОТЧЕТ!A981="SKU3",C981+ОТЧЕТ!C981*0.2,C981+ОТЧЕТ!C981*0.15)</f>
        <v>433.55</v>
      </c>
      <c r="F981" s="7" t="s">
        <v>2271</v>
      </c>
      <c r="G981" s="7">
        <v>7706795062</v>
      </c>
      <c r="H981" s="20" t="s">
        <v>327</v>
      </c>
      <c r="I981" s="22" t="str">
        <f>INDEX('Справочник Сети'!B:B,(MATCH(G981,'Справочник Сети'!C:C,0)))</f>
        <v>Планета здоровья</v>
      </c>
      <c r="J981" s="7" t="s">
        <v>87</v>
      </c>
      <c r="K981" s="7" t="s">
        <v>2284</v>
      </c>
      <c r="L981" s="7" t="s">
        <v>87</v>
      </c>
      <c r="M981" s="31">
        <v>45691</v>
      </c>
      <c r="N981" s="7" t="s">
        <v>2285</v>
      </c>
      <c r="O981" s="8">
        <v>2086</v>
      </c>
      <c r="P981" s="24">
        <v>4945</v>
      </c>
      <c r="Q981" s="22">
        <f>IF(COUNTIFS(A$2:A981,A981,I$2:I981,I981)=1,1,0)</f>
        <v>0</v>
      </c>
      <c r="R981" s="22">
        <f t="shared" si="15"/>
        <v>4</v>
      </c>
      <c r="S981" s="33">
        <f>IF(COUNTIF(O$2:O981,O981)=1,R981,0)/2.5</f>
        <v>0</v>
      </c>
    </row>
    <row r="982" spans="1:19" ht="18" customHeight="1" x14ac:dyDescent="0.25">
      <c r="A982" s="7" t="s">
        <v>43</v>
      </c>
      <c r="B982" s="8">
        <v>1</v>
      </c>
      <c r="C982" s="9">
        <v>384.3</v>
      </c>
      <c r="D982" s="29">
        <f>C982+IF(INDEX('Справочник по %'!B:B,(MATCH(A982,'Справочник по %'!A:A,0)))="кол-во",B982*INDEX('Справочник по %'!C:C,(MATCH(A982,'Справочник по %'!A:A,0))),ОТЧЕТ!C982*INDEX('Справочник по %'!C:C,(MATCH(A982,'Справочник по %'!A:A,0))))/100</f>
        <v>422.73</v>
      </c>
      <c r="E982" s="29">
        <f>IF(ОТЧЕТ!A982="SKU3",C982+ОТЧЕТ!C982*0.2,C982+ОТЧЕТ!C982*0.15)</f>
        <v>441.94499999999999</v>
      </c>
      <c r="F982" s="7" t="s">
        <v>2286</v>
      </c>
      <c r="G982" s="7">
        <v>2466189073</v>
      </c>
      <c r="H982" s="20" t="s">
        <v>2287</v>
      </c>
      <c r="I982" s="22" t="str">
        <f>INDEX('Справочник Сети'!B:B,(MATCH(G982,'Справочник Сети'!C:C,0)))</f>
        <v>Нео-фарм</v>
      </c>
      <c r="J982" s="7" t="s">
        <v>96</v>
      </c>
      <c r="K982" s="7" t="s">
        <v>169</v>
      </c>
      <c r="L982" s="7" t="s">
        <v>96</v>
      </c>
      <c r="M982" s="31">
        <v>45727</v>
      </c>
      <c r="N982" s="7" t="s">
        <v>2288</v>
      </c>
      <c r="O982" s="8">
        <v>3522</v>
      </c>
      <c r="P982" s="24">
        <v>4950</v>
      </c>
      <c r="Q982" s="22">
        <f>IF(COUNTIFS(A$2:A982,A982,I$2:I982,I982)=1,1,0)</f>
        <v>0</v>
      </c>
      <c r="R982" s="22">
        <f t="shared" si="15"/>
        <v>2</v>
      </c>
      <c r="S982" s="33">
        <f>IF(COUNTIF(O$2:O982,O982)=1,R982,0)/2.5</f>
        <v>0.8</v>
      </c>
    </row>
    <row r="983" spans="1:19" ht="18" customHeight="1" x14ac:dyDescent="0.25">
      <c r="A983" s="7" t="s">
        <v>43</v>
      </c>
      <c r="B983" s="8">
        <v>1</v>
      </c>
      <c r="C983" s="9">
        <v>550</v>
      </c>
      <c r="D983" s="29">
        <f>C983+IF(INDEX('Справочник по %'!B:B,(MATCH(A983,'Справочник по %'!A:A,0)))="кол-во",B983*INDEX('Справочник по %'!C:C,(MATCH(A983,'Справочник по %'!A:A,0))),ОТЧЕТ!C983*INDEX('Справочник по %'!C:C,(MATCH(A983,'Справочник по %'!A:A,0))))/100</f>
        <v>605</v>
      </c>
      <c r="E983" s="29">
        <f>IF(ОТЧЕТ!A983="SKU3",C983+ОТЧЕТ!C983*0.2,C983+ОТЧЕТ!C983*0.15)</f>
        <v>632.5</v>
      </c>
      <c r="F983" s="7" t="s">
        <v>2289</v>
      </c>
      <c r="G983" s="7">
        <v>2320218433</v>
      </c>
      <c r="H983" s="20" t="s">
        <v>50</v>
      </c>
      <c r="I983" s="22" t="str">
        <f>INDEX('Справочник Сети'!B:B,(MATCH(G983,'Справочник Сети'!C:C,0)))</f>
        <v>Планета здоровья</v>
      </c>
      <c r="J983" s="7" t="s">
        <v>96</v>
      </c>
      <c r="K983" s="7" t="s">
        <v>481</v>
      </c>
      <c r="L983" s="7" t="s">
        <v>70</v>
      </c>
      <c r="M983" s="31">
        <v>45728</v>
      </c>
      <c r="N983" s="7" t="s">
        <v>1165</v>
      </c>
      <c r="O983" s="8">
        <v>1031</v>
      </c>
      <c r="P983" s="24">
        <v>4951</v>
      </c>
      <c r="Q983" s="22">
        <f>IF(COUNTIFS(A$2:A983,A983,I$2:I983,I983)=1,1,0)</f>
        <v>0</v>
      </c>
      <c r="R983" s="22">
        <f t="shared" si="15"/>
        <v>1</v>
      </c>
      <c r="S983" s="33">
        <f>IF(COUNTIF(O$2:O983,O983)=1,R983,0)/2.5</f>
        <v>0.4</v>
      </c>
    </row>
    <row r="984" spans="1:19" ht="18" customHeight="1" x14ac:dyDescent="0.25">
      <c r="A984" s="7" t="s">
        <v>37</v>
      </c>
      <c r="B984" s="8">
        <v>1</v>
      </c>
      <c r="C984" s="9">
        <v>549</v>
      </c>
      <c r="D984" s="29">
        <f>C984+IF(INDEX('Справочник по %'!B:B,(MATCH(A984,'Справочник по %'!A:A,0)))="кол-во",B984*INDEX('Справочник по %'!C:C,(MATCH(A984,'Справочник по %'!A:A,0))),ОТЧЕТ!C984*INDEX('Справочник по %'!C:C,(MATCH(A984,'Справочник по %'!A:A,0))))/100</f>
        <v>549.20000000000005</v>
      </c>
      <c r="E984" s="29">
        <f>IF(ОТЧЕТ!A984="SKU3",C984+ОТЧЕТ!C984*0.2,C984+ОТЧЕТ!C984*0.15)</f>
        <v>631.35</v>
      </c>
      <c r="F984" s="7" t="s">
        <v>2289</v>
      </c>
      <c r="G984" s="7">
        <v>275912643</v>
      </c>
      <c r="H984" s="20" t="s">
        <v>2290</v>
      </c>
      <c r="I984" s="22">
        <f>INDEX('Справочник Сети'!B:B,(MATCH(G984,'Справочник Сети'!C:C,0)))</f>
        <v>0</v>
      </c>
      <c r="J984" s="7" t="s">
        <v>362</v>
      </c>
      <c r="K984" s="7" t="s">
        <v>565</v>
      </c>
      <c r="L984" s="7" t="s">
        <v>362</v>
      </c>
      <c r="M984" s="31">
        <v>45732</v>
      </c>
      <c r="N984" s="7" t="s">
        <v>2291</v>
      </c>
      <c r="O984" s="8">
        <v>1077</v>
      </c>
      <c r="P984" s="24">
        <v>4953</v>
      </c>
      <c r="Q984" s="22">
        <f>IF(COUNTIFS(A$2:A984,A984,I$2:I984,I984)=1,1,0)</f>
        <v>0</v>
      </c>
      <c r="R984" s="22">
        <f t="shared" si="15"/>
        <v>6</v>
      </c>
      <c r="S984" s="33">
        <f>IF(COUNTIF(O$2:O984,O984)=1,R984,0)/2.5</f>
        <v>2.4</v>
      </c>
    </row>
    <row r="985" spans="1:19" ht="18" customHeight="1" x14ac:dyDescent="0.25">
      <c r="A985" s="7" t="s">
        <v>43</v>
      </c>
      <c r="B985" s="8">
        <v>1</v>
      </c>
      <c r="C985" s="9">
        <v>603</v>
      </c>
      <c r="D985" s="29">
        <f>C985+IF(INDEX('Справочник по %'!B:B,(MATCH(A985,'Справочник по %'!A:A,0)))="кол-во",B985*INDEX('Справочник по %'!C:C,(MATCH(A985,'Справочник по %'!A:A,0))),ОТЧЕТ!C985*INDEX('Справочник по %'!C:C,(MATCH(A985,'Справочник по %'!A:A,0))))/100</f>
        <v>663.3</v>
      </c>
      <c r="E985" s="29">
        <f>IF(ОТЧЕТ!A985="SKU3",C985+ОТЧЕТ!C985*0.2,C985+ОТЧЕТ!C985*0.15)</f>
        <v>693.45</v>
      </c>
      <c r="F985" s="7" t="s">
        <v>2289</v>
      </c>
      <c r="G985" s="7">
        <v>7714844316</v>
      </c>
      <c r="H985" s="20" t="s">
        <v>50</v>
      </c>
      <c r="I985" s="22" t="str">
        <f>INDEX('Справочник Сети'!B:B,(MATCH(G985,'Справочник Сети'!C:C,0)))</f>
        <v>Планета здоровья</v>
      </c>
      <c r="J985" s="7" t="s">
        <v>504</v>
      </c>
      <c r="K985" s="7" t="s">
        <v>1172</v>
      </c>
      <c r="L985" s="7" t="s">
        <v>504</v>
      </c>
      <c r="M985" s="31">
        <v>45690</v>
      </c>
      <c r="N985" s="7" t="s">
        <v>2292</v>
      </c>
      <c r="O985" s="8">
        <v>2706</v>
      </c>
      <c r="P985" s="24">
        <v>4955</v>
      </c>
      <c r="Q985" s="22">
        <f>IF(COUNTIFS(A$2:A985,A985,I$2:I985,I985)=1,1,0)</f>
        <v>0</v>
      </c>
      <c r="R985" s="22">
        <f t="shared" si="15"/>
        <v>5</v>
      </c>
      <c r="S985" s="33">
        <f>IF(COUNTIF(O$2:O985,O985)=1,R985,0)/2.5</f>
        <v>2</v>
      </c>
    </row>
    <row r="986" spans="1:19" ht="18" customHeight="1" x14ac:dyDescent="0.25">
      <c r="A986" s="7" t="s">
        <v>37</v>
      </c>
      <c r="B986" s="8">
        <v>1</v>
      </c>
      <c r="C986" s="9">
        <v>658</v>
      </c>
      <c r="D986" s="29">
        <f>C986+IF(INDEX('Справочник по %'!B:B,(MATCH(A986,'Справочник по %'!A:A,0)))="кол-во",B986*INDEX('Справочник по %'!C:C,(MATCH(A986,'Справочник по %'!A:A,0))),ОТЧЕТ!C986*INDEX('Справочник по %'!C:C,(MATCH(A986,'Справочник по %'!A:A,0))))/100</f>
        <v>658.2</v>
      </c>
      <c r="E986" s="29">
        <f>IF(ОТЧЕТ!A986="SKU3",C986+ОТЧЕТ!C986*0.2,C986+ОТЧЕТ!C986*0.15)</f>
        <v>756.7</v>
      </c>
      <c r="F986" s="7" t="s">
        <v>2289</v>
      </c>
      <c r="G986" s="7">
        <v>2466220291</v>
      </c>
      <c r="H986" s="20" t="s">
        <v>69</v>
      </c>
      <c r="I986" s="22">
        <f>INDEX('Справочник Сети'!B:B,(MATCH(G986,'Справочник Сети'!C:C,0)))</f>
        <v>0</v>
      </c>
      <c r="J986" s="7" t="s">
        <v>96</v>
      </c>
      <c r="K986" s="7" t="s">
        <v>596</v>
      </c>
      <c r="L986" s="7" t="s">
        <v>96</v>
      </c>
      <c r="M986" s="31">
        <v>45727</v>
      </c>
      <c r="N986" s="7" t="s">
        <v>2293</v>
      </c>
      <c r="O986" s="8">
        <v>1656</v>
      </c>
      <c r="P986" s="24">
        <v>4956</v>
      </c>
      <c r="Q986" s="22">
        <f>IF(COUNTIFS(A$2:A986,A986,I$2:I986,I986)=1,1,0)</f>
        <v>0</v>
      </c>
      <c r="R986" s="22">
        <f t="shared" si="15"/>
        <v>4</v>
      </c>
      <c r="S986" s="33">
        <f>IF(COUNTIF(O$2:O986,O986)=1,R986,0)/2.5</f>
        <v>1.6</v>
      </c>
    </row>
    <row r="987" spans="1:19" ht="18" customHeight="1" x14ac:dyDescent="0.25">
      <c r="A987" s="7" t="s">
        <v>43</v>
      </c>
      <c r="B987" s="8">
        <v>1</v>
      </c>
      <c r="C987" s="9">
        <v>417</v>
      </c>
      <c r="D987" s="29">
        <f>C987+IF(INDEX('Справочник по %'!B:B,(MATCH(A987,'Справочник по %'!A:A,0)))="кол-во",B987*INDEX('Справочник по %'!C:C,(MATCH(A987,'Справочник по %'!A:A,0))),ОТЧЕТ!C987*INDEX('Справочник по %'!C:C,(MATCH(A987,'Справочник по %'!A:A,0))))/100</f>
        <v>458.7</v>
      </c>
      <c r="E987" s="29">
        <f>IF(ОТЧЕТ!A987="SKU3",C987+ОТЧЕТ!C987*0.2,C987+ОТЧЕТ!C987*0.15)</f>
        <v>479.55</v>
      </c>
      <c r="F987" s="7" t="s">
        <v>2294</v>
      </c>
      <c r="G987" s="7">
        <v>4823022007</v>
      </c>
      <c r="H987" s="20" t="s">
        <v>91</v>
      </c>
      <c r="I987" s="22">
        <f>INDEX('Справочник Сети'!B:B,(MATCH(G987,'Справочник Сети'!C:C,0)))</f>
        <v>0</v>
      </c>
      <c r="J987" s="7" t="s">
        <v>83</v>
      </c>
      <c r="K987" s="7" t="s">
        <v>1005</v>
      </c>
      <c r="L987" s="7" t="s">
        <v>83</v>
      </c>
      <c r="M987" s="31">
        <v>45715</v>
      </c>
      <c r="N987" s="7" t="s">
        <v>2295</v>
      </c>
      <c r="O987" s="8">
        <v>1977</v>
      </c>
      <c r="P987" s="24">
        <v>4957</v>
      </c>
      <c r="Q987" s="22">
        <f>IF(COUNTIFS(A$2:A987,A987,I$2:I987,I987)=1,1,0)</f>
        <v>0</v>
      </c>
      <c r="R987" s="22">
        <f t="shared" si="15"/>
        <v>1</v>
      </c>
      <c r="S987" s="33">
        <f>IF(COUNTIF(O$2:O987,O987)=1,R987,0)/2.5</f>
        <v>0.4</v>
      </c>
    </row>
    <row r="988" spans="1:19" ht="18" customHeight="1" x14ac:dyDescent="0.25">
      <c r="A988" s="7" t="s">
        <v>43</v>
      </c>
      <c r="B988" s="8">
        <v>1</v>
      </c>
      <c r="C988" s="9">
        <v>399</v>
      </c>
      <c r="D988" s="29">
        <f>C988+IF(INDEX('Справочник по %'!B:B,(MATCH(A988,'Справочник по %'!A:A,0)))="кол-во",B988*INDEX('Справочник по %'!C:C,(MATCH(A988,'Справочник по %'!A:A,0))),ОТЧЕТ!C988*INDEX('Справочник по %'!C:C,(MATCH(A988,'Справочник по %'!A:A,0))))/100</f>
        <v>438.9</v>
      </c>
      <c r="E988" s="29">
        <f>IF(ОТЧЕТ!A988="SKU3",C988+ОТЧЕТ!C988*0.2,C988+ОТЧЕТ!C988*0.15)</f>
        <v>458.85</v>
      </c>
      <c r="F988" s="7" t="s">
        <v>2296</v>
      </c>
      <c r="G988" s="7">
        <v>275912643</v>
      </c>
      <c r="H988" s="20" t="s">
        <v>2297</v>
      </c>
      <c r="I988" s="22">
        <f>INDEX('Справочник Сети'!B:B,(MATCH(G988,'Справочник Сети'!C:C,0)))</f>
        <v>0</v>
      </c>
      <c r="J988" s="7" t="s">
        <v>362</v>
      </c>
      <c r="K988" s="7" t="s">
        <v>1299</v>
      </c>
      <c r="L988" s="7" t="s">
        <v>362</v>
      </c>
      <c r="M988" s="31">
        <v>45732</v>
      </c>
      <c r="N988" s="7" t="s">
        <v>2298</v>
      </c>
      <c r="O988" s="8">
        <v>2778</v>
      </c>
      <c r="P988" s="24">
        <v>4960</v>
      </c>
      <c r="Q988" s="22">
        <f>IF(COUNTIFS(A$2:A988,A988,I$2:I988,I988)=1,1,0)</f>
        <v>0</v>
      </c>
      <c r="R988" s="22">
        <f t="shared" si="15"/>
        <v>3</v>
      </c>
      <c r="S988" s="33">
        <f>IF(COUNTIF(O$2:O988,O988)=1,R988,0)/2.5</f>
        <v>1.2</v>
      </c>
    </row>
    <row r="989" spans="1:19" ht="18" customHeight="1" x14ac:dyDescent="0.25">
      <c r="A989" s="7" t="s">
        <v>43</v>
      </c>
      <c r="B989" s="8">
        <v>1</v>
      </c>
      <c r="C989" s="9">
        <v>335</v>
      </c>
      <c r="D989" s="29">
        <f>C989+IF(INDEX('Справочник по %'!B:B,(MATCH(A989,'Справочник по %'!A:A,0)))="кол-во",B989*INDEX('Справочник по %'!C:C,(MATCH(A989,'Справочник по %'!A:A,0))),ОТЧЕТ!C989*INDEX('Справочник по %'!C:C,(MATCH(A989,'Справочник по %'!A:A,0))))/100</f>
        <v>368.5</v>
      </c>
      <c r="E989" s="29">
        <f>IF(ОТЧЕТ!A989="SKU3",C989+ОТЧЕТ!C989*0.2,C989+ОТЧЕТ!C989*0.15)</f>
        <v>385.25</v>
      </c>
      <c r="F989" s="7" t="s">
        <v>2296</v>
      </c>
      <c r="G989" s="7">
        <v>2310174811</v>
      </c>
      <c r="H989" s="20" t="s">
        <v>50</v>
      </c>
      <c r="I989" s="22" t="str">
        <f>INDEX('Справочник Сети'!B:B,(MATCH(G989,'Справочник Сети'!C:C,0)))</f>
        <v>Нео-фарм</v>
      </c>
      <c r="J989" s="7" t="s">
        <v>57</v>
      </c>
      <c r="K989" s="7" t="s">
        <v>379</v>
      </c>
      <c r="L989" s="7" t="s">
        <v>57</v>
      </c>
      <c r="M989" s="31">
        <v>45729</v>
      </c>
      <c r="N989" s="7" t="s">
        <v>2299</v>
      </c>
      <c r="O989" s="8">
        <v>1066</v>
      </c>
      <c r="P989" s="24">
        <v>4961</v>
      </c>
      <c r="Q989" s="22">
        <f>IF(COUNTIFS(A$2:A989,A989,I$2:I989,I989)=1,1,0)</f>
        <v>0</v>
      </c>
      <c r="R989" s="22">
        <f t="shared" si="15"/>
        <v>4</v>
      </c>
      <c r="S989" s="33">
        <f>IF(COUNTIF(O$2:O989,O989)=1,R989,0)/2.5</f>
        <v>0</v>
      </c>
    </row>
    <row r="990" spans="1:19" ht="18" customHeight="1" x14ac:dyDescent="0.25">
      <c r="A990" s="7" t="s">
        <v>43</v>
      </c>
      <c r="B990" s="8">
        <v>1</v>
      </c>
      <c r="C990" s="9">
        <v>406.22</v>
      </c>
      <c r="D990" s="29">
        <f>C990+IF(INDEX('Справочник по %'!B:B,(MATCH(A990,'Справочник по %'!A:A,0)))="кол-во",B990*INDEX('Справочник по %'!C:C,(MATCH(A990,'Справочник по %'!A:A,0))),ОТЧЕТ!C990*INDEX('Справочник по %'!C:C,(MATCH(A990,'Справочник по %'!A:A,0))))/100</f>
        <v>446.84200000000004</v>
      </c>
      <c r="E990" s="29">
        <f>IF(ОТЧЕТ!A990="SKU3",C990+ОТЧЕТ!C990*0.2,C990+ОТЧЕТ!C990*0.15)</f>
        <v>467.15300000000002</v>
      </c>
      <c r="F990" s="7" t="s">
        <v>2296</v>
      </c>
      <c r="G990" s="7">
        <v>6166125005</v>
      </c>
      <c r="H990" s="20" t="s">
        <v>2300</v>
      </c>
      <c r="I990" s="22" t="str">
        <f>INDEX('Справочник Сети'!B:B,(MATCH(G990,'Справочник Сети'!C:C,0)))</f>
        <v>Столички</v>
      </c>
      <c r="J990" s="7" t="s">
        <v>203</v>
      </c>
      <c r="K990" s="7" t="s">
        <v>2301</v>
      </c>
      <c r="L990" s="7" t="s">
        <v>203</v>
      </c>
      <c r="M990" s="31">
        <v>45696</v>
      </c>
      <c r="N990" s="7" t="s">
        <v>2302</v>
      </c>
      <c r="O990" s="8">
        <v>1719</v>
      </c>
      <c r="P990" s="24">
        <v>4966</v>
      </c>
      <c r="Q990" s="22">
        <f>IF(COUNTIFS(A$2:A990,A990,I$2:I990,I990)=1,1,0)</f>
        <v>0</v>
      </c>
      <c r="R990" s="22">
        <f t="shared" si="15"/>
        <v>1</v>
      </c>
      <c r="S990" s="33">
        <f>IF(COUNTIF(O$2:O990,O990)=1,R990,0)/2.5</f>
        <v>0.4</v>
      </c>
    </row>
    <row r="991" spans="1:19" ht="18" customHeight="1" x14ac:dyDescent="0.25">
      <c r="A991" s="7" t="s">
        <v>43</v>
      </c>
      <c r="B991" s="8">
        <v>1</v>
      </c>
      <c r="C991" s="9">
        <v>456.4</v>
      </c>
      <c r="D991" s="29">
        <f>C991+IF(INDEX('Справочник по %'!B:B,(MATCH(A991,'Справочник по %'!A:A,0)))="кол-во",B991*INDEX('Справочник по %'!C:C,(MATCH(A991,'Справочник по %'!A:A,0))),ОТЧЕТ!C991*INDEX('Справочник по %'!C:C,(MATCH(A991,'Справочник по %'!A:A,0))))/100</f>
        <v>502.03999999999996</v>
      </c>
      <c r="E991" s="29">
        <f>IF(ОТЧЕТ!A991="SKU3",C991+ОТЧЕТ!C991*0.2,C991+ОТЧЕТ!C991*0.15)</f>
        <v>524.86</v>
      </c>
      <c r="F991" s="7" t="s">
        <v>2303</v>
      </c>
      <c r="G991" s="7">
        <v>232000540195</v>
      </c>
      <c r="H991" s="20" t="s">
        <v>2304</v>
      </c>
      <c r="I991" s="22">
        <f>INDEX('Справочник Сети'!B:B,(MATCH(G991,'Справочник Сети'!C:C,0)))</f>
        <v>0</v>
      </c>
      <c r="J991" s="7" t="s">
        <v>74</v>
      </c>
      <c r="K991" s="7" t="s">
        <v>1657</v>
      </c>
      <c r="L991" s="7" t="s">
        <v>74</v>
      </c>
      <c r="M991" s="31">
        <v>45661</v>
      </c>
      <c r="N991" s="7" t="s">
        <v>2305</v>
      </c>
      <c r="O991" s="8">
        <v>1692</v>
      </c>
      <c r="P991" s="24">
        <v>4972</v>
      </c>
      <c r="Q991" s="22">
        <f>IF(COUNTIFS(A$2:A991,A991,I$2:I991,I991)=1,1,0)</f>
        <v>0</v>
      </c>
      <c r="R991" s="22">
        <f t="shared" si="15"/>
        <v>1</v>
      </c>
      <c r="S991" s="33">
        <f>IF(COUNTIF(O$2:O991,O991)=1,R991,0)/2.5</f>
        <v>0.4</v>
      </c>
    </row>
    <row r="992" spans="1:19" ht="18" customHeight="1" x14ac:dyDescent="0.25">
      <c r="A992" s="7" t="s">
        <v>37</v>
      </c>
      <c r="B992" s="8">
        <v>1</v>
      </c>
      <c r="C992" s="9">
        <v>680</v>
      </c>
      <c r="D992" s="29">
        <f>C992+IF(INDEX('Справочник по %'!B:B,(MATCH(A992,'Справочник по %'!A:A,0)))="кол-во",B992*INDEX('Справочник по %'!C:C,(MATCH(A992,'Справочник по %'!A:A,0))),ОТЧЕТ!C992*INDEX('Справочник по %'!C:C,(MATCH(A992,'Справочник по %'!A:A,0))))/100</f>
        <v>680.2</v>
      </c>
      <c r="E992" s="29">
        <f>IF(ОТЧЕТ!A992="SKU3",C992+ОТЧЕТ!C992*0.2,C992+ОТЧЕТ!C992*0.15)</f>
        <v>782</v>
      </c>
      <c r="F992" s="7" t="s">
        <v>2303</v>
      </c>
      <c r="G992" s="7">
        <v>7802194843</v>
      </c>
      <c r="H992" s="20" t="s">
        <v>50</v>
      </c>
      <c r="I992" s="22" t="str">
        <f>INDEX('Справочник Сети'!B:B,(MATCH(G992,'Справочник Сети'!C:C,0)))</f>
        <v>Столички</v>
      </c>
      <c r="J992" s="7" t="s">
        <v>353</v>
      </c>
      <c r="K992" s="7" t="s">
        <v>2301</v>
      </c>
      <c r="L992" s="7" t="s">
        <v>353</v>
      </c>
      <c r="M992" s="31">
        <v>45672</v>
      </c>
      <c r="N992" s="7" t="s">
        <v>2306</v>
      </c>
      <c r="O992" s="8">
        <v>2441</v>
      </c>
      <c r="P992" s="24">
        <v>4973</v>
      </c>
      <c r="Q992" s="22">
        <f>IF(COUNTIFS(A$2:A992,A992,I$2:I992,I992)=1,1,0)</f>
        <v>0</v>
      </c>
      <c r="R992" s="22">
        <f t="shared" si="15"/>
        <v>5</v>
      </c>
      <c r="S992" s="33">
        <f>IF(COUNTIF(O$2:O992,O992)=1,R992,0)/2.5</f>
        <v>2</v>
      </c>
    </row>
    <row r="993" spans="1:19" ht="18" customHeight="1" x14ac:dyDescent="0.25">
      <c r="A993" s="7" t="s">
        <v>43</v>
      </c>
      <c r="B993" s="8">
        <v>1</v>
      </c>
      <c r="C993" s="9">
        <v>406</v>
      </c>
      <c r="D993" s="29">
        <f>C993+IF(INDEX('Справочник по %'!B:B,(MATCH(A993,'Справочник по %'!A:A,0)))="кол-во",B993*INDEX('Справочник по %'!C:C,(MATCH(A993,'Справочник по %'!A:A,0))),ОТЧЕТ!C993*INDEX('Справочник по %'!C:C,(MATCH(A993,'Справочник по %'!A:A,0))))/100</f>
        <v>446.6</v>
      </c>
      <c r="E993" s="29">
        <f>IF(ОТЧЕТ!A993="SKU3",C993+ОТЧЕТ!C993*0.2,C993+ОТЧЕТ!C993*0.15)</f>
        <v>466.9</v>
      </c>
      <c r="F993" s="7" t="s">
        <v>2303</v>
      </c>
      <c r="G993" s="7">
        <v>2310096546</v>
      </c>
      <c r="H993" s="20" t="s">
        <v>69</v>
      </c>
      <c r="I993" s="22" t="str">
        <f>INDEX('Справочник Сети'!B:B,(MATCH(G993,'Справочник Сети'!C:C,0)))</f>
        <v>36,6</v>
      </c>
      <c r="J993" s="7" t="s">
        <v>57</v>
      </c>
      <c r="K993" s="7" t="s">
        <v>1005</v>
      </c>
      <c r="L993" s="7" t="s">
        <v>57</v>
      </c>
      <c r="M993" s="31">
        <v>45729</v>
      </c>
      <c r="N993" s="7" t="s">
        <v>2307</v>
      </c>
      <c r="O993" s="8">
        <v>325</v>
      </c>
      <c r="P993" s="24">
        <v>4974</v>
      </c>
      <c r="Q993" s="22">
        <f>IF(COUNTIFS(A$2:A993,A993,I$2:I993,I993)=1,1,0)</f>
        <v>0</v>
      </c>
      <c r="R993" s="22">
        <f t="shared" si="15"/>
        <v>2</v>
      </c>
      <c r="S993" s="33">
        <f>IF(COUNTIF(O$2:O993,O993)=1,R993,0)/2.5</f>
        <v>0</v>
      </c>
    </row>
    <row r="994" spans="1:19" ht="18" customHeight="1" x14ac:dyDescent="0.25">
      <c r="A994" s="7" t="s">
        <v>43</v>
      </c>
      <c r="B994" s="8">
        <v>1</v>
      </c>
      <c r="C994" s="9">
        <v>379</v>
      </c>
      <c r="D994" s="29">
        <f>C994+IF(INDEX('Справочник по %'!B:B,(MATCH(A994,'Справочник по %'!A:A,0)))="кол-во",B994*INDEX('Справочник по %'!C:C,(MATCH(A994,'Справочник по %'!A:A,0))),ОТЧЕТ!C994*INDEX('Справочник по %'!C:C,(MATCH(A994,'Справочник по %'!A:A,0))))/100</f>
        <v>416.9</v>
      </c>
      <c r="E994" s="29">
        <f>IF(ОТЧЕТ!A994="SKU3",C994+ОТЧЕТ!C994*0.2,C994+ОТЧЕТ!C994*0.15)</f>
        <v>435.85</v>
      </c>
      <c r="F994" s="7" t="s">
        <v>2308</v>
      </c>
      <c r="G994" s="7">
        <v>5903090332</v>
      </c>
      <c r="H994" s="20" t="s">
        <v>658</v>
      </c>
      <c r="I994" s="22" t="str">
        <f>INDEX('Справочник Сети'!B:B,(MATCH(G994,'Справочник Сети'!C:C,0)))</f>
        <v>Ригла</v>
      </c>
      <c r="J994" s="7" t="s">
        <v>40</v>
      </c>
      <c r="K994" s="7" t="s">
        <v>2309</v>
      </c>
      <c r="L994" s="7" t="s">
        <v>40</v>
      </c>
      <c r="M994" s="31">
        <v>45712</v>
      </c>
      <c r="N994" s="7" t="s">
        <v>2310</v>
      </c>
      <c r="O994" s="8">
        <v>2660</v>
      </c>
      <c r="P994" s="24">
        <v>4977</v>
      </c>
      <c r="Q994" s="22">
        <f>IF(COUNTIFS(A$2:A994,A994,I$2:I994,I994)=1,1,0)</f>
        <v>0</v>
      </c>
      <c r="R994" s="22">
        <f t="shared" si="15"/>
        <v>1</v>
      </c>
      <c r="S994" s="33">
        <f>IF(COUNTIF(O$2:O994,O994)=1,R994,0)/2.5</f>
        <v>0.4</v>
      </c>
    </row>
    <row r="995" spans="1:19" ht="18" customHeight="1" x14ac:dyDescent="0.25">
      <c r="A995" s="7" t="s">
        <v>43</v>
      </c>
      <c r="B995" s="8">
        <v>1</v>
      </c>
      <c r="C995" s="9">
        <v>342</v>
      </c>
      <c r="D995" s="29">
        <f>C995+IF(INDEX('Справочник по %'!B:B,(MATCH(A995,'Справочник по %'!A:A,0)))="кол-во",B995*INDEX('Справочник по %'!C:C,(MATCH(A995,'Справочник по %'!A:A,0))),ОТЧЕТ!C995*INDEX('Справочник по %'!C:C,(MATCH(A995,'Справочник по %'!A:A,0))))/100</f>
        <v>376.2</v>
      </c>
      <c r="E995" s="29">
        <f>IF(ОТЧЕТ!A995="SKU3",C995+ОТЧЕТ!C995*0.2,C995+ОТЧЕТ!C995*0.15)</f>
        <v>393.3</v>
      </c>
      <c r="F995" s="7" t="s">
        <v>2308</v>
      </c>
      <c r="G995" s="7">
        <v>2310174811</v>
      </c>
      <c r="H995" s="20" t="s">
        <v>50</v>
      </c>
      <c r="I995" s="22" t="str">
        <f>INDEX('Справочник Сети'!B:B,(MATCH(G995,'Справочник Сети'!C:C,0)))</f>
        <v>Нео-фарм</v>
      </c>
      <c r="J995" s="7" t="s">
        <v>57</v>
      </c>
      <c r="K995" s="7" t="s">
        <v>1271</v>
      </c>
      <c r="L995" s="7" t="s">
        <v>57</v>
      </c>
      <c r="M995" s="31">
        <v>45729</v>
      </c>
      <c r="N995" s="7" t="s">
        <v>2311</v>
      </c>
      <c r="O995" s="8">
        <v>2486</v>
      </c>
      <c r="P995" s="24">
        <v>4978</v>
      </c>
      <c r="Q995" s="22">
        <f>IF(COUNTIFS(A$2:A995,A995,I$2:I995,I995)=1,1,0)</f>
        <v>0</v>
      </c>
      <c r="R995" s="22">
        <f t="shared" si="15"/>
        <v>1</v>
      </c>
      <c r="S995" s="33">
        <f>IF(COUNTIF(O$2:O995,O995)=1,R995,0)/2.5</f>
        <v>0.4</v>
      </c>
    </row>
    <row r="996" spans="1:19" ht="18" customHeight="1" x14ac:dyDescent="0.25">
      <c r="A996" s="7" t="s">
        <v>43</v>
      </c>
      <c r="B996" s="8">
        <v>1</v>
      </c>
      <c r="C996" s="9">
        <v>376</v>
      </c>
      <c r="D996" s="29">
        <f>C996+IF(INDEX('Справочник по %'!B:B,(MATCH(A996,'Справочник по %'!A:A,0)))="кол-во",B996*INDEX('Справочник по %'!C:C,(MATCH(A996,'Справочник по %'!A:A,0))),ОТЧЕТ!C996*INDEX('Справочник по %'!C:C,(MATCH(A996,'Справочник по %'!A:A,0))))/100</f>
        <v>413.6</v>
      </c>
      <c r="E996" s="29">
        <f>IF(ОТЧЕТ!A996="SKU3",C996+ОТЧЕТ!C996*0.2,C996+ОТЧЕТ!C996*0.15)</f>
        <v>432.4</v>
      </c>
      <c r="F996" s="7" t="s">
        <v>2308</v>
      </c>
      <c r="G996" s="7">
        <v>5038049773</v>
      </c>
      <c r="H996" s="20" t="s">
        <v>700</v>
      </c>
      <c r="I996" s="22">
        <f>INDEX('Справочник Сети'!B:B,(MATCH(G996,'Справочник Сети'!C:C,0)))</f>
        <v>0</v>
      </c>
      <c r="J996" s="7" t="s">
        <v>92</v>
      </c>
      <c r="K996" s="7" t="s">
        <v>738</v>
      </c>
      <c r="L996" s="7" t="s">
        <v>92</v>
      </c>
      <c r="M996" s="31">
        <v>45714</v>
      </c>
      <c r="N996" s="7" t="s">
        <v>2312</v>
      </c>
      <c r="O996" s="8">
        <v>614</v>
      </c>
      <c r="P996" s="24">
        <v>4979</v>
      </c>
      <c r="Q996" s="22">
        <f>IF(COUNTIFS(A$2:A996,A996,I$2:I996,I996)=1,1,0)</f>
        <v>0</v>
      </c>
      <c r="R996" s="22">
        <f t="shared" si="15"/>
        <v>2</v>
      </c>
      <c r="S996" s="33">
        <f>IF(COUNTIF(O$2:O996,O996)=1,R996,0)/2.5</f>
        <v>0</v>
      </c>
    </row>
    <row r="997" spans="1:19" ht="18" customHeight="1" x14ac:dyDescent="0.25">
      <c r="A997" s="7" t="s">
        <v>43</v>
      </c>
      <c r="B997" s="8">
        <v>1</v>
      </c>
      <c r="C997" s="9">
        <v>477</v>
      </c>
      <c r="D997" s="29">
        <f>C997+IF(INDEX('Справочник по %'!B:B,(MATCH(A997,'Справочник по %'!A:A,0)))="кол-во",B997*INDEX('Справочник по %'!C:C,(MATCH(A997,'Справочник по %'!A:A,0))),ОТЧЕТ!C997*INDEX('Справочник по %'!C:C,(MATCH(A997,'Справочник по %'!A:A,0))))/100</f>
        <v>524.70000000000005</v>
      </c>
      <c r="E997" s="29">
        <f>IF(ОТЧЕТ!A997="SKU3",C997+ОТЧЕТ!C997*0.2,C997+ОТЧЕТ!C997*0.15)</f>
        <v>548.54999999999995</v>
      </c>
      <c r="F997" s="7" t="s">
        <v>2308</v>
      </c>
      <c r="G997" s="7">
        <v>2460202627</v>
      </c>
      <c r="H997" s="20" t="s">
        <v>50</v>
      </c>
      <c r="I997" s="22">
        <f>INDEX('Справочник Сети'!B:B,(MATCH(G997,'Справочник Сети'!C:C,0)))</f>
        <v>0</v>
      </c>
      <c r="J997" s="7" t="s">
        <v>96</v>
      </c>
      <c r="K997" s="7" t="s">
        <v>1277</v>
      </c>
      <c r="L997" s="7" t="s">
        <v>96</v>
      </c>
      <c r="M997" s="31">
        <v>45727</v>
      </c>
      <c r="N997" s="7" t="s">
        <v>2313</v>
      </c>
      <c r="O997" s="8">
        <v>79</v>
      </c>
      <c r="P997" s="24">
        <v>4982</v>
      </c>
      <c r="Q997" s="22">
        <f>IF(COUNTIFS(A$2:A997,A997,I$2:I997,I997)=1,1,0)</f>
        <v>0</v>
      </c>
      <c r="R997" s="22">
        <f t="shared" si="15"/>
        <v>3</v>
      </c>
      <c r="S997" s="33">
        <f>IF(COUNTIF(O$2:O997,O997)=1,R997,0)/2.5</f>
        <v>0</v>
      </c>
    </row>
    <row r="998" spans="1:19" ht="18" customHeight="1" x14ac:dyDescent="0.25">
      <c r="A998" s="7" t="s">
        <v>43</v>
      </c>
      <c r="B998" s="8">
        <v>1</v>
      </c>
      <c r="C998" s="9">
        <v>354</v>
      </c>
      <c r="D998" s="29">
        <f>C998+IF(INDEX('Справочник по %'!B:B,(MATCH(A998,'Справочник по %'!A:A,0)))="кол-во",B998*INDEX('Справочник по %'!C:C,(MATCH(A998,'Справочник по %'!A:A,0))),ОТЧЕТ!C998*INDEX('Справочник по %'!C:C,(MATCH(A998,'Справочник по %'!A:A,0))))/100</f>
        <v>389.4</v>
      </c>
      <c r="E998" s="29">
        <f>IF(ОТЧЕТ!A998="SKU3",C998+ОТЧЕТ!C998*0.2,C998+ОТЧЕТ!C998*0.15)</f>
        <v>407.1</v>
      </c>
      <c r="F998" s="7" t="s">
        <v>2314</v>
      </c>
      <c r="G998" s="7">
        <v>2309136755</v>
      </c>
      <c r="H998" s="20" t="s">
        <v>50</v>
      </c>
      <c r="I998" s="22" t="str">
        <f>INDEX('Справочник Сети'!B:B,(MATCH(G998,'Справочник Сети'!C:C,0)))</f>
        <v>Столички</v>
      </c>
      <c r="J998" s="7" t="s">
        <v>57</v>
      </c>
      <c r="K998" s="7" t="s">
        <v>2315</v>
      </c>
      <c r="L998" s="7" t="s">
        <v>57</v>
      </c>
      <c r="M998" s="31">
        <v>45729</v>
      </c>
      <c r="N998" s="7" t="s">
        <v>2316</v>
      </c>
      <c r="O998" s="8">
        <v>3400</v>
      </c>
      <c r="P998" s="24">
        <v>4988</v>
      </c>
      <c r="Q998" s="22">
        <f>IF(COUNTIFS(A$2:A998,A998,I$2:I998,I998)=1,1,0)</f>
        <v>0</v>
      </c>
      <c r="R998" s="22">
        <f t="shared" si="15"/>
        <v>2</v>
      </c>
      <c r="S998" s="33">
        <f>IF(COUNTIF(O$2:O998,O998)=1,R998,0)/2.5</f>
        <v>0.8</v>
      </c>
    </row>
    <row r="999" spans="1:19" ht="18" customHeight="1" x14ac:dyDescent="0.25">
      <c r="A999" s="7" t="s">
        <v>43</v>
      </c>
      <c r="B999" s="8">
        <v>1</v>
      </c>
      <c r="C999" s="9">
        <v>411</v>
      </c>
      <c r="D999" s="29">
        <f>C999+IF(INDEX('Справочник по %'!B:B,(MATCH(A999,'Справочник по %'!A:A,0)))="кол-во",B999*INDEX('Справочник по %'!C:C,(MATCH(A999,'Справочник по %'!A:A,0))),ОТЧЕТ!C999*INDEX('Справочник по %'!C:C,(MATCH(A999,'Справочник по %'!A:A,0))))/100</f>
        <v>452.1</v>
      </c>
      <c r="E999" s="29">
        <f>IF(ОТЧЕТ!A999="SKU3",C999+ОТЧЕТ!C999*0.2,C999+ОТЧЕТ!C999*0.15)</f>
        <v>472.65</v>
      </c>
      <c r="F999" s="7" t="s">
        <v>2314</v>
      </c>
      <c r="G999" s="7">
        <v>5905254762</v>
      </c>
      <c r="H999" s="20" t="s">
        <v>39</v>
      </c>
      <c r="I999" s="22" t="str">
        <f>INDEX('Справочник Сети'!B:B,(MATCH(G999,'Справочник Сети'!C:C,0)))</f>
        <v>Столички</v>
      </c>
      <c r="J999" s="7" t="s">
        <v>174</v>
      </c>
      <c r="K999" s="7" t="s">
        <v>2317</v>
      </c>
      <c r="L999" s="7" t="s">
        <v>40</v>
      </c>
      <c r="M999" s="31">
        <v>45712</v>
      </c>
      <c r="N999" s="7" t="s">
        <v>2318</v>
      </c>
      <c r="O999" s="8">
        <v>1934</v>
      </c>
      <c r="P999" s="24">
        <v>4989</v>
      </c>
      <c r="Q999" s="22">
        <f>IF(COUNTIFS(A$2:A999,A999,I$2:I999,I999)=1,1,0)</f>
        <v>0</v>
      </c>
      <c r="R999" s="22">
        <f t="shared" si="15"/>
        <v>1</v>
      </c>
      <c r="S999" s="33">
        <f>IF(COUNTIF(O$2:O999,O999)=1,R999,0)/2.5</f>
        <v>0.4</v>
      </c>
    </row>
    <row r="1000" spans="1:19" ht="18" customHeight="1" x14ac:dyDescent="0.25">
      <c r="A1000" s="7" t="s">
        <v>37</v>
      </c>
      <c r="B1000" s="8">
        <v>1</v>
      </c>
      <c r="C1000" s="9">
        <v>658.92</v>
      </c>
      <c r="D1000" s="29">
        <f>C1000+IF(INDEX('Справочник по %'!B:B,(MATCH(A1000,'Справочник по %'!A:A,0)))="кол-во",B1000*INDEX('Справочник по %'!C:C,(MATCH(A1000,'Справочник по %'!A:A,0))),ОТЧЕТ!C1000*INDEX('Справочник по %'!C:C,(MATCH(A1000,'Справочник по %'!A:A,0))))/100</f>
        <v>659.12</v>
      </c>
      <c r="E1000" s="29">
        <f>IF(ОТЧЕТ!A1000="SKU3",C1000+ОТЧЕТ!C1000*0.2,C1000+ОТЧЕТ!C1000*0.15)</f>
        <v>757.75799999999992</v>
      </c>
      <c r="F1000" s="7" t="s">
        <v>2319</v>
      </c>
      <c r="G1000" s="7">
        <v>253804596643</v>
      </c>
      <c r="H1000" s="20" t="s">
        <v>50</v>
      </c>
      <c r="I1000" s="22" t="str">
        <f>INDEX('Справочник Сети'!B:B,(MATCH(G1000,'Справочник Сети'!C:C,0)))</f>
        <v>Ригла</v>
      </c>
      <c r="J1000" s="7" t="s">
        <v>110</v>
      </c>
      <c r="K1000" s="7" t="s">
        <v>621</v>
      </c>
      <c r="L1000" s="7" t="s">
        <v>74</v>
      </c>
      <c r="M1000" s="31">
        <v>45661</v>
      </c>
      <c r="N1000" s="7" t="s">
        <v>2320</v>
      </c>
      <c r="O1000" s="8">
        <v>929</v>
      </c>
      <c r="P1000" s="24">
        <v>4990</v>
      </c>
      <c r="Q1000" s="22">
        <f>IF(COUNTIFS(A$2:A1000,A1000,I$2:I1000,I1000)=1,1,0)</f>
        <v>0</v>
      </c>
      <c r="R1000" s="22">
        <f t="shared" si="15"/>
        <v>3</v>
      </c>
      <c r="S1000" s="33">
        <f>IF(COUNTIF(O$2:O1000,O1000)=1,R1000,0)/2.5</f>
        <v>1.2</v>
      </c>
    </row>
    <row r="1001" spans="1:19" ht="18" customHeight="1" x14ac:dyDescent="0.25">
      <c r="A1001" s="7" t="s">
        <v>43</v>
      </c>
      <c r="B1001" s="8">
        <v>1</v>
      </c>
      <c r="C1001" s="9">
        <v>481</v>
      </c>
      <c r="D1001" s="29">
        <f>C1001+IF(INDEX('Справочник по %'!B:B,(MATCH(A1001,'Справочник по %'!A:A,0)))="кол-во",B1001*INDEX('Справочник по %'!C:C,(MATCH(A1001,'Справочник по %'!A:A,0))),ОТЧЕТ!C1001*INDEX('Справочник по %'!C:C,(MATCH(A1001,'Справочник по %'!A:A,0))))/100</f>
        <v>529.1</v>
      </c>
      <c r="E1001" s="29">
        <f>IF(ОТЧЕТ!A1001="SKU3",C1001+ОТЧЕТ!C1001*0.2,C1001+ОТЧЕТ!C1001*0.15)</f>
        <v>553.15</v>
      </c>
      <c r="F1001" s="7" t="s">
        <v>2319</v>
      </c>
      <c r="G1001" s="7">
        <v>2543009225</v>
      </c>
      <c r="H1001" s="20" t="s">
        <v>2321</v>
      </c>
      <c r="I1001" s="22" t="str">
        <f>INDEX('Справочник Сети'!B:B,(MATCH(G1001,'Справочник Сети'!C:C,0)))</f>
        <v>Нео-фарм</v>
      </c>
      <c r="J1001" s="7" t="s">
        <v>46</v>
      </c>
      <c r="K1001" s="7" t="s">
        <v>194</v>
      </c>
      <c r="L1001" s="7" t="s">
        <v>46</v>
      </c>
      <c r="M1001" s="31">
        <v>45726</v>
      </c>
      <c r="N1001" s="7" t="s">
        <v>2322</v>
      </c>
      <c r="O1001" s="8">
        <v>2965</v>
      </c>
      <c r="P1001" s="24">
        <v>4994</v>
      </c>
      <c r="Q1001" s="22">
        <f>IF(COUNTIFS(A$2:A1001,A1001,I$2:I1001,I1001)=1,1,0)</f>
        <v>0</v>
      </c>
      <c r="R1001" s="22">
        <f t="shared" si="15"/>
        <v>1</v>
      </c>
      <c r="S1001" s="33">
        <f>IF(COUNTIF(O$2:O1001,O1001)=1,R1001,0)/2.5</f>
        <v>0.4</v>
      </c>
    </row>
    <row r="1002" spans="1:19" ht="18" customHeight="1" x14ac:dyDescent="0.25">
      <c r="A1002" s="7" t="s">
        <v>43</v>
      </c>
      <c r="B1002" s="8">
        <v>1</v>
      </c>
      <c r="C1002" s="9">
        <v>439.9</v>
      </c>
      <c r="D1002" s="29">
        <f>C1002+IF(INDEX('Справочник по %'!B:B,(MATCH(A1002,'Справочник по %'!A:A,0)))="кол-во",B1002*INDEX('Справочник по %'!C:C,(MATCH(A1002,'Справочник по %'!A:A,0))),ОТЧЕТ!C1002*INDEX('Справочник по %'!C:C,(MATCH(A1002,'Справочник по %'!A:A,0))))/100</f>
        <v>483.89</v>
      </c>
      <c r="E1002" s="29">
        <f>IF(ОТЧЕТ!A1002="SKU3",C1002+ОТЧЕТ!C1002*0.2,C1002+ОТЧЕТ!C1002*0.15)</f>
        <v>505.88499999999999</v>
      </c>
      <c r="F1002" s="7" t="s">
        <v>2319</v>
      </c>
      <c r="G1002" s="7">
        <v>1659064696</v>
      </c>
      <c r="H1002" s="20" t="s">
        <v>2323</v>
      </c>
      <c r="I1002" s="22" t="str">
        <f>INDEX('Справочник Сети'!B:B,(MATCH(G1002,'Справочник Сети'!C:C,0)))</f>
        <v>Планета здоровья</v>
      </c>
      <c r="J1002" s="7" t="s">
        <v>335</v>
      </c>
      <c r="K1002" s="7" t="s">
        <v>788</v>
      </c>
      <c r="L1002" s="7" t="s">
        <v>335</v>
      </c>
      <c r="M1002" s="31">
        <v>45731</v>
      </c>
      <c r="N1002" s="7" t="s">
        <v>2324</v>
      </c>
      <c r="O1002" s="8">
        <v>3157</v>
      </c>
      <c r="P1002" s="24">
        <v>4997</v>
      </c>
      <c r="Q1002" s="22">
        <f>IF(COUNTIFS(A$2:A1002,A1002,I$2:I1002,I1002)=1,1,0)</f>
        <v>0</v>
      </c>
      <c r="R1002" s="22">
        <f t="shared" si="15"/>
        <v>1</v>
      </c>
      <c r="S1002" s="33">
        <f>IF(COUNTIF(O$2:O1002,O1002)=1,R1002,0)/2.5</f>
        <v>0.4</v>
      </c>
    </row>
    <row r="1003" spans="1:19" ht="18" customHeight="1" x14ac:dyDescent="0.25">
      <c r="A1003" s="7" t="s">
        <v>37</v>
      </c>
      <c r="B1003" s="8">
        <v>1</v>
      </c>
      <c r="C1003" s="9">
        <v>599.94000000000005</v>
      </c>
      <c r="D1003" s="29">
        <f>C1003+IF(INDEX('Справочник по %'!B:B,(MATCH(A1003,'Справочник по %'!A:A,0)))="кол-во",B1003*INDEX('Справочник по %'!C:C,(MATCH(A1003,'Справочник по %'!A:A,0))),ОТЧЕТ!C1003*INDEX('Справочник по %'!C:C,(MATCH(A1003,'Справочник по %'!A:A,0))))/100</f>
        <v>600.1400000000001</v>
      </c>
      <c r="E1003" s="29">
        <f>IF(ОТЧЕТ!A1003="SKU3",C1003+ОТЧЕТ!C1003*0.2,C1003+ОТЧЕТ!C1003*0.15)</f>
        <v>689.93100000000004</v>
      </c>
      <c r="F1003" s="7" t="s">
        <v>2319</v>
      </c>
      <c r="G1003" s="7">
        <v>6903044867</v>
      </c>
      <c r="H1003" s="20" t="s">
        <v>1528</v>
      </c>
      <c r="I1003" s="22" t="str">
        <f>INDEX('Справочник Сети'!B:B,(MATCH(G1003,'Справочник Сети'!C:C,0)))</f>
        <v>Ригла</v>
      </c>
      <c r="J1003" s="7" t="s">
        <v>106</v>
      </c>
      <c r="K1003" s="7" t="s">
        <v>808</v>
      </c>
      <c r="L1003" s="7" t="s">
        <v>106</v>
      </c>
      <c r="M1003" s="31">
        <v>45694</v>
      </c>
      <c r="N1003" s="7" t="s">
        <v>2325</v>
      </c>
      <c r="O1003" s="8">
        <v>345</v>
      </c>
      <c r="P1003" s="24">
        <v>4998</v>
      </c>
      <c r="Q1003" s="22">
        <f>IF(COUNTIFS(A$2:A1003,A1003,I$2:I1003,I1003)=1,1,0)</f>
        <v>0</v>
      </c>
      <c r="R1003" s="22">
        <f t="shared" si="15"/>
        <v>2</v>
      </c>
      <c r="S1003" s="33">
        <f>IF(COUNTIF(O$2:O1003,O1003)=1,R1003,0)/2.5</f>
        <v>0</v>
      </c>
    </row>
    <row r="1004" spans="1:19" ht="18" customHeight="1" x14ac:dyDescent="0.25">
      <c r="A1004" s="7" t="s">
        <v>43</v>
      </c>
      <c r="B1004" s="8">
        <v>1</v>
      </c>
      <c r="C1004" s="9">
        <v>399.6</v>
      </c>
      <c r="D1004" s="29">
        <f>C1004+IF(INDEX('Справочник по %'!B:B,(MATCH(A1004,'Справочник по %'!A:A,0)))="кол-во",B1004*INDEX('Справочник по %'!C:C,(MATCH(A1004,'Справочник по %'!A:A,0))),ОТЧЕТ!C1004*INDEX('Справочник по %'!C:C,(MATCH(A1004,'Справочник по %'!A:A,0))))/100</f>
        <v>439.56</v>
      </c>
      <c r="E1004" s="29">
        <f>IF(ОТЧЕТ!A1004="SKU3",C1004+ОТЧЕТ!C1004*0.2,C1004+ОТЧЕТ!C1004*0.15)</f>
        <v>459.54</v>
      </c>
      <c r="F1004" s="7" t="s">
        <v>2326</v>
      </c>
      <c r="G1004" s="7">
        <v>3801042576</v>
      </c>
      <c r="H1004" s="20" t="s">
        <v>64</v>
      </c>
      <c r="I1004" s="22" t="str">
        <f>INDEX('Справочник Сети'!B:B,(MATCH(G1004,'Справочник Сети'!C:C,0)))</f>
        <v>Планета здоровья</v>
      </c>
      <c r="J1004" s="7" t="s">
        <v>65</v>
      </c>
      <c r="K1004" s="7" t="s">
        <v>1513</v>
      </c>
      <c r="L1004" s="7" t="s">
        <v>65</v>
      </c>
      <c r="M1004" s="31">
        <v>45717</v>
      </c>
      <c r="N1004" s="7" t="s">
        <v>2327</v>
      </c>
      <c r="O1004" s="8">
        <v>3072</v>
      </c>
      <c r="P1004" s="24">
        <v>5004</v>
      </c>
      <c r="Q1004" s="22">
        <f>IF(COUNTIFS(A$2:A1004,A1004,I$2:I1004,I1004)=1,1,0)</f>
        <v>0</v>
      </c>
      <c r="R1004" s="22">
        <f t="shared" si="15"/>
        <v>5</v>
      </c>
      <c r="S1004" s="33">
        <f>IF(COUNTIF(O$2:O1004,O1004)=1,R1004,0)/2.5</f>
        <v>0</v>
      </c>
    </row>
    <row r="1005" spans="1:19" ht="18" customHeight="1" x14ac:dyDescent="0.25">
      <c r="A1005" s="7" t="s">
        <v>43</v>
      </c>
      <c r="B1005" s="8">
        <v>1</v>
      </c>
      <c r="C1005" s="9">
        <v>399.5</v>
      </c>
      <c r="D1005" s="29">
        <f>C1005+IF(INDEX('Справочник по %'!B:B,(MATCH(A1005,'Справочник по %'!A:A,0)))="кол-во",B1005*INDEX('Справочник по %'!C:C,(MATCH(A1005,'Справочник по %'!A:A,0))),ОТЧЕТ!C1005*INDEX('Справочник по %'!C:C,(MATCH(A1005,'Справочник по %'!A:A,0))))/100</f>
        <v>439.45</v>
      </c>
      <c r="E1005" s="29">
        <f>IF(ОТЧЕТ!A1005="SKU3",C1005+ОТЧЕТ!C1005*0.2,C1005+ОТЧЕТ!C1005*0.15)</f>
        <v>459.42500000000001</v>
      </c>
      <c r="F1005" s="7" t="s">
        <v>2326</v>
      </c>
      <c r="G1005" s="7">
        <v>3801042576</v>
      </c>
      <c r="H1005" s="20" t="s">
        <v>64</v>
      </c>
      <c r="I1005" s="22" t="str">
        <f>INDEX('Справочник Сети'!B:B,(MATCH(G1005,'Справочник Сети'!C:C,0)))</f>
        <v>Планета здоровья</v>
      </c>
      <c r="J1005" s="7" t="s">
        <v>65</v>
      </c>
      <c r="K1005" s="7" t="s">
        <v>498</v>
      </c>
      <c r="L1005" s="7" t="s">
        <v>65</v>
      </c>
      <c r="M1005" s="31">
        <v>45717</v>
      </c>
      <c r="N1005" s="7" t="s">
        <v>2328</v>
      </c>
      <c r="O1005" s="8">
        <v>3072</v>
      </c>
      <c r="P1005" s="24">
        <v>5005</v>
      </c>
      <c r="Q1005" s="22">
        <f>IF(COUNTIFS(A$2:A1005,A1005,I$2:I1005,I1005)=1,1,0)</f>
        <v>0</v>
      </c>
      <c r="R1005" s="22">
        <f t="shared" si="15"/>
        <v>5</v>
      </c>
      <c r="S1005" s="33">
        <f>IF(COUNTIF(O$2:O1005,O1005)=1,R1005,0)/2.5</f>
        <v>0</v>
      </c>
    </row>
    <row r="1006" spans="1:19" ht="18" customHeight="1" x14ac:dyDescent="0.25">
      <c r="A1006" s="7" t="s">
        <v>37</v>
      </c>
      <c r="B1006" s="8">
        <v>1</v>
      </c>
      <c r="C1006" s="9">
        <v>558.4</v>
      </c>
      <c r="D1006" s="29">
        <f>C1006+IF(INDEX('Справочник по %'!B:B,(MATCH(A1006,'Справочник по %'!A:A,0)))="кол-во",B1006*INDEX('Справочник по %'!C:C,(MATCH(A1006,'Справочник по %'!A:A,0))),ОТЧЕТ!C1006*INDEX('Справочник по %'!C:C,(MATCH(A1006,'Справочник по %'!A:A,0))))/100</f>
        <v>558.6</v>
      </c>
      <c r="E1006" s="29">
        <f>IF(ОТЧЕТ!A1006="SKU3",C1006+ОТЧЕТ!C1006*0.2,C1006+ОТЧЕТ!C1006*0.15)</f>
        <v>642.16</v>
      </c>
      <c r="F1006" s="7" t="s">
        <v>2326</v>
      </c>
      <c r="G1006" s="7">
        <v>5190194022</v>
      </c>
      <c r="H1006" s="20" t="s">
        <v>2329</v>
      </c>
      <c r="I1006" s="22" t="str">
        <f>INDEX('Справочник Сети'!B:B,(MATCH(G1006,'Справочник Сети'!C:C,0)))</f>
        <v>Столички</v>
      </c>
      <c r="J1006" s="7" t="s">
        <v>92</v>
      </c>
      <c r="K1006" s="7" t="s">
        <v>1686</v>
      </c>
      <c r="L1006" s="7" t="s">
        <v>92</v>
      </c>
      <c r="M1006" s="31">
        <v>45714</v>
      </c>
      <c r="N1006" s="7" t="s">
        <v>1584</v>
      </c>
      <c r="O1006" s="8">
        <v>1953</v>
      </c>
      <c r="P1006" s="24">
        <v>5007</v>
      </c>
      <c r="Q1006" s="22">
        <f>IF(COUNTIFS(A$2:A1006,A1006,I$2:I1006,I1006)=1,1,0)</f>
        <v>0</v>
      </c>
      <c r="R1006" s="22">
        <f t="shared" si="15"/>
        <v>1</v>
      </c>
      <c r="S1006" s="33">
        <f>IF(COUNTIF(O$2:O1006,O1006)=1,R1006,0)/2.5</f>
        <v>0.4</v>
      </c>
    </row>
    <row r="1007" spans="1:19" ht="18" customHeight="1" x14ac:dyDescent="0.25">
      <c r="A1007" s="7" t="s">
        <v>43</v>
      </c>
      <c r="B1007" s="8">
        <v>1</v>
      </c>
      <c r="C1007" s="9">
        <v>521</v>
      </c>
      <c r="D1007" s="29">
        <f>C1007+IF(INDEX('Справочник по %'!B:B,(MATCH(A1007,'Справочник по %'!A:A,0)))="кол-во",B1007*INDEX('Справочник по %'!C:C,(MATCH(A1007,'Справочник по %'!A:A,0))),ОТЧЕТ!C1007*INDEX('Справочник по %'!C:C,(MATCH(A1007,'Справочник по %'!A:A,0))))/100</f>
        <v>573.1</v>
      </c>
      <c r="E1007" s="29">
        <f>IF(ОТЧЕТ!A1007="SKU3",C1007+ОТЧЕТ!C1007*0.2,C1007+ОТЧЕТ!C1007*0.15)</f>
        <v>599.15</v>
      </c>
      <c r="F1007" s="7" t="s">
        <v>2326</v>
      </c>
      <c r="G1007" s="7">
        <v>7807048010</v>
      </c>
      <c r="H1007" s="20" t="s">
        <v>50</v>
      </c>
      <c r="I1007" s="22" t="str">
        <f>INDEX('Справочник Сети'!B:B,(MATCH(G1007,'Справочник Сети'!C:C,0)))</f>
        <v>Планета здоровья</v>
      </c>
      <c r="J1007" s="7" t="s">
        <v>353</v>
      </c>
      <c r="K1007" s="7" t="s">
        <v>2309</v>
      </c>
      <c r="L1007" s="7" t="s">
        <v>353</v>
      </c>
      <c r="M1007" s="31">
        <v>45672</v>
      </c>
      <c r="N1007" s="7" t="s">
        <v>2330</v>
      </c>
      <c r="O1007" s="8">
        <v>148</v>
      </c>
      <c r="P1007" s="24">
        <v>5008</v>
      </c>
      <c r="Q1007" s="22">
        <f>IF(COUNTIFS(A$2:A1007,A1007,I$2:I1007,I1007)=1,1,0)</f>
        <v>0</v>
      </c>
      <c r="R1007" s="22">
        <f t="shared" si="15"/>
        <v>2</v>
      </c>
      <c r="S1007" s="33">
        <f>IF(COUNTIF(O$2:O1007,O1007)=1,R1007,0)/2.5</f>
        <v>0</v>
      </c>
    </row>
    <row r="1008" spans="1:19" ht="18" customHeight="1" x14ac:dyDescent="0.25">
      <c r="A1008" s="7" t="s">
        <v>43</v>
      </c>
      <c r="B1008" s="8">
        <v>1</v>
      </c>
      <c r="C1008" s="9">
        <v>387</v>
      </c>
      <c r="D1008" s="29">
        <f>C1008+IF(INDEX('Справочник по %'!B:B,(MATCH(A1008,'Справочник по %'!A:A,0)))="кол-во",B1008*INDEX('Справочник по %'!C:C,(MATCH(A1008,'Справочник по %'!A:A,0))),ОТЧЕТ!C1008*INDEX('Справочник по %'!C:C,(MATCH(A1008,'Справочник по %'!A:A,0))))/100</f>
        <v>425.7</v>
      </c>
      <c r="E1008" s="29">
        <f>IF(ОТЧЕТ!A1008="SKU3",C1008+ОТЧЕТ!C1008*0.2,C1008+ОТЧЕТ!C1008*0.15)</f>
        <v>445.05</v>
      </c>
      <c r="F1008" s="7" t="s">
        <v>2331</v>
      </c>
      <c r="G1008" s="7">
        <v>2466189073</v>
      </c>
      <c r="H1008" s="20" t="s">
        <v>1724</v>
      </c>
      <c r="I1008" s="22" t="str">
        <f>INDEX('Справочник Сети'!B:B,(MATCH(G1008,'Справочник Сети'!C:C,0)))</f>
        <v>Нео-фарм</v>
      </c>
      <c r="J1008" s="7" t="s">
        <v>96</v>
      </c>
      <c r="K1008" s="7" t="s">
        <v>1302</v>
      </c>
      <c r="L1008" s="7" t="s">
        <v>96</v>
      </c>
      <c r="M1008" s="31">
        <v>45727</v>
      </c>
      <c r="N1008" s="7" t="s">
        <v>2332</v>
      </c>
      <c r="O1008" s="8">
        <v>175</v>
      </c>
      <c r="P1008" s="24">
        <v>5011</v>
      </c>
      <c r="Q1008" s="22">
        <f>IF(COUNTIFS(A$2:A1008,A1008,I$2:I1008,I1008)=1,1,0)</f>
        <v>0</v>
      </c>
      <c r="R1008" s="22">
        <f t="shared" si="15"/>
        <v>2</v>
      </c>
      <c r="S1008" s="33">
        <f>IF(COUNTIF(O$2:O1008,O1008)=1,R1008,0)/2.5</f>
        <v>0</v>
      </c>
    </row>
    <row r="1009" spans="1:19" ht="18" customHeight="1" x14ac:dyDescent="0.25">
      <c r="A1009" s="7" t="s">
        <v>43</v>
      </c>
      <c r="B1009" s="8">
        <v>1</v>
      </c>
      <c r="C1009" s="9">
        <v>361</v>
      </c>
      <c r="D1009" s="29">
        <f>C1009+IF(INDEX('Справочник по %'!B:B,(MATCH(A1009,'Справочник по %'!A:A,0)))="кол-во",B1009*INDEX('Справочник по %'!C:C,(MATCH(A1009,'Справочник по %'!A:A,0))),ОТЧЕТ!C1009*INDEX('Справочник по %'!C:C,(MATCH(A1009,'Справочник по %'!A:A,0))))/100</f>
        <v>397.1</v>
      </c>
      <c r="E1009" s="29">
        <f>IF(ОТЧЕТ!A1009="SKU3",C1009+ОТЧЕТ!C1009*0.2,C1009+ОТЧЕТ!C1009*0.15)</f>
        <v>415.15</v>
      </c>
      <c r="F1009" s="7" t="s">
        <v>2333</v>
      </c>
      <c r="G1009" s="7">
        <v>7020028423</v>
      </c>
      <c r="H1009" s="20" t="s">
        <v>1143</v>
      </c>
      <c r="I1009" s="22" t="str">
        <f>INDEX('Справочник Сети'!B:B,(MATCH(G1009,'Справочник Сети'!C:C,0)))</f>
        <v>36,6</v>
      </c>
      <c r="J1009" s="7" t="s">
        <v>106</v>
      </c>
      <c r="K1009" s="7" t="s">
        <v>2334</v>
      </c>
      <c r="L1009" s="7" t="s">
        <v>106</v>
      </c>
      <c r="M1009" s="31">
        <v>45694</v>
      </c>
      <c r="N1009" s="7" t="s">
        <v>2335</v>
      </c>
      <c r="O1009" s="8">
        <v>122</v>
      </c>
      <c r="P1009" s="24">
        <v>5012</v>
      </c>
      <c r="Q1009" s="22">
        <f>IF(COUNTIFS(A$2:A1009,A1009,I$2:I1009,I1009)=1,1,0)</f>
        <v>0</v>
      </c>
      <c r="R1009" s="22">
        <f t="shared" si="15"/>
        <v>2</v>
      </c>
      <c r="S1009" s="33">
        <f>IF(COUNTIF(O$2:O1009,O1009)=1,R1009,0)/2.5</f>
        <v>0</v>
      </c>
    </row>
    <row r="1010" spans="1:19" ht="18" customHeight="1" x14ac:dyDescent="0.25">
      <c r="A1010" s="7" t="s">
        <v>43</v>
      </c>
      <c r="B1010" s="8">
        <v>1</v>
      </c>
      <c r="C1010" s="9">
        <v>431.52</v>
      </c>
      <c r="D1010" s="29">
        <f>C1010+IF(INDEX('Справочник по %'!B:B,(MATCH(A1010,'Справочник по %'!A:A,0)))="кол-во",B1010*INDEX('Справочник по %'!C:C,(MATCH(A1010,'Справочник по %'!A:A,0))),ОТЧЕТ!C1010*INDEX('Справочник по %'!C:C,(MATCH(A1010,'Справочник по %'!A:A,0))))/100</f>
        <v>474.67199999999997</v>
      </c>
      <c r="E1010" s="29">
        <f>IF(ОТЧЕТ!A1010="SKU3",C1010+ОТЧЕТ!C1010*0.2,C1010+ОТЧЕТ!C1010*0.15)</f>
        <v>496.24799999999999</v>
      </c>
      <c r="F1010" s="7" t="s">
        <v>2333</v>
      </c>
      <c r="G1010" s="7">
        <v>550711904930</v>
      </c>
      <c r="H1010" s="20" t="s">
        <v>50</v>
      </c>
      <c r="I1010" s="22" t="str">
        <f>INDEX('Справочник Сети'!B:B,(MATCH(G1010,'Справочник Сети'!C:C,0)))</f>
        <v>Ригла</v>
      </c>
      <c r="J1010" s="7" t="s">
        <v>251</v>
      </c>
      <c r="K1010" s="7" t="s">
        <v>1283</v>
      </c>
      <c r="L1010" s="7" t="s">
        <v>251</v>
      </c>
      <c r="M1010" s="31">
        <v>45659</v>
      </c>
      <c r="N1010" s="7" t="s">
        <v>2336</v>
      </c>
      <c r="O1010" s="8">
        <v>1063</v>
      </c>
      <c r="P1010" s="24">
        <v>5013</v>
      </c>
      <c r="Q1010" s="22">
        <f>IF(COUNTIFS(A$2:A1010,A1010,I$2:I1010,I1010)=1,1,0)</f>
        <v>0</v>
      </c>
      <c r="R1010" s="22">
        <f t="shared" si="15"/>
        <v>3</v>
      </c>
      <c r="S1010" s="33">
        <f>IF(COUNTIF(O$2:O1010,O1010)=1,R1010,0)/2.5</f>
        <v>1.2</v>
      </c>
    </row>
    <row r="1011" spans="1:19" ht="18" customHeight="1" x14ac:dyDescent="0.25">
      <c r="A1011" s="7" t="s">
        <v>43</v>
      </c>
      <c r="B1011" s="8">
        <v>1</v>
      </c>
      <c r="C1011" s="9">
        <v>428.73</v>
      </c>
      <c r="D1011" s="29">
        <f>C1011+IF(INDEX('Справочник по %'!B:B,(MATCH(A1011,'Справочник по %'!A:A,0)))="кол-во",B1011*INDEX('Справочник по %'!C:C,(MATCH(A1011,'Справочник по %'!A:A,0))),ОТЧЕТ!C1011*INDEX('Справочник по %'!C:C,(MATCH(A1011,'Справочник по %'!A:A,0))))/100</f>
        <v>471.60300000000001</v>
      </c>
      <c r="E1011" s="29">
        <f>IF(ОТЧЕТ!A1011="SKU3",C1011+ОТЧЕТ!C1011*0.2,C1011+ОТЧЕТ!C1011*0.15)</f>
        <v>493.03950000000003</v>
      </c>
      <c r="F1011" s="7" t="s">
        <v>2333</v>
      </c>
      <c r="G1011" s="7">
        <v>550711904930</v>
      </c>
      <c r="H1011" s="20" t="s">
        <v>50</v>
      </c>
      <c r="I1011" s="22" t="str">
        <f>INDEX('Справочник Сети'!B:B,(MATCH(G1011,'Справочник Сети'!C:C,0)))</f>
        <v>Ригла</v>
      </c>
      <c r="J1011" s="7" t="s">
        <v>251</v>
      </c>
      <c r="K1011" s="7" t="s">
        <v>2337</v>
      </c>
      <c r="L1011" s="7" t="s">
        <v>251</v>
      </c>
      <c r="M1011" s="31">
        <v>45659</v>
      </c>
      <c r="N1011" s="7" t="s">
        <v>2338</v>
      </c>
      <c r="O1011" s="8">
        <v>1063</v>
      </c>
      <c r="P1011" s="24">
        <v>5014</v>
      </c>
      <c r="Q1011" s="22">
        <f>IF(COUNTIFS(A$2:A1011,A1011,I$2:I1011,I1011)=1,1,0)</f>
        <v>0</v>
      </c>
      <c r="R1011" s="22">
        <f t="shared" si="15"/>
        <v>3</v>
      </c>
      <c r="S1011" s="33">
        <f>IF(COUNTIF(O$2:O1011,O1011)=1,R1011,0)/2.5</f>
        <v>0</v>
      </c>
    </row>
    <row r="1012" spans="1:19" ht="18" customHeight="1" x14ac:dyDescent="0.25">
      <c r="A1012" s="7" t="s">
        <v>43</v>
      </c>
      <c r="B1012" s="8">
        <v>1</v>
      </c>
      <c r="C1012" s="9">
        <v>430</v>
      </c>
      <c r="D1012" s="29">
        <f>C1012+IF(INDEX('Справочник по %'!B:B,(MATCH(A1012,'Справочник по %'!A:A,0)))="кол-во",B1012*INDEX('Справочник по %'!C:C,(MATCH(A1012,'Справочник по %'!A:A,0))),ОТЧЕТ!C1012*INDEX('Справочник по %'!C:C,(MATCH(A1012,'Справочник по %'!A:A,0))))/100</f>
        <v>473</v>
      </c>
      <c r="E1012" s="29">
        <f>IF(ОТЧЕТ!A1012="SKU3",C1012+ОТЧЕТ!C1012*0.2,C1012+ОТЧЕТ!C1012*0.15)</f>
        <v>494.5</v>
      </c>
      <c r="F1012" s="7" t="s">
        <v>2339</v>
      </c>
      <c r="G1012" s="7">
        <v>3446042846</v>
      </c>
      <c r="H1012" s="20" t="s">
        <v>319</v>
      </c>
      <c r="I1012" s="22" t="str">
        <f>INDEX('Справочник Сети'!B:B,(MATCH(G1012,'Справочник Сети'!C:C,0)))</f>
        <v>Столички</v>
      </c>
      <c r="J1012" s="7" t="s">
        <v>193</v>
      </c>
      <c r="K1012" s="7" t="s">
        <v>1499</v>
      </c>
      <c r="L1012" s="7" t="s">
        <v>193</v>
      </c>
      <c r="M1012" s="31">
        <v>45718</v>
      </c>
      <c r="N1012" s="7" t="s">
        <v>2340</v>
      </c>
      <c r="O1012" s="8">
        <v>2581</v>
      </c>
      <c r="P1012" s="24">
        <v>5021</v>
      </c>
      <c r="Q1012" s="22">
        <f>IF(COUNTIFS(A$2:A1012,A1012,I$2:I1012,I1012)=1,1,0)</f>
        <v>0</v>
      </c>
      <c r="R1012" s="22">
        <f t="shared" si="15"/>
        <v>7</v>
      </c>
      <c r="S1012" s="33">
        <f>IF(COUNTIF(O$2:O1012,O1012)=1,R1012,0)/2.5</f>
        <v>0</v>
      </c>
    </row>
    <row r="1013" spans="1:19" ht="18" customHeight="1" x14ac:dyDescent="0.25">
      <c r="A1013" s="7" t="s">
        <v>43</v>
      </c>
      <c r="B1013" s="8">
        <v>1</v>
      </c>
      <c r="C1013" s="9">
        <v>520</v>
      </c>
      <c r="D1013" s="29">
        <f>C1013+IF(INDEX('Справочник по %'!B:B,(MATCH(A1013,'Справочник по %'!A:A,0)))="кол-во",B1013*INDEX('Справочник по %'!C:C,(MATCH(A1013,'Справочник по %'!A:A,0))),ОТЧЕТ!C1013*INDEX('Справочник по %'!C:C,(MATCH(A1013,'Справочник по %'!A:A,0))))/100</f>
        <v>572</v>
      </c>
      <c r="E1013" s="29">
        <f>IF(ОТЧЕТ!A1013="SKU3",C1013+ОТЧЕТ!C1013*0.2,C1013+ОТЧЕТ!C1013*0.15)</f>
        <v>598</v>
      </c>
      <c r="F1013" s="7" t="s">
        <v>2341</v>
      </c>
      <c r="G1013" s="7">
        <v>7736337422</v>
      </c>
      <c r="H1013" s="20" t="s">
        <v>50</v>
      </c>
      <c r="I1013" s="22">
        <f>INDEX('Справочник Сети'!B:B,(MATCH(G1013,'Справочник Сети'!C:C,0)))</f>
        <v>0</v>
      </c>
      <c r="J1013" s="7" t="s">
        <v>353</v>
      </c>
      <c r="K1013" s="7" t="s">
        <v>1782</v>
      </c>
      <c r="L1013" s="7" t="s">
        <v>353</v>
      </c>
      <c r="M1013" s="31">
        <v>45672</v>
      </c>
      <c r="N1013" s="7" t="s">
        <v>2342</v>
      </c>
      <c r="O1013" s="8">
        <v>522</v>
      </c>
      <c r="P1013" s="24">
        <v>5031</v>
      </c>
      <c r="Q1013" s="22">
        <f>IF(COUNTIFS(A$2:A1013,A1013,I$2:I1013,I1013)=1,1,0)</f>
        <v>0</v>
      </c>
      <c r="R1013" s="22">
        <f t="shared" si="15"/>
        <v>2</v>
      </c>
      <c r="S1013" s="33">
        <f>IF(COUNTIF(O$2:O1013,O1013)=1,R1013,0)/2.5</f>
        <v>0.8</v>
      </c>
    </row>
    <row r="1014" spans="1:19" ht="18" customHeight="1" x14ac:dyDescent="0.25">
      <c r="A1014" s="7" t="s">
        <v>43</v>
      </c>
      <c r="B1014" s="8">
        <v>1</v>
      </c>
      <c r="C1014" s="9">
        <v>449</v>
      </c>
      <c r="D1014" s="29">
        <f>C1014+IF(INDEX('Справочник по %'!B:B,(MATCH(A1014,'Справочник по %'!A:A,0)))="кол-во",B1014*INDEX('Справочник по %'!C:C,(MATCH(A1014,'Справочник по %'!A:A,0))),ОТЧЕТ!C1014*INDEX('Справочник по %'!C:C,(MATCH(A1014,'Справочник по %'!A:A,0))))/100</f>
        <v>493.9</v>
      </c>
      <c r="E1014" s="29">
        <f>IF(ОТЧЕТ!A1014="SKU3",C1014+ОТЧЕТ!C1014*0.2,C1014+ОТЧЕТ!C1014*0.15)</f>
        <v>516.35</v>
      </c>
      <c r="F1014" s="7" t="s">
        <v>2341</v>
      </c>
      <c r="G1014" s="7">
        <v>9723093966</v>
      </c>
      <c r="H1014" s="20" t="s">
        <v>50</v>
      </c>
      <c r="I1014" s="22">
        <f>INDEX('Справочник Сети'!B:B,(MATCH(G1014,'Справочник Сети'!C:C,0)))</f>
        <v>0</v>
      </c>
      <c r="J1014" s="7" t="s">
        <v>74</v>
      </c>
      <c r="K1014" s="7" t="s">
        <v>1782</v>
      </c>
      <c r="L1014" s="7" t="s">
        <v>239</v>
      </c>
      <c r="M1014" s="31">
        <v>45662</v>
      </c>
      <c r="N1014" s="7" t="s">
        <v>2343</v>
      </c>
      <c r="O1014" s="8">
        <v>2095</v>
      </c>
      <c r="P1014" s="24">
        <v>5032</v>
      </c>
      <c r="Q1014" s="22">
        <f>IF(COUNTIFS(A$2:A1014,A1014,I$2:I1014,I1014)=1,1,0)</f>
        <v>0</v>
      </c>
      <c r="R1014" s="22">
        <f t="shared" si="15"/>
        <v>1</v>
      </c>
      <c r="S1014" s="33">
        <f>IF(COUNTIF(O$2:O1014,O1014)=1,R1014,0)/2.5</f>
        <v>0.4</v>
      </c>
    </row>
    <row r="1015" spans="1:19" ht="18" customHeight="1" x14ac:dyDescent="0.25">
      <c r="A1015" s="7" t="s">
        <v>43</v>
      </c>
      <c r="B1015" s="8">
        <v>1</v>
      </c>
      <c r="C1015" s="9">
        <v>419</v>
      </c>
      <c r="D1015" s="29">
        <f>C1015+IF(INDEX('Справочник по %'!B:B,(MATCH(A1015,'Справочник по %'!A:A,0)))="кол-во",B1015*INDEX('Справочник по %'!C:C,(MATCH(A1015,'Справочник по %'!A:A,0))),ОТЧЕТ!C1015*INDEX('Справочник по %'!C:C,(MATCH(A1015,'Справочник по %'!A:A,0))))/100</f>
        <v>460.9</v>
      </c>
      <c r="E1015" s="29">
        <f>IF(ОТЧЕТ!A1015="SKU3",C1015+ОТЧЕТ!C1015*0.2,C1015+ОТЧЕТ!C1015*0.15)</f>
        <v>481.85</v>
      </c>
      <c r="F1015" s="7" t="s">
        <v>2341</v>
      </c>
      <c r="G1015" s="7">
        <v>3812987851</v>
      </c>
      <c r="H1015" s="20" t="s">
        <v>2344</v>
      </c>
      <c r="I1015" s="22" t="str">
        <f>INDEX('Справочник Сети'!B:B,(MATCH(G1015,'Справочник Сети'!C:C,0)))</f>
        <v>Планета здоровья</v>
      </c>
      <c r="J1015" s="7" t="s">
        <v>155</v>
      </c>
      <c r="K1015" s="7" t="s">
        <v>1151</v>
      </c>
      <c r="L1015" s="7" t="s">
        <v>155</v>
      </c>
      <c r="M1015" s="31">
        <v>45716</v>
      </c>
      <c r="N1015" s="7" t="s">
        <v>2345</v>
      </c>
      <c r="O1015" s="8">
        <v>1919</v>
      </c>
      <c r="P1015" s="24">
        <v>5033</v>
      </c>
      <c r="Q1015" s="22">
        <f>IF(COUNTIFS(A$2:A1015,A1015,I$2:I1015,I1015)=1,1,0)</f>
        <v>0</v>
      </c>
      <c r="R1015" s="22">
        <f t="shared" si="15"/>
        <v>2</v>
      </c>
      <c r="S1015" s="33">
        <f>IF(COUNTIF(O$2:O1015,O1015)=1,R1015,0)/2.5</f>
        <v>0.8</v>
      </c>
    </row>
    <row r="1016" spans="1:19" ht="18" customHeight="1" x14ac:dyDescent="0.25">
      <c r="A1016" s="7" t="s">
        <v>43</v>
      </c>
      <c r="B1016" s="8">
        <v>1</v>
      </c>
      <c r="C1016" s="9">
        <v>437</v>
      </c>
      <c r="D1016" s="29">
        <f>C1016+IF(INDEX('Справочник по %'!B:B,(MATCH(A1016,'Справочник по %'!A:A,0)))="кол-во",B1016*INDEX('Справочник по %'!C:C,(MATCH(A1016,'Справочник по %'!A:A,0))),ОТЧЕТ!C1016*INDEX('Справочник по %'!C:C,(MATCH(A1016,'Справочник по %'!A:A,0))))/100</f>
        <v>480.7</v>
      </c>
      <c r="E1016" s="29">
        <f>IF(ОТЧЕТ!A1016="SKU3",C1016+ОТЧЕТ!C1016*0.2,C1016+ОТЧЕТ!C1016*0.15)</f>
        <v>502.55</v>
      </c>
      <c r="F1016" s="7" t="s">
        <v>2341</v>
      </c>
      <c r="G1016" s="7">
        <v>381600345706</v>
      </c>
      <c r="H1016" s="20" t="s">
        <v>2346</v>
      </c>
      <c r="I1016" s="22" t="str">
        <f>INDEX('Справочник Сети'!B:B,(MATCH(G1016,'Справочник Сети'!C:C,0)))</f>
        <v>Нео-фарм</v>
      </c>
      <c r="J1016" s="7" t="s">
        <v>110</v>
      </c>
      <c r="K1016" s="7" t="s">
        <v>861</v>
      </c>
      <c r="L1016" s="7" t="s">
        <v>110</v>
      </c>
      <c r="M1016" s="31">
        <v>45660</v>
      </c>
      <c r="N1016" s="7" t="s">
        <v>2347</v>
      </c>
      <c r="O1016" s="8">
        <v>3589</v>
      </c>
      <c r="P1016" s="24">
        <v>5036</v>
      </c>
      <c r="Q1016" s="22">
        <f>IF(COUNTIFS(A$2:A1016,A1016,I$2:I1016,I1016)=1,1,0)</f>
        <v>0</v>
      </c>
      <c r="R1016" s="22">
        <f t="shared" si="15"/>
        <v>3</v>
      </c>
      <c r="S1016" s="33">
        <f>IF(COUNTIF(O$2:O1016,O1016)=1,R1016,0)/2.5</f>
        <v>1.2</v>
      </c>
    </row>
    <row r="1017" spans="1:19" ht="18" customHeight="1" x14ac:dyDescent="0.25">
      <c r="A1017" s="7" t="s">
        <v>43</v>
      </c>
      <c r="B1017" s="8">
        <v>1</v>
      </c>
      <c r="C1017" s="9">
        <v>400.5</v>
      </c>
      <c r="D1017" s="29">
        <f>C1017+IF(INDEX('Справочник по %'!B:B,(MATCH(A1017,'Справочник по %'!A:A,0)))="кол-во",B1017*INDEX('Справочник по %'!C:C,(MATCH(A1017,'Справочник по %'!A:A,0))),ОТЧЕТ!C1017*INDEX('Справочник по %'!C:C,(MATCH(A1017,'Справочник по %'!A:A,0))))/100</f>
        <v>440.55</v>
      </c>
      <c r="E1017" s="29">
        <f>IF(ОТЧЕТ!A1017="SKU3",C1017+ОТЧЕТ!C1017*0.2,C1017+ОТЧЕТ!C1017*0.15)</f>
        <v>460.57499999999999</v>
      </c>
      <c r="F1017" s="7" t="s">
        <v>2341</v>
      </c>
      <c r="G1017" s="7">
        <v>5507102175</v>
      </c>
      <c r="H1017" s="20" t="s">
        <v>50</v>
      </c>
      <c r="I1017" s="22" t="str">
        <f>INDEX('Справочник Сети'!B:B,(MATCH(G1017,'Справочник Сети'!C:C,0)))</f>
        <v>Столички</v>
      </c>
      <c r="J1017" s="7" t="s">
        <v>255</v>
      </c>
      <c r="K1017" s="7" t="s">
        <v>621</v>
      </c>
      <c r="L1017" s="7" t="s">
        <v>255</v>
      </c>
      <c r="M1017" s="31">
        <v>45713</v>
      </c>
      <c r="N1017" s="7" t="s">
        <v>2348</v>
      </c>
      <c r="O1017" s="8">
        <v>525</v>
      </c>
      <c r="P1017" s="24">
        <v>5037</v>
      </c>
      <c r="Q1017" s="22">
        <f>IF(COUNTIFS(A$2:A1017,A1017,I$2:I1017,I1017)=1,1,0)</f>
        <v>0</v>
      </c>
      <c r="R1017" s="22">
        <f t="shared" si="15"/>
        <v>3</v>
      </c>
      <c r="S1017" s="33">
        <f>IF(COUNTIF(O$2:O1017,O1017)=1,R1017,0)/2.5</f>
        <v>1.2</v>
      </c>
    </row>
    <row r="1018" spans="1:19" ht="18" customHeight="1" x14ac:dyDescent="0.25">
      <c r="A1018" s="7" t="s">
        <v>43</v>
      </c>
      <c r="B1018" s="8">
        <v>1</v>
      </c>
      <c r="C1018" s="9">
        <v>500</v>
      </c>
      <c r="D1018" s="29">
        <f>C1018+IF(INDEX('Справочник по %'!B:B,(MATCH(A1018,'Справочник по %'!A:A,0)))="кол-во",B1018*INDEX('Справочник по %'!C:C,(MATCH(A1018,'Справочник по %'!A:A,0))),ОТЧЕТ!C1018*INDEX('Справочник по %'!C:C,(MATCH(A1018,'Справочник по %'!A:A,0))))/100</f>
        <v>550</v>
      </c>
      <c r="E1018" s="29">
        <f>IF(ОТЧЕТ!A1018="SKU3",C1018+ОТЧЕТ!C1018*0.2,C1018+ОТЧЕТ!C1018*0.15)</f>
        <v>575</v>
      </c>
      <c r="F1018" s="7" t="s">
        <v>2341</v>
      </c>
      <c r="G1018" s="7">
        <v>4632170357</v>
      </c>
      <c r="H1018" s="20" t="s">
        <v>153</v>
      </c>
      <c r="I1018" s="22" t="str">
        <f>INDEX('Справочник Сети'!B:B,(MATCH(G1018,'Справочник Сети'!C:C,0)))</f>
        <v>Столички</v>
      </c>
      <c r="J1018" s="7" t="s">
        <v>83</v>
      </c>
      <c r="K1018" s="7" t="s">
        <v>460</v>
      </c>
      <c r="L1018" s="7" t="s">
        <v>155</v>
      </c>
      <c r="M1018" s="31">
        <v>45716</v>
      </c>
      <c r="N1018" s="7" t="s">
        <v>2349</v>
      </c>
      <c r="O1018" s="8">
        <v>707</v>
      </c>
      <c r="P1018" s="24">
        <v>5041</v>
      </c>
      <c r="Q1018" s="22">
        <f>IF(COUNTIFS(A$2:A1018,A1018,I$2:I1018,I1018)=1,1,0)</f>
        <v>0</v>
      </c>
      <c r="R1018" s="22">
        <f t="shared" si="15"/>
        <v>4</v>
      </c>
      <c r="S1018" s="33">
        <f>IF(COUNTIF(O$2:O1018,O1018)=1,R1018,0)/2.5</f>
        <v>0</v>
      </c>
    </row>
    <row r="1019" spans="1:19" ht="18" customHeight="1" x14ac:dyDescent="0.25">
      <c r="A1019" s="7" t="s">
        <v>43</v>
      </c>
      <c r="B1019" s="8">
        <v>1</v>
      </c>
      <c r="C1019" s="9">
        <v>632.04999999999995</v>
      </c>
      <c r="D1019" s="29">
        <f>C1019+IF(INDEX('Справочник по %'!B:B,(MATCH(A1019,'Справочник по %'!A:A,0)))="кол-во",B1019*INDEX('Справочник по %'!C:C,(MATCH(A1019,'Справочник по %'!A:A,0))),ОТЧЕТ!C1019*INDEX('Справочник по %'!C:C,(MATCH(A1019,'Справочник по %'!A:A,0))))/100</f>
        <v>695.255</v>
      </c>
      <c r="E1019" s="29">
        <f>IF(ОТЧЕТ!A1019="SKU3",C1019+ОТЧЕТ!C1019*0.2,C1019+ОТЧЕТ!C1019*0.15)</f>
        <v>726.85749999999996</v>
      </c>
      <c r="F1019" s="7" t="s">
        <v>2341</v>
      </c>
      <c r="G1019" s="7">
        <v>7705947629</v>
      </c>
      <c r="H1019" s="20" t="s">
        <v>50</v>
      </c>
      <c r="I1019" s="22" t="str">
        <f>INDEX('Справочник Сети'!B:B,(MATCH(G1019,'Справочник Сети'!C:C,0)))</f>
        <v>36,6</v>
      </c>
      <c r="J1019" s="7" t="s">
        <v>116</v>
      </c>
      <c r="K1019" s="7" t="s">
        <v>1028</v>
      </c>
      <c r="L1019" s="7" t="s">
        <v>104</v>
      </c>
      <c r="M1019" s="31">
        <v>45693</v>
      </c>
      <c r="N1019" s="7" t="s">
        <v>2350</v>
      </c>
      <c r="O1019" s="8">
        <v>2763</v>
      </c>
      <c r="P1019" s="24">
        <v>5044</v>
      </c>
      <c r="Q1019" s="22">
        <f>IF(COUNTIFS(A$2:A1019,A1019,I$2:I1019,I1019)=1,1,0)</f>
        <v>0</v>
      </c>
      <c r="R1019" s="22">
        <f t="shared" si="15"/>
        <v>3</v>
      </c>
      <c r="S1019" s="33">
        <f>IF(COUNTIF(O$2:O1019,O1019)=1,R1019,0)/2.5</f>
        <v>0</v>
      </c>
    </row>
    <row r="1020" spans="1:19" ht="18" customHeight="1" x14ac:dyDescent="0.25">
      <c r="A1020" s="7" t="s">
        <v>43</v>
      </c>
      <c r="B1020" s="8">
        <v>1</v>
      </c>
      <c r="C1020" s="9">
        <v>632.04999999999995</v>
      </c>
      <c r="D1020" s="29">
        <f>C1020+IF(INDEX('Справочник по %'!B:B,(MATCH(A1020,'Справочник по %'!A:A,0)))="кол-во",B1020*INDEX('Справочник по %'!C:C,(MATCH(A1020,'Справочник по %'!A:A,0))),ОТЧЕТ!C1020*INDEX('Справочник по %'!C:C,(MATCH(A1020,'Справочник по %'!A:A,0))))/100</f>
        <v>695.255</v>
      </c>
      <c r="E1020" s="29">
        <f>IF(ОТЧЕТ!A1020="SKU3",C1020+ОТЧЕТ!C1020*0.2,C1020+ОТЧЕТ!C1020*0.15)</f>
        <v>726.85749999999996</v>
      </c>
      <c r="F1020" s="7" t="s">
        <v>2341</v>
      </c>
      <c r="G1020" s="7">
        <v>7705947629</v>
      </c>
      <c r="H1020" s="20" t="s">
        <v>50</v>
      </c>
      <c r="I1020" s="22" t="str">
        <f>INDEX('Справочник Сети'!B:B,(MATCH(G1020,'Справочник Сети'!C:C,0)))</f>
        <v>36,6</v>
      </c>
      <c r="J1020" s="7" t="s">
        <v>116</v>
      </c>
      <c r="K1020" s="7" t="s">
        <v>1028</v>
      </c>
      <c r="L1020" s="7" t="s">
        <v>104</v>
      </c>
      <c r="M1020" s="31">
        <v>45693</v>
      </c>
      <c r="N1020" s="7" t="s">
        <v>2350</v>
      </c>
      <c r="O1020" s="8">
        <v>2763</v>
      </c>
      <c r="P1020" s="24">
        <v>5044</v>
      </c>
      <c r="Q1020" s="22">
        <f>IF(COUNTIFS(A$2:A1020,A1020,I$2:I1020,I1020)=1,1,0)</f>
        <v>0</v>
      </c>
      <c r="R1020" s="22">
        <f t="shared" si="15"/>
        <v>3</v>
      </c>
      <c r="S1020" s="33">
        <f>IF(COUNTIF(O$2:O1020,O1020)=1,R1020,0)/2.5</f>
        <v>0</v>
      </c>
    </row>
    <row r="1021" spans="1:19" ht="18" customHeight="1" x14ac:dyDescent="0.25">
      <c r="A1021" s="7" t="s">
        <v>43</v>
      </c>
      <c r="B1021" s="8">
        <v>1</v>
      </c>
      <c r="C1021" s="9">
        <v>471</v>
      </c>
      <c r="D1021" s="29">
        <f>C1021+IF(INDEX('Справочник по %'!B:B,(MATCH(A1021,'Справочник по %'!A:A,0)))="кол-во",B1021*INDEX('Справочник по %'!C:C,(MATCH(A1021,'Справочник по %'!A:A,0))),ОТЧЕТ!C1021*INDEX('Справочник по %'!C:C,(MATCH(A1021,'Справочник по %'!A:A,0))))/100</f>
        <v>518.1</v>
      </c>
      <c r="E1021" s="29">
        <f>IF(ОТЧЕТ!A1021="SKU3",C1021+ОТЧЕТ!C1021*0.2,C1021+ОТЧЕТ!C1021*0.15)</f>
        <v>541.65</v>
      </c>
      <c r="F1021" s="7" t="s">
        <v>2341</v>
      </c>
      <c r="G1021" s="7">
        <v>2632087553</v>
      </c>
      <c r="H1021" s="20" t="s">
        <v>91</v>
      </c>
      <c r="I1021" s="22" t="str">
        <f>INDEX('Справочник Сети'!B:B,(MATCH(G1021,'Справочник Сети'!C:C,0)))</f>
        <v>Ригла</v>
      </c>
      <c r="J1021" s="7" t="s">
        <v>46</v>
      </c>
      <c r="K1021" s="7" t="s">
        <v>75</v>
      </c>
      <c r="L1021" s="7" t="s">
        <v>46</v>
      </c>
      <c r="M1021" s="31">
        <v>45726</v>
      </c>
      <c r="N1021" s="7" t="s">
        <v>2351</v>
      </c>
      <c r="O1021" s="8">
        <v>1150</v>
      </c>
      <c r="P1021" s="24">
        <v>5045</v>
      </c>
      <c r="Q1021" s="22">
        <f>IF(COUNTIFS(A$2:A1021,A1021,I$2:I1021,I1021)=1,1,0)</f>
        <v>0</v>
      </c>
      <c r="R1021" s="22">
        <f t="shared" si="15"/>
        <v>3</v>
      </c>
      <c r="S1021" s="33">
        <f>IF(COUNTIF(O$2:O1021,O1021)=1,R1021,0)/2.5</f>
        <v>0</v>
      </c>
    </row>
    <row r="1022" spans="1:19" ht="18" customHeight="1" x14ac:dyDescent="0.25">
      <c r="A1022" s="7" t="s">
        <v>43</v>
      </c>
      <c r="B1022" s="8">
        <v>1</v>
      </c>
      <c r="C1022" s="9">
        <v>404</v>
      </c>
      <c r="D1022" s="29">
        <f>C1022+IF(INDEX('Справочник по %'!B:B,(MATCH(A1022,'Справочник по %'!A:A,0)))="кол-во",B1022*INDEX('Справочник по %'!C:C,(MATCH(A1022,'Справочник по %'!A:A,0))),ОТЧЕТ!C1022*INDEX('Справочник по %'!C:C,(MATCH(A1022,'Справочник по %'!A:A,0))))/100</f>
        <v>444.4</v>
      </c>
      <c r="E1022" s="29">
        <f>IF(ОТЧЕТ!A1022="SKU3",C1022+ОТЧЕТ!C1022*0.2,C1022+ОТЧЕТ!C1022*0.15)</f>
        <v>464.6</v>
      </c>
      <c r="F1022" s="7" t="s">
        <v>2352</v>
      </c>
      <c r="G1022" s="7">
        <v>1515922470</v>
      </c>
      <c r="H1022" s="20" t="s">
        <v>50</v>
      </c>
      <c r="I1022" s="22">
        <f>INDEX('Справочник Сети'!B:B,(MATCH(G1022,'Справочник Сети'!C:C,0)))</f>
        <v>0</v>
      </c>
      <c r="J1022" s="7" t="s">
        <v>335</v>
      </c>
      <c r="K1022" s="7" t="s">
        <v>2353</v>
      </c>
      <c r="L1022" s="7" t="s">
        <v>335</v>
      </c>
      <c r="M1022" s="31">
        <v>45731</v>
      </c>
      <c r="N1022" s="7" t="s">
        <v>2354</v>
      </c>
      <c r="O1022" s="8">
        <v>3301</v>
      </c>
      <c r="P1022" s="24">
        <v>5046</v>
      </c>
      <c r="Q1022" s="22">
        <f>IF(COUNTIFS(A$2:A1022,A1022,I$2:I1022,I1022)=1,1,0)</f>
        <v>0</v>
      </c>
      <c r="R1022" s="22">
        <f t="shared" si="15"/>
        <v>1</v>
      </c>
      <c r="S1022" s="33">
        <f>IF(COUNTIF(O$2:O1022,O1022)=1,R1022,0)/2.5</f>
        <v>0.4</v>
      </c>
    </row>
    <row r="1023" spans="1:19" ht="18" customHeight="1" x14ac:dyDescent="0.25">
      <c r="A1023" s="7" t="s">
        <v>43</v>
      </c>
      <c r="B1023" s="8">
        <v>1</v>
      </c>
      <c r="C1023" s="9">
        <v>457.5</v>
      </c>
      <c r="D1023" s="29">
        <f>C1023+IF(INDEX('Справочник по %'!B:B,(MATCH(A1023,'Справочник по %'!A:A,0)))="кол-во",B1023*INDEX('Справочник по %'!C:C,(MATCH(A1023,'Справочник по %'!A:A,0))),ОТЧЕТ!C1023*INDEX('Справочник по %'!C:C,(MATCH(A1023,'Справочник по %'!A:A,0))))/100</f>
        <v>503.25</v>
      </c>
      <c r="E1023" s="29">
        <f>IF(ОТЧЕТ!A1023="SKU3",C1023+ОТЧЕТ!C1023*0.2,C1023+ОТЧЕТ!C1023*0.15)</f>
        <v>526.125</v>
      </c>
      <c r="F1023" s="7" t="s">
        <v>2355</v>
      </c>
      <c r="G1023" s="7">
        <v>323374846</v>
      </c>
      <c r="H1023" s="20" t="s">
        <v>2356</v>
      </c>
      <c r="I1023" s="22">
        <f>INDEX('Справочник Сети'!B:B,(MATCH(G1023,'Справочник Сети'!C:C,0)))</f>
        <v>0</v>
      </c>
      <c r="J1023" s="7" t="s">
        <v>362</v>
      </c>
      <c r="K1023" s="7" t="s">
        <v>2357</v>
      </c>
      <c r="L1023" s="7" t="s">
        <v>362</v>
      </c>
      <c r="M1023" s="31">
        <v>45732</v>
      </c>
      <c r="N1023" s="7" t="s">
        <v>2358</v>
      </c>
      <c r="O1023" s="8">
        <v>3259</v>
      </c>
      <c r="P1023" s="24">
        <v>5049</v>
      </c>
      <c r="Q1023" s="22">
        <f>IF(COUNTIFS(A$2:A1023,A1023,I$2:I1023,I1023)=1,1,0)</f>
        <v>0</v>
      </c>
      <c r="R1023" s="22">
        <f t="shared" si="15"/>
        <v>3</v>
      </c>
      <c r="S1023" s="33">
        <f>IF(COUNTIF(O$2:O1023,O1023)=1,R1023,0)/2.5</f>
        <v>1.2</v>
      </c>
    </row>
    <row r="1024" spans="1:19" ht="18" customHeight="1" x14ac:dyDescent="0.25">
      <c r="A1024" s="7" t="s">
        <v>43</v>
      </c>
      <c r="B1024" s="8">
        <v>1</v>
      </c>
      <c r="C1024" s="9">
        <v>435</v>
      </c>
      <c r="D1024" s="29">
        <f>C1024+IF(INDEX('Справочник по %'!B:B,(MATCH(A1024,'Справочник по %'!A:A,0)))="кол-во",B1024*INDEX('Справочник по %'!C:C,(MATCH(A1024,'Справочник по %'!A:A,0))),ОТЧЕТ!C1024*INDEX('Справочник по %'!C:C,(MATCH(A1024,'Справочник по %'!A:A,0))))/100</f>
        <v>478.5</v>
      </c>
      <c r="E1024" s="29">
        <f>IF(ОТЧЕТ!A1024="SKU3",C1024+ОТЧЕТ!C1024*0.2,C1024+ОТЧЕТ!C1024*0.15)</f>
        <v>500.25</v>
      </c>
      <c r="F1024" s="7" t="s">
        <v>2359</v>
      </c>
      <c r="G1024" s="7">
        <v>616613147119</v>
      </c>
      <c r="H1024" s="20" t="s">
        <v>50</v>
      </c>
      <c r="I1024" s="22">
        <f>INDEX('Справочник Сети'!B:B,(MATCH(G1024,'Справочник Сети'!C:C,0)))</f>
        <v>0</v>
      </c>
      <c r="J1024" s="7" t="s">
        <v>251</v>
      </c>
      <c r="K1024" s="7" t="s">
        <v>1271</v>
      </c>
      <c r="L1024" s="7" t="s">
        <v>251</v>
      </c>
      <c r="M1024" s="31">
        <v>45659</v>
      </c>
      <c r="N1024" s="7" t="s">
        <v>2360</v>
      </c>
      <c r="O1024" s="8">
        <v>3781</v>
      </c>
      <c r="P1024" s="24">
        <v>5050</v>
      </c>
      <c r="Q1024" s="22">
        <f>IF(COUNTIFS(A$2:A1024,A1024,I$2:I1024,I1024)=1,1,0)</f>
        <v>0</v>
      </c>
      <c r="R1024" s="22">
        <f t="shared" si="15"/>
        <v>1</v>
      </c>
      <c r="S1024" s="33">
        <f>IF(COUNTIF(O$2:O1024,O1024)=1,R1024,0)/2.5</f>
        <v>0.4</v>
      </c>
    </row>
    <row r="1025" spans="1:19" ht="18" customHeight="1" x14ac:dyDescent="0.25">
      <c r="A1025" s="7" t="s">
        <v>43</v>
      </c>
      <c r="B1025" s="8">
        <v>1</v>
      </c>
      <c r="C1025" s="9">
        <v>376.4</v>
      </c>
      <c r="D1025" s="29">
        <f>C1025+IF(INDEX('Справочник по %'!B:B,(MATCH(A1025,'Справочник по %'!A:A,0)))="кол-во",B1025*INDEX('Справочник по %'!C:C,(MATCH(A1025,'Справочник по %'!A:A,0))),ОТЧЕТ!C1025*INDEX('Справочник по %'!C:C,(MATCH(A1025,'Справочник по %'!A:A,0))))/100</f>
        <v>414.03999999999996</v>
      </c>
      <c r="E1025" s="29">
        <f>IF(ОТЧЕТ!A1025="SKU3",C1025+ОТЧЕТ!C1025*0.2,C1025+ОТЧЕТ!C1025*0.15)</f>
        <v>432.85999999999996</v>
      </c>
      <c r="F1025" s="7" t="s">
        <v>2359</v>
      </c>
      <c r="G1025" s="7">
        <v>2225198434</v>
      </c>
      <c r="H1025" s="20" t="s">
        <v>91</v>
      </c>
      <c r="I1025" s="22">
        <f>INDEX('Справочник Сети'!B:B,(MATCH(G1025,'Справочник Сети'!C:C,0)))</f>
        <v>0</v>
      </c>
      <c r="J1025" s="7" t="s">
        <v>372</v>
      </c>
      <c r="K1025" s="7" t="s">
        <v>249</v>
      </c>
      <c r="L1025" s="7" t="s">
        <v>372</v>
      </c>
      <c r="M1025" s="31">
        <v>45730</v>
      </c>
      <c r="N1025" s="7" t="s">
        <v>2361</v>
      </c>
      <c r="O1025" s="8">
        <v>188</v>
      </c>
      <c r="P1025" s="24">
        <v>5051</v>
      </c>
      <c r="Q1025" s="22">
        <f>IF(COUNTIFS(A$2:A1025,A1025,I$2:I1025,I1025)=1,1,0)</f>
        <v>0</v>
      </c>
      <c r="R1025" s="22">
        <f t="shared" si="15"/>
        <v>5</v>
      </c>
      <c r="S1025" s="33">
        <f>IF(COUNTIF(O$2:O1025,O1025)=1,R1025,0)/2.5</f>
        <v>0</v>
      </c>
    </row>
    <row r="1026" spans="1:19" ht="18" customHeight="1" x14ac:dyDescent="0.25">
      <c r="A1026" s="7" t="s">
        <v>43</v>
      </c>
      <c r="B1026" s="8">
        <v>1</v>
      </c>
      <c r="C1026" s="9">
        <v>434</v>
      </c>
      <c r="D1026" s="29">
        <f>C1026+IF(INDEX('Справочник по %'!B:B,(MATCH(A1026,'Справочник по %'!A:A,0)))="кол-во",B1026*INDEX('Справочник по %'!C:C,(MATCH(A1026,'Справочник по %'!A:A,0))),ОТЧЕТ!C1026*INDEX('Справочник по %'!C:C,(MATCH(A1026,'Справочник по %'!A:A,0))))/100</f>
        <v>477.4</v>
      </c>
      <c r="E1026" s="29">
        <f>IF(ОТЧЕТ!A1026="SKU3",C1026+ОТЧЕТ!C1026*0.2,C1026+ОТЧЕТ!C1026*0.15)</f>
        <v>499.1</v>
      </c>
      <c r="F1026" s="7" t="s">
        <v>2362</v>
      </c>
      <c r="G1026" s="7">
        <v>6454131608</v>
      </c>
      <c r="H1026" s="20" t="s">
        <v>750</v>
      </c>
      <c r="I1026" s="22">
        <f>INDEX('Справочник Сети'!B:B,(MATCH(G1026,'Справочник Сети'!C:C,0)))</f>
        <v>0</v>
      </c>
      <c r="J1026" s="7" t="s">
        <v>133</v>
      </c>
      <c r="K1026" s="7" t="s">
        <v>125</v>
      </c>
      <c r="L1026" s="7" t="s">
        <v>133</v>
      </c>
      <c r="M1026" s="31">
        <v>45695</v>
      </c>
      <c r="N1026" s="7" t="s">
        <v>2363</v>
      </c>
      <c r="O1026" s="8">
        <v>509</v>
      </c>
      <c r="P1026" s="24">
        <v>5052</v>
      </c>
      <c r="Q1026" s="22">
        <f>IF(COUNTIFS(A$2:A1026,A1026,I$2:I1026,I1026)=1,1,0)</f>
        <v>0</v>
      </c>
      <c r="R1026" s="22">
        <f t="shared" si="15"/>
        <v>1</v>
      </c>
      <c r="S1026" s="33">
        <f>IF(COUNTIF(O$2:O1026,O1026)=1,R1026,0)/2.5</f>
        <v>0.4</v>
      </c>
    </row>
    <row r="1027" spans="1:19" ht="18" customHeight="1" x14ac:dyDescent="0.25">
      <c r="A1027" s="7" t="s">
        <v>37</v>
      </c>
      <c r="B1027" s="8">
        <v>1</v>
      </c>
      <c r="C1027" s="9">
        <v>650</v>
      </c>
      <c r="D1027" s="29">
        <f>C1027+IF(INDEX('Справочник по %'!B:B,(MATCH(A1027,'Справочник по %'!A:A,0)))="кол-во",B1027*INDEX('Справочник по %'!C:C,(MATCH(A1027,'Справочник по %'!A:A,0))),ОТЧЕТ!C1027*INDEX('Справочник по %'!C:C,(MATCH(A1027,'Справочник по %'!A:A,0))))/100</f>
        <v>650.20000000000005</v>
      </c>
      <c r="E1027" s="29">
        <f>IF(ОТЧЕТ!A1027="SKU3",C1027+ОТЧЕТ!C1027*0.2,C1027+ОТЧЕТ!C1027*0.15)</f>
        <v>747.5</v>
      </c>
      <c r="F1027" s="7" t="s">
        <v>2364</v>
      </c>
      <c r="G1027" s="7">
        <v>4222016270</v>
      </c>
      <c r="H1027" s="20" t="s">
        <v>2272</v>
      </c>
      <c r="I1027" s="22" t="str">
        <f>INDEX('Справочник Сети'!B:B,(MATCH(G1027,'Справочник Сети'!C:C,0)))</f>
        <v>Столички</v>
      </c>
      <c r="J1027" s="7" t="s">
        <v>155</v>
      </c>
      <c r="K1027" s="7" t="s">
        <v>219</v>
      </c>
      <c r="L1027" s="7" t="s">
        <v>155</v>
      </c>
      <c r="M1027" s="31">
        <v>45716</v>
      </c>
      <c r="N1027" s="7" t="s">
        <v>2365</v>
      </c>
      <c r="O1027" s="8">
        <v>3109</v>
      </c>
      <c r="P1027" s="24">
        <v>5054</v>
      </c>
      <c r="Q1027" s="22">
        <f>IF(COUNTIFS(A$2:A1027,A1027,I$2:I1027,I1027)=1,1,0)</f>
        <v>0</v>
      </c>
      <c r="R1027" s="22">
        <f t="shared" ref="R1027:R1090" si="16">COUNTIF(O:O,O1027)</f>
        <v>5</v>
      </c>
      <c r="S1027" s="33">
        <f>IF(COUNTIF(O$2:O1027,O1027)=1,R1027,0)/2.5</f>
        <v>0</v>
      </c>
    </row>
    <row r="1028" spans="1:19" ht="18" customHeight="1" x14ac:dyDescent="0.25">
      <c r="A1028" s="7" t="s">
        <v>43</v>
      </c>
      <c r="B1028" s="8">
        <v>1</v>
      </c>
      <c r="C1028" s="9">
        <v>457</v>
      </c>
      <c r="D1028" s="29">
        <f>C1028+IF(INDEX('Справочник по %'!B:B,(MATCH(A1028,'Справочник по %'!A:A,0)))="кол-во",B1028*INDEX('Справочник по %'!C:C,(MATCH(A1028,'Справочник по %'!A:A,0))),ОТЧЕТ!C1028*INDEX('Справочник по %'!C:C,(MATCH(A1028,'Справочник по %'!A:A,0))))/100</f>
        <v>502.7</v>
      </c>
      <c r="E1028" s="29">
        <f>IF(ОТЧЕТ!A1028="SKU3",C1028+ОТЧЕТ!C1028*0.2,C1028+ОТЧЕТ!C1028*0.15)</f>
        <v>525.54999999999995</v>
      </c>
      <c r="F1028" s="7" t="s">
        <v>2366</v>
      </c>
      <c r="G1028" s="7">
        <v>5501217490</v>
      </c>
      <c r="H1028" s="20" t="s">
        <v>2367</v>
      </c>
      <c r="I1028" s="22">
        <f>INDEX('Справочник Сети'!B:B,(MATCH(G1028,'Справочник Сети'!C:C,0)))</f>
        <v>0</v>
      </c>
      <c r="J1028" s="7" t="s">
        <v>255</v>
      </c>
      <c r="K1028" s="7" t="s">
        <v>1407</v>
      </c>
      <c r="L1028" s="7" t="s">
        <v>255</v>
      </c>
      <c r="M1028" s="31">
        <v>45713</v>
      </c>
      <c r="N1028" s="7" t="s">
        <v>2368</v>
      </c>
      <c r="O1028" s="8">
        <v>1916</v>
      </c>
      <c r="P1028" s="24">
        <v>5058</v>
      </c>
      <c r="Q1028" s="22">
        <f>IF(COUNTIFS(A$2:A1028,A1028,I$2:I1028,I1028)=1,1,0)</f>
        <v>0</v>
      </c>
      <c r="R1028" s="22">
        <f t="shared" si="16"/>
        <v>6</v>
      </c>
      <c r="S1028" s="33">
        <f>IF(COUNTIF(O$2:O1028,O1028)=1,R1028,0)/2.5</f>
        <v>0</v>
      </c>
    </row>
    <row r="1029" spans="1:19" ht="18" customHeight="1" x14ac:dyDescent="0.25">
      <c r="A1029" s="7" t="s">
        <v>43</v>
      </c>
      <c r="B1029" s="8">
        <v>1</v>
      </c>
      <c r="C1029" s="9">
        <v>306</v>
      </c>
      <c r="D1029" s="29">
        <f>C1029+IF(INDEX('Справочник по %'!B:B,(MATCH(A1029,'Справочник по %'!A:A,0)))="кол-во",B1029*INDEX('Справочник по %'!C:C,(MATCH(A1029,'Справочник по %'!A:A,0))),ОТЧЕТ!C1029*INDEX('Справочник по %'!C:C,(MATCH(A1029,'Справочник по %'!A:A,0))))/100</f>
        <v>336.6</v>
      </c>
      <c r="E1029" s="29">
        <f>IF(ОТЧЕТ!A1029="SKU3",C1029+ОТЧЕТ!C1029*0.2,C1029+ОТЧЕТ!C1029*0.15)</f>
        <v>351.9</v>
      </c>
      <c r="F1029" s="7" t="s">
        <v>2366</v>
      </c>
      <c r="G1029" s="7">
        <v>2311242609</v>
      </c>
      <c r="H1029" s="20" t="s">
        <v>50</v>
      </c>
      <c r="I1029" s="22">
        <f>INDEX('Справочник Сети'!B:B,(MATCH(G1029,'Справочник Сети'!C:C,0)))</f>
        <v>0</v>
      </c>
      <c r="J1029" s="7" t="s">
        <v>70</v>
      </c>
      <c r="K1029" s="7" t="s">
        <v>2353</v>
      </c>
      <c r="L1029" s="7" t="s">
        <v>70</v>
      </c>
      <c r="M1029" s="31">
        <v>45728</v>
      </c>
      <c r="N1029" s="7" t="s">
        <v>2369</v>
      </c>
      <c r="O1029" s="8">
        <v>2853</v>
      </c>
      <c r="P1029" s="24">
        <v>5059</v>
      </c>
      <c r="Q1029" s="22">
        <f>IF(COUNTIFS(A$2:A1029,A1029,I$2:I1029,I1029)=1,1,0)</f>
        <v>0</v>
      </c>
      <c r="R1029" s="22">
        <f t="shared" si="16"/>
        <v>2</v>
      </c>
      <c r="S1029" s="33">
        <f>IF(COUNTIF(O$2:O1029,O1029)=1,R1029,0)/2.5</f>
        <v>0.8</v>
      </c>
    </row>
    <row r="1030" spans="1:19" ht="18" customHeight="1" x14ac:dyDescent="0.25">
      <c r="A1030" s="7" t="s">
        <v>43</v>
      </c>
      <c r="B1030" s="8">
        <v>1</v>
      </c>
      <c r="C1030" s="9">
        <v>329</v>
      </c>
      <c r="D1030" s="29">
        <f>C1030+IF(INDEX('Справочник по %'!B:B,(MATCH(A1030,'Справочник по %'!A:A,0)))="кол-во",B1030*INDEX('Справочник по %'!C:C,(MATCH(A1030,'Справочник по %'!A:A,0))),ОТЧЕТ!C1030*INDEX('Справочник по %'!C:C,(MATCH(A1030,'Справочник по %'!A:A,0))))/100</f>
        <v>361.9</v>
      </c>
      <c r="E1030" s="29">
        <f>IF(ОТЧЕТ!A1030="SKU3",C1030+ОТЧЕТ!C1030*0.2,C1030+ОТЧЕТ!C1030*0.15)</f>
        <v>378.35</v>
      </c>
      <c r="F1030" s="7" t="s">
        <v>2370</v>
      </c>
      <c r="G1030" s="7">
        <v>2311242609</v>
      </c>
      <c r="H1030" s="20" t="s">
        <v>50</v>
      </c>
      <c r="I1030" s="22">
        <f>INDEX('Справочник Сети'!B:B,(MATCH(G1030,'Справочник Сети'!C:C,0)))</f>
        <v>0</v>
      </c>
      <c r="J1030" s="7" t="s">
        <v>70</v>
      </c>
      <c r="K1030" s="7" t="s">
        <v>2353</v>
      </c>
      <c r="L1030" s="7" t="s">
        <v>70</v>
      </c>
      <c r="M1030" s="31">
        <v>45728</v>
      </c>
      <c r="N1030" s="7" t="s">
        <v>2369</v>
      </c>
      <c r="O1030" s="8">
        <v>2853</v>
      </c>
      <c r="P1030" s="24">
        <v>5059</v>
      </c>
      <c r="Q1030" s="22">
        <f>IF(COUNTIFS(A$2:A1030,A1030,I$2:I1030,I1030)=1,1,0)</f>
        <v>0</v>
      </c>
      <c r="R1030" s="22">
        <f t="shared" si="16"/>
        <v>2</v>
      </c>
      <c r="S1030" s="33">
        <f>IF(COUNTIF(O$2:O1030,O1030)=1,R1030,0)/2.5</f>
        <v>0</v>
      </c>
    </row>
    <row r="1031" spans="1:19" ht="18" customHeight="1" x14ac:dyDescent="0.25">
      <c r="A1031" s="7" t="s">
        <v>37</v>
      </c>
      <c r="B1031" s="8">
        <v>1</v>
      </c>
      <c r="C1031" s="9">
        <v>577</v>
      </c>
      <c r="D1031" s="29">
        <f>C1031+IF(INDEX('Справочник по %'!B:B,(MATCH(A1031,'Справочник по %'!A:A,0)))="кол-во",B1031*INDEX('Справочник по %'!C:C,(MATCH(A1031,'Справочник по %'!A:A,0))),ОТЧЕТ!C1031*INDEX('Справочник по %'!C:C,(MATCH(A1031,'Справочник по %'!A:A,0))))/100</f>
        <v>577.20000000000005</v>
      </c>
      <c r="E1031" s="29">
        <f>IF(ОТЧЕТ!A1031="SKU3",C1031+ОТЧЕТ!C1031*0.2,C1031+ОТЧЕТ!C1031*0.15)</f>
        <v>663.55</v>
      </c>
      <c r="F1031" s="7" t="s">
        <v>2370</v>
      </c>
      <c r="G1031" s="7">
        <v>7204146152</v>
      </c>
      <c r="H1031" s="20" t="s">
        <v>103</v>
      </c>
      <c r="I1031" s="22" t="str">
        <f>INDEX('Справочник Сети'!B:B,(MATCH(G1031,'Справочник Сети'!C:C,0)))</f>
        <v>36,6</v>
      </c>
      <c r="J1031" s="7" t="s">
        <v>104</v>
      </c>
      <c r="K1031" s="7" t="s">
        <v>2371</v>
      </c>
      <c r="L1031" s="7" t="s">
        <v>106</v>
      </c>
      <c r="M1031" s="31">
        <v>45694</v>
      </c>
      <c r="N1031" s="7" t="s">
        <v>2372</v>
      </c>
      <c r="O1031" s="8">
        <v>1369</v>
      </c>
      <c r="P1031" s="24">
        <v>5063</v>
      </c>
      <c r="Q1031" s="22">
        <f>IF(COUNTIFS(A$2:A1031,A1031,I$2:I1031,I1031)=1,1,0)</f>
        <v>0</v>
      </c>
      <c r="R1031" s="22">
        <f t="shared" si="16"/>
        <v>6</v>
      </c>
      <c r="S1031" s="33">
        <f>IF(COUNTIF(O$2:O1031,O1031)=1,R1031,0)/2.5</f>
        <v>0</v>
      </c>
    </row>
    <row r="1032" spans="1:19" ht="18" customHeight="1" x14ac:dyDescent="0.25">
      <c r="A1032" s="7" t="s">
        <v>43</v>
      </c>
      <c r="B1032" s="8">
        <v>1</v>
      </c>
      <c r="C1032" s="9">
        <v>536</v>
      </c>
      <c r="D1032" s="29">
        <f>C1032+IF(INDEX('Справочник по %'!B:B,(MATCH(A1032,'Справочник по %'!A:A,0)))="кол-во",B1032*INDEX('Справочник по %'!C:C,(MATCH(A1032,'Справочник по %'!A:A,0))),ОТЧЕТ!C1032*INDEX('Справочник по %'!C:C,(MATCH(A1032,'Справочник по %'!A:A,0))))/100</f>
        <v>589.6</v>
      </c>
      <c r="E1032" s="29">
        <f>IF(ОТЧЕТ!A1032="SKU3",C1032+ОТЧЕТ!C1032*0.2,C1032+ОТЧЕТ!C1032*0.15)</f>
        <v>616.4</v>
      </c>
      <c r="F1032" s="7" t="s">
        <v>2370</v>
      </c>
      <c r="G1032" s="7">
        <v>7705947629</v>
      </c>
      <c r="H1032" s="20" t="s">
        <v>50</v>
      </c>
      <c r="I1032" s="22" t="str">
        <f>INDEX('Справочник Сети'!B:B,(MATCH(G1032,'Справочник Сети'!C:C,0)))</f>
        <v>36,6</v>
      </c>
      <c r="J1032" s="7" t="s">
        <v>104</v>
      </c>
      <c r="K1032" s="7" t="s">
        <v>1817</v>
      </c>
      <c r="L1032" s="7" t="s">
        <v>104</v>
      </c>
      <c r="M1032" s="31">
        <v>45693</v>
      </c>
      <c r="N1032" s="7" t="s">
        <v>2373</v>
      </c>
      <c r="O1032" s="8">
        <v>620</v>
      </c>
      <c r="P1032" s="24">
        <v>5066</v>
      </c>
      <c r="Q1032" s="22">
        <f>IF(COUNTIFS(A$2:A1032,A1032,I$2:I1032,I1032)=1,1,0)</f>
        <v>0</v>
      </c>
      <c r="R1032" s="22">
        <f t="shared" si="16"/>
        <v>4</v>
      </c>
      <c r="S1032" s="33">
        <f>IF(COUNTIF(O$2:O1032,O1032)=1,R1032,0)/2.5</f>
        <v>0</v>
      </c>
    </row>
    <row r="1033" spans="1:19" ht="18" customHeight="1" x14ac:dyDescent="0.25">
      <c r="A1033" s="7" t="s">
        <v>43</v>
      </c>
      <c r="B1033" s="8">
        <v>1</v>
      </c>
      <c r="C1033" s="9">
        <v>382</v>
      </c>
      <c r="D1033" s="29">
        <f>C1033+IF(INDEX('Справочник по %'!B:B,(MATCH(A1033,'Справочник по %'!A:A,0)))="кол-во",B1033*INDEX('Справочник по %'!C:C,(MATCH(A1033,'Справочник по %'!A:A,0))),ОТЧЕТ!C1033*INDEX('Справочник по %'!C:C,(MATCH(A1033,'Справочник по %'!A:A,0))))/100</f>
        <v>420.2</v>
      </c>
      <c r="E1033" s="29">
        <f>IF(ОТЧЕТ!A1033="SKU3",C1033+ОТЧЕТ!C1033*0.2,C1033+ОТЧЕТ!C1033*0.15)</f>
        <v>439.3</v>
      </c>
      <c r="F1033" s="7" t="s">
        <v>2370</v>
      </c>
      <c r="G1033" s="7">
        <v>7706795062</v>
      </c>
      <c r="H1033" s="20" t="s">
        <v>2163</v>
      </c>
      <c r="I1033" s="22" t="str">
        <f>INDEX('Справочник Сети'!B:B,(MATCH(G1033,'Справочник Сети'!C:C,0)))</f>
        <v>Планета здоровья</v>
      </c>
      <c r="J1033" s="7" t="s">
        <v>87</v>
      </c>
      <c r="K1033" s="7" t="s">
        <v>2374</v>
      </c>
      <c r="L1033" s="7" t="s">
        <v>87</v>
      </c>
      <c r="M1033" s="31">
        <v>45691</v>
      </c>
      <c r="N1033" s="7" t="s">
        <v>2375</v>
      </c>
      <c r="O1033" s="8">
        <v>2353</v>
      </c>
      <c r="P1033" s="24">
        <v>5069</v>
      </c>
      <c r="Q1033" s="22">
        <f>IF(COUNTIFS(A$2:A1033,A1033,I$2:I1033,I1033)=1,1,0)</f>
        <v>0</v>
      </c>
      <c r="R1033" s="22">
        <f t="shared" si="16"/>
        <v>5</v>
      </c>
      <c r="S1033" s="33">
        <f>IF(COUNTIF(O$2:O1033,O1033)=1,R1033,0)/2.5</f>
        <v>0</v>
      </c>
    </row>
    <row r="1034" spans="1:19" ht="18" customHeight="1" x14ac:dyDescent="0.25">
      <c r="A1034" s="7" t="s">
        <v>43</v>
      </c>
      <c r="B1034" s="8">
        <v>1</v>
      </c>
      <c r="C1034" s="9">
        <v>370</v>
      </c>
      <c r="D1034" s="29">
        <f>C1034+IF(INDEX('Справочник по %'!B:B,(MATCH(A1034,'Справочник по %'!A:A,0)))="кол-во",B1034*INDEX('Справочник по %'!C:C,(MATCH(A1034,'Справочник по %'!A:A,0))),ОТЧЕТ!C1034*INDEX('Справочник по %'!C:C,(MATCH(A1034,'Справочник по %'!A:A,0))))/100</f>
        <v>407</v>
      </c>
      <c r="E1034" s="29">
        <f>IF(ОТЧЕТ!A1034="SKU3",C1034+ОТЧЕТ!C1034*0.2,C1034+ОТЧЕТ!C1034*0.15)</f>
        <v>425.5</v>
      </c>
      <c r="F1034" s="7" t="s">
        <v>2370</v>
      </c>
      <c r="G1034" s="7">
        <v>7706795062</v>
      </c>
      <c r="H1034" s="20" t="s">
        <v>2376</v>
      </c>
      <c r="I1034" s="22" t="str">
        <f>INDEX('Справочник Сети'!B:B,(MATCH(G1034,'Справочник Сети'!C:C,0)))</f>
        <v>Планета здоровья</v>
      </c>
      <c r="J1034" s="7" t="s">
        <v>87</v>
      </c>
      <c r="K1034" s="7" t="s">
        <v>767</v>
      </c>
      <c r="L1034" s="7" t="s">
        <v>87</v>
      </c>
      <c r="M1034" s="31">
        <v>45691</v>
      </c>
      <c r="N1034" s="7" t="s">
        <v>2377</v>
      </c>
      <c r="O1034" s="8">
        <v>2606</v>
      </c>
      <c r="P1034" s="24">
        <v>5070</v>
      </c>
      <c r="Q1034" s="22">
        <f>IF(COUNTIFS(A$2:A1034,A1034,I$2:I1034,I1034)=1,1,0)</f>
        <v>0</v>
      </c>
      <c r="R1034" s="22">
        <f t="shared" si="16"/>
        <v>2</v>
      </c>
      <c r="S1034" s="33">
        <f>IF(COUNTIF(O$2:O1034,O1034)=1,R1034,0)/2.5</f>
        <v>0.8</v>
      </c>
    </row>
    <row r="1035" spans="1:19" ht="18" customHeight="1" x14ac:dyDescent="0.25">
      <c r="A1035" s="7" t="s">
        <v>43</v>
      </c>
      <c r="B1035" s="8">
        <v>1</v>
      </c>
      <c r="C1035" s="9">
        <v>323</v>
      </c>
      <c r="D1035" s="29">
        <f>C1035+IF(INDEX('Справочник по %'!B:B,(MATCH(A1035,'Справочник по %'!A:A,0)))="кол-во",B1035*INDEX('Справочник по %'!C:C,(MATCH(A1035,'Справочник по %'!A:A,0))),ОТЧЕТ!C1035*INDEX('Справочник по %'!C:C,(MATCH(A1035,'Справочник по %'!A:A,0))))/100</f>
        <v>355.3</v>
      </c>
      <c r="E1035" s="29">
        <f>IF(ОТЧЕТ!A1035="SKU3",C1035+ОТЧЕТ!C1035*0.2,C1035+ОТЧЕТ!C1035*0.15)</f>
        <v>371.45</v>
      </c>
      <c r="F1035" s="7" t="s">
        <v>2370</v>
      </c>
      <c r="G1035" s="7">
        <v>744708719394</v>
      </c>
      <c r="H1035" s="20" t="s">
        <v>50</v>
      </c>
      <c r="I1035" s="22">
        <f>INDEX('Справочник Сети'!B:B,(MATCH(G1035,'Справочник Сети'!C:C,0)))</f>
        <v>0</v>
      </c>
      <c r="J1035" s="7" t="s">
        <v>322</v>
      </c>
      <c r="K1035" s="7" t="s">
        <v>200</v>
      </c>
      <c r="L1035" s="7" t="s">
        <v>322</v>
      </c>
      <c r="M1035" s="31">
        <v>45658</v>
      </c>
      <c r="N1035" s="7" t="s">
        <v>2378</v>
      </c>
      <c r="O1035" s="8">
        <v>2757</v>
      </c>
      <c r="P1035" s="24">
        <v>5074</v>
      </c>
      <c r="Q1035" s="22">
        <f>IF(COUNTIFS(A$2:A1035,A1035,I$2:I1035,I1035)=1,1,0)</f>
        <v>0</v>
      </c>
      <c r="R1035" s="22">
        <f t="shared" si="16"/>
        <v>3</v>
      </c>
      <c r="S1035" s="33">
        <f>IF(COUNTIF(O$2:O1035,O1035)=1,R1035,0)/2.5</f>
        <v>0</v>
      </c>
    </row>
    <row r="1036" spans="1:19" ht="18" customHeight="1" x14ac:dyDescent="0.25">
      <c r="A1036" s="7" t="s">
        <v>37</v>
      </c>
      <c r="B1036" s="8">
        <v>1</v>
      </c>
      <c r="C1036" s="9">
        <v>729</v>
      </c>
      <c r="D1036" s="29">
        <f>C1036+IF(INDEX('Справочник по %'!B:B,(MATCH(A1036,'Справочник по %'!A:A,0)))="кол-во",B1036*INDEX('Справочник по %'!C:C,(MATCH(A1036,'Справочник по %'!A:A,0))),ОТЧЕТ!C1036*INDEX('Справочник по %'!C:C,(MATCH(A1036,'Справочник по %'!A:A,0))))/100</f>
        <v>729.2</v>
      </c>
      <c r="E1036" s="29">
        <f>IF(ОТЧЕТ!A1036="SKU3",C1036+ОТЧЕТ!C1036*0.2,C1036+ОТЧЕТ!C1036*0.15)</f>
        <v>838.35</v>
      </c>
      <c r="F1036" s="7" t="s">
        <v>2370</v>
      </c>
      <c r="G1036" s="7">
        <v>5002062932</v>
      </c>
      <c r="H1036" s="20" t="s">
        <v>50</v>
      </c>
      <c r="I1036" s="22">
        <f>INDEX('Справочник Сети'!B:B,(MATCH(G1036,'Справочник Сети'!C:C,0)))</f>
        <v>0</v>
      </c>
      <c r="J1036" s="7" t="s">
        <v>83</v>
      </c>
      <c r="K1036" s="7" t="s">
        <v>2379</v>
      </c>
      <c r="L1036" s="7" t="s">
        <v>83</v>
      </c>
      <c r="M1036" s="31">
        <v>45715</v>
      </c>
      <c r="N1036" s="7" t="s">
        <v>2380</v>
      </c>
      <c r="O1036" s="8">
        <v>2030</v>
      </c>
      <c r="P1036" s="24">
        <v>5079</v>
      </c>
      <c r="Q1036" s="22">
        <f>IF(COUNTIFS(A$2:A1036,A1036,I$2:I1036,I1036)=1,1,0)</f>
        <v>0</v>
      </c>
      <c r="R1036" s="22">
        <f t="shared" si="16"/>
        <v>1</v>
      </c>
      <c r="S1036" s="33">
        <f>IF(COUNTIF(O$2:O1036,O1036)=1,R1036,0)/2.5</f>
        <v>0.4</v>
      </c>
    </row>
    <row r="1037" spans="1:19" ht="18" customHeight="1" x14ac:dyDescent="0.25">
      <c r="A1037" s="7" t="s">
        <v>43</v>
      </c>
      <c r="B1037" s="8">
        <v>1</v>
      </c>
      <c r="C1037" s="9">
        <v>441</v>
      </c>
      <c r="D1037" s="29">
        <f>C1037+IF(INDEX('Справочник по %'!B:B,(MATCH(A1037,'Справочник по %'!A:A,0)))="кол-во",B1037*INDEX('Справочник по %'!C:C,(MATCH(A1037,'Справочник по %'!A:A,0))),ОТЧЕТ!C1037*INDEX('Справочник по %'!C:C,(MATCH(A1037,'Справочник по %'!A:A,0))))/100</f>
        <v>485.1</v>
      </c>
      <c r="E1037" s="29">
        <f>IF(ОТЧЕТ!A1037="SKU3",C1037+ОТЧЕТ!C1037*0.2,C1037+ОТЧЕТ!C1037*0.15)</f>
        <v>507.15</v>
      </c>
      <c r="F1037" s="7" t="s">
        <v>2370</v>
      </c>
      <c r="G1037" s="7">
        <v>7705947629</v>
      </c>
      <c r="H1037" s="20" t="s">
        <v>64</v>
      </c>
      <c r="I1037" s="22" t="str">
        <f>INDEX('Справочник Сети'!B:B,(MATCH(G1037,'Справочник Сети'!C:C,0)))</f>
        <v>36,6</v>
      </c>
      <c r="J1037" s="7" t="s">
        <v>104</v>
      </c>
      <c r="K1037" s="7" t="s">
        <v>1772</v>
      </c>
      <c r="L1037" s="7" t="s">
        <v>104</v>
      </c>
      <c r="M1037" s="31">
        <v>45693</v>
      </c>
      <c r="N1037" s="7" t="s">
        <v>2381</v>
      </c>
      <c r="O1037" s="8">
        <v>609</v>
      </c>
      <c r="P1037" s="24">
        <v>5082</v>
      </c>
      <c r="Q1037" s="22">
        <f>IF(COUNTIFS(A$2:A1037,A1037,I$2:I1037,I1037)=1,1,0)</f>
        <v>0</v>
      </c>
      <c r="R1037" s="22">
        <f t="shared" si="16"/>
        <v>4</v>
      </c>
      <c r="S1037" s="33">
        <f>IF(COUNTIF(O$2:O1037,O1037)=1,R1037,0)/2.5</f>
        <v>0</v>
      </c>
    </row>
    <row r="1038" spans="1:19" ht="18" customHeight="1" x14ac:dyDescent="0.25">
      <c r="A1038" s="7" t="s">
        <v>37</v>
      </c>
      <c r="B1038" s="8">
        <v>1</v>
      </c>
      <c r="C1038" s="9">
        <v>649</v>
      </c>
      <c r="D1038" s="29">
        <f>C1038+IF(INDEX('Справочник по %'!B:B,(MATCH(A1038,'Справочник по %'!A:A,0)))="кол-во",B1038*INDEX('Справочник по %'!C:C,(MATCH(A1038,'Справочник по %'!A:A,0))),ОТЧЕТ!C1038*INDEX('Справочник по %'!C:C,(MATCH(A1038,'Справочник по %'!A:A,0))))/100</f>
        <v>649.20000000000005</v>
      </c>
      <c r="E1038" s="29">
        <f>IF(ОТЧЕТ!A1038="SKU3",C1038+ОТЧЕТ!C1038*0.2,C1038+ОТЧЕТ!C1038*0.15)</f>
        <v>746.35</v>
      </c>
      <c r="F1038" s="7" t="s">
        <v>2370</v>
      </c>
      <c r="G1038" s="7">
        <v>4702014562</v>
      </c>
      <c r="H1038" s="20" t="s">
        <v>50</v>
      </c>
      <c r="I1038" s="22" t="str">
        <f>INDEX('Справочник Сети'!B:B,(MATCH(G1038,'Справочник Сети'!C:C,0)))</f>
        <v>Ригла</v>
      </c>
      <c r="J1038" s="7" t="s">
        <v>83</v>
      </c>
      <c r="K1038" s="7" t="s">
        <v>2382</v>
      </c>
      <c r="L1038" s="7" t="s">
        <v>83</v>
      </c>
      <c r="M1038" s="31">
        <v>45715</v>
      </c>
      <c r="N1038" s="7" t="s">
        <v>2383</v>
      </c>
      <c r="O1038" s="8">
        <v>2216</v>
      </c>
      <c r="P1038" s="24">
        <v>5085</v>
      </c>
      <c r="Q1038" s="22">
        <f>IF(COUNTIFS(A$2:A1038,A1038,I$2:I1038,I1038)=1,1,0)</f>
        <v>0</v>
      </c>
      <c r="R1038" s="22">
        <f t="shared" si="16"/>
        <v>1</v>
      </c>
      <c r="S1038" s="33">
        <f>IF(COUNTIF(O$2:O1038,O1038)=1,R1038,0)/2.5</f>
        <v>0.4</v>
      </c>
    </row>
    <row r="1039" spans="1:19" ht="18" customHeight="1" x14ac:dyDescent="0.25">
      <c r="A1039" s="7" t="s">
        <v>37</v>
      </c>
      <c r="B1039" s="8">
        <v>1</v>
      </c>
      <c r="C1039" s="9">
        <v>685</v>
      </c>
      <c r="D1039" s="29">
        <f>C1039+IF(INDEX('Справочник по %'!B:B,(MATCH(A1039,'Справочник по %'!A:A,0)))="кол-во",B1039*INDEX('Справочник по %'!C:C,(MATCH(A1039,'Справочник по %'!A:A,0))),ОТЧЕТ!C1039*INDEX('Справочник по %'!C:C,(MATCH(A1039,'Справочник по %'!A:A,0))))/100</f>
        <v>685.2</v>
      </c>
      <c r="E1039" s="29">
        <f>IF(ОТЧЕТ!A1039="SKU3",C1039+ОТЧЕТ!C1039*0.2,C1039+ОТЧЕТ!C1039*0.15)</f>
        <v>787.75</v>
      </c>
      <c r="F1039" s="7" t="s">
        <v>2370</v>
      </c>
      <c r="G1039" s="7">
        <v>504402998020</v>
      </c>
      <c r="H1039" s="20" t="s">
        <v>91</v>
      </c>
      <c r="I1039" s="22" t="str">
        <f>INDEX('Справочник Сети'!B:B,(MATCH(G1039,'Справочник Сети'!C:C,0)))</f>
        <v>Нео-фарм</v>
      </c>
      <c r="J1039" s="7" t="s">
        <v>251</v>
      </c>
      <c r="K1039" s="7" t="s">
        <v>1745</v>
      </c>
      <c r="L1039" s="7" t="s">
        <v>110</v>
      </c>
      <c r="M1039" s="31">
        <v>45660</v>
      </c>
      <c r="N1039" s="7" t="s">
        <v>2384</v>
      </c>
      <c r="O1039" s="8">
        <v>3145</v>
      </c>
      <c r="P1039" s="24">
        <v>5087</v>
      </c>
      <c r="Q1039" s="22">
        <f>IF(COUNTIFS(A$2:A1039,A1039,I$2:I1039,I1039)=1,1,0)</f>
        <v>0</v>
      </c>
      <c r="R1039" s="22">
        <f t="shared" si="16"/>
        <v>2</v>
      </c>
      <c r="S1039" s="33">
        <f>IF(COUNTIF(O$2:O1039,O1039)=1,R1039,0)/2.5</f>
        <v>0</v>
      </c>
    </row>
    <row r="1040" spans="1:19" ht="18" customHeight="1" x14ac:dyDescent="0.25">
      <c r="A1040" s="7" t="s">
        <v>43</v>
      </c>
      <c r="B1040" s="8">
        <v>1</v>
      </c>
      <c r="C1040" s="9">
        <v>435</v>
      </c>
      <c r="D1040" s="29">
        <f>C1040+IF(INDEX('Справочник по %'!B:B,(MATCH(A1040,'Справочник по %'!A:A,0)))="кол-во",B1040*INDEX('Справочник по %'!C:C,(MATCH(A1040,'Справочник по %'!A:A,0))),ОТЧЕТ!C1040*INDEX('Справочник по %'!C:C,(MATCH(A1040,'Справочник по %'!A:A,0))))/100</f>
        <v>478.5</v>
      </c>
      <c r="E1040" s="29">
        <f>IF(ОТЧЕТ!A1040="SKU3",C1040+ОТЧЕТ!C1040*0.2,C1040+ОТЧЕТ!C1040*0.15)</f>
        <v>500.25</v>
      </c>
      <c r="F1040" s="7" t="s">
        <v>2370</v>
      </c>
      <c r="G1040" s="7">
        <v>7606077043</v>
      </c>
      <c r="H1040" s="20" t="s">
        <v>50</v>
      </c>
      <c r="I1040" s="22">
        <f>INDEX('Справочник Сети'!B:B,(MATCH(G1040,'Справочник Сети'!C:C,0)))</f>
        <v>0</v>
      </c>
      <c r="J1040" s="7" t="s">
        <v>104</v>
      </c>
      <c r="K1040" s="7" t="s">
        <v>2100</v>
      </c>
      <c r="L1040" s="7" t="s">
        <v>104</v>
      </c>
      <c r="M1040" s="31">
        <v>45693</v>
      </c>
      <c r="N1040" s="7" t="s">
        <v>2385</v>
      </c>
      <c r="O1040" s="8">
        <v>257</v>
      </c>
      <c r="P1040" s="24">
        <v>5088</v>
      </c>
      <c r="Q1040" s="22">
        <f>IF(COUNTIFS(A$2:A1040,A1040,I$2:I1040,I1040)=1,1,0)</f>
        <v>0</v>
      </c>
      <c r="R1040" s="22">
        <f t="shared" si="16"/>
        <v>1</v>
      </c>
      <c r="S1040" s="33">
        <f>IF(COUNTIF(O$2:O1040,O1040)=1,R1040,0)/2.5</f>
        <v>0.4</v>
      </c>
    </row>
    <row r="1041" spans="1:19" ht="18" customHeight="1" x14ac:dyDescent="0.25">
      <c r="A1041" s="7" t="s">
        <v>43</v>
      </c>
      <c r="B1041" s="8">
        <v>1</v>
      </c>
      <c r="C1041" s="9">
        <v>478</v>
      </c>
      <c r="D1041" s="29">
        <f>C1041+IF(INDEX('Справочник по %'!B:B,(MATCH(A1041,'Справочник по %'!A:A,0)))="кол-во",B1041*INDEX('Справочник по %'!C:C,(MATCH(A1041,'Справочник по %'!A:A,0))),ОТЧЕТ!C1041*INDEX('Справочник по %'!C:C,(MATCH(A1041,'Справочник по %'!A:A,0))))/100</f>
        <v>525.79999999999995</v>
      </c>
      <c r="E1041" s="29">
        <f>IF(ОТЧЕТ!A1041="SKU3",C1041+ОТЧЕТ!C1041*0.2,C1041+ОТЧЕТ!C1041*0.15)</f>
        <v>549.70000000000005</v>
      </c>
      <c r="F1041" s="7" t="s">
        <v>2370</v>
      </c>
      <c r="G1041" s="7">
        <v>9724191998</v>
      </c>
      <c r="H1041" s="20" t="s">
        <v>50</v>
      </c>
      <c r="I1041" s="22" t="str">
        <f>INDEX('Справочник Сети'!B:B,(MATCH(G1041,'Справочник Сети'!C:C,0)))</f>
        <v>Столички</v>
      </c>
      <c r="J1041" s="7" t="s">
        <v>74</v>
      </c>
      <c r="K1041" s="7" t="s">
        <v>1299</v>
      </c>
      <c r="L1041" s="7" t="s">
        <v>239</v>
      </c>
      <c r="M1041" s="31">
        <v>45662</v>
      </c>
      <c r="N1041" s="7" t="s">
        <v>2386</v>
      </c>
      <c r="O1041" s="8">
        <v>867</v>
      </c>
      <c r="P1041" s="24">
        <v>5089</v>
      </c>
      <c r="Q1041" s="22">
        <f>IF(COUNTIFS(A$2:A1041,A1041,I$2:I1041,I1041)=1,1,0)</f>
        <v>0</v>
      </c>
      <c r="R1041" s="22">
        <f t="shared" si="16"/>
        <v>3</v>
      </c>
      <c r="S1041" s="33">
        <f>IF(COUNTIF(O$2:O1041,O1041)=1,R1041,0)/2.5</f>
        <v>0</v>
      </c>
    </row>
    <row r="1042" spans="1:19" ht="18" customHeight="1" x14ac:dyDescent="0.25">
      <c r="A1042" s="7" t="s">
        <v>146</v>
      </c>
      <c r="B1042" s="8">
        <v>1</v>
      </c>
      <c r="C1042" s="9">
        <v>791.76</v>
      </c>
      <c r="D1042" s="29">
        <f>C1042+IF(INDEX('Справочник по %'!B:B,(MATCH(A1042,'Справочник по %'!A:A,0)))="кол-во",B1042*INDEX('Справочник по %'!C:C,(MATCH(A1042,'Справочник по %'!A:A,0))),ОТЧЕТ!C1042*INDEX('Справочник по %'!C:C,(MATCH(A1042,'Справочник по %'!A:A,0))))/100</f>
        <v>910.524</v>
      </c>
      <c r="E1042" s="29">
        <f>IF(ОТЧЕТ!A1042="SKU3",C1042+ОТЧЕТ!C1042*0.2,C1042+ОТЧЕТ!C1042*0.15)</f>
        <v>950.11199999999997</v>
      </c>
      <c r="F1042" s="7" t="s">
        <v>2370</v>
      </c>
      <c r="G1042" s="7">
        <v>7714844316</v>
      </c>
      <c r="H1042" s="20" t="s">
        <v>50</v>
      </c>
      <c r="I1042" s="22" t="str">
        <f>INDEX('Справочник Сети'!B:B,(MATCH(G1042,'Справочник Сети'!C:C,0)))</f>
        <v>Планета здоровья</v>
      </c>
      <c r="J1042" s="7" t="s">
        <v>504</v>
      </c>
      <c r="K1042" s="7" t="s">
        <v>1308</v>
      </c>
      <c r="L1042" s="7" t="s">
        <v>504</v>
      </c>
      <c r="M1042" s="31">
        <v>45690</v>
      </c>
      <c r="N1042" s="7" t="s">
        <v>2387</v>
      </c>
      <c r="O1042" s="8">
        <v>868</v>
      </c>
      <c r="P1042" s="24">
        <v>5090</v>
      </c>
      <c r="Q1042" s="22">
        <f>IF(COUNTIFS(A$2:A1042,A1042,I$2:I1042,I1042)=1,1,0)</f>
        <v>0</v>
      </c>
      <c r="R1042" s="22">
        <f t="shared" si="16"/>
        <v>12</v>
      </c>
      <c r="S1042" s="33">
        <f>IF(COUNTIF(O$2:O1042,O1042)=1,R1042,0)/2.5</f>
        <v>0</v>
      </c>
    </row>
    <row r="1043" spans="1:19" ht="18" customHeight="1" x14ac:dyDescent="0.25">
      <c r="A1043" s="7" t="s">
        <v>37</v>
      </c>
      <c r="B1043" s="8">
        <v>1</v>
      </c>
      <c r="C1043" s="9">
        <v>577</v>
      </c>
      <c r="D1043" s="29">
        <f>C1043+IF(INDEX('Справочник по %'!B:B,(MATCH(A1043,'Справочник по %'!A:A,0)))="кол-во",B1043*INDEX('Справочник по %'!C:C,(MATCH(A1043,'Справочник по %'!A:A,0))),ОТЧЕТ!C1043*INDEX('Справочник по %'!C:C,(MATCH(A1043,'Справочник по %'!A:A,0))))/100</f>
        <v>577.20000000000005</v>
      </c>
      <c r="E1043" s="29">
        <f>IF(ОТЧЕТ!A1043="SKU3",C1043+ОТЧЕТ!C1043*0.2,C1043+ОТЧЕТ!C1043*0.15)</f>
        <v>663.55</v>
      </c>
      <c r="F1043" s="7" t="s">
        <v>2370</v>
      </c>
      <c r="G1043" s="7">
        <v>7204146152</v>
      </c>
      <c r="H1043" s="20" t="s">
        <v>103</v>
      </c>
      <c r="I1043" s="22" t="str">
        <f>INDEX('Справочник Сети'!B:B,(MATCH(G1043,'Справочник Сети'!C:C,0)))</f>
        <v>36,6</v>
      </c>
      <c r="J1043" s="7" t="s">
        <v>104</v>
      </c>
      <c r="K1043" s="7" t="s">
        <v>1277</v>
      </c>
      <c r="L1043" s="7" t="s">
        <v>106</v>
      </c>
      <c r="M1043" s="31">
        <v>45694</v>
      </c>
      <c r="N1043" s="7" t="s">
        <v>112</v>
      </c>
      <c r="O1043" s="8">
        <v>1369</v>
      </c>
      <c r="P1043" s="24">
        <v>5092</v>
      </c>
      <c r="Q1043" s="22">
        <f>IF(COUNTIFS(A$2:A1043,A1043,I$2:I1043,I1043)=1,1,0)</f>
        <v>0</v>
      </c>
      <c r="R1043" s="22">
        <f t="shared" si="16"/>
        <v>6</v>
      </c>
      <c r="S1043" s="33">
        <f>IF(COUNTIF(O$2:O1043,O1043)=1,R1043,0)/2.5</f>
        <v>0</v>
      </c>
    </row>
    <row r="1044" spans="1:19" ht="18" customHeight="1" x14ac:dyDescent="0.25">
      <c r="A1044" s="7" t="s">
        <v>43</v>
      </c>
      <c r="B1044" s="8">
        <v>1</v>
      </c>
      <c r="C1044" s="9">
        <v>327.13</v>
      </c>
      <c r="D1044" s="29">
        <f>C1044+IF(INDEX('Справочник по %'!B:B,(MATCH(A1044,'Справочник по %'!A:A,0)))="кол-во",B1044*INDEX('Справочник по %'!C:C,(MATCH(A1044,'Справочник по %'!A:A,0))),ОТЧЕТ!C1044*INDEX('Справочник по %'!C:C,(MATCH(A1044,'Справочник по %'!A:A,0))))/100</f>
        <v>359.84300000000002</v>
      </c>
      <c r="E1044" s="29">
        <f>IF(ОТЧЕТ!A1044="SKU3",C1044+ОТЧЕТ!C1044*0.2,C1044+ОТЧЕТ!C1044*0.15)</f>
        <v>376.1995</v>
      </c>
      <c r="F1044" s="7" t="s">
        <v>2370</v>
      </c>
      <c r="G1044" s="7">
        <v>344801920882</v>
      </c>
      <c r="H1044" s="20" t="s">
        <v>2388</v>
      </c>
      <c r="I1044" s="22">
        <f>INDEX('Справочник Сети'!B:B,(MATCH(G1044,'Справочник Сети'!C:C,0)))</f>
        <v>0</v>
      </c>
      <c r="J1044" s="7" t="s">
        <v>110</v>
      </c>
      <c r="K1044" s="7" t="s">
        <v>111</v>
      </c>
      <c r="L1044" s="7" t="s">
        <v>110</v>
      </c>
      <c r="M1044" s="31">
        <v>45660</v>
      </c>
      <c r="N1044" s="7" t="s">
        <v>2389</v>
      </c>
      <c r="O1044" s="8">
        <v>1955</v>
      </c>
      <c r="P1044" s="24">
        <v>5093</v>
      </c>
      <c r="Q1044" s="22">
        <f>IF(COUNTIFS(A$2:A1044,A1044,I$2:I1044,I1044)=1,1,0)</f>
        <v>0</v>
      </c>
      <c r="R1044" s="22">
        <f t="shared" si="16"/>
        <v>1</v>
      </c>
      <c r="S1044" s="33">
        <f>IF(COUNTIF(O$2:O1044,O1044)=1,R1044,0)/2.5</f>
        <v>0.4</v>
      </c>
    </row>
    <row r="1045" spans="1:19" ht="18" customHeight="1" x14ac:dyDescent="0.25">
      <c r="A1045" s="7" t="s">
        <v>37</v>
      </c>
      <c r="B1045" s="8">
        <v>1</v>
      </c>
      <c r="C1045" s="9">
        <v>541</v>
      </c>
      <c r="D1045" s="29">
        <f>C1045+IF(INDEX('Справочник по %'!B:B,(MATCH(A1045,'Справочник по %'!A:A,0)))="кол-во",B1045*INDEX('Справочник по %'!C:C,(MATCH(A1045,'Справочник по %'!A:A,0))),ОТЧЕТ!C1045*INDEX('Справочник по %'!C:C,(MATCH(A1045,'Справочник по %'!A:A,0))))/100</f>
        <v>541.20000000000005</v>
      </c>
      <c r="E1045" s="29">
        <f>IF(ОТЧЕТ!A1045="SKU3",C1045+ОТЧЕТ!C1045*0.2,C1045+ОТЧЕТ!C1045*0.15)</f>
        <v>622.15</v>
      </c>
      <c r="F1045" s="7" t="s">
        <v>2370</v>
      </c>
      <c r="G1045" s="7">
        <v>7706795062</v>
      </c>
      <c r="H1045" s="20" t="s">
        <v>487</v>
      </c>
      <c r="I1045" s="22" t="str">
        <f>INDEX('Справочник Сети'!B:B,(MATCH(G1045,'Справочник Сети'!C:C,0)))</f>
        <v>Планета здоровья</v>
      </c>
      <c r="J1045" s="7" t="s">
        <v>87</v>
      </c>
      <c r="K1045" s="7" t="s">
        <v>2390</v>
      </c>
      <c r="L1045" s="7" t="s">
        <v>87</v>
      </c>
      <c r="M1045" s="31">
        <v>45691</v>
      </c>
      <c r="N1045" s="7" t="s">
        <v>2391</v>
      </c>
      <c r="O1045" s="8">
        <v>1549</v>
      </c>
      <c r="P1045" s="24">
        <v>5094</v>
      </c>
      <c r="Q1045" s="22">
        <f>IF(COUNTIFS(A$2:A1045,A1045,I$2:I1045,I1045)=1,1,0)</f>
        <v>0</v>
      </c>
      <c r="R1045" s="22">
        <f t="shared" si="16"/>
        <v>8</v>
      </c>
      <c r="S1045" s="33">
        <f>IF(COUNTIF(O$2:O1045,O1045)=1,R1045,0)/2.5</f>
        <v>0</v>
      </c>
    </row>
    <row r="1046" spans="1:19" ht="18" customHeight="1" x14ac:dyDescent="0.25">
      <c r="A1046" s="7" t="s">
        <v>43</v>
      </c>
      <c r="B1046" s="8">
        <v>1</v>
      </c>
      <c r="C1046" s="9">
        <v>431.3</v>
      </c>
      <c r="D1046" s="29">
        <f>C1046+IF(INDEX('Справочник по %'!B:B,(MATCH(A1046,'Справочник по %'!A:A,0)))="кол-во",B1046*INDEX('Справочник по %'!C:C,(MATCH(A1046,'Справочник по %'!A:A,0))),ОТЧЕТ!C1046*INDEX('Справочник по %'!C:C,(MATCH(A1046,'Справочник по %'!A:A,0))))/100</f>
        <v>474.43</v>
      </c>
      <c r="E1046" s="29">
        <f>IF(ОТЧЕТ!A1046="SKU3",C1046+ОТЧЕТ!C1046*0.2,C1046+ОТЧЕТ!C1046*0.15)</f>
        <v>495.995</v>
      </c>
      <c r="F1046" s="7" t="s">
        <v>2370</v>
      </c>
      <c r="G1046" s="7">
        <v>7840411560</v>
      </c>
      <c r="H1046" s="20" t="s">
        <v>2392</v>
      </c>
      <c r="I1046" s="22" t="str">
        <f>INDEX('Справочник Сети'!B:B,(MATCH(G1046,'Справочник Сети'!C:C,0)))</f>
        <v>Столички</v>
      </c>
      <c r="J1046" s="7" t="s">
        <v>315</v>
      </c>
      <c r="K1046" s="7" t="s">
        <v>52</v>
      </c>
      <c r="L1046" s="7" t="s">
        <v>315</v>
      </c>
      <c r="M1046" s="31">
        <v>45670</v>
      </c>
      <c r="N1046" s="7" t="s">
        <v>2393</v>
      </c>
      <c r="O1046" s="8">
        <v>281</v>
      </c>
      <c r="P1046" s="24">
        <v>5095</v>
      </c>
      <c r="Q1046" s="22">
        <f>IF(COUNTIFS(A$2:A1046,A1046,I$2:I1046,I1046)=1,1,0)</f>
        <v>0</v>
      </c>
      <c r="R1046" s="22">
        <f t="shared" si="16"/>
        <v>1</v>
      </c>
      <c r="S1046" s="33">
        <f>IF(COUNTIF(O$2:O1046,O1046)=1,R1046,0)/2.5</f>
        <v>0.4</v>
      </c>
    </row>
    <row r="1047" spans="1:19" ht="18" customHeight="1" x14ac:dyDescent="0.25">
      <c r="A1047" s="7" t="s">
        <v>43</v>
      </c>
      <c r="B1047" s="8">
        <v>1</v>
      </c>
      <c r="C1047" s="9">
        <v>398.91</v>
      </c>
      <c r="D1047" s="29">
        <f>C1047+IF(INDEX('Справочник по %'!B:B,(MATCH(A1047,'Справочник по %'!A:A,0)))="кол-во",B1047*INDEX('Справочник по %'!C:C,(MATCH(A1047,'Справочник по %'!A:A,0))),ОТЧЕТ!C1047*INDEX('Справочник по %'!C:C,(MATCH(A1047,'Справочник по %'!A:A,0))))/100</f>
        <v>438.80100000000004</v>
      </c>
      <c r="E1047" s="29">
        <f>IF(ОТЧЕТ!A1047="SKU3",C1047+ОТЧЕТ!C1047*0.2,C1047+ОТЧЕТ!C1047*0.15)</f>
        <v>458.74650000000003</v>
      </c>
      <c r="F1047" s="7" t="s">
        <v>2370</v>
      </c>
      <c r="G1047" s="7">
        <v>7705947629</v>
      </c>
      <c r="H1047" s="20" t="s">
        <v>64</v>
      </c>
      <c r="I1047" s="22" t="str">
        <f>INDEX('Справочник Сети'!B:B,(MATCH(G1047,'Справочник Сети'!C:C,0)))</f>
        <v>36,6</v>
      </c>
      <c r="J1047" s="7" t="s">
        <v>104</v>
      </c>
      <c r="K1047" s="7" t="s">
        <v>1620</v>
      </c>
      <c r="L1047" s="7" t="s">
        <v>104</v>
      </c>
      <c r="M1047" s="31">
        <v>45693</v>
      </c>
      <c r="N1047" s="7" t="s">
        <v>2394</v>
      </c>
      <c r="O1047" s="8">
        <v>2571</v>
      </c>
      <c r="P1047" s="24">
        <v>5096</v>
      </c>
      <c r="Q1047" s="22">
        <f>IF(COUNTIFS(A$2:A1047,A1047,I$2:I1047,I1047)=1,1,0)</f>
        <v>0</v>
      </c>
      <c r="R1047" s="22">
        <f t="shared" si="16"/>
        <v>9</v>
      </c>
      <c r="S1047" s="33">
        <f>IF(COUNTIF(O$2:O1047,O1047)=1,R1047,0)/2.5</f>
        <v>0</v>
      </c>
    </row>
    <row r="1048" spans="1:19" ht="18" customHeight="1" x14ac:dyDescent="0.25">
      <c r="A1048" s="7" t="s">
        <v>43</v>
      </c>
      <c r="B1048" s="8">
        <v>1</v>
      </c>
      <c r="C1048" s="9">
        <v>404</v>
      </c>
      <c r="D1048" s="29">
        <f>C1048+IF(INDEX('Справочник по %'!B:B,(MATCH(A1048,'Справочник по %'!A:A,0)))="кол-во",B1048*INDEX('Справочник по %'!C:C,(MATCH(A1048,'Справочник по %'!A:A,0))),ОТЧЕТ!C1048*INDEX('Справочник по %'!C:C,(MATCH(A1048,'Справочник по %'!A:A,0))))/100</f>
        <v>444.4</v>
      </c>
      <c r="E1048" s="29">
        <f>IF(ОТЧЕТ!A1048="SKU3",C1048+ОТЧЕТ!C1048*0.2,C1048+ОТЧЕТ!C1048*0.15)</f>
        <v>464.6</v>
      </c>
      <c r="F1048" s="7" t="s">
        <v>2370</v>
      </c>
      <c r="G1048" s="7">
        <v>7705947629</v>
      </c>
      <c r="H1048" s="20" t="s">
        <v>64</v>
      </c>
      <c r="I1048" s="22" t="str">
        <f>INDEX('Справочник Сети'!B:B,(MATCH(G1048,'Справочник Сети'!C:C,0)))</f>
        <v>36,6</v>
      </c>
      <c r="J1048" s="7" t="s">
        <v>104</v>
      </c>
      <c r="K1048" s="7" t="s">
        <v>858</v>
      </c>
      <c r="L1048" s="7" t="s">
        <v>104</v>
      </c>
      <c r="M1048" s="31">
        <v>45693</v>
      </c>
      <c r="N1048" s="7" t="s">
        <v>2395</v>
      </c>
      <c r="O1048" s="8">
        <v>2571</v>
      </c>
      <c r="P1048" s="24">
        <v>5097</v>
      </c>
      <c r="Q1048" s="22">
        <f>IF(COUNTIFS(A$2:A1048,A1048,I$2:I1048,I1048)=1,1,0)</f>
        <v>0</v>
      </c>
      <c r="R1048" s="22">
        <f t="shared" si="16"/>
        <v>9</v>
      </c>
      <c r="S1048" s="33">
        <f>IF(COUNTIF(O$2:O1048,O1048)=1,R1048,0)/2.5</f>
        <v>0</v>
      </c>
    </row>
    <row r="1049" spans="1:19" ht="18" customHeight="1" x14ac:dyDescent="0.25">
      <c r="A1049" s="7" t="s">
        <v>43</v>
      </c>
      <c r="B1049" s="8">
        <v>1</v>
      </c>
      <c r="C1049" s="9">
        <v>374</v>
      </c>
      <c r="D1049" s="29">
        <f>C1049+IF(INDEX('Справочник по %'!B:B,(MATCH(A1049,'Справочник по %'!A:A,0)))="кол-во",B1049*INDEX('Справочник по %'!C:C,(MATCH(A1049,'Справочник по %'!A:A,0))),ОТЧЕТ!C1049*INDEX('Справочник по %'!C:C,(MATCH(A1049,'Справочник по %'!A:A,0))))/100</f>
        <v>411.4</v>
      </c>
      <c r="E1049" s="29">
        <f>IF(ОТЧЕТ!A1049="SKU3",C1049+ОТЧЕТ!C1049*0.2,C1049+ОТЧЕТ!C1049*0.15)</f>
        <v>430.1</v>
      </c>
      <c r="F1049" s="7" t="s">
        <v>2370</v>
      </c>
      <c r="G1049" s="7">
        <v>2309136755</v>
      </c>
      <c r="H1049" s="20" t="s">
        <v>50</v>
      </c>
      <c r="I1049" s="22" t="str">
        <f>INDEX('Справочник Сети'!B:B,(MATCH(G1049,'Справочник Сети'!C:C,0)))</f>
        <v>Столички</v>
      </c>
      <c r="J1049" s="7" t="s">
        <v>57</v>
      </c>
      <c r="K1049" s="7" t="s">
        <v>236</v>
      </c>
      <c r="L1049" s="7" t="s">
        <v>57</v>
      </c>
      <c r="M1049" s="31">
        <v>45729</v>
      </c>
      <c r="N1049" s="7" t="s">
        <v>2396</v>
      </c>
      <c r="O1049" s="8">
        <v>3400</v>
      </c>
      <c r="P1049" s="24">
        <v>5098</v>
      </c>
      <c r="Q1049" s="22">
        <f>IF(COUNTIFS(A$2:A1049,A1049,I$2:I1049,I1049)=1,1,0)</f>
        <v>0</v>
      </c>
      <c r="R1049" s="22">
        <f t="shared" si="16"/>
        <v>2</v>
      </c>
      <c r="S1049" s="33">
        <f>IF(COUNTIF(O$2:O1049,O1049)=1,R1049,0)/2.5</f>
        <v>0</v>
      </c>
    </row>
    <row r="1050" spans="1:19" ht="18" customHeight="1" x14ac:dyDescent="0.25">
      <c r="A1050" s="7" t="s">
        <v>43</v>
      </c>
      <c r="B1050" s="8">
        <v>1</v>
      </c>
      <c r="C1050" s="9">
        <v>472.9</v>
      </c>
      <c r="D1050" s="29">
        <f>C1050+IF(INDEX('Справочник по %'!B:B,(MATCH(A1050,'Справочник по %'!A:A,0)))="кол-во",B1050*INDEX('Справочник по %'!C:C,(MATCH(A1050,'Справочник по %'!A:A,0))),ОТЧЕТ!C1050*INDEX('Справочник по %'!C:C,(MATCH(A1050,'Справочник по %'!A:A,0))))/100</f>
        <v>520.18999999999994</v>
      </c>
      <c r="E1050" s="29">
        <f>IF(ОТЧЕТ!A1050="SKU3",C1050+ОТЧЕТ!C1050*0.2,C1050+ОТЧЕТ!C1050*0.15)</f>
        <v>543.83499999999992</v>
      </c>
      <c r="F1050" s="7" t="s">
        <v>2370</v>
      </c>
      <c r="G1050" s="7">
        <v>6833012604</v>
      </c>
      <c r="H1050" s="20" t="s">
        <v>91</v>
      </c>
      <c r="I1050" s="22" t="str">
        <f>INDEX('Справочник Сети'!B:B,(MATCH(G1050,'Справочник Сети'!C:C,0)))</f>
        <v>Ригла</v>
      </c>
      <c r="J1050" s="7" t="s">
        <v>106</v>
      </c>
      <c r="K1050" s="7" t="s">
        <v>2390</v>
      </c>
      <c r="L1050" s="7" t="s">
        <v>106</v>
      </c>
      <c r="M1050" s="31">
        <v>45694</v>
      </c>
      <c r="N1050" s="7" t="s">
        <v>2397</v>
      </c>
      <c r="O1050" s="8">
        <v>1074</v>
      </c>
      <c r="P1050" s="24">
        <v>5101</v>
      </c>
      <c r="Q1050" s="22">
        <f>IF(COUNTIFS(A$2:A1050,A1050,I$2:I1050,I1050)=1,1,0)</f>
        <v>0</v>
      </c>
      <c r="R1050" s="22">
        <f t="shared" si="16"/>
        <v>1</v>
      </c>
      <c r="S1050" s="33">
        <f>IF(COUNTIF(O$2:O1050,O1050)=1,R1050,0)/2.5</f>
        <v>0.4</v>
      </c>
    </row>
    <row r="1051" spans="1:19" ht="18" customHeight="1" x14ac:dyDescent="0.25">
      <c r="A1051" s="7" t="s">
        <v>43</v>
      </c>
      <c r="B1051" s="8">
        <v>1</v>
      </c>
      <c r="C1051" s="9">
        <v>479</v>
      </c>
      <c r="D1051" s="29">
        <f>C1051+IF(INDEX('Справочник по %'!B:B,(MATCH(A1051,'Справочник по %'!A:A,0)))="кол-во",B1051*INDEX('Справочник по %'!C:C,(MATCH(A1051,'Справочник по %'!A:A,0))),ОТЧЕТ!C1051*INDEX('Справочник по %'!C:C,(MATCH(A1051,'Справочник по %'!A:A,0))))/100</f>
        <v>526.9</v>
      </c>
      <c r="E1051" s="29">
        <f>IF(ОТЧЕТ!A1051="SKU3",C1051+ОТЧЕТ!C1051*0.2,C1051+ОТЧЕТ!C1051*0.15)</f>
        <v>550.85</v>
      </c>
      <c r="F1051" s="7" t="s">
        <v>2398</v>
      </c>
      <c r="G1051" s="7">
        <v>7732121736</v>
      </c>
      <c r="H1051" s="20" t="s">
        <v>1379</v>
      </c>
      <c r="I1051" s="22" t="str">
        <f>INDEX('Справочник Сети'!B:B,(MATCH(G1051,'Справочник Сети'!C:C,0)))</f>
        <v>Планета здоровья</v>
      </c>
      <c r="J1051" s="7" t="s">
        <v>149</v>
      </c>
      <c r="K1051" s="7" t="s">
        <v>1068</v>
      </c>
      <c r="L1051" s="7" t="s">
        <v>149</v>
      </c>
      <c r="M1051" s="31">
        <v>45673</v>
      </c>
      <c r="N1051" s="7" t="s">
        <v>2399</v>
      </c>
      <c r="O1051" s="8">
        <v>1396</v>
      </c>
      <c r="P1051" s="24">
        <v>5114</v>
      </c>
      <c r="Q1051" s="22">
        <f>IF(COUNTIFS(A$2:A1051,A1051,I$2:I1051,I1051)=1,1,0)</f>
        <v>0</v>
      </c>
      <c r="R1051" s="22">
        <f t="shared" si="16"/>
        <v>6</v>
      </c>
      <c r="S1051" s="33">
        <f>IF(COUNTIF(O$2:O1051,O1051)=1,R1051,0)/2.5</f>
        <v>0</v>
      </c>
    </row>
    <row r="1052" spans="1:19" ht="18" customHeight="1" x14ac:dyDescent="0.25">
      <c r="A1052" s="7" t="s">
        <v>43</v>
      </c>
      <c r="B1052" s="8">
        <v>1</v>
      </c>
      <c r="C1052" s="9">
        <v>396.72</v>
      </c>
      <c r="D1052" s="29">
        <f>C1052+IF(INDEX('Справочник по %'!B:B,(MATCH(A1052,'Справочник по %'!A:A,0)))="кол-во",B1052*INDEX('Справочник по %'!C:C,(MATCH(A1052,'Справочник по %'!A:A,0))),ОТЧЕТ!C1052*INDEX('Справочник по %'!C:C,(MATCH(A1052,'Справочник по %'!A:A,0))))/100</f>
        <v>436.39200000000005</v>
      </c>
      <c r="E1052" s="29">
        <f>IF(ОТЧЕТ!A1052="SKU3",C1052+ОТЧЕТ!C1052*0.2,C1052+ОТЧЕТ!C1052*0.15)</f>
        <v>456.22800000000001</v>
      </c>
      <c r="F1052" s="7" t="s">
        <v>2400</v>
      </c>
      <c r="G1052" s="7">
        <v>7732121736</v>
      </c>
      <c r="H1052" s="20" t="s">
        <v>1984</v>
      </c>
      <c r="I1052" s="22" t="str">
        <f>INDEX('Справочник Сети'!B:B,(MATCH(G1052,'Справочник Сети'!C:C,0)))</f>
        <v>Планета здоровья</v>
      </c>
      <c r="J1052" s="7" t="s">
        <v>149</v>
      </c>
      <c r="K1052" s="7" t="s">
        <v>1757</v>
      </c>
      <c r="L1052" s="7" t="s">
        <v>149</v>
      </c>
      <c r="M1052" s="31">
        <v>45673</v>
      </c>
      <c r="N1052" s="7" t="s">
        <v>2401</v>
      </c>
      <c r="O1052" s="8">
        <v>1794</v>
      </c>
      <c r="P1052" s="24">
        <v>5115</v>
      </c>
      <c r="Q1052" s="22">
        <f>IF(COUNTIFS(A$2:A1052,A1052,I$2:I1052,I1052)=1,1,0)</f>
        <v>0</v>
      </c>
      <c r="R1052" s="22">
        <f t="shared" si="16"/>
        <v>4</v>
      </c>
      <c r="S1052" s="33">
        <f>IF(COUNTIF(O$2:O1052,O1052)=1,R1052,0)/2.5</f>
        <v>1.6</v>
      </c>
    </row>
    <row r="1053" spans="1:19" ht="18" customHeight="1" x14ac:dyDescent="0.25">
      <c r="A1053" s="7" t="s">
        <v>37</v>
      </c>
      <c r="B1053" s="8">
        <v>1</v>
      </c>
      <c r="C1053" s="9">
        <v>556</v>
      </c>
      <c r="D1053" s="29">
        <f>C1053+IF(INDEX('Справочник по %'!B:B,(MATCH(A1053,'Справочник по %'!A:A,0)))="кол-во",B1053*INDEX('Справочник по %'!C:C,(MATCH(A1053,'Справочник по %'!A:A,0))),ОТЧЕТ!C1053*INDEX('Справочник по %'!C:C,(MATCH(A1053,'Справочник по %'!A:A,0))))/100</f>
        <v>556.20000000000005</v>
      </c>
      <c r="E1053" s="29">
        <f>IF(ОТЧЕТ!A1053="SKU3",C1053+ОТЧЕТ!C1053*0.2,C1053+ОТЧЕТ!C1053*0.15)</f>
        <v>639.4</v>
      </c>
      <c r="F1053" s="7" t="s">
        <v>2402</v>
      </c>
      <c r="G1053" s="7">
        <v>7732121736</v>
      </c>
      <c r="H1053" s="20" t="s">
        <v>2403</v>
      </c>
      <c r="I1053" s="22" t="str">
        <f>INDEX('Справочник Сети'!B:B,(MATCH(G1053,'Справочник Сети'!C:C,0)))</f>
        <v>Планета здоровья</v>
      </c>
      <c r="J1053" s="7" t="s">
        <v>149</v>
      </c>
      <c r="K1053" s="7" t="s">
        <v>337</v>
      </c>
      <c r="L1053" s="7" t="s">
        <v>149</v>
      </c>
      <c r="M1053" s="31">
        <v>45673</v>
      </c>
      <c r="N1053" s="7" t="s">
        <v>2404</v>
      </c>
      <c r="O1053" s="8">
        <v>1666</v>
      </c>
      <c r="P1053" s="24">
        <v>5119</v>
      </c>
      <c r="Q1053" s="22">
        <f>IF(COUNTIFS(A$2:A1053,A1053,I$2:I1053,I1053)=1,1,0)</f>
        <v>0</v>
      </c>
      <c r="R1053" s="22">
        <f t="shared" si="16"/>
        <v>2</v>
      </c>
      <c r="S1053" s="33">
        <f>IF(COUNTIF(O$2:O1053,O1053)=1,R1053,0)/2.5</f>
        <v>0.8</v>
      </c>
    </row>
    <row r="1054" spans="1:19" ht="18" customHeight="1" x14ac:dyDescent="0.25">
      <c r="A1054" s="7" t="s">
        <v>43</v>
      </c>
      <c r="B1054" s="8">
        <v>1</v>
      </c>
      <c r="C1054" s="9">
        <v>440</v>
      </c>
      <c r="D1054" s="29">
        <f>C1054+IF(INDEX('Справочник по %'!B:B,(MATCH(A1054,'Справочник по %'!A:A,0)))="кол-во",B1054*INDEX('Справочник по %'!C:C,(MATCH(A1054,'Справочник по %'!A:A,0))),ОТЧЕТ!C1054*INDEX('Справочник по %'!C:C,(MATCH(A1054,'Справочник по %'!A:A,0))))/100</f>
        <v>484</v>
      </c>
      <c r="E1054" s="29">
        <f>IF(ОТЧЕТ!A1054="SKU3",C1054+ОТЧЕТ!C1054*0.2,C1054+ОТЧЕТ!C1054*0.15)</f>
        <v>506</v>
      </c>
      <c r="F1054" s="7" t="s">
        <v>2402</v>
      </c>
      <c r="G1054" s="7">
        <v>910309344625</v>
      </c>
      <c r="H1054" s="20" t="s">
        <v>91</v>
      </c>
      <c r="I1054" s="22">
        <f>INDEX('Справочник Сети'!B:B,(MATCH(G1054,'Справочник Сети'!C:C,0)))</f>
        <v>0</v>
      </c>
      <c r="J1054" s="7" t="s">
        <v>322</v>
      </c>
      <c r="K1054" s="7" t="s">
        <v>337</v>
      </c>
      <c r="L1054" s="7" t="s">
        <v>322</v>
      </c>
      <c r="M1054" s="31">
        <v>45658</v>
      </c>
      <c r="N1054" s="7" t="s">
        <v>2405</v>
      </c>
      <c r="O1054" s="8">
        <v>1380</v>
      </c>
      <c r="P1054" s="24">
        <v>5122</v>
      </c>
      <c r="Q1054" s="22">
        <f>IF(COUNTIFS(A$2:A1054,A1054,I$2:I1054,I1054)=1,1,0)</f>
        <v>0</v>
      </c>
      <c r="R1054" s="22">
        <f t="shared" si="16"/>
        <v>1</v>
      </c>
      <c r="S1054" s="33">
        <f>IF(COUNTIF(O$2:O1054,O1054)=1,R1054,0)/2.5</f>
        <v>0.4</v>
      </c>
    </row>
    <row r="1055" spans="1:19" ht="18" customHeight="1" x14ac:dyDescent="0.25">
      <c r="A1055" s="7" t="s">
        <v>37</v>
      </c>
      <c r="B1055" s="8">
        <v>1</v>
      </c>
      <c r="C1055" s="9">
        <v>798</v>
      </c>
      <c r="D1055" s="29">
        <f>C1055+IF(INDEX('Справочник по %'!B:B,(MATCH(A1055,'Справочник по %'!A:A,0)))="кол-во",B1055*INDEX('Справочник по %'!C:C,(MATCH(A1055,'Справочник по %'!A:A,0))),ОТЧЕТ!C1055*INDEX('Справочник по %'!C:C,(MATCH(A1055,'Справочник по %'!A:A,0))))/100</f>
        <v>798.2</v>
      </c>
      <c r="E1055" s="29">
        <f>IF(ОТЧЕТ!A1055="SKU3",C1055+ОТЧЕТ!C1055*0.2,C1055+ОТЧЕТ!C1055*0.15)</f>
        <v>917.7</v>
      </c>
      <c r="F1055" s="7" t="s">
        <v>2402</v>
      </c>
      <c r="G1055" s="7">
        <v>236502184438</v>
      </c>
      <c r="H1055" s="20" t="s">
        <v>50</v>
      </c>
      <c r="I1055" s="22">
        <f>INDEX('Справочник Сети'!B:B,(MATCH(G1055,'Справочник Сети'!C:C,0)))</f>
        <v>0</v>
      </c>
      <c r="J1055" s="7" t="s">
        <v>74</v>
      </c>
      <c r="K1055" s="7" t="s">
        <v>508</v>
      </c>
      <c r="L1055" s="7" t="s">
        <v>74</v>
      </c>
      <c r="M1055" s="31">
        <v>45661</v>
      </c>
      <c r="N1055" s="7" t="s">
        <v>2406</v>
      </c>
      <c r="O1055" s="8">
        <v>2846</v>
      </c>
      <c r="P1055" s="24">
        <v>5125</v>
      </c>
      <c r="Q1055" s="22">
        <f>IF(COUNTIFS(A$2:A1055,A1055,I$2:I1055,I1055)=1,1,0)</f>
        <v>0</v>
      </c>
      <c r="R1055" s="22">
        <f t="shared" si="16"/>
        <v>1</v>
      </c>
      <c r="S1055" s="33">
        <f>IF(COUNTIF(O$2:O1055,O1055)=1,R1055,0)/2.5</f>
        <v>0.4</v>
      </c>
    </row>
    <row r="1056" spans="1:19" ht="18" customHeight="1" x14ac:dyDescent="0.25">
      <c r="A1056" s="7" t="s">
        <v>37</v>
      </c>
      <c r="B1056" s="8">
        <v>1</v>
      </c>
      <c r="C1056" s="9">
        <v>585.9</v>
      </c>
      <c r="D1056" s="29">
        <f>C1056+IF(INDEX('Справочник по %'!B:B,(MATCH(A1056,'Справочник по %'!A:A,0)))="кол-во",B1056*INDEX('Справочник по %'!C:C,(MATCH(A1056,'Справочник по %'!A:A,0))),ОТЧЕТ!C1056*INDEX('Справочник по %'!C:C,(MATCH(A1056,'Справочник по %'!A:A,0))))/100</f>
        <v>586.1</v>
      </c>
      <c r="E1056" s="29">
        <f>IF(ОТЧЕТ!A1056="SKU3",C1056+ОТЧЕТ!C1056*0.2,C1056+ОТЧЕТ!C1056*0.15)</f>
        <v>673.78499999999997</v>
      </c>
      <c r="F1056" s="7" t="s">
        <v>2402</v>
      </c>
      <c r="G1056" s="7">
        <v>7204146152</v>
      </c>
      <c r="H1056" s="20" t="s">
        <v>1009</v>
      </c>
      <c r="I1056" s="22" t="str">
        <f>INDEX('Справочник Сети'!B:B,(MATCH(G1056,'Справочник Сети'!C:C,0)))</f>
        <v>36,6</v>
      </c>
      <c r="J1056" s="7" t="s">
        <v>104</v>
      </c>
      <c r="K1056" s="7" t="s">
        <v>325</v>
      </c>
      <c r="L1056" s="7" t="s">
        <v>106</v>
      </c>
      <c r="M1056" s="31">
        <v>45694</v>
      </c>
      <c r="N1056" s="7" t="s">
        <v>2407</v>
      </c>
      <c r="O1056" s="8">
        <v>836</v>
      </c>
      <c r="P1056" s="24">
        <v>5127</v>
      </c>
      <c r="Q1056" s="22">
        <f>IF(COUNTIFS(A$2:A1056,A1056,I$2:I1056,I1056)=1,1,0)</f>
        <v>0</v>
      </c>
      <c r="R1056" s="22">
        <f t="shared" si="16"/>
        <v>11</v>
      </c>
      <c r="S1056" s="33">
        <f>IF(COUNTIF(O$2:O1056,O1056)=1,R1056,0)/2.5</f>
        <v>0</v>
      </c>
    </row>
    <row r="1057" spans="1:19" ht="18" customHeight="1" x14ac:dyDescent="0.25">
      <c r="A1057" s="7" t="s">
        <v>43</v>
      </c>
      <c r="B1057" s="8">
        <v>1</v>
      </c>
      <c r="C1057" s="9">
        <v>401</v>
      </c>
      <c r="D1057" s="29">
        <f>C1057+IF(INDEX('Справочник по %'!B:B,(MATCH(A1057,'Справочник по %'!A:A,0)))="кол-во",B1057*INDEX('Справочник по %'!C:C,(MATCH(A1057,'Справочник по %'!A:A,0))),ОТЧЕТ!C1057*INDEX('Справочник по %'!C:C,(MATCH(A1057,'Справочник по %'!A:A,0))))/100</f>
        <v>441.1</v>
      </c>
      <c r="E1057" s="29">
        <f>IF(ОТЧЕТ!A1057="SKU3",C1057+ОТЧЕТ!C1057*0.2,C1057+ОТЧЕТ!C1057*0.15)</f>
        <v>461.15</v>
      </c>
      <c r="F1057" s="7" t="s">
        <v>2402</v>
      </c>
      <c r="G1057" s="7">
        <v>7705947629</v>
      </c>
      <c r="H1057" s="20" t="s">
        <v>64</v>
      </c>
      <c r="I1057" s="22" t="str">
        <f>INDEX('Справочник Сети'!B:B,(MATCH(G1057,'Справочник Сети'!C:C,0)))</f>
        <v>36,6</v>
      </c>
      <c r="J1057" s="7" t="s">
        <v>104</v>
      </c>
      <c r="K1057" s="7" t="s">
        <v>2337</v>
      </c>
      <c r="L1057" s="7" t="s">
        <v>104</v>
      </c>
      <c r="M1057" s="31">
        <v>45693</v>
      </c>
      <c r="N1057" s="7" t="s">
        <v>2408</v>
      </c>
      <c r="O1057" s="8">
        <v>2571</v>
      </c>
      <c r="P1057" s="24">
        <v>5129</v>
      </c>
      <c r="Q1057" s="22">
        <f>IF(COUNTIFS(A$2:A1057,A1057,I$2:I1057,I1057)=1,1,0)</f>
        <v>0</v>
      </c>
      <c r="R1057" s="22">
        <f t="shared" si="16"/>
        <v>9</v>
      </c>
      <c r="S1057" s="33">
        <f>IF(COUNTIF(O$2:O1057,O1057)=1,R1057,0)/2.5</f>
        <v>0</v>
      </c>
    </row>
    <row r="1058" spans="1:19" ht="18" customHeight="1" x14ac:dyDescent="0.25">
      <c r="A1058" s="7" t="s">
        <v>43</v>
      </c>
      <c r="B1058" s="8">
        <v>1</v>
      </c>
      <c r="C1058" s="9">
        <v>494</v>
      </c>
      <c r="D1058" s="29">
        <f>C1058+IF(INDEX('Справочник по %'!B:B,(MATCH(A1058,'Справочник по %'!A:A,0)))="кол-во",B1058*INDEX('Справочник по %'!C:C,(MATCH(A1058,'Справочник по %'!A:A,0))),ОТЧЕТ!C1058*INDEX('Справочник по %'!C:C,(MATCH(A1058,'Справочник по %'!A:A,0))))/100</f>
        <v>543.4</v>
      </c>
      <c r="E1058" s="29">
        <f>IF(ОТЧЕТ!A1058="SKU3",C1058+ОТЧЕТ!C1058*0.2,C1058+ОТЧЕТ!C1058*0.15)</f>
        <v>568.1</v>
      </c>
      <c r="F1058" s="7" t="s">
        <v>2409</v>
      </c>
      <c r="G1058" s="7">
        <v>6319162952</v>
      </c>
      <c r="H1058" s="20" t="s">
        <v>2410</v>
      </c>
      <c r="I1058" s="22">
        <f>INDEX('Справочник Сети'!B:B,(MATCH(G1058,'Справочник Сети'!C:C,0)))</f>
        <v>0</v>
      </c>
      <c r="J1058" s="7" t="s">
        <v>133</v>
      </c>
      <c r="K1058" s="7" t="s">
        <v>342</v>
      </c>
      <c r="L1058" s="7" t="s">
        <v>133</v>
      </c>
      <c r="M1058" s="31">
        <v>45695</v>
      </c>
      <c r="N1058" s="7" t="s">
        <v>2411</v>
      </c>
      <c r="O1058" s="8">
        <v>2906</v>
      </c>
      <c r="P1058" s="24">
        <v>5132</v>
      </c>
      <c r="Q1058" s="22">
        <f>IF(COUNTIFS(A$2:A1058,A1058,I$2:I1058,I1058)=1,1,0)</f>
        <v>0</v>
      </c>
      <c r="R1058" s="22">
        <f t="shared" si="16"/>
        <v>3</v>
      </c>
      <c r="S1058" s="33">
        <f>IF(COUNTIF(O$2:O1058,O1058)=1,R1058,0)/2.5</f>
        <v>1.2</v>
      </c>
    </row>
    <row r="1059" spans="1:19" ht="18" customHeight="1" x14ac:dyDescent="0.25">
      <c r="A1059" s="7" t="s">
        <v>37</v>
      </c>
      <c r="B1059" s="8">
        <v>1</v>
      </c>
      <c r="C1059" s="9">
        <v>795</v>
      </c>
      <c r="D1059" s="29">
        <f>C1059+IF(INDEX('Справочник по %'!B:B,(MATCH(A1059,'Справочник по %'!A:A,0)))="кол-во",B1059*INDEX('Справочник по %'!C:C,(MATCH(A1059,'Справочник по %'!A:A,0))),ОТЧЕТ!C1059*INDEX('Справочник по %'!C:C,(MATCH(A1059,'Справочник по %'!A:A,0))))/100</f>
        <v>795.2</v>
      </c>
      <c r="E1059" s="29">
        <f>IF(ОТЧЕТ!A1059="SKU3",C1059+ОТЧЕТ!C1059*0.2,C1059+ОТЧЕТ!C1059*0.15)</f>
        <v>914.25</v>
      </c>
      <c r="F1059" s="7" t="s">
        <v>2409</v>
      </c>
      <c r="G1059" s="7">
        <v>5017128086</v>
      </c>
      <c r="H1059" s="20" t="s">
        <v>378</v>
      </c>
      <c r="I1059" s="22" t="str">
        <f>INDEX('Справочник Сети'!B:B,(MATCH(G1059,'Справочник Сети'!C:C,0)))</f>
        <v>Столички</v>
      </c>
      <c r="J1059" s="7" t="s">
        <v>83</v>
      </c>
      <c r="K1059" s="7" t="s">
        <v>2412</v>
      </c>
      <c r="L1059" s="7" t="s">
        <v>83</v>
      </c>
      <c r="M1059" s="31">
        <v>45715</v>
      </c>
      <c r="N1059" s="7" t="s">
        <v>2413</v>
      </c>
      <c r="O1059" s="8">
        <v>903</v>
      </c>
      <c r="P1059" s="24">
        <v>5133</v>
      </c>
      <c r="Q1059" s="22">
        <f>IF(COUNTIFS(A$2:A1059,A1059,I$2:I1059,I1059)=1,1,0)</f>
        <v>0</v>
      </c>
      <c r="R1059" s="22">
        <f t="shared" si="16"/>
        <v>3</v>
      </c>
      <c r="S1059" s="33">
        <f>IF(COUNTIF(O$2:O1059,O1059)=1,R1059,0)/2.5</f>
        <v>0</v>
      </c>
    </row>
    <row r="1060" spans="1:19" ht="18" customHeight="1" x14ac:dyDescent="0.25">
      <c r="A1060" s="7" t="s">
        <v>43</v>
      </c>
      <c r="B1060" s="8">
        <v>1</v>
      </c>
      <c r="C1060" s="9">
        <v>379</v>
      </c>
      <c r="D1060" s="29">
        <f>C1060+IF(INDEX('Справочник по %'!B:B,(MATCH(A1060,'Справочник по %'!A:A,0)))="кол-во",B1060*INDEX('Справочник по %'!C:C,(MATCH(A1060,'Справочник по %'!A:A,0))),ОТЧЕТ!C1060*INDEX('Справочник по %'!C:C,(MATCH(A1060,'Справочник по %'!A:A,0))))/100</f>
        <v>416.9</v>
      </c>
      <c r="E1060" s="29">
        <f>IF(ОТЧЕТ!A1060="SKU3",C1060+ОТЧЕТ!C1060*0.2,C1060+ОТЧЕТ!C1060*0.15)</f>
        <v>435.85</v>
      </c>
      <c r="F1060" s="7" t="s">
        <v>2414</v>
      </c>
      <c r="G1060" s="7">
        <v>5405074850</v>
      </c>
      <c r="H1060" s="20" t="s">
        <v>2415</v>
      </c>
      <c r="I1060" s="22" t="str">
        <f>INDEX('Справочник Сети'!B:B,(MATCH(G1060,'Справочник Сети'!C:C,0)))</f>
        <v>Ригла</v>
      </c>
      <c r="J1060" s="7" t="s">
        <v>92</v>
      </c>
      <c r="K1060" s="7" t="s">
        <v>252</v>
      </c>
      <c r="L1060" s="7" t="s">
        <v>92</v>
      </c>
      <c r="M1060" s="31">
        <v>45714</v>
      </c>
      <c r="N1060" s="7" t="s">
        <v>2416</v>
      </c>
      <c r="O1060" s="8">
        <v>1557</v>
      </c>
      <c r="P1060" s="24">
        <v>5136</v>
      </c>
      <c r="Q1060" s="22">
        <f>IF(COUNTIFS(A$2:A1060,A1060,I$2:I1060,I1060)=1,1,0)</f>
        <v>0</v>
      </c>
      <c r="R1060" s="22">
        <f t="shared" si="16"/>
        <v>1</v>
      </c>
      <c r="S1060" s="33">
        <f>IF(COUNTIF(O$2:O1060,O1060)=1,R1060,0)/2.5</f>
        <v>0.4</v>
      </c>
    </row>
    <row r="1061" spans="1:19" ht="18" customHeight="1" x14ac:dyDescent="0.25">
      <c r="A1061" s="7" t="s">
        <v>43</v>
      </c>
      <c r="B1061" s="8">
        <v>1</v>
      </c>
      <c r="C1061" s="9">
        <v>450</v>
      </c>
      <c r="D1061" s="29">
        <f>C1061+IF(INDEX('Справочник по %'!B:B,(MATCH(A1061,'Справочник по %'!A:A,0)))="кол-во",B1061*INDEX('Справочник по %'!C:C,(MATCH(A1061,'Справочник по %'!A:A,0))),ОТЧЕТ!C1061*INDEX('Справочник по %'!C:C,(MATCH(A1061,'Справочник по %'!A:A,0))))/100</f>
        <v>495</v>
      </c>
      <c r="E1061" s="29">
        <f>IF(ОТЧЕТ!A1061="SKU3",C1061+ОТЧЕТ!C1061*0.2,C1061+ОТЧЕТ!C1061*0.15)</f>
        <v>517.5</v>
      </c>
      <c r="F1061" s="7" t="s">
        <v>2414</v>
      </c>
      <c r="G1061" s="7">
        <v>7704865540</v>
      </c>
      <c r="H1061" s="20" t="s">
        <v>91</v>
      </c>
      <c r="I1061" s="22" t="str">
        <f>INDEX('Справочник Сети'!B:B,(MATCH(G1061,'Справочник Сети'!C:C,0)))</f>
        <v>Столички</v>
      </c>
      <c r="J1061" s="7" t="s">
        <v>104</v>
      </c>
      <c r="K1061" s="7" t="s">
        <v>751</v>
      </c>
      <c r="L1061" s="7" t="s">
        <v>104</v>
      </c>
      <c r="M1061" s="31">
        <v>45693</v>
      </c>
      <c r="N1061" s="7" t="s">
        <v>2417</v>
      </c>
      <c r="O1061" s="8">
        <v>1875</v>
      </c>
      <c r="P1061" s="24">
        <v>5139</v>
      </c>
      <c r="Q1061" s="22">
        <f>IF(COUNTIFS(A$2:A1061,A1061,I$2:I1061,I1061)=1,1,0)</f>
        <v>0</v>
      </c>
      <c r="R1061" s="22">
        <f t="shared" si="16"/>
        <v>2</v>
      </c>
      <c r="S1061" s="33">
        <f>IF(COUNTIF(O$2:O1061,O1061)=1,R1061,0)/2.5</f>
        <v>0.8</v>
      </c>
    </row>
    <row r="1062" spans="1:19" ht="18" customHeight="1" x14ac:dyDescent="0.25">
      <c r="A1062" s="7" t="s">
        <v>43</v>
      </c>
      <c r="B1062" s="8">
        <v>1</v>
      </c>
      <c r="C1062" s="9">
        <v>370</v>
      </c>
      <c r="D1062" s="29">
        <f>C1062+IF(INDEX('Справочник по %'!B:B,(MATCH(A1062,'Справочник по %'!A:A,0)))="кол-во",B1062*INDEX('Справочник по %'!C:C,(MATCH(A1062,'Справочник по %'!A:A,0))),ОТЧЕТ!C1062*INDEX('Справочник по %'!C:C,(MATCH(A1062,'Справочник по %'!A:A,0))))/100</f>
        <v>407</v>
      </c>
      <c r="E1062" s="29">
        <f>IF(ОТЧЕТ!A1062="SKU3",C1062+ОТЧЕТ!C1062*0.2,C1062+ОТЧЕТ!C1062*0.15)</f>
        <v>425.5</v>
      </c>
      <c r="F1062" s="7" t="s">
        <v>2414</v>
      </c>
      <c r="G1062" s="7">
        <v>2225105670</v>
      </c>
      <c r="H1062" s="20" t="s">
        <v>69</v>
      </c>
      <c r="I1062" s="22" t="str">
        <f>INDEX('Справочник Сети'!B:B,(MATCH(G1062,'Справочник Сети'!C:C,0)))</f>
        <v>Столички</v>
      </c>
      <c r="J1062" s="7" t="s">
        <v>372</v>
      </c>
      <c r="K1062" s="7" t="s">
        <v>154</v>
      </c>
      <c r="L1062" s="7" t="s">
        <v>372</v>
      </c>
      <c r="M1062" s="31">
        <v>45730</v>
      </c>
      <c r="N1062" s="7" t="s">
        <v>2418</v>
      </c>
      <c r="O1062" s="8">
        <v>2917</v>
      </c>
      <c r="P1062" s="24">
        <v>5140</v>
      </c>
      <c r="Q1062" s="22">
        <f>IF(COUNTIFS(A$2:A1062,A1062,I$2:I1062,I1062)=1,1,0)</f>
        <v>0</v>
      </c>
      <c r="R1062" s="22">
        <f t="shared" si="16"/>
        <v>2</v>
      </c>
      <c r="S1062" s="33">
        <f>IF(COUNTIF(O$2:O1062,O1062)=1,R1062,0)/2.5</f>
        <v>0</v>
      </c>
    </row>
    <row r="1063" spans="1:19" ht="18" customHeight="1" x14ac:dyDescent="0.25">
      <c r="A1063" s="7" t="s">
        <v>43</v>
      </c>
      <c r="B1063" s="8">
        <v>1</v>
      </c>
      <c r="C1063" s="9">
        <v>384</v>
      </c>
      <c r="D1063" s="29">
        <f>C1063+IF(INDEX('Справочник по %'!B:B,(MATCH(A1063,'Справочник по %'!A:A,0)))="кол-во",B1063*INDEX('Справочник по %'!C:C,(MATCH(A1063,'Справочник по %'!A:A,0))),ОТЧЕТ!C1063*INDEX('Справочник по %'!C:C,(MATCH(A1063,'Справочник по %'!A:A,0))))/100</f>
        <v>422.4</v>
      </c>
      <c r="E1063" s="29">
        <f>IF(ОТЧЕТ!A1063="SKU3",C1063+ОТЧЕТ!C1063*0.2,C1063+ОТЧЕТ!C1063*0.15)</f>
        <v>441.6</v>
      </c>
      <c r="F1063" s="7" t="s">
        <v>2414</v>
      </c>
      <c r="G1063" s="7">
        <v>5903090332</v>
      </c>
      <c r="H1063" s="20" t="s">
        <v>658</v>
      </c>
      <c r="I1063" s="22" t="str">
        <f>INDEX('Справочник Сети'!B:B,(MATCH(G1063,'Справочник Сети'!C:C,0)))</f>
        <v>Ригла</v>
      </c>
      <c r="J1063" s="7" t="s">
        <v>40</v>
      </c>
      <c r="K1063" s="7" t="s">
        <v>1793</v>
      </c>
      <c r="L1063" s="7" t="s">
        <v>40</v>
      </c>
      <c r="M1063" s="31">
        <v>45712</v>
      </c>
      <c r="N1063" s="7" t="s">
        <v>2419</v>
      </c>
      <c r="O1063" s="8">
        <v>2657</v>
      </c>
      <c r="P1063" s="24">
        <v>5141</v>
      </c>
      <c r="Q1063" s="22">
        <f>IF(COUNTIFS(A$2:A1063,A1063,I$2:I1063,I1063)=1,1,0)</f>
        <v>0</v>
      </c>
      <c r="R1063" s="22">
        <f t="shared" si="16"/>
        <v>1</v>
      </c>
      <c r="S1063" s="33">
        <f>IF(COUNTIF(O$2:O1063,O1063)=1,R1063,0)/2.5</f>
        <v>0.4</v>
      </c>
    </row>
    <row r="1064" spans="1:19" ht="18" customHeight="1" x14ac:dyDescent="0.25">
      <c r="A1064" s="7" t="s">
        <v>37</v>
      </c>
      <c r="B1064" s="8">
        <v>1</v>
      </c>
      <c r="C1064" s="9">
        <v>598.36</v>
      </c>
      <c r="D1064" s="29">
        <f>C1064+IF(INDEX('Справочник по %'!B:B,(MATCH(A1064,'Справочник по %'!A:A,0)))="кол-во",B1064*INDEX('Справочник по %'!C:C,(MATCH(A1064,'Справочник по %'!A:A,0))),ОТЧЕТ!C1064*INDEX('Справочник по %'!C:C,(MATCH(A1064,'Справочник по %'!A:A,0))))/100</f>
        <v>598.56000000000006</v>
      </c>
      <c r="E1064" s="29">
        <f>IF(ОТЧЕТ!A1064="SKU3",C1064+ОТЧЕТ!C1064*0.2,C1064+ОТЧЕТ!C1064*0.15)</f>
        <v>688.11400000000003</v>
      </c>
      <c r="F1064" s="7" t="s">
        <v>2420</v>
      </c>
      <c r="G1064" s="7">
        <v>910900095729</v>
      </c>
      <c r="H1064" s="20" t="s">
        <v>1046</v>
      </c>
      <c r="I1064" s="22">
        <f>INDEX('Справочник Сети'!B:B,(MATCH(G1064,'Справочник Сети'!C:C,0)))</f>
        <v>0</v>
      </c>
      <c r="J1064" s="7" t="s">
        <v>322</v>
      </c>
      <c r="K1064" s="7" t="s">
        <v>139</v>
      </c>
      <c r="L1064" s="7" t="s">
        <v>322</v>
      </c>
      <c r="M1064" s="31">
        <v>45658</v>
      </c>
      <c r="N1064" s="7" t="s">
        <v>2421</v>
      </c>
      <c r="O1064" s="8">
        <v>3127</v>
      </c>
      <c r="P1064" s="24">
        <v>5144</v>
      </c>
      <c r="Q1064" s="22">
        <f>IF(COUNTIFS(A$2:A1064,A1064,I$2:I1064,I1064)=1,1,0)</f>
        <v>0</v>
      </c>
      <c r="R1064" s="22">
        <f t="shared" si="16"/>
        <v>4</v>
      </c>
      <c r="S1064" s="33">
        <f>IF(COUNTIF(O$2:O1064,O1064)=1,R1064,0)/2.5</f>
        <v>0</v>
      </c>
    </row>
    <row r="1065" spans="1:19" ht="18" customHeight="1" x14ac:dyDescent="0.25">
      <c r="A1065" s="7" t="s">
        <v>43</v>
      </c>
      <c r="B1065" s="8">
        <v>1</v>
      </c>
      <c r="C1065" s="9">
        <v>370</v>
      </c>
      <c r="D1065" s="29">
        <f>C1065+IF(INDEX('Справочник по %'!B:B,(MATCH(A1065,'Справочник по %'!A:A,0)))="кол-во",B1065*INDEX('Справочник по %'!C:C,(MATCH(A1065,'Справочник по %'!A:A,0))),ОТЧЕТ!C1065*INDEX('Справочник по %'!C:C,(MATCH(A1065,'Справочник по %'!A:A,0))))/100</f>
        <v>407</v>
      </c>
      <c r="E1065" s="29">
        <f>IF(ОТЧЕТ!A1065="SKU3",C1065+ОТЧЕТ!C1065*0.2,C1065+ОТЧЕТ!C1065*0.15)</f>
        <v>425.5</v>
      </c>
      <c r="F1065" s="7" t="s">
        <v>2420</v>
      </c>
      <c r="G1065" s="7">
        <v>7706795062</v>
      </c>
      <c r="H1065" s="20" t="s">
        <v>2422</v>
      </c>
      <c r="I1065" s="22" t="str">
        <f>INDEX('Справочник Сети'!B:B,(MATCH(G1065,'Справочник Сети'!C:C,0)))</f>
        <v>Планета здоровья</v>
      </c>
      <c r="J1065" s="7" t="s">
        <v>87</v>
      </c>
      <c r="K1065" s="7" t="s">
        <v>991</v>
      </c>
      <c r="L1065" s="7" t="s">
        <v>87</v>
      </c>
      <c r="M1065" s="31">
        <v>45691</v>
      </c>
      <c r="N1065" s="7" t="s">
        <v>2423</v>
      </c>
      <c r="O1065" s="8">
        <v>3828</v>
      </c>
      <c r="P1065" s="24">
        <v>5145</v>
      </c>
      <c r="Q1065" s="22">
        <f>IF(COUNTIFS(A$2:A1065,A1065,I$2:I1065,I1065)=1,1,0)</f>
        <v>0</v>
      </c>
      <c r="R1065" s="22">
        <f t="shared" si="16"/>
        <v>4</v>
      </c>
      <c r="S1065" s="33">
        <f>IF(COUNTIF(O$2:O1065,O1065)=1,R1065,0)/2.5</f>
        <v>1.6</v>
      </c>
    </row>
    <row r="1066" spans="1:19" ht="18" customHeight="1" x14ac:dyDescent="0.25">
      <c r="A1066" s="7" t="s">
        <v>43</v>
      </c>
      <c r="B1066" s="8">
        <v>1</v>
      </c>
      <c r="C1066" s="9">
        <v>549</v>
      </c>
      <c r="D1066" s="29">
        <f>C1066+IF(INDEX('Справочник по %'!B:B,(MATCH(A1066,'Справочник по %'!A:A,0)))="кол-во",B1066*INDEX('Справочник по %'!C:C,(MATCH(A1066,'Справочник по %'!A:A,0))),ОТЧЕТ!C1066*INDEX('Справочник по %'!C:C,(MATCH(A1066,'Справочник по %'!A:A,0))))/100</f>
        <v>603.9</v>
      </c>
      <c r="E1066" s="29">
        <f>IF(ОТЧЕТ!A1066="SKU3",C1066+ОТЧЕТ!C1066*0.2,C1066+ОТЧЕТ!C1066*0.15)</f>
        <v>631.35</v>
      </c>
      <c r="F1066" s="7" t="s">
        <v>2420</v>
      </c>
      <c r="G1066" s="7">
        <v>7732121736</v>
      </c>
      <c r="H1066" s="20" t="s">
        <v>2424</v>
      </c>
      <c r="I1066" s="22" t="str">
        <f>INDEX('Справочник Сети'!B:B,(MATCH(G1066,'Справочник Сети'!C:C,0)))</f>
        <v>Планета здоровья</v>
      </c>
      <c r="J1066" s="7" t="s">
        <v>149</v>
      </c>
      <c r="K1066" s="7" t="s">
        <v>1466</v>
      </c>
      <c r="L1066" s="7" t="s">
        <v>142</v>
      </c>
      <c r="M1066" s="31">
        <v>45674</v>
      </c>
      <c r="N1066" s="7" t="s">
        <v>2425</v>
      </c>
      <c r="O1066" s="8">
        <v>455</v>
      </c>
      <c r="P1066" s="24">
        <v>5146</v>
      </c>
      <c r="Q1066" s="22">
        <f>IF(COUNTIFS(A$2:A1066,A1066,I$2:I1066,I1066)=1,1,0)</f>
        <v>0</v>
      </c>
      <c r="R1066" s="22">
        <f t="shared" si="16"/>
        <v>3</v>
      </c>
      <c r="S1066" s="33">
        <f>IF(COUNTIF(O$2:O1066,O1066)=1,R1066,0)/2.5</f>
        <v>1.2</v>
      </c>
    </row>
    <row r="1067" spans="1:19" ht="18" customHeight="1" x14ac:dyDescent="0.25">
      <c r="A1067" s="7" t="s">
        <v>37</v>
      </c>
      <c r="B1067" s="8">
        <v>1</v>
      </c>
      <c r="C1067" s="9">
        <v>757</v>
      </c>
      <c r="D1067" s="29">
        <f>C1067+IF(INDEX('Справочник по %'!B:B,(MATCH(A1067,'Справочник по %'!A:A,0)))="кол-во",B1067*INDEX('Справочник по %'!C:C,(MATCH(A1067,'Справочник по %'!A:A,0))),ОТЧЕТ!C1067*INDEX('Справочник по %'!C:C,(MATCH(A1067,'Справочник по %'!A:A,0))))/100</f>
        <v>757.2</v>
      </c>
      <c r="E1067" s="29">
        <f>IF(ОТЧЕТ!A1067="SKU3",C1067+ОТЧЕТ!C1067*0.2,C1067+ОТЧЕТ!C1067*0.15)</f>
        <v>870.55</v>
      </c>
      <c r="F1067" s="7" t="s">
        <v>2420</v>
      </c>
      <c r="G1067" s="7">
        <v>7732121736</v>
      </c>
      <c r="H1067" s="20" t="s">
        <v>2424</v>
      </c>
      <c r="I1067" s="22" t="str">
        <f>INDEX('Справочник Сети'!B:B,(MATCH(G1067,'Справочник Сети'!C:C,0)))</f>
        <v>Планета здоровья</v>
      </c>
      <c r="J1067" s="7" t="s">
        <v>149</v>
      </c>
      <c r="K1067" s="7" t="s">
        <v>1063</v>
      </c>
      <c r="L1067" s="7" t="s">
        <v>142</v>
      </c>
      <c r="M1067" s="31">
        <v>45674</v>
      </c>
      <c r="N1067" s="7" t="s">
        <v>2426</v>
      </c>
      <c r="O1067" s="8">
        <v>455</v>
      </c>
      <c r="P1067" s="24">
        <v>5148</v>
      </c>
      <c r="Q1067" s="22">
        <f>IF(COUNTIFS(A$2:A1067,A1067,I$2:I1067,I1067)=1,1,0)</f>
        <v>0</v>
      </c>
      <c r="R1067" s="22">
        <f t="shared" si="16"/>
        <v>3</v>
      </c>
      <c r="S1067" s="33">
        <f>IF(COUNTIF(O$2:O1067,O1067)=1,R1067,0)/2.5</f>
        <v>0</v>
      </c>
    </row>
    <row r="1068" spans="1:19" ht="18" customHeight="1" x14ac:dyDescent="0.25">
      <c r="A1068" s="7" t="s">
        <v>43</v>
      </c>
      <c r="B1068" s="8">
        <v>1</v>
      </c>
      <c r="C1068" s="9">
        <v>333</v>
      </c>
      <c r="D1068" s="29">
        <f>C1068+IF(INDEX('Справочник по %'!B:B,(MATCH(A1068,'Справочник по %'!A:A,0)))="кол-во",B1068*INDEX('Справочник по %'!C:C,(MATCH(A1068,'Справочник по %'!A:A,0))),ОТЧЕТ!C1068*INDEX('Справочник по %'!C:C,(MATCH(A1068,'Справочник по %'!A:A,0))))/100</f>
        <v>366.3</v>
      </c>
      <c r="E1068" s="29">
        <f>IF(ОТЧЕТ!A1068="SKU3",C1068+ОТЧЕТ!C1068*0.2,C1068+ОТЧЕТ!C1068*0.15)</f>
        <v>382.95</v>
      </c>
      <c r="F1068" s="7" t="s">
        <v>2427</v>
      </c>
      <c r="G1068" s="7">
        <v>2311242609</v>
      </c>
      <c r="H1068" s="20" t="s">
        <v>50</v>
      </c>
      <c r="I1068" s="22">
        <f>INDEX('Справочник Сети'!B:B,(MATCH(G1068,'Справочник Сети'!C:C,0)))</f>
        <v>0</v>
      </c>
      <c r="J1068" s="7" t="s">
        <v>70</v>
      </c>
      <c r="K1068" s="7" t="s">
        <v>1105</v>
      </c>
      <c r="L1068" s="7" t="s">
        <v>70</v>
      </c>
      <c r="M1068" s="31">
        <v>45728</v>
      </c>
      <c r="N1068" s="7" t="s">
        <v>2428</v>
      </c>
      <c r="O1068" s="8">
        <v>3045</v>
      </c>
      <c r="P1068" s="24">
        <v>5153</v>
      </c>
      <c r="Q1068" s="22">
        <f>IF(COUNTIFS(A$2:A1068,A1068,I$2:I1068,I1068)=1,1,0)</f>
        <v>0</v>
      </c>
      <c r="R1068" s="22">
        <f t="shared" si="16"/>
        <v>3</v>
      </c>
      <c r="S1068" s="33">
        <f>IF(COUNTIF(O$2:O1068,O1068)=1,R1068,0)/2.5</f>
        <v>1.2</v>
      </c>
    </row>
    <row r="1069" spans="1:19" ht="18" customHeight="1" x14ac:dyDescent="0.25">
      <c r="A1069" s="7" t="s">
        <v>43</v>
      </c>
      <c r="B1069" s="8">
        <v>1</v>
      </c>
      <c r="C1069" s="9">
        <v>510</v>
      </c>
      <c r="D1069" s="29">
        <f>C1069+IF(INDEX('Справочник по %'!B:B,(MATCH(A1069,'Справочник по %'!A:A,0)))="кол-во",B1069*INDEX('Справочник по %'!C:C,(MATCH(A1069,'Справочник по %'!A:A,0))),ОТЧЕТ!C1069*INDEX('Справочник по %'!C:C,(MATCH(A1069,'Справочник по %'!A:A,0))))/100</f>
        <v>561</v>
      </c>
      <c r="E1069" s="29">
        <f>IF(ОТЧЕТ!A1069="SKU3",C1069+ОТЧЕТ!C1069*0.2,C1069+ОТЧЕТ!C1069*0.15)</f>
        <v>586.5</v>
      </c>
      <c r="F1069" s="7" t="s">
        <v>2427</v>
      </c>
      <c r="G1069" s="7">
        <v>3662214289</v>
      </c>
      <c r="H1069" s="20" t="s">
        <v>2429</v>
      </c>
      <c r="I1069" s="22">
        <f>INDEX('Справочник Сети'!B:B,(MATCH(G1069,'Справочник Сети'!C:C,0)))</f>
        <v>0</v>
      </c>
      <c r="J1069" s="7" t="s">
        <v>65</v>
      </c>
      <c r="K1069" s="7" t="s">
        <v>701</v>
      </c>
      <c r="L1069" s="7" t="s">
        <v>65</v>
      </c>
      <c r="M1069" s="31">
        <v>45717</v>
      </c>
      <c r="N1069" s="7" t="s">
        <v>2430</v>
      </c>
      <c r="O1069" s="8">
        <v>1496</v>
      </c>
      <c r="P1069" s="24">
        <v>5162</v>
      </c>
      <c r="Q1069" s="22">
        <f>IF(COUNTIFS(A$2:A1069,A1069,I$2:I1069,I1069)=1,1,0)</f>
        <v>0</v>
      </c>
      <c r="R1069" s="22">
        <f t="shared" si="16"/>
        <v>1</v>
      </c>
      <c r="S1069" s="33">
        <f>IF(COUNTIF(O$2:O1069,O1069)=1,R1069,0)/2.5</f>
        <v>0.4</v>
      </c>
    </row>
    <row r="1070" spans="1:19" ht="18" customHeight="1" x14ac:dyDescent="0.25">
      <c r="A1070" s="7" t="s">
        <v>37</v>
      </c>
      <c r="B1070" s="8">
        <v>1</v>
      </c>
      <c r="C1070" s="9">
        <v>794</v>
      </c>
      <c r="D1070" s="29">
        <f>C1070+IF(INDEX('Справочник по %'!B:B,(MATCH(A1070,'Справочник по %'!A:A,0)))="кол-во",B1070*INDEX('Справочник по %'!C:C,(MATCH(A1070,'Справочник по %'!A:A,0))),ОТЧЕТ!C1070*INDEX('Справочник по %'!C:C,(MATCH(A1070,'Справочник по %'!A:A,0))))/100</f>
        <v>794.2</v>
      </c>
      <c r="E1070" s="29">
        <f>IF(ОТЧЕТ!A1070="SKU3",C1070+ОТЧЕТ!C1070*0.2,C1070+ОТЧЕТ!C1070*0.15)</f>
        <v>913.1</v>
      </c>
      <c r="F1070" s="7" t="s">
        <v>2427</v>
      </c>
      <c r="G1070" s="7">
        <v>7726707307</v>
      </c>
      <c r="H1070" s="20" t="s">
        <v>1763</v>
      </c>
      <c r="I1070" s="22" t="str">
        <f>INDEX('Справочник Сети'!B:B,(MATCH(G1070,'Справочник Сети'!C:C,0)))</f>
        <v>Ригла</v>
      </c>
      <c r="J1070" s="7" t="s">
        <v>142</v>
      </c>
      <c r="K1070" s="7" t="s">
        <v>169</v>
      </c>
      <c r="L1070" s="7" t="s">
        <v>185</v>
      </c>
      <c r="M1070" s="31">
        <v>45675</v>
      </c>
      <c r="N1070" s="7" t="s">
        <v>2431</v>
      </c>
      <c r="O1070" s="8">
        <v>523</v>
      </c>
      <c r="P1070" s="24">
        <v>5163</v>
      </c>
      <c r="Q1070" s="22">
        <f>IF(COUNTIFS(A$2:A1070,A1070,I$2:I1070,I1070)=1,1,0)</f>
        <v>0</v>
      </c>
      <c r="R1070" s="22">
        <f t="shared" si="16"/>
        <v>2</v>
      </c>
      <c r="S1070" s="33">
        <f>IF(COUNTIF(O$2:O1070,O1070)=1,R1070,0)/2.5</f>
        <v>0</v>
      </c>
    </row>
    <row r="1071" spans="1:19" ht="18" customHeight="1" x14ac:dyDescent="0.25">
      <c r="A1071" s="7" t="s">
        <v>37</v>
      </c>
      <c r="B1071" s="8">
        <v>1</v>
      </c>
      <c r="C1071" s="9">
        <v>697</v>
      </c>
      <c r="D1071" s="29">
        <f>C1071+IF(INDEX('Справочник по %'!B:B,(MATCH(A1071,'Справочник по %'!A:A,0)))="кол-во",B1071*INDEX('Справочник по %'!C:C,(MATCH(A1071,'Справочник по %'!A:A,0))),ОТЧЕТ!C1071*INDEX('Справочник по %'!C:C,(MATCH(A1071,'Справочник по %'!A:A,0))))/100</f>
        <v>697.2</v>
      </c>
      <c r="E1071" s="29">
        <f>IF(ОТЧЕТ!A1071="SKU3",C1071+ОТЧЕТ!C1071*0.2,C1071+ОТЧЕТ!C1071*0.15)</f>
        <v>801.55</v>
      </c>
      <c r="F1071" s="7" t="s">
        <v>2427</v>
      </c>
      <c r="G1071" s="7">
        <v>4702057044</v>
      </c>
      <c r="H1071" s="20" t="s">
        <v>50</v>
      </c>
      <c r="I1071" s="22" t="str">
        <f>INDEX('Справочник Сети'!B:B,(MATCH(G1071,'Справочник Сети'!C:C,0)))</f>
        <v>Ригла</v>
      </c>
      <c r="J1071" s="7" t="s">
        <v>83</v>
      </c>
      <c r="K1071" s="7" t="s">
        <v>1805</v>
      </c>
      <c r="L1071" s="7" t="s">
        <v>83</v>
      </c>
      <c r="M1071" s="31">
        <v>45715</v>
      </c>
      <c r="N1071" s="7" t="s">
        <v>2432</v>
      </c>
      <c r="O1071" s="8">
        <v>2988</v>
      </c>
      <c r="P1071" s="24">
        <v>5164</v>
      </c>
      <c r="Q1071" s="22">
        <f>IF(COUNTIFS(A$2:A1071,A1071,I$2:I1071,I1071)=1,1,0)</f>
        <v>0</v>
      </c>
      <c r="R1071" s="22">
        <f t="shared" si="16"/>
        <v>4</v>
      </c>
      <c r="S1071" s="33">
        <f>IF(COUNTIF(O$2:O1071,O1071)=1,R1071,0)/2.5</f>
        <v>0</v>
      </c>
    </row>
    <row r="1072" spans="1:19" ht="18" customHeight="1" x14ac:dyDescent="0.25">
      <c r="A1072" s="7" t="s">
        <v>43</v>
      </c>
      <c r="B1072" s="8">
        <v>1</v>
      </c>
      <c r="C1072" s="9">
        <v>507.3</v>
      </c>
      <c r="D1072" s="29">
        <f>C1072+IF(INDEX('Справочник по %'!B:B,(MATCH(A1072,'Справочник по %'!A:A,0)))="кол-во",B1072*INDEX('Справочник по %'!C:C,(MATCH(A1072,'Справочник по %'!A:A,0))),ОТЧЕТ!C1072*INDEX('Справочник по %'!C:C,(MATCH(A1072,'Справочник по %'!A:A,0))))/100</f>
        <v>558.03</v>
      </c>
      <c r="E1072" s="29">
        <f>IF(ОТЧЕТ!A1072="SKU3",C1072+ОТЧЕТ!C1072*0.2,C1072+ОТЧЕТ!C1072*0.15)</f>
        <v>583.39499999999998</v>
      </c>
      <c r="F1072" s="7" t="s">
        <v>2427</v>
      </c>
      <c r="G1072" s="7">
        <v>7716944620</v>
      </c>
      <c r="H1072" s="20" t="s">
        <v>50</v>
      </c>
      <c r="I1072" s="22">
        <f>INDEX('Справочник Сети'!B:B,(MATCH(G1072,'Справочник Сети'!C:C,0)))</f>
        <v>0</v>
      </c>
      <c r="J1072" s="7" t="s">
        <v>168</v>
      </c>
      <c r="K1072" s="7" t="s">
        <v>1673</v>
      </c>
      <c r="L1072" s="7" t="s">
        <v>168</v>
      </c>
      <c r="M1072" s="31">
        <v>45676</v>
      </c>
      <c r="N1072" s="7" t="s">
        <v>2433</v>
      </c>
      <c r="O1072" s="8">
        <v>132</v>
      </c>
      <c r="P1072" s="24">
        <v>5168</v>
      </c>
      <c r="Q1072" s="22">
        <f>IF(COUNTIFS(A$2:A1072,A1072,I$2:I1072,I1072)=1,1,0)</f>
        <v>0</v>
      </c>
      <c r="R1072" s="22">
        <f t="shared" si="16"/>
        <v>4</v>
      </c>
      <c r="S1072" s="33">
        <f>IF(COUNTIF(O$2:O1072,O1072)=1,R1072,0)/2.5</f>
        <v>0</v>
      </c>
    </row>
    <row r="1073" spans="1:19" ht="18" customHeight="1" x14ac:dyDescent="0.25">
      <c r="A1073" s="7" t="s">
        <v>37</v>
      </c>
      <c r="B1073" s="8">
        <v>1</v>
      </c>
      <c r="C1073" s="9">
        <v>627</v>
      </c>
      <c r="D1073" s="29">
        <f>C1073+IF(INDEX('Справочник по %'!B:B,(MATCH(A1073,'Справочник по %'!A:A,0)))="кол-во",B1073*INDEX('Справочник по %'!C:C,(MATCH(A1073,'Справочник по %'!A:A,0))),ОТЧЕТ!C1073*INDEX('Справочник по %'!C:C,(MATCH(A1073,'Справочник по %'!A:A,0))))/100</f>
        <v>627.20000000000005</v>
      </c>
      <c r="E1073" s="29">
        <f>IF(ОТЧЕТ!A1073="SKU3",C1073+ОТЧЕТ!C1073*0.2,C1073+ОТЧЕТ!C1073*0.15)</f>
        <v>721.05</v>
      </c>
      <c r="F1073" s="7" t="s">
        <v>2427</v>
      </c>
      <c r="G1073" s="7">
        <v>5260136299</v>
      </c>
      <c r="H1073" s="20" t="s">
        <v>50</v>
      </c>
      <c r="I1073" s="22">
        <f>INDEX('Справочник Сети'!B:B,(MATCH(G1073,'Справочник Сети'!C:C,0)))</f>
        <v>0</v>
      </c>
      <c r="J1073" s="7" t="s">
        <v>92</v>
      </c>
      <c r="K1073" s="7" t="s">
        <v>2434</v>
      </c>
      <c r="L1073" s="7" t="s">
        <v>92</v>
      </c>
      <c r="M1073" s="31">
        <v>45714</v>
      </c>
      <c r="N1073" s="7" t="s">
        <v>2435</v>
      </c>
      <c r="O1073" s="8">
        <v>338</v>
      </c>
      <c r="P1073" s="24">
        <v>5169</v>
      </c>
      <c r="Q1073" s="22">
        <f>IF(COUNTIFS(A$2:A1073,A1073,I$2:I1073,I1073)=1,1,0)</f>
        <v>0</v>
      </c>
      <c r="R1073" s="22">
        <f t="shared" si="16"/>
        <v>1</v>
      </c>
      <c r="S1073" s="33">
        <f>IF(COUNTIF(O$2:O1073,O1073)=1,R1073,0)/2.5</f>
        <v>0.4</v>
      </c>
    </row>
    <row r="1074" spans="1:19" ht="18" customHeight="1" x14ac:dyDescent="0.25">
      <c r="A1074" s="7" t="s">
        <v>2436</v>
      </c>
      <c r="B1074" s="8">
        <v>1</v>
      </c>
      <c r="C1074" s="9">
        <v>360</v>
      </c>
      <c r="D1074" s="29">
        <f>C1074+IF(INDEX('Справочник по %'!B:B,(MATCH(A1074,'Справочник по %'!A:A,0)))="кол-во",B1074*INDEX('Справочник по %'!C:C,(MATCH(A1074,'Справочник по %'!A:A,0))),ОТЧЕТ!C1074*INDEX('Справочник по %'!C:C,(MATCH(A1074,'Справочник по %'!A:A,0))))/100</f>
        <v>396</v>
      </c>
      <c r="E1074" s="29">
        <f>IF(ОТЧЕТ!A1074="SKU3",C1074+ОТЧЕТ!C1074*0.2,C1074+ОТЧЕТ!C1074*0.15)</f>
        <v>414</v>
      </c>
      <c r="F1074" s="7" t="s">
        <v>2427</v>
      </c>
      <c r="G1074" s="7">
        <v>4632054054</v>
      </c>
      <c r="H1074" s="20" t="s">
        <v>2437</v>
      </c>
      <c r="I1074" s="22" t="str">
        <f>INDEX('Справочник Сети'!B:B,(MATCH(G1074,'Справочник Сети'!C:C,0)))</f>
        <v>Ригла</v>
      </c>
      <c r="J1074" s="7" t="s">
        <v>155</v>
      </c>
      <c r="K1074" s="7" t="s">
        <v>2438</v>
      </c>
      <c r="L1074" s="7" t="s">
        <v>155</v>
      </c>
      <c r="M1074" s="31">
        <v>45716</v>
      </c>
      <c r="N1074" s="7" t="s">
        <v>2439</v>
      </c>
      <c r="O1074" s="8">
        <v>3006</v>
      </c>
      <c r="P1074" s="24">
        <v>5170</v>
      </c>
      <c r="Q1074" s="22">
        <f>IF(COUNTIFS(A$2:A1074,A1074,I$2:I1074,I1074)=1,1,0)</f>
        <v>1</v>
      </c>
      <c r="R1074" s="22">
        <f t="shared" si="16"/>
        <v>4</v>
      </c>
      <c r="S1074" s="33">
        <f>IF(COUNTIF(O$2:O1074,O1074)=1,R1074,0)/2.5</f>
        <v>1.6</v>
      </c>
    </row>
    <row r="1075" spans="1:19" ht="18" customHeight="1" x14ac:dyDescent="0.25">
      <c r="A1075" s="7" t="s">
        <v>43</v>
      </c>
      <c r="B1075" s="8">
        <v>1</v>
      </c>
      <c r="C1075" s="9">
        <v>391</v>
      </c>
      <c r="D1075" s="29">
        <f>C1075+IF(INDEX('Справочник по %'!B:B,(MATCH(A1075,'Справочник по %'!A:A,0)))="кол-во",B1075*INDEX('Справочник по %'!C:C,(MATCH(A1075,'Справочник по %'!A:A,0))),ОТЧЕТ!C1075*INDEX('Справочник по %'!C:C,(MATCH(A1075,'Справочник по %'!A:A,0))))/100</f>
        <v>430.1</v>
      </c>
      <c r="E1075" s="29">
        <f>IF(ОТЧЕТ!A1075="SKU3",C1075+ОТЧЕТ!C1075*0.2,C1075+ОТЧЕТ!C1075*0.15)</f>
        <v>449.65</v>
      </c>
      <c r="F1075" s="7" t="s">
        <v>2440</v>
      </c>
      <c r="G1075" s="7">
        <v>6453161631</v>
      </c>
      <c r="H1075" s="20" t="s">
        <v>50</v>
      </c>
      <c r="I1075" s="22" t="str">
        <f>INDEX('Справочник Сети'!B:B,(MATCH(G1075,'Справочник Сети'!C:C,0)))</f>
        <v>Планета здоровья</v>
      </c>
      <c r="J1075" s="7" t="s">
        <v>133</v>
      </c>
      <c r="K1075" s="7" t="s">
        <v>2441</v>
      </c>
      <c r="L1075" s="7" t="s">
        <v>133</v>
      </c>
      <c r="M1075" s="31">
        <v>45695</v>
      </c>
      <c r="N1075" s="7" t="s">
        <v>2442</v>
      </c>
      <c r="O1075" s="8">
        <v>531</v>
      </c>
      <c r="P1075" s="24">
        <v>5174</v>
      </c>
      <c r="Q1075" s="22">
        <f>IF(COUNTIFS(A$2:A1075,A1075,I$2:I1075,I1075)=1,1,0)</f>
        <v>0</v>
      </c>
      <c r="R1075" s="22">
        <f t="shared" si="16"/>
        <v>3</v>
      </c>
      <c r="S1075" s="33">
        <f>IF(COUNTIF(O$2:O1075,O1075)=1,R1075,0)/2.5</f>
        <v>0</v>
      </c>
    </row>
    <row r="1076" spans="1:19" ht="18" customHeight="1" x14ac:dyDescent="0.25">
      <c r="A1076" s="7" t="s">
        <v>37</v>
      </c>
      <c r="B1076" s="8">
        <v>1</v>
      </c>
      <c r="C1076" s="9">
        <v>640</v>
      </c>
      <c r="D1076" s="29">
        <f>C1076+IF(INDEX('Справочник по %'!B:B,(MATCH(A1076,'Справочник по %'!A:A,0)))="кол-во",B1076*INDEX('Справочник по %'!C:C,(MATCH(A1076,'Справочник по %'!A:A,0))),ОТЧЕТ!C1076*INDEX('Справочник по %'!C:C,(MATCH(A1076,'Справочник по %'!A:A,0))))/100</f>
        <v>640.20000000000005</v>
      </c>
      <c r="E1076" s="29">
        <f>IF(ОТЧЕТ!A1076="SKU3",C1076+ОТЧЕТ!C1076*0.2,C1076+ОТЧЕТ!C1076*0.15)</f>
        <v>736</v>
      </c>
      <c r="F1076" s="7" t="s">
        <v>2443</v>
      </c>
      <c r="G1076" s="7">
        <v>910800091897</v>
      </c>
      <c r="H1076" s="20" t="s">
        <v>1046</v>
      </c>
      <c r="I1076" s="22">
        <f>INDEX('Справочник Сети'!B:B,(MATCH(G1076,'Справочник Сети'!C:C,0)))</f>
        <v>0</v>
      </c>
      <c r="J1076" s="7" t="s">
        <v>322</v>
      </c>
      <c r="K1076" s="7" t="s">
        <v>2168</v>
      </c>
      <c r="L1076" s="7" t="s">
        <v>322</v>
      </c>
      <c r="M1076" s="31">
        <v>45658</v>
      </c>
      <c r="N1076" s="7" t="s">
        <v>2444</v>
      </c>
      <c r="O1076" s="8">
        <v>3806</v>
      </c>
      <c r="P1076" s="24">
        <v>5175</v>
      </c>
      <c r="Q1076" s="22">
        <f>IF(COUNTIFS(A$2:A1076,A1076,I$2:I1076,I1076)=1,1,0)</f>
        <v>0</v>
      </c>
      <c r="R1076" s="22">
        <f t="shared" si="16"/>
        <v>6</v>
      </c>
      <c r="S1076" s="33">
        <f>IF(COUNTIF(O$2:O1076,O1076)=1,R1076,0)/2.5</f>
        <v>0</v>
      </c>
    </row>
    <row r="1077" spans="1:19" ht="18" customHeight="1" x14ac:dyDescent="0.25">
      <c r="A1077" s="7" t="s">
        <v>43</v>
      </c>
      <c r="B1077" s="8">
        <v>1</v>
      </c>
      <c r="C1077" s="9">
        <v>378</v>
      </c>
      <c r="D1077" s="29">
        <f>C1077+IF(INDEX('Справочник по %'!B:B,(MATCH(A1077,'Справочник по %'!A:A,0)))="кол-во",B1077*INDEX('Справочник по %'!C:C,(MATCH(A1077,'Справочник по %'!A:A,0))),ОТЧЕТ!C1077*INDEX('Справочник по %'!C:C,(MATCH(A1077,'Справочник по %'!A:A,0))))/100</f>
        <v>415.8</v>
      </c>
      <c r="E1077" s="29">
        <f>IF(ОТЧЕТ!A1077="SKU3",C1077+ОТЧЕТ!C1077*0.2,C1077+ОТЧЕТ!C1077*0.15)</f>
        <v>434.7</v>
      </c>
      <c r="F1077" s="7" t="s">
        <v>2443</v>
      </c>
      <c r="G1077" s="7">
        <v>5038049773</v>
      </c>
      <c r="H1077" s="20" t="s">
        <v>700</v>
      </c>
      <c r="I1077" s="22">
        <f>INDEX('Справочник Сети'!B:B,(MATCH(G1077,'Справочник Сети'!C:C,0)))</f>
        <v>0</v>
      </c>
      <c r="J1077" s="7" t="s">
        <v>92</v>
      </c>
      <c r="K1077" s="7" t="s">
        <v>663</v>
      </c>
      <c r="L1077" s="7" t="s">
        <v>92</v>
      </c>
      <c r="M1077" s="31">
        <v>45714</v>
      </c>
      <c r="N1077" s="7" t="s">
        <v>2445</v>
      </c>
      <c r="O1077" s="8">
        <v>1567</v>
      </c>
      <c r="P1077" s="24">
        <v>5176</v>
      </c>
      <c r="Q1077" s="22">
        <f>IF(COUNTIFS(A$2:A1077,A1077,I$2:I1077,I1077)=1,1,0)</f>
        <v>0</v>
      </c>
      <c r="R1077" s="22">
        <f t="shared" si="16"/>
        <v>1</v>
      </c>
      <c r="S1077" s="33">
        <f>IF(COUNTIF(O$2:O1077,O1077)=1,R1077,0)/2.5</f>
        <v>0.4</v>
      </c>
    </row>
    <row r="1078" spans="1:19" ht="18" customHeight="1" x14ac:dyDescent="0.25">
      <c r="A1078" s="7" t="s">
        <v>43</v>
      </c>
      <c r="B1078" s="8">
        <v>1</v>
      </c>
      <c r="C1078" s="9">
        <v>430</v>
      </c>
      <c r="D1078" s="29">
        <f>C1078+IF(INDEX('Справочник по %'!B:B,(MATCH(A1078,'Справочник по %'!A:A,0)))="кол-во",B1078*INDEX('Справочник по %'!C:C,(MATCH(A1078,'Справочник по %'!A:A,0))),ОТЧЕТ!C1078*INDEX('Справочник по %'!C:C,(MATCH(A1078,'Справочник по %'!A:A,0))))/100</f>
        <v>473</v>
      </c>
      <c r="E1078" s="29">
        <f>IF(ОТЧЕТ!A1078="SKU3",C1078+ОТЧЕТ!C1078*0.2,C1078+ОТЧЕТ!C1078*0.15)</f>
        <v>494.5</v>
      </c>
      <c r="F1078" s="7" t="s">
        <v>2446</v>
      </c>
      <c r="G1078" s="7">
        <v>4632054054</v>
      </c>
      <c r="H1078" s="20" t="s">
        <v>1847</v>
      </c>
      <c r="I1078" s="22" t="str">
        <f>INDEX('Справочник Сети'!B:B,(MATCH(G1078,'Справочник Сети'!C:C,0)))</f>
        <v>Ригла</v>
      </c>
      <c r="J1078" s="7" t="s">
        <v>155</v>
      </c>
      <c r="K1078" s="7" t="s">
        <v>2447</v>
      </c>
      <c r="L1078" s="7" t="s">
        <v>155</v>
      </c>
      <c r="M1078" s="31">
        <v>45716</v>
      </c>
      <c r="N1078" s="7" t="s">
        <v>2448</v>
      </c>
      <c r="O1078" s="8">
        <v>1064</v>
      </c>
      <c r="P1078" s="24">
        <v>5178</v>
      </c>
      <c r="Q1078" s="22">
        <f>IF(COUNTIFS(A$2:A1078,A1078,I$2:I1078,I1078)=1,1,0)</f>
        <v>0</v>
      </c>
      <c r="R1078" s="22">
        <f t="shared" si="16"/>
        <v>4</v>
      </c>
      <c r="S1078" s="33">
        <f>IF(COUNTIF(O$2:O1078,O1078)=1,R1078,0)/2.5</f>
        <v>0</v>
      </c>
    </row>
    <row r="1079" spans="1:19" ht="18" customHeight="1" x14ac:dyDescent="0.25">
      <c r="A1079" s="7" t="s">
        <v>43</v>
      </c>
      <c r="B1079" s="8">
        <v>1</v>
      </c>
      <c r="C1079" s="9">
        <v>435</v>
      </c>
      <c r="D1079" s="29">
        <f>C1079+IF(INDEX('Справочник по %'!B:B,(MATCH(A1079,'Справочник по %'!A:A,0)))="кол-во",B1079*INDEX('Справочник по %'!C:C,(MATCH(A1079,'Справочник по %'!A:A,0))),ОТЧЕТ!C1079*INDEX('Справочник по %'!C:C,(MATCH(A1079,'Справочник по %'!A:A,0))))/100</f>
        <v>478.5</v>
      </c>
      <c r="E1079" s="29">
        <f>IF(ОТЧЕТ!A1079="SKU3",C1079+ОТЧЕТ!C1079*0.2,C1079+ОТЧЕТ!C1079*0.15)</f>
        <v>500.25</v>
      </c>
      <c r="F1079" s="7" t="s">
        <v>2446</v>
      </c>
      <c r="G1079" s="7">
        <v>3446042846</v>
      </c>
      <c r="H1079" s="20" t="s">
        <v>319</v>
      </c>
      <c r="I1079" s="22" t="str">
        <f>INDEX('Справочник Сети'!B:B,(MATCH(G1079,'Справочник Сети'!C:C,0)))</f>
        <v>Столички</v>
      </c>
      <c r="J1079" s="7" t="s">
        <v>193</v>
      </c>
      <c r="K1079" s="7" t="s">
        <v>1320</v>
      </c>
      <c r="L1079" s="7" t="s">
        <v>193</v>
      </c>
      <c r="M1079" s="31">
        <v>45718</v>
      </c>
      <c r="N1079" s="7" t="s">
        <v>2449</v>
      </c>
      <c r="O1079" s="8">
        <v>2581</v>
      </c>
      <c r="P1079" s="24">
        <v>5181</v>
      </c>
      <c r="Q1079" s="22">
        <f>IF(COUNTIFS(A$2:A1079,A1079,I$2:I1079,I1079)=1,1,0)</f>
        <v>0</v>
      </c>
      <c r="R1079" s="22">
        <f t="shared" si="16"/>
        <v>7</v>
      </c>
      <c r="S1079" s="33">
        <f>IF(COUNTIF(O$2:O1079,O1079)=1,R1079,0)/2.5</f>
        <v>0</v>
      </c>
    </row>
    <row r="1080" spans="1:19" ht="18" customHeight="1" x14ac:dyDescent="0.25">
      <c r="A1080" s="7" t="s">
        <v>43</v>
      </c>
      <c r="B1080" s="8">
        <v>1</v>
      </c>
      <c r="C1080" s="9">
        <v>496.5</v>
      </c>
      <c r="D1080" s="29">
        <f>C1080+IF(INDEX('Справочник по %'!B:B,(MATCH(A1080,'Справочник по %'!A:A,0)))="кол-во",B1080*INDEX('Справочник по %'!C:C,(MATCH(A1080,'Справочник по %'!A:A,0))),ОТЧЕТ!C1080*INDEX('Справочник по %'!C:C,(MATCH(A1080,'Справочник по %'!A:A,0))))/100</f>
        <v>546.15</v>
      </c>
      <c r="E1080" s="29">
        <f>IF(ОТЧЕТ!A1080="SKU3",C1080+ОТЧЕТ!C1080*0.2,C1080+ОТЧЕТ!C1080*0.15)</f>
        <v>570.97500000000002</v>
      </c>
      <c r="F1080" s="7" t="s">
        <v>2450</v>
      </c>
      <c r="G1080" s="7">
        <v>7802194843</v>
      </c>
      <c r="H1080" s="20" t="s">
        <v>50</v>
      </c>
      <c r="I1080" s="22" t="str">
        <f>INDEX('Справочник Сети'!B:B,(MATCH(G1080,'Справочник Сети'!C:C,0)))</f>
        <v>Столички</v>
      </c>
      <c r="J1080" s="7" t="s">
        <v>353</v>
      </c>
      <c r="K1080" s="7" t="s">
        <v>1808</v>
      </c>
      <c r="L1080" s="7" t="s">
        <v>353</v>
      </c>
      <c r="M1080" s="31">
        <v>45672</v>
      </c>
      <c r="N1080" s="7" t="s">
        <v>2451</v>
      </c>
      <c r="O1080" s="8">
        <v>2441</v>
      </c>
      <c r="P1080" s="24">
        <v>5183</v>
      </c>
      <c r="Q1080" s="22">
        <f>IF(COUNTIFS(A$2:A1080,A1080,I$2:I1080,I1080)=1,1,0)</f>
        <v>0</v>
      </c>
      <c r="R1080" s="22">
        <f t="shared" si="16"/>
        <v>5</v>
      </c>
      <c r="S1080" s="33">
        <f>IF(COUNTIF(O$2:O1080,O1080)=1,R1080,0)/2.5</f>
        <v>0</v>
      </c>
    </row>
    <row r="1081" spans="1:19" ht="18" customHeight="1" x14ac:dyDescent="0.25">
      <c r="A1081" s="7" t="s">
        <v>43</v>
      </c>
      <c r="B1081" s="8">
        <v>1</v>
      </c>
      <c r="C1081" s="9">
        <v>476</v>
      </c>
      <c r="D1081" s="29">
        <f>C1081+IF(INDEX('Справочник по %'!B:B,(MATCH(A1081,'Справочник по %'!A:A,0)))="кол-во",B1081*INDEX('Справочник по %'!C:C,(MATCH(A1081,'Справочник по %'!A:A,0))),ОТЧЕТ!C1081*INDEX('Справочник по %'!C:C,(MATCH(A1081,'Справочник по %'!A:A,0))))/100</f>
        <v>523.6</v>
      </c>
      <c r="E1081" s="29">
        <f>IF(ОТЧЕТ!A1081="SKU3",C1081+ОТЧЕТ!C1081*0.2,C1081+ОТЧЕТ!C1081*0.15)</f>
        <v>547.4</v>
      </c>
      <c r="F1081" s="7" t="s">
        <v>2452</v>
      </c>
      <c r="G1081" s="7">
        <v>6673189456</v>
      </c>
      <c r="H1081" s="20" t="s">
        <v>132</v>
      </c>
      <c r="I1081" s="22" t="str">
        <f>INDEX('Справочник Сети'!B:B,(MATCH(G1081,'Справочник Сети'!C:C,0)))</f>
        <v>Столички</v>
      </c>
      <c r="J1081" s="7" t="s">
        <v>133</v>
      </c>
      <c r="K1081" s="7" t="s">
        <v>2453</v>
      </c>
      <c r="L1081" s="7" t="s">
        <v>133</v>
      </c>
      <c r="M1081" s="31">
        <v>45695</v>
      </c>
      <c r="N1081" s="7" t="s">
        <v>2454</v>
      </c>
      <c r="O1081" s="8">
        <v>3266</v>
      </c>
      <c r="P1081" s="24">
        <v>5184</v>
      </c>
      <c r="Q1081" s="22">
        <f>IF(COUNTIFS(A$2:A1081,A1081,I$2:I1081,I1081)=1,1,0)</f>
        <v>0</v>
      </c>
      <c r="R1081" s="22">
        <f t="shared" si="16"/>
        <v>3</v>
      </c>
      <c r="S1081" s="33">
        <f>IF(COUNTIF(O$2:O1081,O1081)=1,R1081,0)/2.5</f>
        <v>0</v>
      </c>
    </row>
    <row r="1082" spans="1:19" ht="18" customHeight="1" x14ac:dyDescent="0.25">
      <c r="A1082" s="7" t="s">
        <v>43</v>
      </c>
      <c r="B1082" s="8">
        <v>1</v>
      </c>
      <c r="C1082" s="9">
        <v>478.6</v>
      </c>
      <c r="D1082" s="29">
        <f>C1082+IF(INDEX('Справочник по %'!B:B,(MATCH(A1082,'Справочник по %'!A:A,0)))="кол-во",B1082*INDEX('Справочник по %'!C:C,(MATCH(A1082,'Справочник по %'!A:A,0))),ОТЧЕТ!C1082*INDEX('Справочник по %'!C:C,(MATCH(A1082,'Справочник по %'!A:A,0))))/100</f>
        <v>526.46</v>
      </c>
      <c r="E1082" s="29">
        <f>IF(ОТЧЕТ!A1082="SKU3",C1082+ОТЧЕТ!C1082*0.2,C1082+ОТЧЕТ!C1082*0.15)</f>
        <v>550.39</v>
      </c>
      <c r="F1082" s="7" t="s">
        <v>2455</v>
      </c>
      <c r="G1082" s="7">
        <v>5050136454</v>
      </c>
      <c r="H1082" s="20" t="s">
        <v>50</v>
      </c>
      <c r="I1082" s="22" t="str">
        <f>INDEX('Справочник Сети'!B:B,(MATCH(G1082,'Справочник Сети'!C:C,0)))</f>
        <v>Нео-фарм</v>
      </c>
      <c r="J1082" s="7" t="s">
        <v>92</v>
      </c>
      <c r="K1082" s="7" t="s">
        <v>2456</v>
      </c>
      <c r="L1082" s="7" t="s">
        <v>92</v>
      </c>
      <c r="M1082" s="31">
        <v>45714</v>
      </c>
      <c r="N1082" s="7" t="s">
        <v>2457</v>
      </c>
      <c r="O1082" s="8">
        <v>878</v>
      </c>
      <c r="P1082" s="24">
        <v>5190</v>
      </c>
      <c r="Q1082" s="22">
        <f>IF(COUNTIFS(A$2:A1082,A1082,I$2:I1082,I1082)=1,1,0)</f>
        <v>0</v>
      </c>
      <c r="R1082" s="22">
        <f t="shared" si="16"/>
        <v>2</v>
      </c>
      <c r="S1082" s="33">
        <f>IF(COUNTIF(O$2:O1082,O1082)=1,R1082,0)/2.5</f>
        <v>0.8</v>
      </c>
    </row>
    <row r="1083" spans="1:19" ht="18" customHeight="1" x14ac:dyDescent="0.25">
      <c r="A1083" s="7" t="s">
        <v>43</v>
      </c>
      <c r="B1083" s="8">
        <v>1</v>
      </c>
      <c r="C1083" s="9">
        <v>456.51</v>
      </c>
      <c r="D1083" s="29">
        <f>C1083+IF(INDEX('Справочник по %'!B:B,(MATCH(A1083,'Справочник по %'!A:A,0)))="кол-во",B1083*INDEX('Справочник по %'!C:C,(MATCH(A1083,'Справочник по %'!A:A,0))),ОТЧЕТ!C1083*INDEX('Справочник по %'!C:C,(MATCH(A1083,'Справочник по %'!A:A,0))))/100</f>
        <v>502.161</v>
      </c>
      <c r="E1083" s="29">
        <f>IF(ОТЧЕТ!A1083="SKU3",C1083+ОТЧЕТ!C1083*0.2,C1083+ОТЧЕТ!C1083*0.15)</f>
        <v>524.98649999999998</v>
      </c>
      <c r="F1083" s="7" t="s">
        <v>2458</v>
      </c>
      <c r="G1083" s="7">
        <v>7714844316</v>
      </c>
      <c r="H1083" s="20" t="s">
        <v>50</v>
      </c>
      <c r="I1083" s="22" t="str">
        <f>INDEX('Справочник Сети'!B:B,(MATCH(G1083,'Справочник Сети'!C:C,0)))</f>
        <v>Планета здоровья</v>
      </c>
      <c r="J1083" s="7" t="s">
        <v>504</v>
      </c>
      <c r="K1083" s="7" t="s">
        <v>2459</v>
      </c>
      <c r="L1083" s="7" t="s">
        <v>504</v>
      </c>
      <c r="M1083" s="31">
        <v>45690</v>
      </c>
      <c r="N1083" s="7" t="s">
        <v>2460</v>
      </c>
      <c r="O1083" s="8">
        <v>551</v>
      </c>
      <c r="P1083" s="24">
        <v>5193</v>
      </c>
      <c r="Q1083" s="22">
        <f>IF(COUNTIFS(A$2:A1083,A1083,I$2:I1083,I1083)=1,1,0)</f>
        <v>0</v>
      </c>
      <c r="R1083" s="22">
        <f t="shared" si="16"/>
        <v>1</v>
      </c>
      <c r="S1083" s="33">
        <f>IF(COUNTIF(O$2:O1083,O1083)=1,R1083,0)/2.5</f>
        <v>0.4</v>
      </c>
    </row>
    <row r="1084" spans="1:19" ht="18" customHeight="1" x14ac:dyDescent="0.25">
      <c r="A1084" s="7" t="s">
        <v>37</v>
      </c>
      <c r="B1084" s="8">
        <v>1</v>
      </c>
      <c r="C1084" s="9">
        <v>577</v>
      </c>
      <c r="D1084" s="29">
        <f>C1084+IF(INDEX('Справочник по %'!B:B,(MATCH(A1084,'Справочник по %'!A:A,0)))="кол-во",B1084*INDEX('Справочник по %'!C:C,(MATCH(A1084,'Справочник по %'!A:A,0))),ОТЧЕТ!C1084*INDEX('Справочник по %'!C:C,(MATCH(A1084,'Справочник по %'!A:A,0))))/100</f>
        <v>577.20000000000005</v>
      </c>
      <c r="E1084" s="29">
        <f>IF(ОТЧЕТ!A1084="SKU3",C1084+ОТЧЕТ!C1084*0.2,C1084+ОТЧЕТ!C1084*0.15)</f>
        <v>663.55</v>
      </c>
      <c r="F1084" s="7" t="s">
        <v>2458</v>
      </c>
      <c r="G1084" s="7">
        <v>7728339546</v>
      </c>
      <c r="H1084" s="20" t="s">
        <v>2461</v>
      </c>
      <c r="I1084" s="22" t="str">
        <f>INDEX('Справочник Сети'!B:B,(MATCH(G1084,'Справочник Сети'!C:C,0)))</f>
        <v>Планета здоровья</v>
      </c>
      <c r="J1084" s="7" t="s">
        <v>142</v>
      </c>
      <c r="K1084" s="7" t="s">
        <v>2462</v>
      </c>
      <c r="L1084" s="7" t="s">
        <v>142</v>
      </c>
      <c r="M1084" s="31">
        <v>45674</v>
      </c>
      <c r="N1084" s="7" t="s">
        <v>2463</v>
      </c>
      <c r="O1084" s="8">
        <v>1079</v>
      </c>
      <c r="P1084" s="24">
        <v>5194</v>
      </c>
      <c r="Q1084" s="22">
        <f>IF(COUNTIFS(A$2:A1084,A1084,I$2:I1084,I1084)=1,1,0)</f>
        <v>0</v>
      </c>
      <c r="R1084" s="22">
        <f t="shared" si="16"/>
        <v>1</v>
      </c>
      <c r="S1084" s="33">
        <f>IF(COUNTIF(O$2:O1084,O1084)=1,R1084,0)/2.5</f>
        <v>0.4</v>
      </c>
    </row>
    <row r="1085" spans="1:19" ht="18" customHeight="1" x14ac:dyDescent="0.25">
      <c r="A1085" s="7" t="s">
        <v>43</v>
      </c>
      <c r="B1085" s="8">
        <v>1</v>
      </c>
      <c r="C1085" s="9">
        <v>348</v>
      </c>
      <c r="D1085" s="29">
        <f>C1085+IF(INDEX('Справочник по %'!B:B,(MATCH(A1085,'Справочник по %'!A:A,0)))="кол-во",B1085*INDEX('Справочник по %'!C:C,(MATCH(A1085,'Справочник по %'!A:A,0))),ОТЧЕТ!C1085*INDEX('Справочник по %'!C:C,(MATCH(A1085,'Справочник по %'!A:A,0))))/100</f>
        <v>382.8</v>
      </c>
      <c r="E1085" s="29">
        <f>IF(ОТЧЕТ!A1085="SKU3",C1085+ОТЧЕТ!C1085*0.2,C1085+ОТЧЕТ!C1085*0.15)</f>
        <v>400.2</v>
      </c>
      <c r="F1085" s="7" t="s">
        <v>2458</v>
      </c>
      <c r="G1085" s="7">
        <v>2311169959</v>
      </c>
      <c r="H1085" s="20" t="s">
        <v>50</v>
      </c>
      <c r="I1085" s="22">
        <f>INDEX('Справочник Сети'!B:B,(MATCH(G1085,'Справочник Сети'!C:C,0)))</f>
        <v>0</v>
      </c>
      <c r="J1085" s="7" t="s">
        <v>70</v>
      </c>
      <c r="K1085" s="7" t="s">
        <v>2462</v>
      </c>
      <c r="L1085" s="7" t="s">
        <v>70</v>
      </c>
      <c r="M1085" s="31">
        <v>45728</v>
      </c>
      <c r="N1085" s="7" t="s">
        <v>2464</v>
      </c>
      <c r="O1085" s="8">
        <v>561</v>
      </c>
      <c r="P1085" s="24">
        <v>5196</v>
      </c>
      <c r="Q1085" s="22">
        <f>IF(COUNTIFS(A$2:A1085,A1085,I$2:I1085,I1085)=1,1,0)</f>
        <v>0</v>
      </c>
      <c r="R1085" s="22">
        <f t="shared" si="16"/>
        <v>2</v>
      </c>
      <c r="S1085" s="33">
        <f>IF(COUNTIF(O$2:O1085,O1085)=1,R1085,0)/2.5</f>
        <v>0.8</v>
      </c>
    </row>
    <row r="1086" spans="1:19" ht="18" customHeight="1" x14ac:dyDescent="0.25">
      <c r="A1086" s="7" t="s">
        <v>43</v>
      </c>
      <c r="B1086" s="8">
        <v>1</v>
      </c>
      <c r="C1086" s="9">
        <v>479</v>
      </c>
      <c r="D1086" s="29">
        <f>C1086+IF(INDEX('Справочник по %'!B:B,(MATCH(A1086,'Справочник по %'!A:A,0)))="кол-во",B1086*INDEX('Справочник по %'!C:C,(MATCH(A1086,'Справочник по %'!A:A,0))),ОТЧЕТ!C1086*INDEX('Справочник по %'!C:C,(MATCH(A1086,'Справочник по %'!A:A,0))))/100</f>
        <v>526.9</v>
      </c>
      <c r="E1086" s="29">
        <f>IF(ОТЧЕТ!A1086="SKU3",C1086+ОТЧЕТ!C1086*0.2,C1086+ОТЧЕТ!C1086*0.15)</f>
        <v>550.85</v>
      </c>
      <c r="F1086" s="7" t="s">
        <v>2465</v>
      </c>
      <c r="G1086" s="7">
        <v>7732121736</v>
      </c>
      <c r="H1086" s="20" t="s">
        <v>1379</v>
      </c>
      <c r="I1086" s="22" t="str">
        <f>INDEX('Справочник Сети'!B:B,(MATCH(G1086,'Справочник Сети'!C:C,0)))</f>
        <v>Планета здоровья</v>
      </c>
      <c r="J1086" s="7" t="s">
        <v>149</v>
      </c>
      <c r="K1086" s="7" t="s">
        <v>2039</v>
      </c>
      <c r="L1086" s="7" t="s">
        <v>149</v>
      </c>
      <c r="M1086" s="31">
        <v>45673</v>
      </c>
      <c r="N1086" s="7" t="s">
        <v>2466</v>
      </c>
      <c r="O1086" s="8">
        <v>1396</v>
      </c>
      <c r="P1086" s="24">
        <v>5206</v>
      </c>
      <c r="Q1086" s="22">
        <f>IF(COUNTIFS(A$2:A1086,A1086,I$2:I1086,I1086)=1,1,0)</f>
        <v>0</v>
      </c>
      <c r="R1086" s="22">
        <f t="shared" si="16"/>
        <v>6</v>
      </c>
      <c r="S1086" s="33">
        <f>IF(COUNTIF(O$2:O1086,O1086)=1,R1086,0)/2.5</f>
        <v>0</v>
      </c>
    </row>
    <row r="1087" spans="1:19" ht="18" customHeight="1" x14ac:dyDescent="0.25">
      <c r="A1087" s="7" t="s">
        <v>37</v>
      </c>
      <c r="B1087" s="8">
        <v>1</v>
      </c>
      <c r="C1087" s="9">
        <v>599.45000000000005</v>
      </c>
      <c r="D1087" s="29">
        <f>C1087+IF(INDEX('Справочник по %'!B:B,(MATCH(A1087,'Справочник по %'!A:A,0)))="кол-во",B1087*INDEX('Справочник по %'!C:C,(MATCH(A1087,'Справочник по %'!A:A,0))),ОТЧЕТ!C1087*INDEX('Справочник по %'!C:C,(MATCH(A1087,'Справочник по %'!A:A,0))))/100</f>
        <v>599.65000000000009</v>
      </c>
      <c r="E1087" s="29">
        <f>IF(ОТЧЕТ!A1087="SKU3",C1087+ОТЧЕТ!C1087*0.2,C1087+ОТЧЕТ!C1087*0.15)</f>
        <v>689.36750000000006</v>
      </c>
      <c r="F1087" s="7" t="s">
        <v>2465</v>
      </c>
      <c r="G1087" s="7">
        <v>4003012322</v>
      </c>
      <c r="H1087" s="20" t="s">
        <v>2467</v>
      </c>
      <c r="I1087" s="22">
        <f>INDEX('Справочник Сети'!B:B,(MATCH(G1087,'Справочник Сети'!C:C,0)))</f>
        <v>0</v>
      </c>
      <c r="J1087" s="7" t="s">
        <v>155</v>
      </c>
      <c r="K1087" s="7" t="s">
        <v>2468</v>
      </c>
      <c r="L1087" s="7" t="s">
        <v>155</v>
      </c>
      <c r="M1087" s="31">
        <v>45716</v>
      </c>
      <c r="N1087" s="7" t="s">
        <v>2469</v>
      </c>
      <c r="O1087" s="8">
        <v>511</v>
      </c>
      <c r="P1087" s="24">
        <v>5212</v>
      </c>
      <c r="Q1087" s="22">
        <f>IF(COUNTIFS(A$2:A1087,A1087,I$2:I1087,I1087)=1,1,0)</f>
        <v>0</v>
      </c>
      <c r="R1087" s="22">
        <f t="shared" si="16"/>
        <v>2</v>
      </c>
      <c r="S1087" s="33">
        <f>IF(COUNTIF(O$2:O1087,O1087)=1,R1087,0)/2.5</f>
        <v>0.8</v>
      </c>
    </row>
    <row r="1088" spans="1:19" ht="18" customHeight="1" x14ac:dyDescent="0.25">
      <c r="A1088" s="7" t="s">
        <v>43</v>
      </c>
      <c r="B1088" s="8">
        <v>1</v>
      </c>
      <c r="C1088" s="9">
        <v>425</v>
      </c>
      <c r="D1088" s="29">
        <f>C1088+IF(INDEX('Справочник по %'!B:B,(MATCH(A1088,'Справочник по %'!A:A,0)))="кол-во",B1088*INDEX('Справочник по %'!C:C,(MATCH(A1088,'Справочник по %'!A:A,0))),ОТЧЕТ!C1088*INDEX('Справочник по %'!C:C,(MATCH(A1088,'Справочник по %'!A:A,0))))/100</f>
        <v>467.5</v>
      </c>
      <c r="E1088" s="29">
        <f>IF(ОТЧЕТ!A1088="SKU3",C1088+ОТЧЕТ!C1088*0.2,C1088+ОТЧЕТ!C1088*0.15)</f>
        <v>488.75</v>
      </c>
      <c r="F1088" s="7" t="s">
        <v>2465</v>
      </c>
      <c r="G1088" s="7">
        <v>260319124100</v>
      </c>
      <c r="H1088" s="20" t="s">
        <v>50</v>
      </c>
      <c r="I1088" s="22" t="str">
        <f>INDEX('Справочник Сети'!B:B,(MATCH(G1088,'Справочник Сети'!C:C,0)))</f>
        <v>Планета здоровья</v>
      </c>
      <c r="J1088" s="7" t="s">
        <v>110</v>
      </c>
      <c r="K1088" s="7" t="s">
        <v>2470</v>
      </c>
      <c r="L1088" s="7" t="s">
        <v>74</v>
      </c>
      <c r="M1088" s="31">
        <v>45661</v>
      </c>
      <c r="N1088" s="7" t="s">
        <v>2471</v>
      </c>
      <c r="O1088" s="8">
        <v>1020</v>
      </c>
      <c r="P1088" s="24">
        <v>5213</v>
      </c>
      <c r="Q1088" s="22">
        <f>IF(COUNTIFS(A$2:A1088,A1088,I$2:I1088,I1088)=1,1,0)</f>
        <v>0</v>
      </c>
      <c r="R1088" s="22">
        <f t="shared" si="16"/>
        <v>2</v>
      </c>
      <c r="S1088" s="33">
        <f>IF(COUNTIF(O$2:O1088,O1088)=1,R1088,0)/2.5</f>
        <v>0</v>
      </c>
    </row>
    <row r="1089" spans="1:19" ht="18" customHeight="1" x14ac:dyDescent="0.25">
      <c r="A1089" s="7" t="s">
        <v>37</v>
      </c>
      <c r="B1089" s="8">
        <v>1</v>
      </c>
      <c r="C1089" s="9">
        <v>556</v>
      </c>
      <c r="D1089" s="29">
        <f>C1089+IF(INDEX('Справочник по %'!B:B,(MATCH(A1089,'Справочник по %'!A:A,0)))="кол-во",B1089*INDEX('Справочник по %'!C:C,(MATCH(A1089,'Справочник по %'!A:A,0))),ОТЧЕТ!C1089*INDEX('Справочник по %'!C:C,(MATCH(A1089,'Справочник по %'!A:A,0))))/100</f>
        <v>556.20000000000005</v>
      </c>
      <c r="E1089" s="29">
        <f>IF(ОТЧЕТ!A1089="SKU3",C1089+ОТЧЕТ!C1089*0.2,C1089+ОТЧЕТ!C1089*0.15)</f>
        <v>639.4</v>
      </c>
      <c r="F1089" s="7" t="s">
        <v>2465</v>
      </c>
      <c r="G1089" s="7">
        <v>7732121736</v>
      </c>
      <c r="H1089" s="20" t="s">
        <v>2472</v>
      </c>
      <c r="I1089" s="22" t="str">
        <f>INDEX('Справочник Сети'!B:B,(MATCH(G1089,'Справочник Сети'!C:C,0)))</f>
        <v>Планета здоровья</v>
      </c>
      <c r="J1089" s="7" t="s">
        <v>149</v>
      </c>
      <c r="K1089" s="7" t="s">
        <v>260</v>
      </c>
      <c r="L1089" s="7" t="s">
        <v>149</v>
      </c>
      <c r="M1089" s="31">
        <v>45673</v>
      </c>
      <c r="N1089" s="7" t="s">
        <v>2473</v>
      </c>
      <c r="O1089" s="8">
        <v>1666</v>
      </c>
      <c r="P1089" s="24">
        <v>5219</v>
      </c>
      <c r="Q1089" s="22">
        <f>IF(COUNTIFS(A$2:A1089,A1089,I$2:I1089,I1089)=1,1,0)</f>
        <v>0</v>
      </c>
      <c r="R1089" s="22">
        <f t="shared" si="16"/>
        <v>2</v>
      </c>
      <c r="S1089" s="33">
        <f>IF(COUNTIF(O$2:O1089,O1089)=1,R1089,0)/2.5</f>
        <v>0</v>
      </c>
    </row>
    <row r="1090" spans="1:19" ht="18" customHeight="1" x14ac:dyDescent="0.25">
      <c r="A1090" s="7" t="s">
        <v>43</v>
      </c>
      <c r="B1090" s="8">
        <v>1</v>
      </c>
      <c r="C1090" s="9">
        <v>350</v>
      </c>
      <c r="D1090" s="29">
        <f>C1090+IF(INDEX('Справочник по %'!B:B,(MATCH(A1090,'Справочник по %'!A:A,0)))="кол-во",B1090*INDEX('Справочник по %'!C:C,(MATCH(A1090,'Справочник по %'!A:A,0))),ОТЧЕТ!C1090*INDEX('Справочник по %'!C:C,(MATCH(A1090,'Справочник по %'!A:A,0))))/100</f>
        <v>385</v>
      </c>
      <c r="E1090" s="29">
        <f>IF(ОТЧЕТ!A1090="SKU3",C1090+ОТЧЕТ!C1090*0.2,C1090+ОТЧЕТ!C1090*0.15)</f>
        <v>402.5</v>
      </c>
      <c r="F1090" s="7" t="s">
        <v>2465</v>
      </c>
      <c r="G1090" s="7">
        <v>2310174811</v>
      </c>
      <c r="H1090" s="20" t="s">
        <v>50</v>
      </c>
      <c r="I1090" s="22" t="str">
        <f>INDEX('Справочник Сети'!B:B,(MATCH(G1090,'Справочник Сети'!C:C,0)))</f>
        <v>Нео-фарм</v>
      </c>
      <c r="J1090" s="7" t="s">
        <v>57</v>
      </c>
      <c r="K1090" s="7" t="s">
        <v>2470</v>
      </c>
      <c r="L1090" s="7" t="s">
        <v>57</v>
      </c>
      <c r="M1090" s="31">
        <v>45729</v>
      </c>
      <c r="N1090" s="7" t="s">
        <v>2474</v>
      </c>
      <c r="O1090" s="8">
        <v>1066</v>
      </c>
      <c r="P1090" s="24">
        <v>5221</v>
      </c>
      <c r="Q1090" s="22">
        <f>IF(COUNTIFS(A$2:A1090,A1090,I$2:I1090,I1090)=1,1,0)</f>
        <v>0</v>
      </c>
      <c r="R1090" s="22">
        <f t="shared" si="16"/>
        <v>4</v>
      </c>
      <c r="S1090" s="33">
        <f>IF(COUNTIF(O$2:O1090,O1090)=1,R1090,0)/2.5</f>
        <v>0</v>
      </c>
    </row>
    <row r="1091" spans="1:19" ht="18" customHeight="1" x14ac:dyDescent="0.25">
      <c r="A1091" s="7" t="s">
        <v>43</v>
      </c>
      <c r="B1091" s="8">
        <v>1</v>
      </c>
      <c r="C1091" s="9">
        <v>616</v>
      </c>
      <c r="D1091" s="29">
        <f>C1091+IF(INDEX('Справочник по %'!B:B,(MATCH(A1091,'Справочник по %'!A:A,0)))="кол-во",B1091*INDEX('Справочник по %'!C:C,(MATCH(A1091,'Справочник по %'!A:A,0))),ОТЧЕТ!C1091*INDEX('Справочник по %'!C:C,(MATCH(A1091,'Справочник по %'!A:A,0))))/100</f>
        <v>677.6</v>
      </c>
      <c r="E1091" s="29">
        <f>IF(ОТЧЕТ!A1091="SKU3",C1091+ОТЧЕТ!C1091*0.2,C1091+ОТЧЕТ!C1091*0.15)</f>
        <v>708.4</v>
      </c>
      <c r="F1091" s="7" t="s">
        <v>2475</v>
      </c>
      <c r="G1091" s="7">
        <v>7705947629</v>
      </c>
      <c r="H1091" s="20" t="s">
        <v>50</v>
      </c>
      <c r="I1091" s="22" t="str">
        <f>INDEX('Справочник Сети'!B:B,(MATCH(G1091,'Справочник Сети'!C:C,0)))</f>
        <v>36,6</v>
      </c>
      <c r="J1091" s="7" t="s">
        <v>116</v>
      </c>
      <c r="K1091" s="7" t="s">
        <v>2178</v>
      </c>
      <c r="L1091" s="7" t="s">
        <v>104</v>
      </c>
      <c r="M1091" s="31">
        <v>45693</v>
      </c>
      <c r="N1091" s="7" t="s">
        <v>2476</v>
      </c>
      <c r="O1091" s="8">
        <v>2635</v>
      </c>
      <c r="P1091" s="24">
        <v>5222</v>
      </c>
      <c r="Q1091" s="22">
        <f>IF(COUNTIFS(A$2:A1091,A1091,I$2:I1091,I1091)=1,1,0)</f>
        <v>0</v>
      </c>
      <c r="R1091" s="22">
        <f t="shared" ref="R1091:R1154" si="17">COUNTIF(O:O,O1091)</f>
        <v>4</v>
      </c>
      <c r="S1091" s="33">
        <f>IF(COUNTIF(O$2:O1091,O1091)=1,R1091,0)/2.5</f>
        <v>0</v>
      </c>
    </row>
    <row r="1092" spans="1:19" ht="18" customHeight="1" x14ac:dyDescent="0.25">
      <c r="A1092" s="7" t="s">
        <v>37</v>
      </c>
      <c r="B1092" s="8">
        <v>1</v>
      </c>
      <c r="C1092" s="9">
        <v>569</v>
      </c>
      <c r="D1092" s="29">
        <f>C1092+IF(INDEX('Справочник по %'!B:B,(MATCH(A1092,'Справочник по %'!A:A,0)))="кол-во",B1092*INDEX('Справочник по %'!C:C,(MATCH(A1092,'Справочник по %'!A:A,0))),ОТЧЕТ!C1092*INDEX('Справочник по %'!C:C,(MATCH(A1092,'Справочник по %'!A:A,0))))/100</f>
        <v>569.20000000000005</v>
      </c>
      <c r="E1092" s="29">
        <f>IF(ОТЧЕТ!A1092="SKU3",C1092+ОТЧЕТ!C1092*0.2,C1092+ОТЧЕТ!C1092*0.15)</f>
        <v>654.35</v>
      </c>
      <c r="F1092" s="7" t="s">
        <v>2477</v>
      </c>
      <c r="G1092" s="7">
        <v>7728339546</v>
      </c>
      <c r="H1092" s="20" t="s">
        <v>2478</v>
      </c>
      <c r="I1092" s="22" t="str">
        <f>INDEX('Справочник Сети'!B:B,(MATCH(G1092,'Справочник Сети'!C:C,0)))</f>
        <v>Планета здоровья</v>
      </c>
      <c r="J1092" s="7" t="s">
        <v>142</v>
      </c>
      <c r="K1092" s="7" t="s">
        <v>2470</v>
      </c>
      <c r="L1092" s="7" t="s">
        <v>142</v>
      </c>
      <c r="M1092" s="31">
        <v>45674</v>
      </c>
      <c r="N1092" s="7" t="s">
        <v>2479</v>
      </c>
      <c r="O1092" s="8">
        <v>2003</v>
      </c>
      <c r="P1092" s="24">
        <v>5225</v>
      </c>
      <c r="Q1092" s="22">
        <f>IF(COUNTIFS(A$2:A1092,A1092,I$2:I1092,I1092)=1,1,0)</f>
        <v>0</v>
      </c>
      <c r="R1092" s="22">
        <f t="shared" si="17"/>
        <v>2</v>
      </c>
      <c r="S1092" s="33">
        <f>IF(COUNTIF(O$2:O1092,O1092)=1,R1092,0)/2.5</f>
        <v>0.8</v>
      </c>
    </row>
    <row r="1093" spans="1:19" ht="18" customHeight="1" x14ac:dyDescent="0.25">
      <c r="A1093" s="7" t="s">
        <v>43</v>
      </c>
      <c r="B1093" s="8">
        <v>1</v>
      </c>
      <c r="C1093" s="9">
        <v>415</v>
      </c>
      <c r="D1093" s="29">
        <f>C1093+IF(INDEX('Справочник по %'!B:B,(MATCH(A1093,'Справочник по %'!A:A,0)))="кол-во",B1093*INDEX('Справочник по %'!C:C,(MATCH(A1093,'Справочник по %'!A:A,0))),ОТЧЕТ!C1093*INDEX('Справочник по %'!C:C,(MATCH(A1093,'Справочник по %'!A:A,0))))/100</f>
        <v>456.5</v>
      </c>
      <c r="E1093" s="29">
        <f>IF(ОТЧЕТ!A1093="SKU3",C1093+ОТЧЕТ!C1093*0.2,C1093+ОТЧЕТ!C1093*0.15)</f>
        <v>477.25</v>
      </c>
      <c r="F1093" s="7" t="s">
        <v>2480</v>
      </c>
      <c r="G1093" s="7">
        <v>7814431591</v>
      </c>
      <c r="H1093" s="20" t="s">
        <v>50</v>
      </c>
      <c r="I1093" s="22">
        <f>INDEX('Справочник Сети'!B:B,(MATCH(G1093,'Справочник Сети'!C:C,0)))</f>
        <v>0</v>
      </c>
      <c r="J1093" s="7" t="s">
        <v>121</v>
      </c>
      <c r="K1093" s="7" t="s">
        <v>427</v>
      </c>
      <c r="L1093" s="7" t="s">
        <v>121</v>
      </c>
      <c r="M1093" s="31">
        <v>45671</v>
      </c>
      <c r="N1093" s="7" t="s">
        <v>2481</v>
      </c>
      <c r="O1093" s="8">
        <v>65</v>
      </c>
      <c r="P1093" s="24">
        <v>5229</v>
      </c>
      <c r="Q1093" s="22">
        <f>IF(COUNTIFS(A$2:A1093,A1093,I$2:I1093,I1093)=1,1,0)</f>
        <v>0</v>
      </c>
      <c r="R1093" s="22">
        <f t="shared" si="17"/>
        <v>4</v>
      </c>
      <c r="S1093" s="33">
        <f>IF(COUNTIF(O$2:O1093,O1093)=1,R1093,0)/2.5</f>
        <v>0</v>
      </c>
    </row>
    <row r="1094" spans="1:19" ht="18" customHeight="1" x14ac:dyDescent="0.25">
      <c r="A1094" s="7" t="s">
        <v>37</v>
      </c>
      <c r="B1094" s="8">
        <v>1</v>
      </c>
      <c r="C1094" s="9">
        <v>501</v>
      </c>
      <c r="D1094" s="29">
        <f>C1094+IF(INDEX('Справочник по %'!B:B,(MATCH(A1094,'Справочник по %'!A:A,0)))="кол-во",B1094*INDEX('Справочник по %'!C:C,(MATCH(A1094,'Справочник по %'!A:A,0))),ОТЧЕТ!C1094*INDEX('Справочник по %'!C:C,(MATCH(A1094,'Справочник по %'!A:A,0))))/100</f>
        <v>501.2</v>
      </c>
      <c r="E1094" s="29">
        <f>IF(ОТЧЕТ!A1094="SKU3",C1094+ОТЧЕТ!C1094*0.2,C1094+ОТЧЕТ!C1094*0.15)</f>
        <v>576.15</v>
      </c>
      <c r="F1094" s="7" t="s">
        <v>2480</v>
      </c>
      <c r="G1094" s="7">
        <v>550310361355</v>
      </c>
      <c r="H1094" s="20" t="s">
        <v>50</v>
      </c>
      <c r="I1094" s="22" t="str">
        <f>INDEX('Справочник Сети'!B:B,(MATCH(G1094,'Справочник Сети'!C:C,0)))</f>
        <v>Столички</v>
      </c>
      <c r="J1094" s="7" t="s">
        <v>251</v>
      </c>
      <c r="K1094" s="7" t="s">
        <v>1230</v>
      </c>
      <c r="L1094" s="7" t="s">
        <v>251</v>
      </c>
      <c r="M1094" s="31">
        <v>45659</v>
      </c>
      <c r="N1094" s="7" t="s">
        <v>2482</v>
      </c>
      <c r="O1094" s="8">
        <v>2857</v>
      </c>
      <c r="P1094" s="24">
        <v>5231</v>
      </c>
      <c r="Q1094" s="22">
        <f>IF(COUNTIFS(A$2:A1094,A1094,I$2:I1094,I1094)=1,1,0)</f>
        <v>0</v>
      </c>
      <c r="R1094" s="22">
        <f t="shared" si="17"/>
        <v>1</v>
      </c>
      <c r="S1094" s="33">
        <f>IF(COUNTIF(O$2:O1094,O1094)=1,R1094,0)/2.5</f>
        <v>0.4</v>
      </c>
    </row>
    <row r="1095" spans="1:19" ht="18" customHeight="1" x14ac:dyDescent="0.25">
      <c r="A1095" s="7" t="s">
        <v>37</v>
      </c>
      <c r="B1095" s="8">
        <v>1</v>
      </c>
      <c r="C1095" s="9">
        <v>649</v>
      </c>
      <c r="D1095" s="29">
        <f>C1095+IF(INDEX('Справочник по %'!B:B,(MATCH(A1095,'Справочник по %'!A:A,0)))="кол-во",B1095*INDEX('Справочник по %'!C:C,(MATCH(A1095,'Справочник по %'!A:A,0))),ОТЧЕТ!C1095*INDEX('Справочник по %'!C:C,(MATCH(A1095,'Справочник по %'!A:A,0))))/100</f>
        <v>649.20000000000005</v>
      </c>
      <c r="E1095" s="29">
        <f>IF(ОТЧЕТ!A1095="SKU3",C1095+ОТЧЕТ!C1095*0.2,C1095+ОТЧЕТ!C1095*0.15)</f>
        <v>746.35</v>
      </c>
      <c r="F1095" s="7" t="s">
        <v>2483</v>
      </c>
      <c r="G1095" s="7">
        <v>7818009091</v>
      </c>
      <c r="H1095" s="20" t="s">
        <v>50</v>
      </c>
      <c r="I1095" s="22" t="str">
        <f>INDEX('Справочник Сети'!B:B,(MATCH(G1095,'Справочник Сети'!C:C,0)))</f>
        <v>Столички</v>
      </c>
      <c r="J1095" s="7" t="s">
        <v>121</v>
      </c>
      <c r="K1095" s="7" t="s">
        <v>2484</v>
      </c>
      <c r="L1095" s="7" t="s">
        <v>121</v>
      </c>
      <c r="M1095" s="31">
        <v>45671</v>
      </c>
      <c r="N1095" s="7" t="s">
        <v>2485</v>
      </c>
      <c r="O1095" s="8">
        <v>3233</v>
      </c>
      <c r="P1095" s="24">
        <v>5234</v>
      </c>
      <c r="Q1095" s="22">
        <f>IF(COUNTIFS(A$2:A1095,A1095,I$2:I1095,I1095)=1,1,0)</f>
        <v>0</v>
      </c>
      <c r="R1095" s="22">
        <f t="shared" si="17"/>
        <v>2</v>
      </c>
      <c r="S1095" s="33">
        <f>IF(COUNTIF(O$2:O1095,O1095)=1,R1095,0)/2.5</f>
        <v>0.8</v>
      </c>
    </row>
    <row r="1096" spans="1:19" ht="18" customHeight="1" x14ac:dyDescent="0.25">
      <c r="A1096" s="7" t="s">
        <v>43</v>
      </c>
      <c r="B1096" s="8">
        <v>1</v>
      </c>
      <c r="C1096" s="9">
        <v>489</v>
      </c>
      <c r="D1096" s="29">
        <f>C1096+IF(INDEX('Справочник по %'!B:B,(MATCH(A1096,'Справочник по %'!A:A,0)))="кол-во",B1096*INDEX('Справочник по %'!C:C,(MATCH(A1096,'Справочник по %'!A:A,0))),ОТЧЕТ!C1096*INDEX('Справочник по %'!C:C,(MATCH(A1096,'Справочник по %'!A:A,0))))/100</f>
        <v>537.9</v>
      </c>
      <c r="E1096" s="29">
        <f>IF(ОТЧЕТ!A1096="SKU3",C1096+ОТЧЕТ!C1096*0.2,C1096+ОТЧЕТ!C1096*0.15)</f>
        <v>562.35</v>
      </c>
      <c r="F1096" s="7" t="s">
        <v>2486</v>
      </c>
      <c r="G1096" s="7">
        <v>7715677080</v>
      </c>
      <c r="H1096" s="20" t="s">
        <v>50</v>
      </c>
      <c r="I1096" s="22">
        <f>INDEX('Справочник Сети'!B:B,(MATCH(G1096,'Справочник Сети'!C:C,0)))</f>
        <v>0</v>
      </c>
      <c r="J1096" s="7" t="s">
        <v>168</v>
      </c>
      <c r="K1096" s="7" t="s">
        <v>2487</v>
      </c>
      <c r="L1096" s="7" t="s">
        <v>168</v>
      </c>
      <c r="M1096" s="31">
        <v>45676</v>
      </c>
      <c r="N1096" s="7" t="s">
        <v>2488</v>
      </c>
      <c r="O1096" s="8">
        <v>1596</v>
      </c>
      <c r="P1096" s="24">
        <v>5241</v>
      </c>
      <c r="Q1096" s="22">
        <f>IF(COUNTIFS(A$2:A1096,A1096,I$2:I1096,I1096)=1,1,0)</f>
        <v>0</v>
      </c>
      <c r="R1096" s="22">
        <f t="shared" si="17"/>
        <v>2</v>
      </c>
      <c r="S1096" s="33">
        <f>IF(COUNTIF(O$2:O1096,O1096)=1,R1096,0)/2.5</f>
        <v>0.8</v>
      </c>
    </row>
    <row r="1097" spans="1:19" ht="18" customHeight="1" x14ac:dyDescent="0.25">
      <c r="A1097" s="7" t="s">
        <v>43</v>
      </c>
      <c r="B1097" s="8">
        <v>1</v>
      </c>
      <c r="C1097" s="9">
        <v>442</v>
      </c>
      <c r="D1097" s="29">
        <f>C1097+IF(INDEX('Справочник по %'!B:B,(MATCH(A1097,'Справочник по %'!A:A,0)))="кол-во",B1097*INDEX('Справочник по %'!C:C,(MATCH(A1097,'Справочник по %'!A:A,0))),ОТЧЕТ!C1097*INDEX('Справочник по %'!C:C,(MATCH(A1097,'Справочник по %'!A:A,0))))/100</f>
        <v>486.2</v>
      </c>
      <c r="E1097" s="29">
        <f>IF(ОТЧЕТ!A1097="SKU3",C1097+ОТЧЕТ!C1097*0.2,C1097+ОТЧЕТ!C1097*0.15)</f>
        <v>508.3</v>
      </c>
      <c r="F1097" s="7" t="s">
        <v>2486</v>
      </c>
      <c r="G1097" s="7">
        <v>7724211288</v>
      </c>
      <c r="H1097" s="20" t="s">
        <v>2489</v>
      </c>
      <c r="I1097" s="22" t="str">
        <f>INDEX('Справочник Сети'!B:B,(MATCH(G1097,'Справочник Сети'!C:C,0)))</f>
        <v>Планета здоровья</v>
      </c>
      <c r="J1097" s="7" t="s">
        <v>185</v>
      </c>
      <c r="K1097" s="7" t="s">
        <v>189</v>
      </c>
      <c r="L1097" s="7" t="s">
        <v>185</v>
      </c>
      <c r="M1097" s="31">
        <v>45675</v>
      </c>
      <c r="N1097" s="7" t="s">
        <v>2490</v>
      </c>
      <c r="O1097" s="8">
        <v>1591</v>
      </c>
      <c r="P1097" s="24">
        <v>5245</v>
      </c>
      <c r="Q1097" s="22">
        <f>IF(COUNTIFS(A$2:A1097,A1097,I$2:I1097,I1097)=1,1,0)</f>
        <v>0</v>
      </c>
      <c r="R1097" s="22">
        <f t="shared" si="17"/>
        <v>1</v>
      </c>
      <c r="S1097" s="33">
        <f>IF(COUNTIF(O$2:O1097,O1097)=1,R1097,0)/2.5</f>
        <v>0.4</v>
      </c>
    </row>
    <row r="1098" spans="1:19" ht="18" customHeight="1" x14ac:dyDescent="0.25">
      <c r="A1098" s="7" t="s">
        <v>37</v>
      </c>
      <c r="B1098" s="8">
        <v>1</v>
      </c>
      <c r="C1098" s="9">
        <v>545.66999999999996</v>
      </c>
      <c r="D1098" s="29">
        <f>C1098+IF(INDEX('Справочник по %'!B:B,(MATCH(A1098,'Справочник по %'!A:A,0)))="кол-во",B1098*INDEX('Справочник по %'!C:C,(MATCH(A1098,'Справочник по %'!A:A,0))),ОТЧЕТ!C1098*INDEX('Справочник по %'!C:C,(MATCH(A1098,'Справочник по %'!A:A,0))))/100</f>
        <v>545.87</v>
      </c>
      <c r="E1098" s="29">
        <f>IF(ОТЧЕТ!A1098="SKU3",C1098+ОТЧЕТ!C1098*0.2,C1098+ОТЧЕТ!C1098*0.15)</f>
        <v>627.52049999999997</v>
      </c>
      <c r="F1098" s="7" t="s">
        <v>2486</v>
      </c>
      <c r="G1098" s="7">
        <v>7818009091</v>
      </c>
      <c r="H1098" s="20" t="s">
        <v>50</v>
      </c>
      <c r="I1098" s="22" t="str">
        <f>INDEX('Справочник Сети'!B:B,(MATCH(G1098,'Справочник Сети'!C:C,0)))</f>
        <v>Столички</v>
      </c>
      <c r="J1098" s="7" t="s">
        <v>121</v>
      </c>
      <c r="K1098" s="7" t="s">
        <v>1332</v>
      </c>
      <c r="L1098" s="7" t="s">
        <v>121</v>
      </c>
      <c r="M1098" s="31">
        <v>45671</v>
      </c>
      <c r="N1098" s="7" t="s">
        <v>2491</v>
      </c>
      <c r="O1098" s="8">
        <v>1294</v>
      </c>
      <c r="P1098" s="24">
        <v>5246</v>
      </c>
      <c r="Q1098" s="22">
        <f>IF(COUNTIFS(A$2:A1098,A1098,I$2:I1098,I1098)=1,1,0)</f>
        <v>0</v>
      </c>
      <c r="R1098" s="22">
        <f t="shared" si="17"/>
        <v>1</v>
      </c>
      <c r="S1098" s="33">
        <f>IF(COUNTIF(O$2:O1098,O1098)=1,R1098,0)/2.5</f>
        <v>0.4</v>
      </c>
    </row>
    <row r="1099" spans="1:19" ht="18" customHeight="1" x14ac:dyDescent="0.25">
      <c r="A1099" s="7" t="s">
        <v>43</v>
      </c>
      <c r="B1099" s="8">
        <v>1</v>
      </c>
      <c r="C1099" s="9">
        <v>531</v>
      </c>
      <c r="D1099" s="29">
        <f>C1099+IF(INDEX('Справочник по %'!B:B,(MATCH(A1099,'Справочник по %'!A:A,0)))="кол-во",B1099*INDEX('Справочник по %'!C:C,(MATCH(A1099,'Справочник по %'!A:A,0))),ОТЧЕТ!C1099*INDEX('Справочник по %'!C:C,(MATCH(A1099,'Справочник по %'!A:A,0))))/100</f>
        <v>584.1</v>
      </c>
      <c r="E1099" s="29">
        <f>IF(ОТЧЕТ!A1099="SKU3",C1099+ОТЧЕТ!C1099*0.2,C1099+ОТЧЕТ!C1099*0.15)</f>
        <v>610.65</v>
      </c>
      <c r="F1099" s="7" t="s">
        <v>2486</v>
      </c>
      <c r="G1099" s="7">
        <v>2310174829</v>
      </c>
      <c r="H1099" s="20" t="s">
        <v>50</v>
      </c>
      <c r="I1099" s="22">
        <f>INDEX('Справочник Сети'!B:B,(MATCH(G1099,'Справочник Сети'!C:C,0)))</f>
        <v>0</v>
      </c>
      <c r="J1099" s="7" t="s">
        <v>70</v>
      </c>
      <c r="K1099" s="7" t="s">
        <v>75</v>
      </c>
      <c r="L1099" s="7" t="s">
        <v>57</v>
      </c>
      <c r="M1099" s="31">
        <v>45729</v>
      </c>
      <c r="N1099" s="7" t="s">
        <v>2492</v>
      </c>
      <c r="O1099" s="8">
        <v>9</v>
      </c>
      <c r="P1099" s="24">
        <v>5248</v>
      </c>
      <c r="Q1099" s="22">
        <f>IF(COUNTIFS(A$2:A1099,A1099,I$2:I1099,I1099)=1,1,0)</f>
        <v>0</v>
      </c>
      <c r="R1099" s="22">
        <f t="shared" si="17"/>
        <v>1</v>
      </c>
      <c r="S1099" s="33">
        <f>IF(COUNTIF(O$2:O1099,O1099)=1,R1099,0)/2.5</f>
        <v>0.4</v>
      </c>
    </row>
    <row r="1100" spans="1:19" ht="18" customHeight="1" x14ac:dyDescent="0.25">
      <c r="A1100" s="7" t="s">
        <v>43</v>
      </c>
      <c r="B1100" s="8">
        <v>1</v>
      </c>
      <c r="C1100" s="9">
        <v>405</v>
      </c>
      <c r="D1100" s="29">
        <f>C1100+IF(INDEX('Справочник по %'!B:B,(MATCH(A1100,'Справочник по %'!A:A,0)))="кол-во",B1100*INDEX('Справочник по %'!C:C,(MATCH(A1100,'Справочник по %'!A:A,0))),ОТЧЕТ!C1100*INDEX('Справочник по %'!C:C,(MATCH(A1100,'Справочник по %'!A:A,0))))/100</f>
        <v>445.5</v>
      </c>
      <c r="E1100" s="29">
        <f>IF(ОТЧЕТ!A1100="SKU3",C1100+ОТЧЕТ!C1100*0.2,C1100+ОТЧЕТ!C1100*0.15)</f>
        <v>465.75</v>
      </c>
      <c r="F1100" s="7" t="s">
        <v>2486</v>
      </c>
      <c r="G1100" s="7">
        <v>910906054486</v>
      </c>
      <c r="H1100" s="20" t="s">
        <v>50</v>
      </c>
      <c r="I1100" s="22" t="str">
        <f>INDEX('Справочник Сети'!B:B,(MATCH(G1100,'Справочник Сети'!C:C,0)))</f>
        <v>Ригла</v>
      </c>
      <c r="J1100" s="7" t="s">
        <v>322</v>
      </c>
      <c r="K1100" s="7" t="s">
        <v>158</v>
      </c>
      <c r="L1100" s="7" t="s">
        <v>322</v>
      </c>
      <c r="M1100" s="31">
        <v>45658</v>
      </c>
      <c r="N1100" s="7" t="s">
        <v>2493</v>
      </c>
      <c r="O1100" s="8">
        <v>1359</v>
      </c>
      <c r="P1100" s="24">
        <v>5249</v>
      </c>
      <c r="Q1100" s="22">
        <f>IF(COUNTIFS(A$2:A1100,A1100,I$2:I1100,I1100)=1,1,0)</f>
        <v>0</v>
      </c>
      <c r="R1100" s="22">
        <f t="shared" si="17"/>
        <v>5</v>
      </c>
      <c r="S1100" s="33">
        <f>IF(COUNTIF(O$2:O1100,O1100)=1,R1100,0)/2.5</f>
        <v>0</v>
      </c>
    </row>
    <row r="1101" spans="1:19" ht="18" customHeight="1" x14ac:dyDescent="0.25">
      <c r="A1101" s="7" t="s">
        <v>43</v>
      </c>
      <c r="B1101" s="8">
        <v>1</v>
      </c>
      <c r="C1101" s="9">
        <v>427</v>
      </c>
      <c r="D1101" s="29">
        <f>C1101+IF(INDEX('Справочник по %'!B:B,(MATCH(A1101,'Справочник по %'!A:A,0)))="кол-во",B1101*INDEX('Справочник по %'!C:C,(MATCH(A1101,'Справочник по %'!A:A,0))),ОТЧЕТ!C1101*INDEX('Справочник по %'!C:C,(MATCH(A1101,'Справочник по %'!A:A,0))))/100</f>
        <v>469.7</v>
      </c>
      <c r="E1101" s="29">
        <f>IF(ОТЧЕТ!A1101="SKU3",C1101+ОТЧЕТ!C1101*0.2,C1101+ОТЧЕТ!C1101*0.15)</f>
        <v>491.05</v>
      </c>
      <c r="F1101" s="7" t="s">
        <v>2486</v>
      </c>
      <c r="G1101" s="7">
        <v>2308110232</v>
      </c>
      <c r="H1101" s="20" t="s">
        <v>69</v>
      </c>
      <c r="I1101" s="22" t="str">
        <f>INDEX('Справочник Сети'!B:B,(MATCH(G1101,'Справочник Сети'!C:C,0)))</f>
        <v>Нео-фарм</v>
      </c>
      <c r="J1101" s="7" t="s">
        <v>372</v>
      </c>
      <c r="K1101" s="7" t="s">
        <v>1244</v>
      </c>
      <c r="L1101" s="7" t="s">
        <v>372</v>
      </c>
      <c r="M1101" s="31">
        <v>45730</v>
      </c>
      <c r="N1101" s="7" t="s">
        <v>2494</v>
      </c>
      <c r="O1101" s="8">
        <v>313</v>
      </c>
      <c r="P1101" s="24">
        <v>5250</v>
      </c>
      <c r="Q1101" s="22">
        <f>IF(COUNTIFS(A$2:A1101,A1101,I$2:I1101,I1101)=1,1,0)</f>
        <v>0</v>
      </c>
      <c r="R1101" s="22">
        <f t="shared" si="17"/>
        <v>2</v>
      </c>
      <c r="S1101" s="33">
        <f>IF(COUNTIF(O$2:O1101,O1101)=1,R1101,0)/2.5</f>
        <v>0</v>
      </c>
    </row>
    <row r="1102" spans="1:19" ht="18" customHeight="1" x14ac:dyDescent="0.25">
      <c r="A1102" s="7" t="s">
        <v>43</v>
      </c>
      <c r="B1102" s="8">
        <v>1</v>
      </c>
      <c r="C1102" s="9">
        <v>430</v>
      </c>
      <c r="D1102" s="29">
        <f>C1102+IF(INDEX('Справочник по %'!B:B,(MATCH(A1102,'Справочник по %'!A:A,0)))="кол-во",B1102*INDEX('Справочник по %'!C:C,(MATCH(A1102,'Справочник по %'!A:A,0))),ОТЧЕТ!C1102*INDEX('Справочник по %'!C:C,(MATCH(A1102,'Справочник по %'!A:A,0))))/100</f>
        <v>473</v>
      </c>
      <c r="E1102" s="29">
        <f>IF(ОТЧЕТ!A1102="SKU3",C1102+ОТЧЕТ!C1102*0.2,C1102+ОТЧЕТ!C1102*0.15)</f>
        <v>494.5</v>
      </c>
      <c r="F1102" s="7" t="s">
        <v>2486</v>
      </c>
      <c r="G1102" s="7">
        <v>9102213935</v>
      </c>
      <c r="H1102" s="20" t="s">
        <v>2495</v>
      </c>
      <c r="I1102" s="22" t="str">
        <f>INDEX('Справочник Сети'!B:B,(MATCH(G1102,'Справочник Сети'!C:C,0)))</f>
        <v>Ригла</v>
      </c>
      <c r="J1102" s="7" t="s">
        <v>315</v>
      </c>
      <c r="K1102" s="7" t="s">
        <v>158</v>
      </c>
      <c r="L1102" s="7" t="s">
        <v>315</v>
      </c>
      <c r="M1102" s="31">
        <v>45670</v>
      </c>
      <c r="N1102" s="7" t="s">
        <v>2496</v>
      </c>
      <c r="O1102" s="8">
        <v>3322</v>
      </c>
      <c r="P1102" s="24">
        <v>5253</v>
      </c>
      <c r="Q1102" s="22">
        <f>IF(COUNTIFS(A$2:A1102,A1102,I$2:I1102,I1102)=1,1,0)</f>
        <v>0</v>
      </c>
      <c r="R1102" s="22">
        <f t="shared" si="17"/>
        <v>1</v>
      </c>
      <c r="S1102" s="33">
        <f>IF(COUNTIF(O$2:O1102,O1102)=1,R1102,0)/2.5</f>
        <v>0.4</v>
      </c>
    </row>
    <row r="1103" spans="1:19" ht="18" customHeight="1" x14ac:dyDescent="0.25">
      <c r="A1103" s="7" t="s">
        <v>43</v>
      </c>
      <c r="B1103" s="8">
        <v>1</v>
      </c>
      <c r="C1103" s="9">
        <v>358.24</v>
      </c>
      <c r="D1103" s="29">
        <f>C1103+IF(INDEX('Справочник по %'!B:B,(MATCH(A1103,'Справочник по %'!A:A,0)))="кол-во",B1103*INDEX('Справочник по %'!C:C,(MATCH(A1103,'Справочник по %'!A:A,0))),ОТЧЕТ!C1103*INDEX('Справочник по %'!C:C,(MATCH(A1103,'Справочник по %'!A:A,0))))/100</f>
        <v>394.06400000000002</v>
      </c>
      <c r="E1103" s="29">
        <f>IF(ОТЧЕТ!A1103="SKU3",C1103+ОТЧЕТ!C1103*0.2,C1103+ОТЧЕТ!C1103*0.15)</f>
        <v>411.976</v>
      </c>
      <c r="F1103" s="7" t="s">
        <v>2497</v>
      </c>
      <c r="G1103" s="7">
        <v>7728339546</v>
      </c>
      <c r="H1103" s="20" t="s">
        <v>2498</v>
      </c>
      <c r="I1103" s="22" t="str">
        <f>INDEX('Справочник Сети'!B:B,(MATCH(G1103,'Справочник Сети'!C:C,0)))</f>
        <v>Планета здоровья</v>
      </c>
      <c r="J1103" s="7" t="s">
        <v>142</v>
      </c>
      <c r="K1103" s="7" t="s">
        <v>1720</v>
      </c>
      <c r="L1103" s="7" t="s">
        <v>142</v>
      </c>
      <c r="M1103" s="31">
        <v>45674</v>
      </c>
      <c r="N1103" s="7" t="s">
        <v>2499</v>
      </c>
      <c r="O1103" s="8">
        <v>738</v>
      </c>
      <c r="P1103" s="24">
        <v>5259</v>
      </c>
      <c r="Q1103" s="22">
        <f>IF(COUNTIFS(A$2:A1103,A1103,I$2:I1103,I1103)=1,1,0)</f>
        <v>0</v>
      </c>
      <c r="R1103" s="22">
        <f t="shared" si="17"/>
        <v>1</v>
      </c>
      <c r="S1103" s="33">
        <f>IF(COUNTIF(O$2:O1103,O1103)=1,R1103,0)/2.5</f>
        <v>0.4</v>
      </c>
    </row>
    <row r="1104" spans="1:19" ht="18" customHeight="1" x14ac:dyDescent="0.25">
      <c r="A1104" s="7" t="s">
        <v>43</v>
      </c>
      <c r="B1104" s="8">
        <v>1</v>
      </c>
      <c r="C1104" s="9">
        <v>388.58</v>
      </c>
      <c r="D1104" s="29">
        <f>C1104+IF(INDEX('Справочник по %'!B:B,(MATCH(A1104,'Справочник по %'!A:A,0)))="кол-во",B1104*INDEX('Справочник по %'!C:C,(MATCH(A1104,'Справочник по %'!A:A,0))),ОТЧЕТ!C1104*INDEX('Справочник по %'!C:C,(MATCH(A1104,'Справочник по %'!A:A,0))))/100</f>
        <v>427.43799999999999</v>
      </c>
      <c r="E1104" s="29">
        <f>IF(ОТЧЕТ!A1104="SKU3",C1104+ОТЧЕТ!C1104*0.2,C1104+ОТЧЕТ!C1104*0.15)</f>
        <v>446.86699999999996</v>
      </c>
      <c r="F1104" s="7" t="s">
        <v>2497</v>
      </c>
      <c r="G1104" s="7">
        <v>7731334851</v>
      </c>
      <c r="H1104" s="20" t="s">
        <v>2500</v>
      </c>
      <c r="I1104" s="22" t="str">
        <f>INDEX('Справочник Сети'!B:B,(MATCH(G1104,'Справочник Сети'!C:C,0)))</f>
        <v>Планета здоровья</v>
      </c>
      <c r="J1104" s="7" t="s">
        <v>142</v>
      </c>
      <c r="K1104" s="7" t="s">
        <v>228</v>
      </c>
      <c r="L1104" s="7" t="s">
        <v>142</v>
      </c>
      <c r="M1104" s="31">
        <v>45674</v>
      </c>
      <c r="N1104" s="7" t="s">
        <v>2501</v>
      </c>
      <c r="O1104" s="8">
        <v>3512</v>
      </c>
      <c r="P1104" s="24">
        <v>5260</v>
      </c>
      <c r="Q1104" s="22">
        <f>IF(COUNTIFS(A$2:A1104,A1104,I$2:I1104,I1104)=1,1,0)</f>
        <v>0</v>
      </c>
      <c r="R1104" s="22">
        <f t="shared" si="17"/>
        <v>1</v>
      </c>
      <c r="S1104" s="33">
        <f>IF(COUNTIF(O$2:O1104,O1104)=1,R1104,0)/2.5</f>
        <v>0.4</v>
      </c>
    </row>
    <row r="1105" spans="1:19" ht="18" customHeight="1" x14ac:dyDescent="0.25">
      <c r="A1105" s="7" t="s">
        <v>43</v>
      </c>
      <c r="B1105" s="8">
        <v>1</v>
      </c>
      <c r="C1105" s="9">
        <v>425</v>
      </c>
      <c r="D1105" s="29">
        <f>C1105+IF(INDEX('Справочник по %'!B:B,(MATCH(A1105,'Справочник по %'!A:A,0)))="кол-во",B1105*INDEX('Справочник по %'!C:C,(MATCH(A1105,'Справочник по %'!A:A,0))),ОТЧЕТ!C1105*INDEX('Справочник по %'!C:C,(MATCH(A1105,'Справочник по %'!A:A,0))))/100</f>
        <v>467.5</v>
      </c>
      <c r="E1105" s="29">
        <f>IF(ОТЧЕТ!A1105="SKU3",C1105+ОТЧЕТ!C1105*0.2,C1105+ОТЧЕТ!C1105*0.15)</f>
        <v>488.75</v>
      </c>
      <c r="F1105" s="7" t="s">
        <v>2497</v>
      </c>
      <c r="G1105" s="7">
        <v>2305021136</v>
      </c>
      <c r="H1105" s="20" t="s">
        <v>2502</v>
      </c>
      <c r="I1105" s="22">
        <f>INDEX('Справочник Сети'!B:B,(MATCH(G1105,'Справочник Сети'!C:C,0)))</f>
        <v>0</v>
      </c>
      <c r="J1105" s="7" t="s">
        <v>372</v>
      </c>
      <c r="K1105" s="7" t="s">
        <v>2503</v>
      </c>
      <c r="L1105" s="7" t="s">
        <v>372</v>
      </c>
      <c r="M1105" s="31">
        <v>45730</v>
      </c>
      <c r="N1105" s="7" t="s">
        <v>2504</v>
      </c>
      <c r="O1105" s="8">
        <v>1657</v>
      </c>
      <c r="P1105" s="24">
        <v>5263</v>
      </c>
      <c r="Q1105" s="22">
        <f>IF(COUNTIFS(A$2:A1105,A1105,I$2:I1105,I1105)=1,1,0)</f>
        <v>0</v>
      </c>
      <c r="R1105" s="22">
        <f t="shared" si="17"/>
        <v>2</v>
      </c>
      <c r="S1105" s="33">
        <f>IF(COUNTIF(O$2:O1105,O1105)=1,R1105,0)/2.5</f>
        <v>0.8</v>
      </c>
    </row>
    <row r="1106" spans="1:19" ht="18" customHeight="1" x14ac:dyDescent="0.25">
      <c r="A1106" s="7" t="s">
        <v>43</v>
      </c>
      <c r="B1106" s="8">
        <v>1</v>
      </c>
      <c r="C1106" s="9">
        <v>425</v>
      </c>
      <c r="D1106" s="29">
        <f>C1106+IF(INDEX('Справочник по %'!B:B,(MATCH(A1106,'Справочник по %'!A:A,0)))="кол-во",B1106*INDEX('Справочник по %'!C:C,(MATCH(A1106,'Справочник по %'!A:A,0))),ОТЧЕТ!C1106*INDEX('Справочник по %'!C:C,(MATCH(A1106,'Справочник по %'!A:A,0))))/100</f>
        <v>467.5</v>
      </c>
      <c r="E1106" s="29">
        <f>IF(ОТЧЕТ!A1106="SKU3",C1106+ОТЧЕТ!C1106*0.2,C1106+ОТЧЕТ!C1106*0.15)</f>
        <v>488.75</v>
      </c>
      <c r="F1106" s="7" t="s">
        <v>2497</v>
      </c>
      <c r="G1106" s="7">
        <v>2305021136</v>
      </c>
      <c r="H1106" s="20" t="s">
        <v>2502</v>
      </c>
      <c r="I1106" s="22">
        <f>INDEX('Справочник Сети'!B:B,(MATCH(G1106,'Справочник Сети'!C:C,0)))</f>
        <v>0</v>
      </c>
      <c r="J1106" s="7" t="s">
        <v>372</v>
      </c>
      <c r="K1106" s="7" t="s">
        <v>2503</v>
      </c>
      <c r="L1106" s="7" t="s">
        <v>372</v>
      </c>
      <c r="M1106" s="31">
        <v>45730</v>
      </c>
      <c r="N1106" s="7" t="s">
        <v>2504</v>
      </c>
      <c r="O1106" s="8">
        <v>1657</v>
      </c>
      <c r="P1106" s="24">
        <v>5263</v>
      </c>
      <c r="Q1106" s="22">
        <f>IF(COUNTIFS(A$2:A1106,A1106,I$2:I1106,I1106)=1,1,0)</f>
        <v>0</v>
      </c>
      <c r="R1106" s="22">
        <f t="shared" si="17"/>
        <v>2</v>
      </c>
      <c r="S1106" s="33">
        <f>IF(COUNTIF(O$2:O1106,O1106)=1,R1106,0)/2.5</f>
        <v>0</v>
      </c>
    </row>
    <row r="1107" spans="1:19" ht="18" customHeight="1" x14ac:dyDescent="0.25">
      <c r="A1107" s="7" t="s">
        <v>43</v>
      </c>
      <c r="B1107" s="8">
        <v>1</v>
      </c>
      <c r="C1107" s="9">
        <v>382</v>
      </c>
      <c r="D1107" s="29">
        <f>C1107+IF(INDEX('Справочник по %'!B:B,(MATCH(A1107,'Справочник по %'!A:A,0)))="кол-во",B1107*INDEX('Справочник по %'!C:C,(MATCH(A1107,'Справочник по %'!A:A,0))),ОТЧЕТ!C1107*INDEX('Справочник по %'!C:C,(MATCH(A1107,'Справочник по %'!A:A,0))))/100</f>
        <v>420.2</v>
      </c>
      <c r="E1107" s="29">
        <f>IF(ОТЧЕТ!A1107="SKU3",C1107+ОТЧЕТ!C1107*0.2,C1107+ОТЧЕТ!C1107*0.15)</f>
        <v>439.3</v>
      </c>
      <c r="F1107" s="7" t="s">
        <v>2505</v>
      </c>
      <c r="G1107" s="7">
        <v>7728339546</v>
      </c>
      <c r="H1107" s="20" t="s">
        <v>2506</v>
      </c>
      <c r="I1107" s="22" t="str">
        <f>INDEX('Справочник Сети'!B:B,(MATCH(G1107,'Справочник Сети'!C:C,0)))</f>
        <v>Планета здоровья</v>
      </c>
      <c r="J1107" s="7" t="s">
        <v>142</v>
      </c>
      <c r="K1107" s="7" t="s">
        <v>249</v>
      </c>
      <c r="L1107" s="7" t="s">
        <v>142</v>
      </c>
      <c r="M1107" s="31">
        <v>45674</v>
      </c>
      <c r="N1107" s="7" t="s">
        <v>2507</v>
      </c>
      <c r="O1107" s="8">
        <v>1411</v>
      </c>
      <c r="P1107" s="24">
        <v>5267</v>
      </c>
      <c r="Q1107" s="22">
        <f>IF(COUNTIFS(A$2:A1107,A1107,I$2:I1107,I1107)=1,1,0)</f>
        <v>0</v>
      </c>
      <c r="R1107" s="22">
        <f t="shared" si="17"/>
        <v>1</v>
      </c>
      <c r="S1107" s="33">
        <f>IF(COUNTIF(O$2:O1107,O1107)=1,R1107,0)/2.5</f>
        <v>0.4</v>
      </c>
    </row>
    <row r="1108" spans="1:19" ht="18" customHeight="1" x14ac:dyDescent="0.25">
      <c r="A1108" s="7" t="s">
        <v>43</v>
      </c>
      <c r="B1108" s="8">
        <v>1</v>
      </c>
      <c r="C1108" s="9">
        <v>423.7</v>
      </c>
      <c r="D1108" s="29">
        <f>C1108+IF(INDEX('Справочник по %'!B:B,(MATCH(A1108,'Справочник по %'!A:A,0)))="кол-во",B1108*INDEX('Справочник по %'!C:C,(MATCH(A1108,'Справочник по %'!A:A,0))),ОТЧЕТ!C1108*INDEX('Справочник по %'!C:C,(MATCH(A1108,'Справочник по %'!A:A,0))))/100</f>
        <v>466.07</v>
      </c>
      <c r="E1108" s="29">
        <f>IF(ОТЧЕТ!A1108="SKU3",C1108+ОТЧЕТ!C1108*0.2,C1108+ОТЧЕТ!C1108*0.15)</f>
        <v>487.255</v>
      </c>
      <c r="F1108" s="7" t="s">
        <v>2508</v>
      </c>
      <c r="G1108" s="7">
        <v>7840411560</v>
      </c>
      <c r="H1108" s="20" t="s">
        <v>491</v>
      </c>
      <c r="I1108" s="22" t="str">
        <f>INDEX('Справочник Сети'!B:B,(MATCH(G1108,'Справочник Сети'!C:C,0)))</f>
        <v>Столички</v>
      </c>
      <c r="J1108" s="7" t="s">
        <v>315</v>
      </c>
      <c r="K1108" s="7" t="s">
        <v>244</v>
      </c>
      <c r="L1108" s="7" t="s">
        <v>315</v>
      </c>
      <c r="M1108" s="31">
        <v>45670</v>
      </c>
      <c r="N1108" s="7" t="s">
        <v>2509</v>
      </c>
      <c r="O1108" s="8">
        <v>2953</v>
      </c>
      <c r="P1108" s="24">
        <v>5268</v>
      </c>
      <c r="Q1108" s="22">
        <f>IF(COUNTIFS(A$2:A1108,A1108,I$2:I1108,I1108)=1,1,0)</f>
        <v>0</v>
      </c>
      <c r="R1108" s="22">
        <f t="shared" si="17"/>
        <v>4</v>
      </c>
      <c r="S1108" s="33">
        <f>IF(COUNTIF(O$2:O1108,O1108)=1,R1108,0)/2.5</f>
        <v>0</v>
      </c>
    </row>
    <row r="1109" spans="1:19" ht="18" customHeight="1" x14ac:dyDescent="0.25">
      <c r="A1109" s="7" t="s">
        <v>43</v>
      </c>
      <c r="B1109" s="8">
        <v>1</v>
      </c>
      <c r="C1109" s="9">
        <v>382</v>
      </c>
      <c r="D1109" s="29">
        <f>C1109+IF(INDEX('Справочник по %'!B:B,(MATCH(A1109,'Справочник по %'!A:A,0)))="кол-во",B1109*INDEX('Справочник по %'!C:C,(MATCH(A1109,'Справочник по %'!A:A,0))),ОТЧЕТ!C1109*INDEX('Справочник по %'!C:C,(MATCH(A1109,'Справочник по %'!A:A,0))))/100</f>
        <v>420.2</v>
      </c>
      <c r="E1109" s="29">
        <f>IF(ОТЧЕТ!A1109="SKU3",C1109+ОТЧЕТ!C1109*0.2,C1109+ОТЧЕТ!C1109*0.15)</f>
        <v>439.3</v>
      </c>
      <c r="F1109" s="7" t="s">
        <v>2508</v>
      </c>
      <c r="G1109" s="7">
        <v>7706795062</v>
      </c>
      <c r="H1109" s="20" t="s">
        <v>810</v>
      </c>
      <c r="I1109" s="22" t="str">
        <f>INDEX('Справочник Сети'!B:B,(MATCH(G1109,'Справочник Сети'!C:C,0)))</f>
        <v>Планета здоровья</v>
      </c>
      <c r="J1109" s="7" t="s">
        <v>87</v>
      </c>
      <c r="K1109" s="7" t="s">
        <v>2510</v>
      </c>
      <c r="L1109" s="7" t="s">
        <v>87</v>
      </c>
      <c r="M1109" s="31">
        <v>45691</v>
      </c>
      <c r="N1109" s="7" t="s">
        <v>2511</v>
      </c>
      <c r="O1109" s="8">
        <v>3340</v>
      </c>
      <c r="P1109" s="24">
        <v>5270</v>
      </c>
      <c r="Q1109" s="22">
        <f>IF(COUNTIFS(A$2:A1109,A1109,I$2:I1109,I1109)=1,1,0)</f>
        <v>0</v>
      </c>
      <c r="R1109" s="22">
        <f t="shared" si="17"/>
        <v>3</v>
      </c>
      <c r="S1109" s="33">
        <f>IF(COUNTIF(O$2:O1109,O1109)=1,R1109,0)/2.5</f>
        <v>0</v>
      </c>
    </row>
    <row r="1110" spans="1:19" ht="18" customHeight="1" x14ac:dyDescent="0.25">
      <c r="A1110" s="7" t="s">
        <v>43</v>
      </c>
      <c r="B1110" s="8">
        <v>1</v>
      </c>
      <c r="C1110" s="9">
        <v>399</v>
      </c>
      <c r="D1110" s="29">
        <f>C1110+IF(INDEX('Справочник по %'!B:B,(MATCH(A1110,'Справочник по %'!A:A,0)))="кол-во",B1110*INDEX('Справочник по %'!C:C,(MATCH(A1110,'Справочник по %'!A:A,0))),ОТЧЕТ!C1110*INDEX('Справочник по %'!C:C,(MATCH(A1110,'Справочник по %'!A:A,0))))/100</f>
        <v>438.9</v>
      </c>
      <c r="E1110" s="29">
        <f>IF(ОТЧЕТ!A1110="SKU3",C1110+ОТЧЕТ!C1110*0.2,C1110+ОТЧЕТ!C1110*0.15)</f>
        <v>458.85</v>
      </c>
      <c r="F1110" s="7" t="s">
        <v>2512</v>
      </c>
      <c r="G1110" s="7">
        <v>2373007450</v>
      </c>
      <c r="H1110" s="20" t="s">
        <v>2206</v>
      </c>
      <c r="I1110" s="22">
        <f>INDEX('Справочник Сети'!B:B,(MATCH(G1110,'Справочник Сети'!C:C,0)))</f>
        <v>0</v>
      </c>
      <c r="J1110" s="7" t="s">
        <v>96</v>
      </c>
      <c r="K1110" s="7" t="s">
        <v>2513</v>
      </c>
      <c r="L1110" s="7" t="s">
        <v>96</v>
      </c>
      <c r="M1110" s="31">
        <v>45727</v>
      </c>
      <c r="N1110" s="7" t="s">
        <v>2514</v>
      </c>
      <c r="O1110" s="8">
        <v>255</v>
      </c>
      <c r="P1110" s="24">
        <v>5273</v>
      </c>
      <c r="Q1110" s="22">
        <f>IF(COUNTIFS(A$2:A1110,A1110,I$2:I1110,I1110)=1,1,0)</f>
        <v>0</v>
      </c>
      <c r="R1110" s="22">
        <f t="shared" si="17"/>
        <v>2</v>
      </c>
      <c r="S1110" s="33">
        <f>IF(COUNTIF(O$2:O1110,O1110)=1,R1110,0)/2.5</f>
        <v>0</v>
      </c>
    </row>
    <row r="1111" spans="1:19" ht="18" customHeight="1" x14ac:dyDescent="0.25">
      <c r="A1111" s="7" t="s">
        <v>43</v>
      </c>
      <c r="B1111" s="8">
        <v>1</v>
      </c>
      <c r="C1111" s="9">
        <v>380</v>
      </c>
      <c r="D1111" s="29">
        <f>C1111+IF(INDEX('Справочник по %'!B:B,(MATCH(A1111,'Справочник по %'!A:A,0)))="кол-во",B1111*INDEX('Справочник по %'!C:C,(MATCH(A1111,'Справочник по %'!A:A,0))),ОТЧЕТ!C1111*INDEX('Справочник по %'!C:C,(MATCH(A1111,'Справочник по %'!A:A,0))))/100</f>
        <v>418</v>
      </c>
      <c r="E1111" s="29">
        <f>IF(ОТЧЕТ!A1111="SKU3",C1111+ОТЧЕТ!C1111*0.2,C1111+ОТЧЕТ!C1111*0.15)</f>
        <v>437</v>
      </c>
      <c r="F1111" s="7" t="s">
        <v>2515</v>
      </c>
      <c r="G1111" s="7">
        <v>7732121736</v>
      </c>
      <c r="H1111" s="20" t="s">
        <v>2516</v>
      </c>
      <c r="I1111" s="22" t="str">
        <f>INDEX('Справочник Сети'!B:B,(MATCH(G1111,'Справочник Сети'!C:C,0)))</f>
        <v>Планета здоровья</v>
      </c>
      <c r="J1111" s="7" t="s">
        <v>149</v>
      </c>
      <c r="K1111" s="7" t="s">
        <v>249</v>
      </c>
      <c r="L1111" s="7" t="s">
        <v>142</v>
      </c>
      <c r="M1111" s="31">
        <v>45674</v>
      </c>
      <c r="N1111" s="7" t="s">
        <v>2517</v>
      </c>
      <c r="O1111" s="8">
        <v>741</v>
      </c>
      <c r="P1111" s="24">
        <v>5278</v>
      </c>
      <c r="Q1111" s="22">
        <f>IF(COUNTIFS(A$2:A1111,A1111,I$2:I1111,I1111)=1,1,0)</f>
        <v>0</v>
      </c>
      <c r="R1111" s="22">
        <f t="shared" si="17"/>
        <v>3</v>
      </c>
      <c r="S1111" s="33">
        <f>IF(COUNTIF(O$2:O1111,O1111)=1,R1111,0)/2.5</f>
        <v>1.2</v>
      </c>
    </row>
    <row r="1112" spans="1:19" ht="18" customHeight="1" x14ac:dyDescent="0.25">
      <c r="A1112" s="7" t="s">
        <v>43</v>
      </c>
      <c r="B1112" s="8">
        <v>1</v>
      </c>
      <c r="C1112" s="9">
        <v>415</v>
      </c>
      <c r="D1112" s="29">
        <f>C1112+IF(INDEX('Справочник по %'!B:B,(MATCH(A1112,'Справочник по %'!A:A,0)))="кол-во",B1112*INDEX('Справочник по %'!C:C,(MATCH(A1112,'Справочник по %'!A:A,0))),ОТЧЕТ!C1112*INDEX('Справочник по %'!C:C,(MATCH(A1112,'Справочник по %'!A:A,0))))/100</f>
        <v>456.5</v>
      </c>
      <c r="E1112" s="29">
        <f>IF(ОТЧЕТ!A1112="SKU3",C1112+ОТЧЕТ!C1112*0.2,C1112+ОТЧЕТ!C1112*0.15)</f>
        <v>477.25</v>
      </c>
      <c r="F1112" s="7" t="s">
        <v>2518</v>
      </c>
      <c r="G1112" s="7">
        <v>7706795062</v>
      </c>
      <c r="H1112" s="20" t="s">
        <v>999</v>
      </c>
      <c r="I1112" s="22" t="str">
        <f>INDEX('Справочник Сети'!B:B,(MATCH(G1112,'Справочник Сети'!C:C,0)))</f>
        <v>Планета здоровья</v>
      </c>
      <c r="J1112" s="7" t="s">
        <v>87</v>
      </c>
      <c r="K1112" s="7" t="s">
        <v>2519</v>
      </c>
      <c r="L1112" s="7" t="s">
        <v>87</v>
      </c>
      <c r="M1112" s="31">
        <v>45691</v>
      </c>
      <c r="N1112" s="7" t="s">
        <v>2520</v>
      </c>
      <c r="O1112" s="8">
        <v>2659</v>
      </c>
      <c r="P1112" s="24">
        <v>5280</v>
      </c>
      <c r="Q1112" s="22">
        <f>IF(COUNTIFS(A$2:A1112,A1112,I$2:I1112,I1112)=1,1,0)</f>
        <v>0</v>
      </c>
      <c r="R1112" s="22">
        <f t="shared" si="17"/>
        <v>1</v>
      </c>
      <c r="S1112" s="33">
        <f>IF(COUNTIF(O$2:O1112,O1112)=1,R1112,0)/2.5</f>
        <v>0.4</v>
      </c>
    </row>
    <row r="1113" spans="1:19" ht="18" customHeight="1" x14ac:dyDescent="0.25">
      <c r="A1113" s="7" t="s">
        <v>43</v>
      </c>
      <c r="B1113" s="8">
        <v>1</v>
      </c>
      <c r="C1113" s="9">
        <v>545</v>
      </c>
      <c r="D1113" s="29">
        <f>C1113+IF(INDEX('Справочник по %'!B:B,(MATCH(A1113,'Справочник по %'!A:A,0)))="кол-во",B1113*INDEX('Справочник по %'!C:C,(MATCH(A1113,'Справочник по %'!A:A,0))),ОТЧЕТ!C1113*INDEX('Справочник по %'!C:C,(MATCH(A1113,'Справочник по %'!A:A,0))))/100</f>
        <v>599.5</v>
      </c>
      <c r="E1113" s="29">
        <f>IF(ОТЧЕТ!A1113="SKU3",C1113+ОТЧЕТ!C1113*0.2,C1113+ОТЧЕТ!C1113*0.15)</f>
        <v>626.75</v>
      </c>
      <c r="F1113" s="7" t="s">
        <v>2518</v>
      </c>
      <c r="G1113" s="7">
        <v>5017128086</v>
      </c>
      <c r="H1113" s="20" t="s">
        <v>378</v>
      </c>
      <c r="I1113" s="22" t="str">
        <f>INDEX('Справочник Сети'!B:B,(MATCH(G1113,'Справочник Сети'!C:C,0)))</f>
        <v>Столички</v>
      </c>
      <c r="J1113" s="7" t="s">
        <v>83</v>
      </c>
      <c r="K1113" s="7" t="s">
        <v>414</v>
      </c>
      <c r="L1113" s="7" t="s">
        <v>83</v>
      </c>
      <c r="M1113" s="31">
        <v>45715</v>
      </c>
      <c r="N1113" s="7" t="s">
        <v>2521</v>
      </c>
      <c r="O1113" s="8">
        <v>903</v>
      </c>
      <c r="P1113" s="24">
        <v>5285</v>
      </c>
      <c r="Q1113" s="22">
        <f>IF(COUNTIFS(A$2:A1113,A1113,I$2:I1113,I1113)=1,1,0)</f>
        <v>0</v>
      </c>
      <c r="R1113" s="22">
        <f t="shared" si="17"/>
        <v>3</v>
      </c>
      <c r="S1113" s="33">
        <f>IF(COUNTIF(O$2:O1113,O1113)=1,R1113,0)/2.5</f>
        <v>0</v>
      </c>
    </row>
    <row r="1114" spans="1:19" ht="18" customHeight="1" x14ac:dyDescent="0.25">
      <c r="A1114" s="7" t="s">
        <v>43</v>
      </c>
      <c r="B1114" s="8">
        <v>1</v>
      </c>
      <c r="C1114" s="9">
        <v>456</v>
      </c>
      <c r="D1114" s="29">
        <f>C1114+IF(INDEX('Справочник по %'!B:B,(MATCH(A1114,'Справочник по %'!A:A,0)))="кол-во",B1114*INDEX('Справочник по %'!C:C,(MATCH(A1114,'Справочник по %'!A:A,0))),ОТЧЕТ!C1114*INDEX('Справочник по %'!C:C,(MATCH(A1114,'Справочник по %'!A:A,0))))/100</f>
        <v>501.6</v>
      </c>
      <c r="E1114" s="29">
        <f>IF(ОТЧЕТ!A1114="SKU3",C1114+ОТЧЕТ!C1114*0.2,C1114+ОТЧЕТ!C1114*0.15)</f>
        <v>524.4</v>
      </c>
      <c r="F1114" s="7" t="s">
        <v>2518</v>
      </c>
      <c r="G1114" s="7">
        <v>5024140567</v>
      </c>
      <c r="H1114" s="20" t="s">
        <v>50</v>
      </c>
      <c r="I1114" s="22">
        <f>INDEX('Справочник Сети'!B:B,(MATCH(G1114,'Справочник Сети'!C:C,0)))</f>
        <v>0</v>
      </c>
      <c r="J1114" s="7" t="s">
        <v>83</v>
      </c>
      <c r="K1114" s="7" t="s">
        <v>241</v>
      </c>
      <c r="L1114" s="7" t="s">
        <v>83</v>
      </c>
      <c r="M1114" s="31">
        <v>45715</v>
      </c>
      <c r="N1114" s="7" t="s">
        <v>2522</v>
      </c>
      <c r="O1114" s="8">
        <v>1042</v>
      </c>
      <c r="P1114" s="24">
        <v>5290</v>
      </c>
      <c r="Q1114" s="22">
        <f>IF(COUNTIFS(A$2:A1114,A1114,I$2:I1114,I1114)=1,1,0)</f>
        <v>0</v>
      </c>
      <c r="R1114" s="22">
        <f t="shared" si="17"/>
        <v>3</v>
      </c>
      <c r="S1114" s="33">
        <f>IF(COUNTIF(O$2:O1114,O1114)=1,R1114,0)/2.5</f>
        <v>0</v>
      </c>
    </row>
    <row r="1115" spans="1:19" ht="18" customHeight="1" x14ac:dyDescent="0.25">
      <c r="A1115" s="7" t="s">
        <v>43</v>
      </c>
      <c r="B1115" s="8">
        <v>1</v>
      </c>
      <c r="C1115" s="9">
        <v>451.5</v>
      </c>
      <c r="D1115" s="29">
        <f>C1115+IF(INDEX('Справочник по %'!B:B,(MATCH(A1115,'Справочник по %'!A:A,0)))="кол-во",B1115*INDEX('Справочник по %'!C:C,(MATCH(A1115,'Справочник по %'!A:A,0))),ОТЧЕТ!C1115*INDEX('Справочник по %'!C:C,(MATCH(A1115,'Справочник по %'!A:A,0))))/100</f>
        <v>496.65</v>
      </c>
      <c r="E1115" s="29">
        <f>IF(ОТЧЕТ!A1115="SKU3",C1115+ОТЧЕТ!C1115*0.2,C1115+ОТЧЕТ!C1115*0.15)</f>
        <v>519.22500000000002</v>
      </c>
      <c r="F1115" s="7" t="s">
        <v>2518</v>
      </c>
      <c r="G1115" s="7">
        <v>2309141018</v>
      </c>
      <c r="H1115" s="20" t="s">
        <v>2523</v>
      </c>
      <c r="I1115" s="22">
        <f>INDEX('Справочник Сети'!B:B,(MATCH(G1115,'Справочник Сети'!C:C,0)))</f>
        <v>0</v>
      </c>
      <c r="J1115" s="7" t="s">
        <v>57</v>
      </c>
      <c r="K1115" s="7" t="s">
        <v>2130</v>
      </c>
      <c r="L1115" s="7" t="s">
        <v>57</v>
      </c>
      <c r="M1115" s="31">
        <v>45729</v>
      </c>
      <c r="N1115" s="7" t="s">
        <v>2524</v>
      </c>
      <c r="O1115" s="8">
        <v>1909</v>
      </c>
      <c r="P1115" s="24">
        <v>5291</v>
      </c>
      <c r="Q1115" s="22">
        <f>IF(COUNTIFS(A$2:A1115,A1115,I$2:I1115,I1115)=1,1,0)</f>
        <v>0</v>
      </c>
      <c r="R1115" s="22">
        <f t="shared" si="17"/>
        <v>1</v>
      </c>
      <c r="S1115" s="33">
        <f>IF(COUNTIF(O$2:O1115,O1115)=1,R1115,0)/2.5</f>
        <v>0.4</v>
      </c>
    </row>
    <row r="1116" spans="1:19" ht="18" customHeight="1" x14ac:dyDescent="0.25">
      <c r="A1116" s="7" t="s">
        <v>43</v>
      </c>
      <c r="B1116" s="8">
        <v>1</v>
      </c>
      <c r="C1116" s="9">
        <v>550</v>
      </c>
      <c r="D1116" s="29">
        <f>C1116+IF(INDEX('Справочник по %'!B:B,(MATCH(A1116,'Справочник по %'!A:A,0)))="кол-во",B1116*INDEX('Справочник по %'!C:C,(MATCH(A1116,'Справочник по %'!A:A,0))),ОТЧЕТ!C1116*INDEX('Справочник по %'!C:C,(MATCH(A1116,'Справочник по %'!A:A,0))))/100</f>
        <v>605</v>
      </c>
      <c r="E1116" s="29">
        <f>IF(ОТЧЕТ!A1116="SKU3",C1116+ОТЧЕТ!C1116*0.2,C1116+ОТЧЕТ!C1116*0.15)</f>
        <v>632.5</v>
      </c>
      <c r="F1116" s="7" t="s">
        <v>2518</v>
      </c>
      <c r="G1116" s="7">
        <v>2320218433</v>
      </c>
      <c r="H1116" s="20" t="s">
        <v>50</v>
      </c>
      <c r="I1116" s="22" t="str">
        <f>INDEX('Справочник Сети'!B:B,(MATCH(G1116,'Справочник Сети'!C:C,0)))</f>
        <v>Планета здоровья</v>
      </c>
      <c r="J1116" s="7" t="s">
        <v>96</v>
      </c>
      <c r="K1116" s="7" t="s">
        <v>784</v>
      </c>
      <c r="L1116" s="7" t="s">
        <v>70</v>
      </c>
      <c r="M1116" s="31">
        <v>45728</v>
      </c>
      <c r="N1116" s="7" t="s">
        <v>2525</v>
      </c>
      <c r="O1116" s="8">
        <v>3018</v>
      </c>
      <c r="P1116" s="24">
        <v>5294</v>
      </c>
      <c r="Q1116" s="22">
        <f>IF(COUNTIFS(A$2:A1116,A1116,I$2:I1116,I1116)=1,1,0)</f>
        <v>0</v>
      </c>
      <c r="R1116" s="22">
        <f t="shared" si="17"/>
        <v>3</v>
      </c>
      <c r="S1116" s="33">
        <f>IF(COUNTIF(O$2:O1116,O1116)=1,R1116,0)/2.5</f>
        <v>0</v>
      </c>
    </row>
    <row r="1117" spans="1:19" ht="18" customHeight="1" x14ac:dyDescent="0.25">
      <c r="A1117" s="7" t="s">
        <v>37</v>
      </c>
      <c r="B1117" s="8">
        <v>1</v>
      </c>
      <c r="C1117" s="9">
        <v>640</v>
      </c>
      <c r="D1117" s="29">
        <f>C1117+IF(INDEX('Справочник по %'!B:B,(MATCH(A1117,'Справочник по %'!A:A,0)))="кол-во",B1117*INDEX('Справочник по %'!C:C,(MATCH(A1117,'Справочник по %'!A:A,0))),ОТЧЕТ!C1117*INDEX('Справочник по %'!C:C,(MATCH(A1117,'Справочник по %'!A:A,0))))/100</f>
        <v>640.20000000000005</v>
      </c>
      <c r="E1117" s="29">
        <f>IF(ОТЧЕТ!A1117="SKU3",C1117+ОТЧЕТ!C1117*0.2,C1117+ОТЧЕТ!C1117*0.15)</f>
        <v>736</v>
      </c>
      <c r="F1117" s="7" t="s">
        <v>2518</v>
      </c>
      <c r="G1117" s="7">
        <v>910800091897</v>
      </c>
      <c r="H1117" s="20" t="s">
        <v>1046</v>
      </c>
      <c r="I1117" s="22">
        <f>INDEX('Справочник Сети'!B:B,(MATCH(G1117,'Справочник Сети'!C:C,0)))</f>
        <v>0</v>
      </c>
      <c r="J1117" s="7" t="s">
        <v>322</v>
      </c>
      <c r="K1117" s="7" t="s">
        <v>2526</v>
      </c>
      <c r="L1117" s="7" t="s">
        <v>322</v>
      </c>
      <c r="M1117" s="31">
        <v>45658</v>
      </c>
      <c r="N1117" s="7" t="s">
        <v>2527</v>
      </c>
      <c r="O1117" s="8">
        <v>2630</v>
      </c>
      <c r="P1117" s="24">
        <v>5302</v>
      </c>
      <c r="Q1117" s="22">
        <f>IF(COUNTIFS(A$2:A1117,A1117,I$2:I1117,I1117)=1,1,0)</f>
        <v>0</v>
      </c>
      <c r="R1117" s="22">
        <f t="shared" si="17"/>
        <v>23</v>
      </c>
      <c r="S1117" s="33">
        <f>IF(COUNTIF(O$2:O1117,O1117)=1,R1117,0)/2.5</f>
        <v>0</v>
      </c>
    </row>
    <row r="1118" spans="1:19" ht="18" customHeight="1" x14ac:dyDescent="0.25">
      <c r="A1118" s="7" t="s">
        <v>43</v>
      </c>
      <c r="B1118" s="8">
        <v>1</v>
      </c>
      <c r="C1118" s="9">
        <v>379</v>
      </c>
      <c r="D1118" s="29">
        <f>C1118+IF(INDEX('Справочник по %'!B:B,(MATCH(A1118,'Справочник по %'!A:A,0)))="кол-во",B1118*INDEX('Справочник по %'!C:C,(MATCH(A1118,'Справочник по %'!A:A,0))),ОТЧЕТ!C1118*INDEX('Справочник по %'!C:C,(MATCH(A1118,'Справочник по %'!A:A,0))))/100</f>
        <v>416.9</v>
      </c>
      <c r="E1118" s="29">
        <f>IF(ОТЧЕТ!A1118="SKU3",C1118+ОТЧЕТ!C1118*0.2,C1118+ОТЧЕТ!C1118*0.15)</f>
        <v>435.85</v>
      </c>
      <c r="F1118" s="7" t="s">
        <v>2518</v>
      </c>
      <c r="G1118" s="7">
        <v>7706795062</v>
      </c>
      <c r="H1118" s="20" t="s">
        <v>1007</v>
      </c>
      <c r="I1118" s="22" t="str">
        <f>INDEX('Справочник Сети'!B:B,(MATCH(G1118,'Справочник Сети'!C:C,0)))</f>
        <v>Планета здоровья</v>
      </c>
      <c r="J1118" s="7" t="s">
        <v>87</v>
      </c>
      <c r="K1118" s="7" t="s">
        <v>886</v>
      </c>
      <c r="L1118" s="7" t="s">
        <v>87</v>
      </c>
      <c r="M1118" s="31">
        <v>45691</v>
      </c>
      <c r="N1118" s="7" t="s">
        <v>2528</v>
      </c>
      <c r="O1118" s="8">
        <v>3349</v>
      </c>
      <c r="P1118" s="24">
        <v>5303</v>
      </c>
      <c r="Q1118" s="22">
        <f>IF(COUNTIFS(A$2:A1118,A1118,I$2:I1118,I1118)=1,1,0)</f>
        <v>0</v>
      </c>
      <c r="R1118" s="22">
        <f t="shared" si="17"/>
        <v>5</v>
      </c>
      <c r="S1118" s="33">
        <f>IF(COUNTIF(O$2:O1118,O1118)=1,R1118,0)/2.5</f>
        <v>0</v>
      </c>
    </row>
    <row r="1119" spans="1:19" ht="18" customHeight="1" x14ac:dyDescent="0.25">
      <c r="A1119" s="7" t="s">
        <v>37</v>
      </c>
      <c r="B1119" s="8">
        <v>1</v>
      </c>
      <c r="C1119" s="9">
        <v>615</v>
      </c>
      <c r="D1119" s="29">
        <f>C1119+IF(INDEX('Справочник по %'!B:B,(MATCH(A1119,'Справочник по %'!A:A,0)))="кол-во",B1119*INDEX('Справочник по %'!C:C,(MATCH(A1119,'Справочник по %'!A:A,0))),ОТЧЕТ!C1119*INDEX('Справочник по %'!C:C,(MATCH(A1119,'Справочник по %'!A:A,0))))/100</f>
        <v>615.20000000000005</v>
      </c>
      <c r="E1119" s="29">
        <f>IF(ОТЧЕТ!A1119="SKU3",C1119+ОТЧЕТ!C1119*0.2,C1119+ОТЧЕТ!C1119*0.15)</f>
        <v>707.25</v>
      </c>
      <c r="F1119" s="7" t="s">
        <v>2529</v>
      </c>
      <c r="G1119" s="7">
        <v>7814431591</v>
      </c>
      <c r="H1119" s="20" t="s">
        <v>50</v>
      </c>
      <c r="I1119" s="22">
        <f>INDEX('Справочник Сети'!B:B,(MATCH(G1119,'Справочник Сети'!C:C,0)))</f>
        <v>0</v>
      </c>
      <c r="J1119" s="7" t="s">
        <v>121</v>
      </c>
      <c r="K1119" s="7" t="s">
        <v>2530</v>
      </c>
      <c r="L1119" s="7" t="s">
        <v>121</v>
      </c>
      <c r="M1119" s="31">
        <v>45671</v>
      </c>
      <c r="N1119" s="7" t="s">
        <v>2531</v>
      </c>
      <c r="O1119" s="8">
        <v>65</v>
      </c>
      <c r="P1119" s="24">
        <v>5305</v>
      </c>
      <c r="Q1119" s="22">
        <f>IF(COUNTIFS(A$2:A1119,A1119,I$2:I1119,I1119)=1,1,0)</f>
        <v>0</v>
      </c>
      <c r="R1119" s="22">
        <f t="shared" si="17"/>
        <v>4</v>
      </c>
      <c r="S1119" s="33">
        <f>IF(COUNTIF(O$2:O1119,O1119)=1,R1119,0)/2.5</f>
        <v>0</v>
      </c>
    </row>
    <row r="1120" spans="1:19" ht="18" customHeight="1" x14ac:dyDescent="0.25">
      <c r="A1120" s="7" t="s">
        <v>43</v>
      </c>
      <c r="B1120" s="8">
        <v>1</v>
      </c>
      <c r="C1120" s="9">
        <v>494</v>
      </c>
      <c r="D1120" s="29">
        <f>C1120+IF(INDEX('Справочник по %'!B:B,(MATCH(A1120,'Справочник по %'!A:A,0)))="кол-во",B1120*INDEX('Справочник по %'!C:C,(MATCH(A1120,'Справочник по %'!A:A,0))),ОТЧЕТ!C1120*INDEX('Справочник по %'!C:C,(MATCH(A1120,'Справочник по %'!A:A,0))))/100</f>
        <v>543.4</v>
      </c>
      <c r="E1120" s="29">
        <f>IF(ОТЧЕТ!A1120="SKU3",C1120+ОТЧЕТ!C1120*0.2,C1120+ОТЧЕТ!C1120*0.15)</f>
        <v>568.1</v>
      </c>
      <c r="F1120" s="7" t="s">
        <v>2529</v>
      </c>
      <c r="G1120" s="7">
        <v>7705947629</v>
      </c>
      <c r="H1120" s="20" t="s">
        <v>50</v>
      </c>
      <c r="I1120" s="22" t="str">
        <f>INDEX('Справочник Сети'!B:B,(MATCH(G1120,'Справочник Сети'!C:C,0)))</f>
        <v>36,6</v>
      </c>
      <c r="J1120" s="7" t="s">
        <v>116</v>
      </c>
      <c r="K1120" s="7" t="s">
        <v>889</v>
      </c>
      <c r="L1120" s="7" t="s">
        <v>116</v>
      </c>
      <c r="M1120" s="31">
        <v>45692</v>
      </c>
      <c r="N1120" s="7" t="s">
        <v>2532</v>
      </c>
      <c r="O1120" s="8">
        <v>3514</v>
      </c>
      <c r="P1120" s="24">
        <v>5308</v>
      </c>
      <c r="Q1120" s="22">
        <f>IF(COUNTIFS(A$2:A1120,A1120,I$2:I1120,I1120)=1,1,0)</f>
        <v>0</v>
      </c>
      <c r="R1120" s="22">
        <f t="shared" si="17"/>
        <v>4</v>
      </c>
      <c r="S1120" s="33">
        <f>IF(COUNTIF(O$2:O1120,O1120)=1,R1120,0)/2.5</f>
        <v>1.6</v>
      </c>
    </row>
    <row r="1121" spans="1:19" ht="18" customHeight="1" x14ac:dyDescent="0.25">
      <c r="A1121" s="7" t="s">
        <v>43</v>
      </c>
      <c r="B1121" s="8">
        <v>1</v>
      </c>
      <c r="C1121" s="9">
        <v>603</v>
      </c>
      <c r="D1121" s="29">
        <f>C1121+IF(INDEX('Справочник по %'!B:B,(MATCH(A1121,'Справочник по %'!A:A,0)))="кол-во",B1121*INDEX('Справочник по %'!C:C,(MATCH(A1121,'Справочник по %'!A:A,0))),ОТЧЕТ!C1121*INDEX('Справочник по %'!C:C,(MATCH(A1121,'Справочник по %'!A:A,0))))/100</f>
        <v>663.3</v>
      </c>
      <c r="E1121" s="29">
        <f>IF(ОТЧЕТ!A1121="SKU3",C1121+ОТЧЕТ!C1121*0.2,C1121+ОТЧЕТ!C1121*0.15)</f>
        <v>693.45</v>
      </c>
      <c r="F1121" s="7" t="s">
        <v>2529</v>
      </c>
      <c r="G1121" s="7">
        <v>7714844316</v>
      </c>
      <c r="H1121" s="20" t="s">
        <v>50</v>
      </c>
      <c r="I1121" s="22" t="str">
        <f>INDEX('Справочник Сети'!B:B,(MATCH(G1121,'Справочник Сети'!C:C,0)))</f>
        <v>Планета здоровья</v>
      </c>
      <c r="J1121" s="7" t="s">
        <v>504</v>
      </c>
      <c r="K1121" s="7" t="s">
        <v>2533</v>
      </c>
      <c r="L1121" s="7" t="s">
        <v>504</v>
      </c>
      <c r="M1121" s="31">
        <v>45690</v>
      </c>
      <c r="N1121" s="7" t="s">
        <v>2534</v>
      </c>
      <c r="O1121" s="8">
        <v>2297</v>
      </c>
      <c r="P1121" s="24">
        <v>5310</v>
      </c>
      <c r="Q1121" s="22">
        <f>IF(COUNTIFS(A$2:A1121,A1121,I$2:I1121,I1121)=1,1,0)</f>
        <v>0</v>
      </c>
      <c r="R1121" s="22">
        <f t="shared" si="17"/>
        <v>6</v>
      </c>
      <c r="S1121" s="33">
        <f>IF(COUNTIF(O$2:O1121,O1121)=1,R1121,0)/2.5</f>
        <v>0</v>
      </c>
    </row>
    <row r="1122" spans="1:19" ht="18" customHeight="1" x14ac:dyDescent="0.25">
      <c r="A1122" s="7" t="s">
        <v>43</v>
      </c>
      <c r="B1122" s="8">
        <v>1</v>
      </c>
      <c r="C1122" s="9">
        <v>605</v>
      </c>
      <c r="D1122" s="29">
        <f>C1122+IF(INDEX('Справочник по %'!B:B,(MATCH(A1122,'Справочник по %'!A:A,0)))="кол-во",B1122*INDEX('Справочник по %'!C:C,(MATCH(A1122,'Справочник по %'!A:A,0))),ОТЧЕТ!C1122*INDEX('Справочник по %'!C:C,(MATCH(A1122,'Справочник по %'!A:A,0))))/100</f>
        <v>665.5</v>
      </c>
      <c r="E1122" s="29">
        <f>IF(ОТЧЕТ!A1122="SKU3",C1122+ОТЧЕТ!C1122*0.2,C1122+ОТЧЕТ!C1122*0.15)</f>
        <v>695.75</v>
      </c>
      <c r="F1122" s="7" t="s">
        <v>2529</v>
      </c>
      <c r="G1122" s="7">
        <v>7705947629</v>
      </c>
      <c r="H1122" s="20" t="s">
        <v>50</v>
      </c>
      <c r="I1122" s="22" t="str">
        <f>INDEX('Справочник Сети'!B:B,(MATCH(G1122,'Справочник Сети'!C:C,0)))</f>
        <v>36,6</v>
      </c>
      <c r="J1122" s="7" t="s">
        <v>116</v>
      </c>
      <c r="K1122" s="7" t="s">
        <v>305</v>
      </c>
      <c r="L1122" s="7" t="s">
        <v>104</v>
      </c>
      <c r="M1122" s="31">
        <v>45693</v>
      </c>
      <c r="N1122" s="7" t="s">
        <v>2535</v>
      </c>
      <c r="O1122" s="8">
        <v>2796</v>
      </c>
      <c r="P1122" s="24">
        <v>5311</v>
      </c>
      <c r="Q1122" s="22">
        <f>IF(COUNTIFS(A$2:A1122,A1122,I$2:I1122,I1122)=1,1,0)</f>
        <v>0</v>
      </c>
      <c r="R1122" s="22">
        <f t="shared" si="17"/>
        <v>2</v>
      </c>
      <c r="S1122" s="33">
        <f>IF(COUNTIF(O$2:O1122,O1122)=1,R1122,0)/2.5</f>
        <v>0.8</v>
      </c>
    </row>
    <row r="1123" spans="1:19" ht="18" customHeight="1" x14ac:dyDescent="0.25">
      <c r="A1123" s="7" t="s">
        <v>43</v>
      </c>
      <c r="B1123" s="8">
        <v>1</v>
      </c>
      <c r="C1123" s="9">
        <v>475</v>
      </c>
      <c r="D1123" s="29">
        <f>C1123+IF(INDEX('Справочник по %'!B:B,(MATCH(A1123,'Справочник по %'!A:A,0)))="кол-во",B1123*INDEX('Справочник по %'!C:C,(MATCH(A1123,'Справочник по %'!A:A,0))),ОТЧЕТ!C1123*INDEX('Справочник по %'!C:C,(MATCH(A1123,'Справочник по %'!A:A,0))))/100</f>
        <v>522.5</v>
      </c>
      <c r="E1123" s="29">
        <f>IF(ОТЧЕТ!A1123="SKU3",C1123+ОТЧЕТ!C1123*0.2,C1123+ОТЧЕТ!C1123*0.15)</f>
        <v>546.25</v>
      </c>
      <c r="F1123" s="7" t="s">
        <v>2529</v>
      </c>
      <c r="G1123" s="7">
        <v>7732121736</v>
      </c>
      <c r="H1123" s="20" t="s">
        <v>1379</v>
      </c>
      <c r="I1123" s="22" t="str">
        <f>INDEX('Справочник Сети'!B:B,(MATCH(G1123,'Справочник Сети'!C:C,0)))</f>
        <v>Планета здоровья</v>
      </c>
      <c r="J1123" s="7" t="s">
        <v>149</v>
      </c>
      <c r="K1123" s="7" t="s">
        <v>2536</v>
      </c>
      <c r="L1123" s="7" t="s">
        <v>149</v>
      </c>
      <c r="M1123" s="31">
        <v>45673</v>
      </c>
      <c r="N1123" s="7" t="s">
        <v>2537</v>
      </c>
      <c r="O1123" s="8">
        <v>1396</v>
      </c>
      <c r="P1123" s="24">
        <v>5312</v>
      </c>
      <c r="Q1123" s="22">
        <f>IF(COUNTIFS(A$2:A1123,A1123,I$2:I1123,I1123)=1,1,0)</f>
        <v>0</v>
      </c>
      <c r="R1123" s="22">
        <f t="shared" si="17"/>
        <v>6</v>
      </c>
      <c r="S1123" s="33">
        <f>IF(COUNTIF(O$2:O1123,O1123)=1,R1123,0)/2.5</f>
        <v>0</v>
      </c>
    </row>
    <row r="1124" spans="1:19" ht="18" customHeight="1" x14ac:dyDescent="0.25">
      <c r="A1124" s="7" t="s">
        <v>146</v>
      </c>
      <c r="B1124" s="8">
        <v>1</v>
      </c>
      <c r="C1124" s="9">
        <v>650</v>
      </c>
      <c r="D1124" s="29">
        <f>C1124+IF(INDEX('Справочник по %'!B:B,(MATCH(A1124,'Справочник по %'!A:A,0)))="кол-во",B1124*INDEX('Справочник по %'!C:C,(MATCH(A1124,'Справочник по %'!A:A,0))),ОТЧЕТ!C1124*INDEX('Справочник по %'!C:C,(MATCH(A1124,'Справочник по %'!A:A,0))))/100</f>
        <v>747.5</v>
      </c>
      <c r="E1124" s="29">
        <f>IF(ОТЧЕТ!A1124="SKU3",C1124+ОТЧЕТ!C1124*0.2,C1124+ОТЧЕТ!C1124*0.15)</f>
        <v>780</v>
      </c>
      <c r="F1124" s="7" t="s">
        <v>2529</v>
      </c>
      <c r="G1124" s="7">
        <v>9103086863</v>
      </c>
      <c r="H1124" s="20" t="s">
        <v>50</v>
      </c>
      <c r="I1124" s="22" t="str">
        <f>INDEX('Справочник Сети'!B:B,(MATCH(G1124,'Справочник Сети'!C:C,0)))</f>
        <v>Ригла</v>
      </c>
      <c r="J1124" s="7" t="s">
        <v>2538</v>
      </c>
      <c r="K1124" s="7" t="s">
        <v>2533</v>
      </c>
      <c r="L1124" s="7" t="s">
        <v>737</v>
      </c>
      <c r="M1124" s="31">
        <v>45669</v>
      </c>
      <c r="N1124" s="7" t="s">
        <v>2539</v>
      </c>
      <c r="O1124" s="8">
        <v>992</v>
      </c>
      <c r="P1124" s="24">
        <v>5313</v>
      </c>
      <c r="Q1124" s="22">
        <f>IF(COUNTIFS(A$2:A1124,A1124,I$2:I1124,I1124)=1,1,0)</f>
        <v>1</v>
      </c>
      <c r="R1124" s="22">
        <f t="shared" si="17"/>
        <v>1</v>
      </c>
      <c r="S1124" s="33">
        <f>IF(COUNTIF(O$2:O1124,O1124)=1,R1124,0)/2.5</f>
        <v>0.4</v>
      </c>
    </row>
    <row r="1125" spans="1:19" ht="18" customHeight="1" x14ac:dyDescent="0.25">
      <c r="A1125" s="7" t="s">
        <v>43</v>
      </c>
      <c r="B1125" s="8">
        <v>1</v>
      </c>
      <c r="C1125" s="9">
        <v>536</v>
      </c>
      <c r="D1125" s="29">
        <f>C1125+IF(INDEX('Справочник по %'!B:B,(MATCH(A1125,'Справочник по %'!A:A,0)))="кол-во",B1125*INDEX('Справочник по %'!C:C,(MATCH(A1125,'Справочник по %'!A:A,0))),ОТЧЕТ!C1125*INDEX('Справочник по %'!C:C,(MATCH(A1125,'Справочник по %'!A:A,0))))/100</f>
        <v>589.6</v>
      </c>
      <c r="E1125" s="29">
        <f>IF(ОТЧЕТ!A1125="SKU3",C1125+ОТЧЕТ!C1125*0.2,C1125+ОТЧЕТ!C1125*0.15)</f>
        <v>616.4</v>
      </c>
      <c r="F1125" s="7" t="s">
        <v>2529</v>
      </c>
      <c r="G1125" s="7">
        <v>7732121736</v>
      </c>
      <c r="H1125" s="20" t="s">
        <v>1089</v>
      </c>
      <c r="I1125" s="22" t="str">
        <f>INDEX('Справочник Сети'!B:B,(MATCH(G1125,'Справочник Сети'!C:C,0)))</f>
        <v>Планета здоровья</v>
      </c>
      <c r="J1125" s="7" t="s">
        <v>149</v>
      </c>
      <c r="K1125" s="7" t="s">
        <v>2540</v>
      </c>
      <c r="L1125" s="7" t="s">
        <v>149</v>
      </c>
      <c r="M1125" s="31">
        <v>45673</v>
      </c>
      <c r="N1125" s="7" t="s">
        <v>2541</v>
      </c>
      <c r="O1125" s="8">
        <v>2482</v>
      </c>
      <c r="P1125" s="24">
        <v>5314</v>
      </c>
      <c r="Q1125" s="22">
        <f>IF(COUNTIFS(A$2:A1125,A1125,I$2:I1125,I1125)=1,1,0)</f>
        <v>0</v>
      </c>
      <c r="R1125" s="22">
        <f t="shared" si="17"/>
        <v>9</v>
      </c>
      <c r="S1125" s="33">
        <f>IF(COUNTIF(O$2:O1125,O1125)=1,R1125,0)/2.5</f>
        <v>0</v>
      </c>
    </row>
    <row r="1126" spans="1:19" ht="18" customHeight="1" x14ac:dyDescent="0.25">
      <c r="A1126" s="7" t="s">
        <v>43</v>
      </c>
      <c r="B1126" s="8">
        <v>1</v>
      </c>
      <c r="C1126" s="9">
        <v>410</v>
      </c>
      <c r="D1126" s="29">
        <f>C1126+IF(INDEX('Справочник по %'!B:B,(MATCH(A1126,'Справочник по %'!A:A,0)))="кол-во",B1126*INDEX('Справочник по %'!C:C,(MATCH(A1126,'Справочник по %'!A:A,0))),ОТЧЕТ!C1126*INDEX('Справочник по %'!C:C,(MATCH(A1126,'Справочник по %'!A:A,0))))/100</f>
        <v>451</v>
      </c>
      <c r="E1126" s="29">
        <f>IF(ОТЧЕТ!A1126="SKU3",C1126+ОТЧЕТ!C1126*0.2,C1126+ОТЧЕТ!C1126*0.15)</f>
        <v>471.5</v>
      </c>
      <c r="F1126" s="7" t="s">
        <v>2529</v>
      </c>
      <c r="G1126" s="7">
        <v>7814431591</v>
      </c>
      <c r="H1126" s="20" t="s">
        <v>50</v>
      </c>
      <c r="I1126" s="22">
        <f>INDEX('Справочник Сети'!B:B,(MATCH(G1126,'Справочник Сети'!C:C,0)))</f>
        <v>0</v>
      </c>
      <c r="J1126" s="7" t="s">
        <v>121</v>
      </c>
      <c r="K1126" s="7" t="s">
        <v>2542</v>
      </c>
      <c r="L1126" s="7" t="s">
        <v>121</v>
      </c>
      <c r="M1126" s="31">
        <v>45671</v>
      </c>
      <c r="N1126" s="7" t="s">
        <v>2543</v>
      </c>
      <c r="O1126" s="8">
        <v>65</v>
      </c>
      <c r="P1126" s="24">
        <v>5316</v>
      </c>
      <c r="Q1126" s="22">
        <f>IF(COUNTIFS(A$2:A1126,A1126,I$2:I1126,I1126)=1,1,0)</f>
        <v>0</v>
      </c>
      <c r="R1126" s="22">
        <f t="shared" si="17"/>
        <v>4</v>
      </c>
      <c r="S1126" s="33">
        <f>IF(COUNTIF(O$2:O1126,O1126)=1,R1126,0)/2.5</f>
        <v>0</v>
      </c>
    </row>
    <row r="1127" spans="1:19" ht="18" customHeight="1" x14ac:dyDescent="0.25">
      <c r="A1127" s="7" t="s">
        <v>43</v>
      </c>
      <c r="B1127" s="8">
        <v>1</v>
      </c>
      <c r="C1127" s="9">
        <v>502</v>
      </c>
      <c r="D1127" s="29">
        <f>C1127+IF(INDEX('Справочник по %'!B:B,(MATCH(A1127,'Справочник по %'!A:A,0)))="кол-во",B1127*INDEX('Справочник по %'!C:C,(MATCH(A1127,'Справочник по %'!A:A,0))),ОТЧЕТ!C1127*INDEX('Справочник по %'!C:C,(MATCH(A1127,'Справочник по %'!A:A,0))))/100</f>
        <v>552.20000000000005</v>
      </c>
      <c r="E1127" s="29">
        <f>IF(ОТЧЕТ!A1127="SKU3",C1127+ОТЧЕТ!C1127*0.2,C1127+ОТЧЕТ!C1127*0.15)</f>
        <v>577.29999999999995</v>
      </c>
      <c r="F1127" s="7" t="s">
        <v>2529</v>
      </c>
      <c r="G1127" s="7">
        <v>7705947629</v>
      </c>
      <c r="H1127" s="20" t="s">
        <v>64</v>
      </c>
      <c r="I1127" s="22" t="str">
        <f>INDEX('Справочник Сети'!B:B,(MATCH(G1127,'Справочник Сети'!C:C,0)))</f>
        <v>36,6</v>
      </c>
      <c r="J1127" s="7" t="s">
        <v>116</v>
      </c>
      <c r="K1127" s="7" t="s">
        <v>607</v>
      </c>
      <c r="L1127" s="7" t="s">
        <v>116</v>
      </c>
      <c r="M1127" s="31">
        <v>45692</v>
      </c>
      <c r="N1127" s="7" t="s">
        <v>2544</v>
      </c>
      <c r="O1127" s="8">
        <v>3491</v>
      </c>
      <c r="P1127" s="24">
        <v>5320</v>
      </c>
      <c r="Q1127" s="22">
        <f>IF(COUNTIFS(A$2:A1127,A1127,I$2:I1127,I1127)=1,1,0)</f>
        <v>0</v>
      </c>
      <c r="R1127" s="22">
        <f t="shared" si="17"/>
        <v>1</v>
      </c>
      <c r="S1127" s="33">
        <f>IF(COUNTIF(O$2:O1127,O1127)=1,R1127,0)/2.5</f>
        <v>0.4</v>
      </c>
    </row>
    <row r="1128" spans="1:19" ht="18" customHeight="1" x14ac:dyDescent="0.25">
      <c r="A1128" s="7" t="s">
        <v>37</v>
      </c>
      <c r="B1128" s="8">
        <v>1</v>
      </c>
      <c r="C1128" s="9">
        <v>547</v>
      </c>
      <c r="D1128" s="29">
        <f>C1128+IF(INDEX('Справочник по %'!B:B,(MATCH(A1128,'Справочник по %'!A:A,0)))="кол-во",B1128*INDEX('Справочник по %'!C:C,(MATCH(A1128,'Справочник по %'!A:A,0))),ОТЧЕТ!C1128*INDEX('Справочник по %'!C:C,(MATCH(A1128,'Справочник по %'!A:A,0))))/100</f>
        <v>547.20000000000005</v>
      </c>
      <c r="E1128" s="29">
        <f>IF(ОТЧЕТ!A1128="SKU3",C1128+ОТЧЕТ!C1128*0.2,C1128+ОТЧЕТ!C1128*0.15)</f>
        <v>629.04999999999995</v>
      </c>
      <c r="F1128" s="7" t="s">
        <v>2545</v>
      </c>
      <c r="G1128" s="7">
        <v>7706795062</v>
      </c>
      <c r="H1128" s="20" t="s">
        <v>1007</v>
      </c>
      <c r="I1128" s="22" t="str">
        <f>INDEX('Справочник Сети'!B:B,(MATCH(G1128,'Справочник Сети'!C:C,0)))</f>
        <v>Планета здоровья</v>
      </c>
      <c r="J1128" s="7" t="s">
        <v>87</v>
      </c>
      <c r="K1128" s="7" t="s">
        <v>2546</v>
      </c>
      <c r="L1128" s="7" t="s">
        <v>87</v>
      </c>
      <c r="M1128" s="31">
        <v>45691</v>
      </c>
      <c r="N1128" s="7" t="s">
        <v>2547</v>
      </c>
      <c r="O1128" s="8">
        <v>3349</v>
      </c>
      <c r="P1128" s="24">
        <v>5326</v>
      </c>
      <c r="Q1128" s="22">
        <f>IF(COUNTIFS(A$2:A1128,A1128,I$2:I1128,I1128)=1,1,0)</f>
        <v>0</v>
      </c>
      <c r="R1128" s="22">
        <f t="shared" si="17"/>
        <v>5</v>
      </c>
      <c r="S1128" s="33">
        <f>IF(COUNTIF(O$2:O1128,O1128)=1,R1128,0)/2.5</f>
        <v>0</v>
      </c>
    </row>
    <row r="1129" spans="1:19" ht="18" customHeight="1" x14ac:dyDescent="0.25">
      <c r="A1129" s="7" t="s">
        <v>43</v>
      </c>
      <c r="B1129" s="8">
        <v>1</v>
      </c>
      <c r="C1129" s="9">
        <v>608</v>
      </c>
      <c r="D1129" s="29">
        <f>C1129+IF(INDEX('Справочник по %'!B:B,(MATCH(A1129,'Справочник по %'!A:A,0)))="кол-во",B1129*INDEX('Справочник по %'!C:C,(MATCH(A1129,'Справочник по %'!A:A,0))),ОТЧЕТ!C1129*INDEX('Справочник по %'!C:C,(MATCH(A1129,'Справочник по %'!A:A,0))))/100</f>
        <v>668.8</v>
      </c>
      <c r="E1129" s="29">
        <f>IF(ОТЧЕТ!A1129="SKU3",C1129+ОТЧЕТ!C1129*0.2,C1129+ОТЧЕТ!C1129*0.15)</f>
        <v>699.2</v>
      </c>
      <c r="F1129" s="7" t="s">
        <v>2548</v>
      </c>
      <c r="G1129" s="7">
        <v>7705947629</v>
      </c>
      <c r="H1129" s="20" t="s">
        <v>50</v>
      </c>
      <c r="I1129" s="22" t="str">
        <f>INDEX('Справочник Сети'!B:B,(MATCH(G1129,'Справочник Сети'!C:C,0)))</f>
        <v>36,6</v>
      </c>
      <c r="J1129" s="7" t="s">
        <v>116</v>
      </c>
      <c r="K1129" s="7" t="s">
        <v>2549</v>
      </c>
      <c r="L1129" s="7" t="s">
        <v>104</v>
      </c>
      <c r="M1129" s="31">
        <v>45693</v>
      </c>
      <c r="N1129" s="7" t="s">
        <v>2550</v>
      </c>
      <c r="O1129" s="8">
        <v>2645</v>
      </c>
      <c r="P1129" s="24">
        <v>5331</v>
      </c>
      <c r="Q1129" s="22">
        <f>IF(COUNTIFS(A$2:A1129,A1129,I$2:I1129,I1129)=1,1,0)</f>
        <v>0</v>
      </c>
      <c r="R1129" s="22">
        <f t="shared" si="17"/>
        <v>9</v>
      </c>
      <c r="S1129" s="33">
        <f>IF(COUNTIF(O$2:O1129,O1129)=1,R1129,0)/2.5</f>
        <v>0</v>
      </c>
    </row>
    <row r="1130" spans="1:19" ht="18" customHeight="1" x14ac:dyDescent="0.25">
      <c r="A1130" s="7" t="s">
        <v>43</v>
      </c>
      <c r="B1130" s="8">
        <v>1</v>
      </c>
      <c r="C1130" s="9">
        <v>590</v>
      </c>
      <c r="D1130" s="29">
        <f>C1130+IF(INDEX('Справочник по %'!B:B,(MATCH(A1130,'Справочник по %'!A:A,0)))="кол-во",B1130*INDEX('Справочник по %'!C:C,(MATCH(A1130,'Справочник по %'!A:A,0))),ОТЧЕТ!C1130*INDEX('Справочник по %'!C:C,(MATCH(A1130,'Справочник по %'!A:A,0))))/100</f>
        <v>649</v>
      </c>
      <c r="E1130" s="29">
        <f>IF(ОТЧЕТ!A1130="SKU3",C1130+ОТЧЕТ!C1130*0.2,C1130+ОТЧЕТ!C1130*0.15)</f>
        <v>678.5</v>
      </c>
      <c r="F1130" s="7" t="s">
        <v>2548</v>
      </c>
      <c r="G1130" s="7">
        <v>7714844316</v>
      </c>
      <c r="H1130" s="20" t="s">
        <v>50</v>
      </c>
      <c r="I1130" s="22" t="str">
        <f>INDEX('Справочник Сети'!B:B,(MATCH(G1130,'Справочник Сети'!C:C,0)))</f>
        <v>Планета здоровья</v>
      </c>
      <c r="J1130" s="7" t="s">
        <v>504</v>
      </c>
      <c r="K1130" s="7" t="s">
        <v>2551</v>
      </c>
      <c r="L1130" s="7" t="s">
        <v>504</v>
      </c>
      <c r="M1130" s="31">
        <v>45690</v>
      </c>
      <c r="N1130" s="7" t="s">
        <v>2552</v>
      </c>
      <c r="O1130" s="8">
        <v>868</v>
      </c>
      <c r="P1130" s="24">
        <v>5332</v>
      </c>
      <c r="Q1130" s="22">
        <f>IF(COUNTIFS(A$2:A1130,A1130,I$2:I1130,I1130)=1,1,0)</f>
        <v>0</v>
      </c>
      <c r="R1130" s="22">
        <f t="shared" si="17"/>
        <v>12</v>
      </c>
      <c r="S1130" s="33">
        <f>IF(COUNTIF(O$2:O1130,O1130)=1,R1130,0)/2.5</f>
        <v>0</v>
      </c>
    </row>
    <row r="1131" spans="1:19" ht="18" customHeight="1" x14ac:dyDescent="0.25">
      <c r="A1131" s="7" t="s">
        <v>43</v>
      </c>
      <c r="B1131" s="8">
        <v>1</v>
      </c>
      <c r="C1131" s="9">
        <v>544</v>
      </c>
      <c r="D1131" s="29">
        <f>C1131+IF(INDEX('Справочник по %'!B:B,(MATCH(A1131,'Справочник по %'!A:A,0)))="кол-во",B1131*INDEX('Справочник по %'!C:C,(MATCH(A1131,'Справочник по %'!A:A,0))),ОТЧЕТ!C1131*INDEX('Справочник по %'!C:C,(MATCH(A1131,'Справочник по %'!A:A,0))))/100</f>
        <v>598.4</v>
      </c>
      <c r="E1131" s="29">
        <f>IF(ОТЧЕТ!A1131="SKU3",C1131+ОТЧЕТ!C1131*0.2,C1131+ОТЧЕТ!C1131*0.15)</f>
        <v>625.6</v>
      </c>
      <c r="F1131" s="7" t="s">
        <v>2553</v>
      </c>
      <c r="G1131" s="7">
        <v>7840370306</v>
      </c>
      <c r="H1131" s="20" t="s">
        <v>2554</v>
      </c>
      <c r="I1131" s="22">
        <f>INDEX('Справочник Сети'!B:B,(MATCH(G1131,'Справочник Сети'!C:C,0)))</f>
        <v>0</v>
      </c>
      <c r="J1131" s="7" t="s">
        <v>315</v>
      </c>
      <c r="K1131" s="7" t="s">
        <v>2555</v>
      </c>
      <c r="L1131" s="7" t="s">
        <v>121</v>
      </c>
      <c r="M1131" s="31">
        <v>45671</v>
      </c>
      <c r="N1131" s="7" t="s">
        <v>2556</v>
      </c>
      <c r="O1131" s="8">
        <v>2869</v>
      </c>
      <c r="P1131" s="24">
        <v>5335</v>
      </c>
      <c r="Q1131" s="22">
        <f>IF(COUNTIFS(A$2:A1131,A1131,I$2:I1131,I1131)=1,1,0)</f>
        <v>0</v>
      </c>
      <c r="R1131" s="22">
        <f t="shared" si="17"/>
        <v>1</v>
      </c>
      <c r="S1131" s="33">
        <f>IF(COUNTIF(O$2:O1131,O1131)=1,R1131,0)/2.5</f>
        <v>0.4</v>
      </c>
    </row>
    <row r="1132" spans="1:19" ht="18" customHeight="1" x14ac:dyDescent="0.25">
      <c r="A1132" s="7" t="s">
        <v>37</v>
      </c>
      <c r="B1132" s="8">
        <v>1</v>
      </c>
      <c r="C1132" s="9">
        <v>694</v>
      </c>
      <c r="D1132" s="29">
        <f>C1132+IF(INDEX('Справочник по %'!B:B,(MATCH(A1132,'Справочник по %'!A:A,0)))="кол-во",B1132*INDEX('Справочник по %'!C:C,(MATCH(A1132,'Справочник по %'!A:A,0))),ОТЧЕТ!C1132*INDEX('Справочник по %'!C:C,(MATCH(A1132,'Справочник по %'!A:A,0))))/100</f>
        <v>694.2</v>
      </c>
      <c r="E1132" s="29">
        <f>IF(ОТЧЕТ!A1132="SKU3",C1132+ОТЧЕТ!C1132*0.2,C1132+ОТЧЕТ!C1132*0.15)</f>
        <v>798.1</v>
      </c>
      <c r="F1132" s="7" t="s">
        <v>2557</v>
      </c>
      <c r="G1132" s="7">
        <v>7732121736</v>
      </c>
      <c r="H1132" s="20" t="s">
        <v>2558</v>
      </c>
      <c r="I1132" s="22" t="str">
        <f>INDEX('Справочник Сети'!B:B,(MATCH(G1132,'Справочник Сети'!C:C,0)))</f>
        <v>Планета здоровья</v>
      </c>
      <c r="J1132" s="7" t="s">
        <v>149</v>
      </c>
      <c r="K1132" s="7" t="s">
        <v>2559</v>
      </c>
      <c r="L1132" s="7" t="s">
        <v>142</v>
      </c>
      <c r="M1132" s="31">
        <v>45674</v>
      </c>
      <c r="N1132" s="7" t="s">
        <v>2560</v>
      </c>
      <c r="O1132" s="8">
        <v>669</v>
      </c>
      <c r="P1132" s="24">
        <v>5337</v>
      </c>
      <c r="Q1132" s="22">
        <f>IF(COUNTIFS(A$2:A1132,A1132,I$2:I1132,I1132)=1,1,0)</f>
        <v>0</v>
      </c>
      <c r="R1132" s="22">
        <f t="shared" si="17"/>
        <v>2</v>
      </c>
      <c r="S1132" s="33">
        <f>IF(COUNTIF(O$2:O1132,O1132)=1,R1132,0)/2.5</f>
        <v>0.8</v>
      </c>
    </row>
    <row r="1133" spans="1:19" ht="18" customHeight="1" x14ac:dyDescent="0.25">
      <c r="A1133" s="7" t="s">
        <v>43</v>
      </c>
      <c r="B1133" s="8">
        <v>1</v>
      </c>
      <c r="C1133" s="9">
        <v>450</v>
      </c>
      <c r="D1133" s="29">
        <f>C1133+IF(INDEX('Справочник по %'!B:B,(MATCH(A1133,'Справочник по %'!A:A,0)))="кол-во",B1133*INDEX('Справочник по %'!C:C,(MATCH(A1133,'Справочник по %'!A:A,0))),ОТЧЕТ!C1133*INDEX('Справочник по %'!C:C,(MATCH(A1133,'Справочник по %'!A:A,0))))/100</f>
        <v>495</v>
      </c>
      <c r="E1133" s="29">
        <f>IF(ОТЧЕТ!A1133="SKU3",C1133+ОТЧЕТ!C1133*0.2,C1133+ОТЧЕТ!C1133*0.15)</f>
        <v>517.5</v>
      </c>
      <c r="F1133" s="7" t="s">
        <v>2561</v>
      </c>
      <c r="G1133" s="7">
        <v>7732121736</v>
      </c>
      <c r="H1133" s="20" t="s">
        <v>2135</v>
      </c>
      <c r="I1133" s="22" t="str">
        <f>INDEX('Справочник Сети'!B:B,(MATCH(G1133,'Справочник Сети'!C:C,0)))</f>
        <v>Планета здоровья</v>
      </c>
      <c r="J1133" s="7" t="s">
        <v>149</v>
      </c>
      <c r="K1133" s="7" t="s">
        <v>2562</v>
      </c>
      <c r="L1133" s="7" t="s">
        <v>149</v>
      </c>
      <c r="M1133" s="31">
        <v>45673</v>
      </c>
      <c r="N1133" s="7" t="s">
        <v>2563</v>
      </c>
      <c r="O1133" s="8">
        <v>2016</v>
      </c>
      <c r="P1133" s="24">
        <v>5347</v>
      </c>
      <c r="Q1133" s="22">
        <f>IF(COUNTIFS(A$2:A1133,A1133,I$2:I1133,I1133)=1,1,0)</f>
        <v>0</v>
      </c>
      <c r="R1133" s="22">
        <f t="shared" si="17"/>
        <v>2</v>
      </c>
      <c r="S1133" s="33">
        <f>IF(COUNTIF(O$2:O1133,O1133)=1,R1133,0)/2.5</f>
        <v>0</v>
      </c>
    </row>
    <row r="1134" spans="1:19" ht="18" customHeight="1" x14ac:dyDescent="0.25">
      <c r="A1134" s="7" t="s">
        <v>43</v>
      </c>
      <c r="B1134" s="8">
        <v>1</v>
      </c>
      <c r="C1134" s="9">
        <v>425</v>
      </c>
      <c r="D1134" s="29">
        <f>C1134+IF(INDEX('Справочник по %'!B:B,(MATCH(A1134,'Справочник по %'!A:A,0)))="кол-во",B1134*INDEX('Справочник по %'!C:C,(MATCH(A1134,'Справочник по %'!A:A,0))),ОТЧЕТ!C1134*INDEX('Справочник по %'!C:C,(MATCH(A1134,'Справочник по %'!A:A,0))))/100</f>
        <v>467.5</v>
      </c>
      <c r="E1134" s="29">
        <f>IF(ОТЧЕТ!A1134="SKU3",C1134+ОТЧЕТ!C1134*0.2,C1134+ОТЧЕТ!C1134*0.15)</f>
        <v>488.75</v>
      </c>
      <c r="F1134" s="7" t="s">
        <v>2564</v>
      </c>
      <c r="G1134" s="7">
        <v>2222896536</v>
      </c>
      <c r="H1134" s="20" t="s">
        <v>50</v>
      </c>
      <c r="I1134" s="22" t="str">
        <f>INDEX('Справочник Сети'!B:B,(MATCH(G1134,'Справочник Сети'!C:C,0)))</f>
        <v>Нео-фарм</v>
      </c>
      <c r="J1134" s="7" t="s">
        <v>372</v>
      </c>
      <c r="K1134" s="7" t="s">
        <v>632</v>
      </c>
      <c r="L1134" s="7" t="s">
        <v>372</v>
      </c>
      <c r="M1134" s="31">
        <v>45730</v>
      </c>
      <c r="N1134" s="7" t="s">
        <v>2565</v>
      </c>
      <c r="O1134" s="8">
        <v>2301</v>
      </c>
      <c r="P1134" s="24">
        <v>5351</v>
      </c>
      <c r="Q1134" s="22">
        <f>IF(COUNTIFS(A$2:A1134,A1134,I$2:I1134,I1134)=1,1,0)</f>
        <v>0</v>
      </c>
      <c r="R1134" s="22">
        <f t="shared" si="17"/>
        <v>1</v>
      </c>
      <c r="S1134" s="33">
        <f>IF(COUNTIF(O$2:O1134,O1134)=1,R1134,0)/2.5</f>
        <v>0.4</v>
      </c>
    </row>
    <row r="1135" spans="1:19" ht="18" customHeight="1" x14ac:dyDescent="0.25">
      <c r="A1135" s="7" t="s">
        <v>43</v>
      </c>
      <c r="B1135" s="8">
        <v>1</v>
      </c>
      <c r="C1135" s="9">
        <v>410</v>
      </c>
      <c r="D1135" s="29">
        <f>C1135+IF(INDEX('Справочник по %'!B:B,(MATCH(A1135,'Справочник по %'!A:A,0)))="кол-во",B1135*INDEX('Справочник по %'!C:C,(MATCH(A1135,'Справочник по %'!A:A,0))),ОТЧЕТ!C1135*INDEX('Справочник по %'!C:C,(MATCH(A1135,'Справочник по %'!A:A,0))))/100</f>
        <v>451</v>
      </c>
      <c r="E1135" s="29">
        <f>IF(ОТЧЕТ!A1135="SKU3",C1135+ОТЧЕТ!C1135*0.2,C1135+ОТЧЕТ!C1135*0.15)</f>
        <v>471.5</v>
      </c>
      <c r="F1135" s="7" t="s">
        <v>2566</v>
      </c>
      <c r="G1135" s="7">
        <v>7702514360</v>
      </c>
      <c r="H1135" s="20" t="s">
        <v>50</v>
      </c>
      <c r="I1135" s="22" t="str">
        <f>INDEX('Справочник Сети'!B:B,(MATCH(G1135,'Справочник Сети'!C:C,0)))</f>
        <v>Ригла</v>
      </c>
      <c r="J1135" s="7" t="s">
        <v>104</v>
      </c>
      <c r="K1135" s="7" t="s">
        <v>858</v>
      </c>
      <c r="L1135" s="7" t="s">
        <v>104</v>
      </c>
      <c r="M1135" s="31">
        <v>45693</v>
      </c>
      <c r="N1135" s="7" t="s">
        <v>2567</v>
      </c>
      <c r="O1135" s="8">
        <v>451</v>
      </c>
      <c r="P1135" s="24">
        <v>5354</v>
      </c>
      <c r="Q1135" s="22">
        <f>IF(COUNTIFS(A$2:A1135,A1135,I$2:I1135,I1135)=1,1,0)</f>
        <v>0</v>
      </c>
      <c r="R1135" s="22">
        <f t="shared" si="17"/>
        <v>2</v>
      </c>
      <c r="S1135" s="33">
        <f>IF(COUNTIF(O$2:O1135,O1135)=1,R1135,0)/2.5</f>
        <v>0.8</v>
      </c>
    </row>
    <row r="1136" spans="1:19" ht="18" customHeight="1" x14ac:dyDescent="0.25">
      <c r="A1136" s="7" t="s">
        <v>43</v>
      </c>
      <c r="B1136" s="8">
        <v>1</v>
      </c>
      <c r="C1136" s="9">
        <v>445</v>
      </c>
      <c r="D1136" s="29">
        <f>C1136+IF(INDEX('Справочник по %'!B:B,(MATCH(A1136,'Справочник по %'!A:A,0)))="кол-во",B1136*INDEX('Справочник по %'!C:C,(MATCH(A1136,'Справочник по %'!A:A,0))),ОТЧЕТ!C1136*INDEX('Справочник по %'!C:C,(MATCH(A1136,'Справочник по %'!A:A,0))))/100</f>
        <v>489.5</v>
      </c>
      <c r="E1136" s="29">
        <f>IF(ОТЧЕТ!A1136="SKU3",C1136+ОТЧЕТ!C1136*0.2,C1136+ОТЧЕТ!C1136*0.15)</f>
        <v>511.75</v>
      </c>
      <c r="F1136" s="7" t="s">
        <v>2568</v>
      </c>
      <c r="G1136" s="7">
        <v>4205048353</v>
      </c>
      <c r="H1136" s="20" t="s">
        <v>2569</v>
      </c>
      <c r="I1136" s="22" t="str">
        <f>INDEX('Справочник Сети'!B:B,(MATCH(G1136,'Справочник Сети'!C:C,0)))</f>
        <v>Планета здоровья</v>
      </c>
      <c r="J1136" s="7" t="s">
        <v>155</v>
      </c>
      <c r="K1136" s="7" t="s">
        <v>297</v>
      </c>
      <c r="L1136" s="7" t="s">
        <v>155</v>
      </c>
      <c r="M1136" s="31">
        <v>45716</v>
      </c>
      <c r="N1136" s="7" t="s">
        <v>2570</v>
      </c>
      <c r="O1136" s="8">
        <v>1233</v>
      </c>
      <c r="P1136" s="24">
        <v>5355</v>
      </c>
      <c r="Q1136" s="22">
        <f>IF(COUNTIFS(A$2:A1136,A1136,I$2:I1136,I1136)=1,1,0)</f>
        <v>0</v>
      </c>
      <c r="R1136" s="22">
        <f t="shared" si="17"/>
        <v>1</v>
      </c>
      <c r="S1136" s="33">
        <f>IF(COUNTIF(O$2:O1136,O1136)=1,R1136,0)/2.5</f>
        <v>0.4</v>
      </c>
    </row>
    <row r="1137" spans="1:19" ht="18" customHeight="1" x14ac:dyDescent="0.25">
      <c r="A1137" s="7" t="s">
        <v>43</v>
      </c>
      <c r="B1137" s="8">
        <v>1</v>
      </c>
      <c r="C1137" s="9">
        <v>430.4</v>
      </c>
      <c r="D1137" s="29">
        <f>C1137+IF(INDEX('Справочник по %'!B:B,(MATCH(A1137,'Справочник по %'!A:A,0)))="кол-во",B1137*INDEX('Справочник по %'!C:C,(MATCH(A1137,'Справочник по %'!A:A,0))),ОТЧЕТ!C1137*INDEX('Справочник по %'!C:C,(MATCH(A1137,'Справочник по %'!A:A,0))))/100</f>
        <v>473.44</v>
      </c>
      <c r="E1137" s="29">
        <f>IF(ОТЧЕТ!A1137="SKU3",C1137+ОТЧЕТ!C1137*0.2,C1137+ОТЧЕТ!C1137*0.15)</f>
        <v>494.96</v>
      </c>
      <c r="F1137" s="7" t="s">
        <v>2571</v>
      </c>
      <c r="G1137" s="7">
        <v>2539096225</v>
      </c>
      <c r="H1137" s="20" t="s">
        <v>1109</v>
      </c>
      <c r="I1137" s="22" t="str">
        <f>INDEX('Справочник Сети'!B:B,(MATCH(G1137,'Справочник Сети'!C:C,0)))</f>
        <v>36,6</v>
      </c>
      <c r="J1137" s="7" t="s">
        <v>46</v>
      </c>
      <c r="K1137" s="7" t="s">
        <v>337</v>
      </c>
      <c r="L1137" s="7" t="s">
        <v>46</v>
      </c>
      <c r="M1137" s="31">
        <v>45726</v>
      </c>
      <c r="N1137" s="7" t="s">
        <v>2572</v>
      </c>
      <c r="O1137" s="8">
        <v>3230</v>
      </c>
      <c r="P1137" s="24">
        <v>5361</v>
      </c>
      <c r="Q1137" s="22">
        <f>IF(COUNTIFS(A$2:A1137,A1137,I$2:I1137,I1137)=1,1,0)</f>
        <v>0</v>
      </c>
      <c r="R1137" s="22">
        <f t="shared" si="17"/>
        <v>4</v>
      </c>
      <c r="S1137" s="33">
        <f>IF(COUNTIF(O$2:O1137,O1137)=1,R1137,0)/2.5</f>
        <v>0</v>
      </c>
    </row>
    <row r="1138" spans="1:19" ht="18" customHeight="1" x14ac:dyDescent="0.25">
      <c r="A1138" s="7" t="s">
        <v>43</v>
      </c>
      <c r="B1138" s="8">
        <v>1</v>
      </c>
      <c r="C1138" s="9">
        <v>430.4</v>
      </c>
      <c r="D1138" s="29">
        <f>C1138+IF(INDEX('Справочник по %'!B:B,(MATCH(A1138,'Справочник по %'!A:A,0)))="кол-во",B1138*INDEX('Справочник по %'!C:C,(MATCH(A1138,'Справочник по %'!A:A,0))),ОТЧЕТ!C1138*INDEX('Справочник по %'!C:C,(MATCH(A1138,'Справочник по %'!A:A,0))))/100</f>
        <v>473.44</v>
      </c>
      <c r="E1138" s="29">
        <f>IF(ОТЧЕТ!A1138="SKU3",C1138+ОТЧЕТ!C1138*0.2,C1138+ОТЧЕТ!C1138*0.15)</f>
        <v>494.96</v>
      </c>
      <c r="F1138" s="7" t="s">
        <v>2573</v>
      </c>
      <c r="G1138" s="7">
        <v>2539096225</v>
      </c>
      <c r="H1138" s="20" t="s">
        <v>1109</v>
      </c>
      <c r="I1138" s="22" t="str">
        <f>INDEX('Справочник Сети'!B:B,(MATCH(G1138,'Справочник Сети'!C:C,0)))</f>
        <v>36,6</v>
      </c>
      <c r="J1138" s="7" t="s">
        <v>46</v>
      </c>
      <c r="K1138" s="7" t="s">
        <v>337</v>
      </c>
      <c r="L1138" s="7" t="s">
        <v>46</v>
      </c>
      <c r="M1138" s="31">
        <v>45726</v>
      </c>
      <c r="N1138" s="7" t="s">
        <v>2572</v>
      </c>
      <c r="O1138" s="8">
        <v>3230</v>
      </c>
      <c r="P1138" s="24">
        <v>5361</v>
      </c>
      <c r="Q1138" s="22">
        <f>IF(COUNTIFS(A$2:A1138,A1138,I$2:I1138,I1138)=1,1,0)</f>
        <v>0</v>
      </c>
      <c r="R1138" s="22">
        <f t="shared" si="17"/>
        <v>4</v>
      </c>
      <c r="S1138" s="33">
        <f>IF(COUNTIF(O$2:O1138,O1138)=1,R1138,0)/2.5</f>
        <v>0</v>
      </c>
    </row>
    <row r="1139" spans="1:19" ht="18" customHeight="1" x14ac:dyDescent="0.25">
      <c r="A1139" s="7" t="s">
        <v>37</v>
      </c>
      <c r="B1139" s="8">
        <v>1</v>
      </c>
      <c r="C1139" s="9">
        <v>659.4</v>
      </c>
      <c r="D1139" s="29">
        <f>C1139+IF(INDEX('Справочник по %'!B:B,(MATCH(A1139,'Справочник по %'!A:A,0)))="кол-во",B1139*INDEX('Справочник по %'!C:C,(MATCH(A1139,'Справочник по %'!A:A,0))),ОТЧЕТ!C1139*INDEX('Справочник по %'!C:C,(MATCH(A1139,'Справочник по %'!A:A,0))))/100</f>
        <v>659.6</v>
      </c>
      <c r="E1139" s="29">
        <f>IF(ОТЧЕТ!A1139="SKU3",C1139+ОТЧЕТ!C1139*0.2,C1139+ОТЧЕТ!C1139*0.15)</f>
        <v>758.31</v>
      </c>
      <c r="F1139" s="7" t="s">
        <v>2574</v>
      </c>
      <c r="G1139" s="7">
        <v>6673189456</v>
      </c>
      <c r="H1139" s="20" t="s">
        <v>132</v>
      </c>
      <c r="I1139" s="22" t="str">
        <f>INDEX('Справочник Сети'!B:B,(MATCH(G1139,'Справочник Сети'!C:C,0)))</f>
        <v>Столички</v>
      </c>
      <c r="J1139" s="7" t="s">
        <v>133</v>
      </c>
      <c r="K1139" s="7" t="s">
        <v>2309</v>
      </c>
      <c r="L1139" s="7" t="s">
        <v>133</v>
      </c>
      <c r="M1139" s="31">
        <v>45695</v>
      </c>
      <c r="N1139" s="7" t="s">
        <v>2575</v>
      </c>
      <c r="O1139" s="8">
        <v>1894</v>
      </c>
      <c r="P1139" s="24">
        <v>5363</v>
      </c>
      <c r="Q1139" s="22">
        <f>IF(COUNTIFS(A$2:A1139,A1139,I$2:I1139,I1139)=1,1,0)</f>
        <v>0</v>
      </c>
      <c r="R1139" s="22">
        <f t="shared" si="17"/>
        <v>1</v>
      </c>
      <c r="S1139" s="33">
        <f>IF(COUNTIF(O$2:O1139,O1139)=1,R1139,0)/2.5</f>
        <v>0.4</v>
      </c>
    </row>
    <row r="1140" spans="1:19" ht="18" customHeight="1" x14ac:dyDescent="0.25">
      <c r="A1140" s="7" t="s">
        <v>43</v>
      </c>
      <c r="B1140" s="8">
        <v>1</v>
      </c>
      <c r="C1140" s="9">
        <v>318</v>
      </c>
      <c r="D1140" s="29">
        <f>C1140+IF(INDEX('Справочник по %'!B:B,(MATCH(A1140,'Справочник по %'!A:A,0)))="кол-во",B1140*INDEX('Справочник по %'!C:C,(MATCH(A1140,'Справочник по %'!A:A,0))),ОТЧЕТ!C1140*INDEX('Справочник по %'!C:C,(MATCH(A1140,'Справочник по %'!A:A,0))))/100</f>
        <v>349.8</v>
      </c>
      <c r="E1140" s="29">
        <f>IF(ОТЧЕТ!A1140="SKU3",C1140+ОТЧЕТ!C1140*0.2,C1140+ОТЧЕТ!C1140*0.15)</f>
        <v>365.7</v>
      </c>
      <c r="F1140" s="7" t="s">
        <v>2574</v>
      </c>
      <c r="G1140" s="7">
        <v>2308119605</v>
      </c>
      <c r="H1140" s="20" t="s">
        <v>50</v>
      </c>
      <c r="I1140" s="22">
        <f>INDEX('Справочник Сети'!B:B,(MATCH(G1140,'Справочник Сети'!C:C,0)))</f>
        <v>0</v>
      </c>
      <c r="J1140" s="7" t="s">
        <v>57</v>
      </c>
      <c r="K1140" s="7" t="s">
        <v>2576</v>
      </c>
      <c r="L1140" s="7" t="s">
        <v>372</v>
      </c>
      <c r="M1140" s="31">
        <v>45730</v>
      </c>
      <c r="N1140" s="7" t="s">
        <v>2577</v>
      </c>
      <c r="O1140" s="8">
        <v>865</v>
      </c>
      <c r="P1140" s="24">
        <v>5365</v>
      </c>
      <c r="Q1140" s="22">
        <f>IF(COUNTIFS(A$2:A1140,A1140,I$2:I1140,I1140)=1,1,0)</f>
        <v>0</v>
      </c>
      <c r="R1140" s="22">
        <f t="shared" si="17"/>
        <v>1</v>
      </c>
      <c r="S1140" s="33">
        <f>IF(COUNTIF(O$2:O1140,O1140)=1,R1140,0)/2.5</f>
        <v>0.4</v>
      </c>
    </row>
    <row r="1141" spans="1:19" ht="18" customHeight="1" x14ac:dyDescent="0.25">
      <c r="A1141" s="7" t="s">
        <v>43</v>
      </c>
      <c r="B1141" s="8">
        <v>1</v>
      </c>
      <c r="C1141" s="9">
        <v>378</v>
      </c>
      <c r="D1141" s="29">
        <f>C1141+IF(INDEX('Справочник по %'!B:B,(MATCH(A1141,'Справочник по %'!A:A,0)))="кол-во",B1141*INDEX('Справочник по %'!C:C,(MATCH(A1141,'Справочник по %'!A:A,0))),ОТЧЕТ!C1141*INDEX('Справочник по %'!C:C,(MATCH(A1141,'Справочник по %'!A:A,0))))/100</f>
        <v>415.8</v>
      </c>
      <c r="E1141" s="29">
        <f>IF(ОТЧЕТ!A1141="SKU3",C1141+ОТЧЕТ!C1141*0.2,C1141+ОТЧЕТ!C1141*0.15)</f>
        <v>434.7</v>
      </c>
      <c r="F1141" s="7" t="s">
        <v>2574</v>
      </c>
      <c r="G1141" s="7">
        <v>7731334851</v>
      </c>
      <c r="H1141" s="20" t="s">
        <v>2578</v>
      </c>
      <c r="I1141" s="22" t="str">
        <f>INDEX('Справочник Сети'!B:B,(MATCH(G1141,'Справочник Сети'!C:C,0)))</f>
        <v>Планета здоровья</v>
      </c>
      <c r="J1141" s="7" t="s">
        <v>142</v>
      </c>
      <c r="K1141" s="7" t="s">
        <v>1588</v>
      </c>
      <c r="L1141" s="7" t="s">
        <v>142</v>
      </c>
      <c r="M1141" s="31">
        <v>45674</v>
      </c>
      <c r="N1141" s="7" t="s">
        <v>2579</v>
      </c>
      <c r="O1141" s="8">
        <v>3741</v>
      </c>
      <c r="P1141" s="24">
        <v>5366</v>
      </c>
      <c r="Q1141" s="22">
        <f>IF(COUNTIFS(A$2:A1141,A1141,I$2:I1141,I1141)=1,1,0)</f>
        <v>0</v>
      </c>
      <c r="R1141" s="22">
        <f t="shared" si="17"/>
        <v>1</v>
      </c>
      <c r="S1141" s="33">
        <f>IF(COUNTIF(O$2:O1141,O1141)=1,R1141,0)/2.5</f>
        <v>0.4</v>
      </c>
    </row>
    <row r="1142" spans="1:19" ht="18" customHeight="1" x14ac:dyDescent="0.25">
      <c r="A1142" s="7" t="s">
        <v>43</v>
      </c>
      <c r="B1142" s="8">
        <v>1</v>
      </c>
      <c r="C1142" s="9">
        <v>410</v>
      </c>
      <c r="D1142" s="29">
        <f>C1142+IF(INDEX('Справочник по %'!B:B,(MATCH(A1142,'Справочник по %'!A:A,0)))="кол-во",B1142*INDEX('Справочник по %'!C:C,(MATCH(A1142,'Справочник по %'!A:A,0))),ОТЧЕТ!C1142*INDEX('Справочник по %'!C:C,(MATCH(A1142,'Справочник по %'!A:A,0))))/100</f>
        <v>451</v>
      </c>
      <c r="E1142" s="29">
        <f>IF(ОТЧЕТ!A1142="SKU3",C1142+ОТЧЕТ!C1142*0.2,C1142+ОТЧЕТ!C1142*0.15)</f>
        <v>471.5</v>
      </c>
      <c r="F1142" s="7" t="s">
        <v>2574</v>
      </c>
      <c r="G1142" s="7">
        <v>2308110232</v>
      </c>
      <c r="H1142" s="20" t="s">
        <v>69</v>
      </c>
      <c r="I1142" s="22" t="str">
        <f>INDEX('Справочник Сети'!B:B,(MATCH(G1142,'Справочник Сети'!C:C,0)))</f>
        <v>Нео-фарм</v>
      </c>
      <c r="J1142" s="7" t="s">
        <v>372</v>
      </c>
      <c r="K1142" s="7" t="s">
        <v>688</v>
      </c>
      <c r="L1142" s="7" t="s">
        <v>372</v>
      </c>
      <c r="M1142" s="31">
        <v>45730</v>
      </c>
      <c r="N1142" s="7" t="s">
        <v>2580</v>
      </c>
      <c r="O1142" s="8">
        <v>1523</v>
      </c>
      <c r="P1142" s="24">
        <v>5367</v>
      </c>
      <c r="Q1142" s="22">
        <f>IF(COUNTIFS(A$2:A1142,A1142,I$2:I1142,I1142)=1,1,0)</f>
        <v>0</v>
      </c>
      <c r="R1142" s="22">
        <f t="shared" si="17"/>
        <v>5</v>
      </c>
      <c r="S1142" s="33">
        <f>IF(COUNTIF(O$2:O1142,O1142)=1,R1142,0)/2.5</f>
        <v>0</v>
      </c>
    </row>
    <row r="1143" spans="1:19" ht="18" customHeight="1" x14ac:dyDescent="0.25">
      <c r="A1143" s="7" t="s">
        <v>43</v>
      </c>
      <c r="B1143" s="8">
        <v>1</v>
      </c>
      <c r="C1143" s="9">
        <v>355.4</v>
      </c>
      <c r="D1143" s="29">
        <f>C1143+IF(INDEX('Справочник по %'!B:B,(MATCH(A1143,'Справочник по %'!A:A,0)))="кол-во",B1143*INDEX('Справочник по %'!C:C,(MATCH(A1143,'Справочник по %'!A:A,0))),ОТЧЕТ!C1143*INDEX('Справочник по %'!C:C,(MATCH(A1143,'Справочник по %'!A:A,0))))/100</f>
        <v>390.94</v>
      </c>
      <c r="E1143" s="29">
        <f>IF(ОТЧЕТ!A1143="SKU3",C1143+ОТЧЕТ!C1143*0.2,C1143+ОТЧЕТ!C1143*0.15)</f>
        <v>408.71</v>
      </c>
      <c r="F1143" s="7" t="s">
        <v>2581</v>
      </c>
      <c r="G1143" s="7">
        <v>1644016474</v>
      </c>
      <c r="H1143" s="20" t="s">
        <v>2582</v>
      </c>
      <c r="I1143" s="22">
        <f>INDEX('Справочник Сети'!B:B,(MATCH(G1143,'Справочник Сети'!C:C,0)))</f>
        <v>0</v>
      </c>
      <c r="J1143" s="7" t="s">
        <v>335</v>
      </c>
      <c r="K1143" s="7" t="s">
        <v>1332</v>
      </c>
      <c r="L1143" s="7" t="s">
        <v>335</v>
      </c>
      <c r="M1143" s="31">
        <v>45731</v>
      </c>
      <c r="N1143" s="7" t="s">
        <v>2583</v>
      </c>
      <c r="O1143" s="8">
        <v>77</v>
      </c>
      <c r="P1143" s="24">
        <v>5372</v>
      </c>
      <c r="Q1143" s="22">
        <f>IF(COUNTIFS(A$2:A1143,A1143,I$2:I1143,I1143)=1,1,0)</f>
        <v>0</v>
      </c>
      <c r="R1143" s="22">
        <f t="shared" si="17"/>
        <v>2</v>
      </c>
      <c r="S1143" s="33">
        <f>IF(COUNTIF(O$2:O1143,O1143)=1,R1143,0)/2.5</f>
        <v>0.8</v>
      </c>
    </row>
    <row r="1144" spans="1:19" ht="18" customHeight="1" x14ac:dyDescent="0.25">
      <c r="A1144" s="7" t="s">
        <v>43</v>
      </c>
      <c r="B1144" s="8">
        <v>1</v>
      </c>
      <c r="C1144" s="9">
        <v>474</v>
      </c>
      <c r="D1144" s="29">
        <f>C1144+IF(INDEX('Справочник по %'!B:B,(MATCH(A1144,'Справочник по %'!A:A,0)))="кол-во",B1144*INDEX('Справочник по %'!C:C,(MATCH(A1144,'Справочник по %'!A:A,0))),ОТЧЕТ!C1144*INDEX('Справочник по %'!C:C,(MATCH(A1144,'Справочник по %'!A:A,0))))/100</f>
        <v>521.4</v>
      </c>
      <c r="E1144" s="29">
        <f>IF(ОТЧЕТ!A1144="SKU3",C1144+ОТЧЕТ!C1144*0.2,C1144+ОТЧЕТ!C1144*0.15)</f>
        <v>545.1</v>
      </c>
      <c r="F1144" s="7" t="s">
        <v>2584</v>
      </c>
      <c r="G1144" s="7">
        <v>422200149397</v>
      </c>
      <c r="H1144" s="20" t="s">
        <v>2585</v>
      </c>
      <c r="I1144" s="22">
        <f>INDEX('Справочник Сети'!B:B,(MATCH(G1144,'Справочник Сети'!C:C,0)))</f>
        <v>0</v>
      </c>
      <c r="J1144" s="7" t="s">
        <v>110</v>
      </c>
      <c r="K1144" s="7" t="s">
        <v>2519</v>
      </c>
      <c r="L1144" s="7" t="s">
        <v>110</v>
      </c>
      <c r="M1144" s="31">
        <v>45660</v>
      </c>
      <c r="N1144" s="7" t="s">
        <v>2586</v>
      </c>
      <c r="O1144" s="8">
        <v>1903</v>
      </c>
      <c r="P1144" s="24">
        <v>5375</v>
      </c>
      <c r="Q1144" s="22">
        <f>IF(COUNTIFS(A$2:A1144,A1144,I$2:I1144,I1144)=1,1,0)</f>
        <v>0</v>
      </c>
      <c r="R1144" s="22">
        <f t="shared" si="17"/>
        <v>2</v>
      </c>
      <c r="S1144" s="33">
        <f>IF(COUNTIF(O$2:O1144,O1144)=1,R1144,0)/2.5</f>
        <v>0.8</v>
      </c>
    </row>
    <row r="1145" spans="1:19" ht="18" customHeight="1" x14ac:dyDescent="0.25">
      <c r="A1145" s="7" t="s">
        <v>43</v>
      </c>
      <c r="B1145" s="8">
        <v>1</v>
      </c>
      <c r="C1145" s="9">
        <v>398</v>
      </c>
      <c r="D1145" s="29">
        <f>C1145+IF(INDEX('Справочник по %'!B:B,(MATCH(A1145,'Справочник по %'!A:A,0)))="кол-во",B1145*INDEX('Справочник по %'!C:C,(MATCH(A1145,'Справочник по %'!A:A,0))),ОТЧЕТ!C1145*INDEX('Справочник по %'!C:C,(MATCH(A1145,'Справочник по %'!A:A,0))))/100</f>
        <v>437.8</v>
      </c>
      <c r="E1145" s="29">
        <f>IF(ОТЧЕТ!A1145="SKU3",C1145+ОТЧЕТ!C1145*0.2,C1145+ОТЧЕТ!C1145*0.15)</f>
        <v>457.7</v>
      </c>
      <c r="F1145" s="7" t="s">
        <v>2584</v>
      </c>
      <c r="G1145" s="7">
        <v>4710012294</v>
      </c>
      <c r="H1145" s="20" t="s">
        <v>50</v>
      </c>
      <c r="I1145" s="22" t="str">
        <f>INDEX('Справочник Сети'!B:B,(MATCH(G1145,'Справочник Сети'!C:C,0)))</f>
        <v>Планета здоровья</v>
      </c>
      <c r="J1145" s="7" t="s">
        <v>83</v>
      </c>
      <c r="K1145" s="7" t="s">
        <v>1463</v>
      </c>
      <c r="L1145" s="7" t="s">
        <v>83</v>
      </c>
      <c r="M1145" s="31">
        <v>45715</v>
      </c>
      <c r="N1145" s="7" t="s">
        <v>2587</v>
      </c>
      <c r="O1145" s="8">
        <v>955</v>
      </c>
      <c r="P1145" s="24">
        <v>5379</v>
      </c>
      <c r="Q1145" s="22">
        <f>IF(COUNTIFS(A$2:A1145,A1145,I$2:I1145,I1145)=1,1,0)</f>
        <v>0</v>
      </c>
      <c r="R1145" s="22">
        <f t="shared" si="17"/>
        <v>2</v>
      </c>
      <c r="S1145" s="33">
        <f>IF(COUNTIF(O$2:O1145,O1145)=1,R1145,0)/2.5</f>
        <v>0</v>
      </c>
    </row>
    <row r="1146" spans="1:19" ht="18" customHeight="1" x14ac:dyDescent="0.25">
      <c r="A1146" s="7" t="s">
        <v>43</v>
      </c>
      <c r="B1146" s="8">
        <v>1</v>
      </c>
      <c r="C1146" s="9">
        <v>481</v>
      </c>
      <c r="D1146" s="29">
        <f>C1146+IF(INDEX('Справочник по %'!B:B,(MATCH(A1146,'Справочник по %'!A:A,0)))="кол-во",B1146*INDEX('Справочник по %'!C:C,(MATCH(A1146,'Справочник по %'!A:A,0))),ОТЧЕТ!C1146*INDEX('Справочник по %'!C:C,(MATCH(A1146,'Справочник по %'!A:A,0))))/100</f>
        <v>529.1</v>
      </c>
      <c r="E1146" s="29">
        <f>IF(ОТЧЕТ!A1146="SKU3",C1146+ОТЧЕТ!C1146*0.2,C1146+ОТЧЕТ!C1146*0.15)</f>
        <v>553.15</v>
      </c>
      <c r="F1146" s="7" t="s">
        <v>2588</v>
      </c>
      <c r="G1146" s="7">
        <v>2539096225</v>
      </c>
      <c r="H1146" s="20" t="s">
        <v>2589</v>
      </c>
      <c r="I1146" s="22" t="str">
        <f>INDEX('Справочник Сети'!B:B,(MATCH(G1146,'Справочник Сети'!C:C,0)))</f>
        <v>36,6</v>
      </c>
      <c r="J1146" s="7" t="s">
        <v>46</v>
      </c>
      <c r="K1146" s="7" t="s">
        <v>947</v>
      </c>
      <c r="L1146" s="7" t="s">
        <v>46</v>
      </c>
      <c r="M1146" s="31">
        <v>45726</v>
      </c>
      <c r="N1146" s="7" t="s">
        <v>2590</v>
      </c>
      <c r="O1146" s="8">
        <v>1961</v>
      </c>
      <c r="P1146" s="24">
        <v>5384</v>
      </c>
      <c r="Q1146" s="22">
        <f>IF(COUNTIFS(A$2:A1146,A1146,I$2:I1146,I1146)=1,1,0)</f>
        <v>0</v>
      </c>
      <c r="R1146" s="22">
        <f t="shared" si="17"/>
        <v>2</v>
      </c>
      <c r="S1146" s="33">
        <f>IF(COUNTIF(O$2:O1146,O1146)=1,R1146,0)/2.5</f>
        <v>0</v>
      </c>
    </row>
    <row r="1147" spans="1:19" ht="18" customHeight="1" x14ac:dyDescent="0.25">
      <c r="A1147" s="7" t="s">
        <v>43</v>
      </c>
      <c r="B1147" s="8">
        <v>1</v>
      </c>
      <c r="C1147" s="9">
        <v>580</v>
      </c>
      <c r="D1147" s="29">
        <f>C1147+IF(INDEX('Справочник по %'!B:B,(MATCH(A1147,'Справочник по %'!A:A,0)))="кол-во",B1147*INDEX('Справочник по %'!C:C,(MATCH(A1147,'Справочник по %'!A:A,0))),ОТЧЕТ!C1147*INDEX('Справочник по %'!C:C,(MATCH(A1147,'Справочник по %'!A:A,0))))/100</f>
        <v>638</v>
      </c>
      <c r="E1147" s="29">
        <f>IF(ОТЧЕТ!A1147="SKU3",C1147+ОТЧЕТ!C1147*0.2,C1147+ОТЧЕТ!C1147*0.15)</f>
        <v>667</v>
      </c>
      <c r="F1147" s="7" t="s">
        <v>2591</v>
      </c>
      <c r="G1147" s="7">
        <v>1435268848</v>
      </c>
      <c r="H1147" s="20" t="s">
        <v>50</v>
      </c>
      <c r="I1147" s="22" t="str">
        <f>INDEX('Справочник Сети'!B:B,(MATCH(G1147,'Справочник Сети'!C:C,0)))</f>
        <v>Столички</v>
      </c>
      <c r="J1147" s="7" t="s">
        <v>335</v>
      </c>
      <c r="K1147" s="7" t="s">
        <v>2592</v>
      </c>
      <c r="L1147" s="7" t="s">
        <v>335</v>
      </c>
      <c r="M1147" s="31">
        <v>45731</v>
      </c>
      <c r="N1147" s="7" t="s">
        <v>2593</v>
      </c>
      <c r="O1147" s="8">
        <v>827</v>
      </c>
      <c r="P1147" s="24">
        <v>5388</v>
      </c>
      <c r="Q1147" s="22">
        <f>IF(COUNTIFS(A$2:A1147,A1147,I$2:I1147,I1147)=1,1,0)</f>
        <v>0</v>
      </c>
      <c r="R1147" s="22">
        <f t="shared" si="17"/>
        <v>1</v>
      </c>
      <c r="S1147" s="33">
        <f>IF(COUNTIF(O$2:O1147,O1147)=1,R1147,0)/2.5</f>
        <v>0.4</v>
      </c>
    </row>
    <row r="1148" spans="1:19" ht="18" customHeight="1" x14ac:dyDescent="0.25">
      <c r="A1148" s="7" t="s">
        <v>43</v>
      </c>
      <c r="B1148" s="8">
        <v>1</v>
      </c>
      <c r="C1148" s="9">
        <v>580</v>
      </c>
      <c r="D1148" s="29">
        <f>C1148+IF(INDEX('Справочник по %'!B:B,(MATCH(A1148,'Справочник по %'!A:A,0)))="кол-во",B1148*INDEX('Справочник по %'!C:C,(MATCH(A1148,'Справочник по %'!A:A,0))),ОТЧЕТ!C1148*INDEX('Справочник по %'!C:C,(MATCH(A1148,'Справочник по %'!A:A,0))))/100</f>
        <v>638</v>
      </c>
      <c r="E1148" s="29">
        <f>IF(ОТЧЕТ!A1148="SKU3",C1148+ОТЧЕТ!C1148*0.2,C1148+ОТЧЕТ!C1148*0.15)</f>
        <v>667</v>
      </c>
      <c r="F1148" s="7" t="s">
        <v>2591</v>
      </c>
      <c r="G1148" s="7">
        <v>2723197553</v>
      </c>
      <c r="H1148" s="20" t="s">
        <v>50</v>
      </c>
      <c r="I1148" s="22" t="str">
        <f>INDEX('Справочник Сети'!B:B,(MATCH(G1148,'Справочник Сети'!C:C,0)))</f>
        <v>Ригла</v>
      </c>
      <c r="J1148" s="7" t="s">
        <v>51</v>
      </c>
      <c r="K1148" s="7" t="s">
        <v>505</v>
      </c>
      <c r="L1148" s="7" t="s">
        <v>51</v>
      </c>
      <c r="M1148" s="31">
        <v>45725</v>
      </c>
      <c r="N1148" s="7" t="s">
        <v>2594</v>
      </c>
      <c r="O1148" s="8">
        <v>2256</v>
      </c>
      <c r="P1148" s="24">
        <v>5389</v>
      </c>
      <c r="Q1148" s="22">
        <f>IF(COUNTIFS(A$2:A1148,A1148,I$2:I1148,I1148)=1,1,0)</f>
        <v>0</v>
      </c>
      <c r="R1148" s="22">
        <f t="shared" si="17"/>
        <v>4</v>
      </c>
      <c r="S1148" s="33">
        <f>IF(COUNTIF(O$2:O1148,O1148)=1,R1148,0)/2.5</f>
        <v>0</v>
      </c>
    </row>
    <row r="1149" spans="1:19" ht="18" customHeight="1" x14ac:dyDescent="0.25">
      <c r="A1149" s="7" t="s">
        <v>43</v>
      </c>
      <c r="B1149" s="8">
        <v>1</v>
      </c>
      <c r="C1149" s="9">
        <v>380.8</v>
      </c>
      <c r="D1149" s="29">
        <f>C1149+IF(INDEX('Справочник по %'!B:B,(MATCH(A1149,'Справочник по %'!A:A,0)))="кол-во",B1149*INDEX('Справочник по %'!C:C,(MATCH(A1149,'Справочник по %'!A:A,0))),ОТЧЕТ!C1149*INDEX('Справочник по %'!C:C,(MATCH(A1149,'Справочник по %'!A:A,0))))/100</f>
        <v>418.88</v>
      </c>
      <c r="E1149" s="29">
        <f>IF(ОТЧЕТ!A1149="SKU3",C1149+ОТЧЕТ!C1149*0.2,C1149+ОТЧЕТ!C1149*0.15)</f>
        <v>437.92</v>
      </c>
      <c r="F1149" s="7" t="s">
        <v>2595</v>
      </c>
      <c r="G1149" s="7">
        <v>360300674906</v>
      </c>
      <c r="H1149" s="20" t="s">
        <v>298</v>
      </c>
      <c r="I1149" s="22" t="str">
        <f>INDEX('Справочник Сети'!B:B,(MATCH(G1149,'Справочник Сети'!C:C,0)))</f>
        <v>Столички</v>
      </c>
      <c r="J1149" s="7" t="s">
        <v>110</v>
      </c>
      <c r="K1149" s="7" t="s">
        <v>2596</v>
      </c>
      <c r="L1149" s="7" t="s">
        <v>110</v>
      </c>
      <c r="M1149" s="31">
        <v>45660</v>
      </c>
      <c r="N1149" s="7" t="s">
        <v>2597</v>
      </c>
      <c r="O1149" s="8">
        <v>1058</v>
      </c>
      <c r="P1149" s="24">
        <v>5396</v>
      </c>
      <c r="Q1149" s="22">
        <f>IF(COUNTIFS(A$2:A1149,A1149,I$2:I1149,I1149)=1,1,0)</f>
        <v>0</v>
      </c>
      <c r="R1149" s="22">
        <f t="shared" si="17"/>
        <v>4</v>
      </c>
      <c r="S1149" s="33">
        <f>IF(COUNTIF(O$2:O1149,O1149)=1,R1149,0)/2.5</f>
        <v>0</v>
      </c>
    </row>
    <row r="1150" spans="1:19" ht="18" customHeight="1" x14ac:dyDescent="0.25">
      <c r="A1150" s="7" t="s">
        <v>146</v>
      </c>
      <c r="B1150" s="8">
        <v>1</v>
      </c>
      <c r="C1150" s="9">
        <v>810</v>
      </c>
      <c r="D1150" s="29">
        <f>C1150+IF(INDEX('Справочник по %'!B:B,(MATCH(A1150,'Справочник по %'!A:A,0)))="кол-во",B1150*INDEX('Справочник по %'!C:C,(MATCH(A1150,'Справочник по %'!A:A,0))),ОТЧЕТ!C1150*INDEX('Справочник по %'!C:C,(MATCH(A1150,'Справочник по %'!A:A,0))))/100</f>
        <v>931.5</v>
      </c>
      <c r="E1150" s="29">
        <f>IF(ОТЧЕТ!A1150="SKU3",C1150+ОТЧЕТ!C1150*0.2,C1150+ОТЧЕТ!C1150*0.15)</f>
        <v>972</v>
      </c>
      <c r="F1150" s="7" t="s">
        <v>2598</v>
      </c>
      <c r="G1150" s="7">
        <v>7714844316</v>
      </c>
      <c r="H1150" s="20" t="s">
        <v>50</v>
      </c>
      <c r="I1150" s="22" t="str">
        <f>INDEX('Справочник Сети'!B:B,(MATCH(G1150,'Справочник Сети'!C:C,0)))</f>
        <v>Планета здоровья</v>
      </c>
      <c r="J1150" s="7" t="s">
        <v>504</v>
      </c>
      <c r="K1150" s="7" t="s">
        <v>2046</v>
      </c>
      <c r="L1150" s="7" t="s">
        <v>504</v>
      </c>
      <c r="M1150" s="31">
        <v>45690</v>
      </c>
      <c r="N1150" s="7" t="s">
        <v>2599</v>
      </c>
      <c r="O1150" s="8">
        <v>2706</v>
      </c>
      <c r="P1150" s="24">
        <v>5397</v>
      </c>
      <c r="Q1150" s="22">
        <f>IF(COUNTIFS(A$2:A1150,A1150,I$2:I1150,I1150)=1,1,0)</f>
        <v>0</v>
      </c>
      <c r="R1150" s="22">
        <f t="shared" si="17"/>
        <v>5</v>
      </c>
      <c r="S1150" s="33">
        <f>IF(COUNTIF(O$2:O1150,O1150)=1,R1150,0)/2.5</f>
        <v>0</v>
      </c>
    </row>
    <row r="1151" spans="1:19" ht="18" customHeight="1" x14ac:dyDescent="0.25">
      <c r="A1151" s="7" t="s">
        <v>43</v>
      </c>
      <c r="B1151" s="8">
        <v>1</v>
      </c>
      <c r="C1151" s="9">
        <v>596</v>
      </c>
      <c r="D1151" s="29">
        <f>C1151+IF(INDEX('Справочник по %'!B:B,(MATCH(A1151,'Справочник по %'!A:A,0)))="кол-во",B1151*INDEX('Справочник по %'!C:C,(MATCH(A1151,'Справочник по %'!A:A,0))),ОТЧЕТ!C1151*INDEX('Справочник по %'!C:C,(MATCH(A1151,'Справочник по %'!A:A,0))))/100</f>
        <v>655.6</v>
      </c>
      <c r="E1151" s="29">
        <f>IF(ОТЧЕТ!A1151="SKU3",C1151+ОТЧЕТ!C1151*0.2,C1151+ОТЧЕТ!C1151*0.15)</f>
        <v>685.4</v>
      </c>
      <c r="F1151" s="7" t="s">
        <v>2600</v>
      </c>
      <c r="G1151" s="7">
        <v>7714844316</v>
      </c>
      <c r="H1151" s="20" t="s">
        <v>50</v>
      </c>
      <c r="I1151" s="22" t="str">
        <f>INDEX('Справочник Сети'!B:B,(MATCH(G1151,'Справочник Сети'!C:C,0)))</f>
        <v>Планета здоровья</v>
      </c>
      <c r="J1151" s="7" t="s">
        <v>504</v>
      </c>
      <c r="K1151" s="7" t="s">
        <v>2049</v>
      </c>
      <c r="L1151" s="7" t="s">
        <v>504</v>
      </c>
      <c r="M1151" s="31">
        <v>45690</v>
      </c>
      <c r="N1151" s="7" t="s">
        <v>2601</v>
      </c>
      <c r="O1151" s="8">
        <v>868</v>
      </c>
      <c r="P1151" s="24">
        <v>5399</v>
      </c>
      <c r="Q1151" s="22">
        <f>IF(COUNTIFS(A$2:A1151,A1151,I$2:I1151,I1151)=1,1,0)</f>
        <v>0</v>
      </c>
      <c r="R1151" s="22">
        <f t="shared" si="17"/>
        <v>12</v>
      </c>
      <c r="S1151" s="33">
        <f>IF(COUNTIF(O$2:O1151,O1151)=1,R1151,0)/2.5</f>
        <v>0</v>
      </c>
    </row>
    <row r="1152" spans="1:19" ht="18" customHeight="1" x14ac:dyDescent="0.25">
      <c r="A1152" s="7" t="s">
        <v>43</v>
      </c>
      <c r="B1152" s="8">
        <v>1</v>
      </c>
      <c r="C1152" s="9">
        <v>517</v>
      </c>
      <c r="D1152" s="29">
        <f>C1152+IF(INDEX('Справочник по %'!B:B,(MATCH(A1152,'Справочник по %'!A:A,0)))="кол-во",B1152*INDEX('Справочник по %'!C:C,(MATCH(A1152,'Справочник по %'!A:A,0))),ОТЧЕТ!C1152*INDEX('Справочник по %'!C:C,(MATCH(A1152,'Справочник по %'!A:A,0))))/100</f>
        <v>568.70000000000005</v>
      </c>
      <c r="E1152" s="29">
        <f>IF(ОТЧЕТ!A1152="SKU3",C1152+ОТЧЕТ!C1152*0.2,C1152+ОТЧЕТ!C1152*0.15)</f>
        <v>594.54999999999995</v>
      </c>
      <c r="F1152" s="7" t="s">
        <v>2600</v>
      </c>
      <c r="G1152" s="7">
        <v>2322018119</v>
      </c>
      <c r="H1152" s="20" t="s">
        <v>2602</v>
      </c>
      <c r="I1152" s="22" t="str">
        <f>INDEX('Справочник Сети'!B:B,(MATCH(G1152,'Справочник Сети'!C:C,0)))</f>
        <v>Столички</v>
      </c>
      <c r="J1152" s="7" t="s">
        <v>96</v>
      </c>
      <c r="K1152" s="7" t="s">
        <v>2068</v>
      </c>
      <c r="L1152" s="7" t="s">
        <v>70</v>
      </c>
      <c r="M1152" s="31">
        <v>45728</v>
      </c>
      <c r="N1152" s="7" t="s">
        <v>2603</v>
      </c>
      <c r="O1152" s="8">
        <v>590</v>
      </c>
      <c r="P1152" s="24">
        <v>5401</v>
      </c>
      <c r="Q1152" s="22">
        <f>IF(COUNTIFS(A$2:A1152,A1152,I$2:I1152,I1152)=1,1,0)</f>
        <v>0</v>
      </c>
      <c r="R1152" s="22">
        <f t="shared" si="17"/>
        <v>1</v>
      </c>
      <c r="S1152" s="33">
        <f>IF(COUNTIF(O$2:O1152,O1152)=1,R1152,0)/2.5</f>
        <v>0.4</v>
      </c>
    </row>
    <row r="1153" spans="1:19" ht="18" customHeight="1" x14ac:dyDescent="0.25">
      <c r="A1153" s="7" t="s">
        <v>43</v>
      </c>
      <c r="B1153" s="8">
        <v>1</v>
      </c>
      <c r="C1153" s="9">
        <v>407</v>
      </c>
      <c r="D1153" s="29">
        <f>C1153+IF(INDEX('Справочник по %'!B:B,(MATCH(A1153,'Справочник по %'!A:A,0)))="кол-во",B1153*INDEX('Справочник по %'!C:C,(MATCH(A1153,'Справочник по %'!A:A,0))),ОТЧЕТ!C1153*INDEX('Справочник по %'!C:C,(MATCH(A1153,'Справочник по %'!A:A,0))))/100</f>
        <v>447.7</v>
      </c>
      <c r="E1153" s="29">
        <f>IF(ОТЧЕТ!A1153="SKU3",C1153+ОТЧЕТ!C1153*0.2,C1153+ОТЧЕТ!C1153*0.15)</f>
        <v>468.05</v>
      </c>
      <c r="F1153" s="7" t="s">
        <v>2604</v>
      </c>
      <c r="G1153" s="7">
        <v>344600461131</v>
      </c>
      <c r="H1153" s="20" t="s">
        <v>2605</v>
      </c>
      <c r="I1153" s="22">
        <f>INDEX('Справочник Сети'!B:B,(MATCH(G1153,'Справочник Сети'!C:C,0)))</f>
        <v>0</v>
      </c>
      <c r="J1153" s="7" t="s">
        <v>110</v>
      </c>
      <c r="K1153" s="7" t="s">
        <v>2012</v>
      </c>
      <c r="L1153" s="7" t="s">
        <v>110</v>
      </c>
      <c r="M1153" s="31">
        <v>45660</v>
      </c>
      <c r="N1153" s="7" t="s">
        <v>2606</v>
      </c>
      <c r="O1153" s="8">
        <v>3567</v>
      </c>
      <c r="P1153" s="24">
        <v>5416</v>
      </c>
      <c r="Q1153" s="22">
        <f>IF(COUNTIFS(A$2:A1153,A1153,I$2:I1153,I1153)=1,1,0)</f>
        <v>0</v>
      </c>
      <c r="R1153" s="22">
        <f t="shared" si="17"/>
        <v>4</v>
      </c>
      <c r="S1153" s="33">
        <f>IF(COUNTIF(O$2:O1153,O1153)=1,R1153,0)/2.5</f>
        <v>1.6</v>
      </c>
    </row>
    <row r="1154" spans="1:19" ht="18" customHeight="1" x14ac:dyDescent="0.25">
      <c r="A1154" s="7" t="s">
        <v>43</v>
      </c>
      <c r="B1154" s="8">
        <v>1</v>
      </c>
      <c r="C1154" s="9">
        <v>408</v>
      </c>
      <c r="D1154" s="29">
        <f>C1154+IF(INDEX('Справочник по %'!B:B,(MATCH(A1154,'Справочник по %'!A:A,0)))="кол-во",B1154*INDEX('Справочник по %'!C:C,(MATCH(A1154,'Справочник по %'!A:A,0))),ОТЧЕТ!C1154*INDEX('Справочник по %'!C:C,(MATCH(A1154,'Справочник по %'!A:A,0))))/100</f>
        <v>448.8</v>
      </c>
      <c r="E1154" s="29">
        <f>IF(ОТЧЕТ!A1154="SKU3",C1154+ОТЧЕТ!C1154*0.2,C1154+ОТЧЕТ!C1154*0.15)</f>
        <v>469.2</v>
      </c>
      <c r="F1154" s="7" t="s">
        <v>2604</v>
      </c>
      <c r="G1154" s="7">
        <v>344600461131</v>
      </c>
      <c r="H1154" s="20" t="s">
        <v>2605</v>
      </c>
      <c r="I1154" s="22">
        <f>INDEX('Справочник Сети'!B:B,(MATCH(G1154,'Справочник Сети'!C:C,0)))</f>
        <v>0</v>
      </c>
      <c r="J1154" s="7" t="s">
        <v>110</v>
      </c>
      <c r="K1154" s="7" t="s">
        <v>2012</v>
      </c>
      <c r="L1154" s="7" t="s">
        <v>110</v>
      </c>
      <c r="M1154" s="31">
        <v>45660</v>
      </c>
      <c r="N1154" s="7" t="s">
        <v>2606</v>
      </c>
      <c r="O1154" s="8">
        <v>3567</v>
      </c>
      <c r="P1154" s="24">
        <v>5416</v>
      </c>
      <c r="Q1154" s="22">
        <f>IF(COUNTIFS(A$2:A1154,A1154,I$2:I1154,I1154)=1,1,0)</f>
        <v>0</v>
      </c>
      <c r="R1154" s="22">
        <f t="shared" si="17"/>
        <v>4</v>
      </c>
      <c r="S1154" s="33">
        <f>IF(COUNTIF(O$2:O1154,O1154)=1,R1154,0)/2.5</f>
        <v>0</v>
      </c>
    </row>
    <row r="1155" spans="1:19" ht="18" customHeight="1" x14ac:dyDescent="0.25">
      <c r="A1155" s="7" t="s">
        <v>43</v>
      </c>
      <c r="B1155" s="8">
        <v>1</v>
      </c>
      <c r="C1155" s="9">
        <v>405</v>
      </c>
      <c r="D1155" s="29">
        <f>C1155+IF(INDEX('Справочник по %'!B:B,(MATCH(A1155,'Справочник по %'!A:A,0)))="кол-во",B1155*INDEX('Справочник по %'!C:C,(MATCH(A1155,'Справочник по %'!A:A,0))),ОТЧЕТ!C1155*INDEX('Справочник по %'!C:C,(MATCH(A1155,'Справочник по %'!A:A,0))))/100</f>
        <v>445.5</v>
      </c>
      <c r="E1155" s="29">
        <f>IF(ОТЧЕТ!A1155="SKU3",C1155+ОТЧЕТ!C1155*0.2,C1155+ОТЧЕТ!C1155*0.15)</f>
        <v>465.75</v>
      </c>
      <c r="F1155" s="7" t="s">
        <v>2604</v>
      </c>
      <c r="G1155" s="7">
        <v>2225105670</v>
      </c>
      <c r="H1155" s="20" t="s">
        <v>69</v>
      </c>
      <c r="I1155" s="22" t="str">
        <f>INDEX('Справочник Сети'!B:B,(MATCH(G1155,'Справочник Сети'!C:C,0)))</f>
        <v>Столички</v>
      </c>
      <c r="J1155" s="7" t="s">
        <v>372</v>
      </c>
      <c r="K1155" s="7" t="s">
        <v>2301</v>
      </c>
      <c r="L1155" s="7" t="s">
        <v>372</v>
      </c>
      <c r="M1155" s="31">
        <v>45730</v>
      </c>
      <c r="N1155" s="7" t="s">
        <v>2607</v>
      </c>
      <c r="O1155" s="8">
        <v>1187</v>
      </c>
      <c r="P1155" s="24">
        <v>5417</v>
      </c>
      <c r="Q1155" s="22">
        <f>IF(COUNTIFS(A$2:A1155,A1155,I$2:I1155,I1155)=1,1,0)</f>
        <v>0</v>
      </c>
      <c r="R1155" s="22">
        <f t="shared" ref="R1155:R1218" si="18">COUNTIF(O:O,O1155)</f>
        <v>3</v>
      </c>
      <c r="S1155" s="33">
        <f>IF(COUNTIF(O$2:O1155,O1155)=1,R1155,0)/2.5</f>
        <v>1.2</v>
      </c>
    </row>
    <row r="1156" spans="1:19" ht="18" customHeight="1" x14ac:dyDescent="0.25">
      <c r="A1156" s="7" t="s">
        <v>37</v>
      </c>
      <c r="B1156" s="8">
        <v>1</v>
      </c>
      <c r="C1156" s="9">
        <v>478.9</v>
      </c>
      <c r="D1156" s="29">
        <f>C1156+IF(INDEX('Справочник по %'!B:B,(MATCH(A1156,'Справочник по %'!A:A,0)))="кол-во",B1156*INDEX('Справочник по %'!C:C,(MATCH(A1156,'Справочник по %'!A:A,0))),ОТЧЕТ!C1156*INDEX('Справочник по %'!C:C,(MATCH(A1156,'Справочник по %'!A:A,0))))/100</f>
        <v>479.09999999999997</v>
      </c>
      <c r="E1156" s="29">
        <f>IF(ОТЧЕТ!A1156="SKU3",C1156+ОТЧЕТ!C1156*0.2,C1156+ОТЧЕТ!C1156*0.15)</f>
        <v>550.73500000000001</v>
      </c>
      <c r="F1156" s="7" t="s">
        <v>2604</v>
      </c>
      <c r="G1156" s="7">
        <v>6311130275</v>
      </c>
      <c r="H1156" s="20" t="s">
        <v>2608</v>
      </c>
      <c r="I1156" s="22">
        <f>INDEX('Справочник Сети'!B:B,(MATCH(G1156,'Справочник Сети'!C:C,0)))</f>
        <v>0</v>
      </c>
      <c r="J1156" s="7" t="s">
        <v>203</v>
      </c>
      <c r="K1156" s="7" t="s">
        <v>805</v>
      </c>
      <c r="L1156" s="7" t="s">
        <v>203</v>
      </c>
      <c r="M1156" s="31">
        <v>45696</v>
      </c>
      <c r="N1156" s="7" t="s">
        <v>2609</v>
      </c>
      <c r="O1156" s="8">
        <v>2335</v>
      </c>
      <c r="P1156" s="24">
        <v>5420</v>
      </c>
      <c r="Q1156" s="22">
        <f>IF(COUNTIFS(A$2:A1156,A1156,I$2:I1156,I1156)=1,1,0)</f>
        <v>0</v>
      </c>
      <c r="R1156" s="22">
        <f t="shared" si="18"/>
        <v>1</v>
      </c>
      <c r="S1156" s="33">
        <f>IF(COUNTIF(O$2:O1156,O1156)=1,R1156,0)/2.5</f>
        <v>0.4</v>
      </c>
    </row>
    <row r="1157" spans="1:19" ht="18" customHeight="1" x14ac:dyDescent="0.25">
      <c r="A1157" s="7" t="s">
        <v>43</v>
      </c>
      <c r="B1157" s="8">
        <v>1</v>
      </c>
      <c r="C1157" s="9">
        <v>449</v>
      </c>
      <c r="D1157" s="29">
        <f>C1157+IF(INDEX('Справочник по %'!B:B,(MATCH(A1157,'Справочник по %'!A:A,0)))="кол-во",B1157*INDEX('Справочник по %'!C:C,(MATCH(A1157,'Справочник по %'!A:A,0))),ОТЧЕТ!C1157*INDEX('Справочник по %'!C:C,(MATCH(A1157,'Справочник по %'!A:A,0))))/100</f>
        <v>493.9</v>
      </c>
      <c r="E1157" s="29">
        <f>IF(ОТЧЕТ!A1157="SKU3",C1157+ОТЧЕТ!C1157*0.2,C1157+ОТЧЕТ!C1157*0.15)</f>
        <v>516.35</v>
      </c>
      <c r="F1157" s="7" t="s">
        <v>2604</v>
      </c>
      <c r="G1157" s="7">
        <v>5501201317</v>
      </c>
      <c r="H1157" s="20" t="s">
        <v>91</v>
      </c>
      <c r="I1157" s="22">
        <f>INDEX('Справочник Сети'!B:B,(MATCH(G1157,'Справочник Сети'!C:C,0)))</f>
        <v>0</v>
      </c>
      <c r="J1157" s="7" t="s">
        <v>255</v>
      </c>
      <c r="K1157" s="7" t="s">
        <v>1657</v>
      </c>
      <c r="L1157" s="7" t="s">
        <v>255</v>
      </c>
      <c r="M1157" s="31">
        <v>45713</v>
      </c>
      <c r="N1157" s="7" t="s">
        <v>2610</v>
      </c>
      <c r="O1157" s="8">
        <v>959</v>
      </c>
      <c r="P1157" s="24">
        <v>5423</v>
      </c>
      <c r="Q1157" s="22">
        <f>IF(COUNTIFS(A$2:A1157,A1157,I$2:I1157,I1157)=1,1,0)</f>
        <v>0</v>
      </c>
      <c r="R1157" s="22">
        <f t="shared" si="18"/>
        <v>1</v>
      </c>
      <c r="S1157" s="33">
        <f>IF(COUNTIF(O$2:O1157,O1157)=1,R1157,0)/2.5</f>
        <v>0.4</v>
      </c>
    </row>
    <row r="1158" spans="1:19" ht="18" customHeight="1" x14ac:dyDescent="0.25">
      <c r="A1158" s="7" t="s">
        <v>43</v>
      </c>
      <c r="B1158" s="8">
        <v>1</v>
      </c>
      <c r="C1158" s="9">
        <v>374</v>
      </c>
      <c r="D1158" s="29">
        <f>C1158+IF(INDEX('Справочник по %'!B:B,(MATCH(A1158,'Справочник по %'!A:A,0)))="кол-во",B1158*INDEX('Справочник по %'!C:C,(MATCH(A1158,'Справочник по %'!A:A,0))),ОТЧЕТ!C1158*INDEX('Справочник по %'!C:C,(MATCH(A1158,'Справочник по %'!A:A,0))))/100</f>
        <v>411.4</v>
      </c>
      <c r="E1158" s="29">
        <f>IF(ОТЧЕТ!A1158="SKU3",C1158+ОТЧЕТ!C1158*0.2,C1158+ОТЧЕТ!C1158*0.15)</f>
        <v>430.1</v>
      </c>
      <c r="F1158" s="7" t="s">
        <v>2604</v>
      </c>
      <c r="G1158" s="7">
        <v>7732121736</v>
      </c>
      <c r="H1158" s="20" t="s">
        <v>2264</v>
      </c>
      <c r="I1158" s="22" t="str">
        <f>INDEX('Справочник Сети'!B:B,(MATCH(G1158,'Справочник Сети'!C:C,0)))</f>
        <v>Планета здоровья</v>
      </c>
      <c r="J1158" s="7" t="s">
        <v>149</v>
      </c>
      <c r="K1158" s="7" t="s">
        <v>576</v>
      </c>
      <c r="L1158" s="7" t="s">
        <v>149</v>
      </c>
      <c r="M1158" s="31">
        <v>45673</v>
      </c>
      <c r="N1158" s="7" t="s">
        <v>2611</v>
      </c>
      <c r="O1158" s="8">
        <v>1967</v>
      </c>
      <c r="P1158" s="24">
        <v>5425</v>
      </c>
      <c r="Q1158" s="22">
        <f>IF(COUNTIFS(A$2:A1158,A1158,I$2:I1158,I1158)=1,1,0)</f>
        <v>0</v>
      </c>
      <c r="R1158" s="22">
        <f t="shared" si="18"/>
        <v>2</v>
      </c>
      <c r="S1158" s="33">
        <f>IF(COUNTIF(O$2:O1158,O1158)=1,R1158,0)/2.5</f>
        <v>0</v>
      </c>
    </row>
    <row r="1159" spans="1:19" ht="18" customHeight="1" x14ac:dyDescent="0.25">
      <c r="A1159" s="7" t="s">
        <v>43</v>
      </c>
      <c r="B1159" s="8">
        <v>1</v>
      </c>
      <c r="C1159" s="9">
        <v>323</v>
      </c>
      <c r="D1159" s="29">
        <f>C1159+IF(INDEX('Справочник по %'!B:B,(MATCH(A1159,'Справочник по %'!A:A,0)))="кол-во",B1159*INDEX('Справочник по %'!C:C,(MATCH(A1159,'Справочник по %'!A:A,0))),ОТЧЕТ!C1159*INDEX('Справочник по %'!C:C,(MATCH(A1159,'Справочник по %'!A:A,0))))/100</f>
        <v>355.3</v>
      </c>
      <c r="E1159" s="29">
        <f>IF(ОТЧЕТ!A1159="SKU3",C1159+ОТЧЕТ!C1159*0.2,C1159+ОТЧЕТ!C1159*0.15)</f>
        <v>371.45</v>
      </c>
      <c r="F1159" s="7" t="s">
        <v>2604</v>
      </c>
      <c r="G1159" s="7">
        <v>2543023195</v>
      </c>
      <c r="H1159" s="20" t="s">
        <v>69</v>
      </c>
      <c r="I1159" s="22" t="str">
        <f>INDEX('Справочник Сети'!B:B,(MATCH(G1159,'Справочник Сети'!C:C,0)))</f>
        <v>36,6</v>
      </c>
      <c r="J1159" s="7" t="s">
        <v>46</v>
      </c>
      <c r="K1159" s="7" t="s">
        <v>200</v>
      </c>
      <c r="L1159" s="7" t="s">
        <v>46</v>
      </c>
      <c r="M1159" s="31">
        <v>45726</v>
      </c>
      <c r="N1159" s="7" t="s">
        <v>2612</v>
      </c>
      <c r="O1159" s="8">
        <v>2159</v>
      </c>
      <c r="P1159" s="24">
        <v>5426</v>
      </c>
      <c r="Q1159" s="22">
        <f>IF(COUNTIFS(A$2:A1159,A1159,I$2:I1159,I1159)=1,1,0)</f>
        <v>0</v>
      </c>
      <c r="R1159" s="22">
        <f t="shared" si="18"/>
        <v>1</v>
      </c>
      <c r="S1159" s="33">
        <f>IF(COUNTIF(O$2:O1159,O1159)=1,R1159,0)/2.5</f>
        <v>0.4</v>
      </c>
    </row>
    <row r="1160" spans="1:19" ht="18" customHeight="1" x14ac:dyDescent="0.25">
      <c r="A1160" s="7" t="s">
        <v>43</v>
      </c>
      <c r="B1160" s="8">
        <v>1</v>
      </c>
      <c r="C1160" s="9">
        <v>426.8</v>
      </c>
      <c r="D1160" s="29">
        <f>C1160+IF(INDEX('Справочник по %'!B:B,(MATCH(A1160,'Справочник по %'!A:A,0)))="кол-во",B1160*INDEX('Справочник по %'!C:C,(MATCH(A1160,'Справочник по %'!A:A,0))),ОТЧЕТ!C1160*INDEX('Справочник по %'!C:C,(MATCH(A1160,'Справочник по %'!A:A,0))))/100</f>
        <v>469.48</v>
      </c>
      <c r="E1160" s="29">
        <f>IF(ОТЧЕТ!A1160="SKU3",C1160+ОТЧЕТ!C1160*0.2,C1160+ОТЧЕТ!C1160*0.15)</f>
        <v>490.82</v>
      </c>
      <c r="F1160" s="7" t="s">
        <v>2604</v>
      </c>
      <c r="G1160" s="7">
        <v>5018012052</v>
      </c>
      <c r="H1160" s="20" t="s">
        <v>50</v>
      </c>
      <c r="I1160" s="22" t="str">
        <f>INDEX('Справочник Сети'!B:B,(MATCH(G1160,'Справочник Сети'!C:C,0)))</f>
        <v>Столички</v>
      </c>
      <c r="J1160" s="7" t="s">
        <v>83</v>
      </c>
      <c r="K1160" s="7" t="s">
        <v>2613</v>
      </c>
      <c r="L1160" s="7" t="s">
        <v>83</v>
      </c>
      <c r="M1160" s="31">
        <v>45715</v>
      </c>
      <c r="N1160" s="7" t="s">
        <v>2614</v>
      </c>
      <c r="O1160" s="8">
        <v>1044</v>
      </c>
      <c r="P1160" s="24">
        <v>5427</v>
      </c>
      <c r="Q1160" s="22">
        <f>IF(COUNTIFS(A$2:A1160,A1160,I$2:I1160,I1160)=1,1,0)</f>
        <v>0</v>
      </c>
      <c r="R1160" s="22">
        <f t="shared" si="18"/>
        <v>3</v>
      </c>
      <c r="S1160" s="33">
        <f>IF(COUNTIF(O$2:O1160,O1160)=1,R1160,0)/2.5</f>
        <v>1.2</v>
      </c>
    </row>
    <row r="1161" spans="1:19" ht="18" customHeight="1" x14ac:dyDescent="0.25">
      <c r="A1161" s="7" t="s">
        <v>43</v>
      </c>
      <c r="B1161" s="8">
        <v>1</v>
      </c>
      <c r="C1161" s="9">
        <v>415</v>
      </c>
      <c r="D1161" s="29">
        <f>C1161+IF(INDEX('Справочник по %'!B:B,(MATCH(A1161,'Справочник по %'!A:A,0)))="кол-во",B1161*INDEX('Справочник по %'!C:C,(MATCH(A1161,'Справочник по %'!A:A,0))),ОТЧЕТ!C1161*INDEX('Справочник по %'!C:C,(MATCH(A1161,'Справочник по %'!A:A,0))))/100</f>
        <v>456.5</v>
      </c>
      <c r="E1161" s="29">
        <f>IF(ОТЧЕТ!A1161="SKU3",C1161+ОТЧЕТ!C1161*0.2,C1161+ОТЧЕТ!C1161*0.15)</f>
        <v>477.25</v>
      </c>
      <c r="F1161" s="7" t="s">
        <v>2604</v>
      </c>
      <c r="G1161" s="7">
        <v>5410052611</v>
      </c>
      <c r="H1161" s="20" t="s">
        <v>50</v>
      </c>
      <c r="I1161" s="22">
        <f>INDEX('Справочник Сети'!B:B,(MATCH(G1161,'Справочник Сети'!C:C,0)))</f>
        <v>0</v>
      </c>
      <c r="J1161" s="7" t="s">
        <v>255</v>
      </c>
      <c r="K1161" s="7" t="s">
        <v>118</v>
      </c>
      <c r="L1161" s="7" t="s">
        <v>255</v>
      </c>
      <c r="M1161" s="31">
        <v>45713</v>
      </c>
      <c r="N1161" s="7" t="s">
        <v>2615</v>
      </c>
      <c r="O1161" s="8">
        <v>224</v>
      </c>
      <c r="P1161" s="24">
        <v>5428</v>
      </c>
      <c r="Q1161" s="22">
        <f>IF(COUNTIFS(A$2:A1161,A1161,I$2:I1161,I1161)=1,1,0)</f>
        <v>0</v>
      </c>
      <c r="R1161" s="22">
        <f t="shared" si="18"/>
        <v>1</v>
      </c>
      <c r="S1161" s="33">
        <f>IF(COUNTIF(O$2:O1161,O1161)=1,R1161,0)/2.5</f>
        <v>0.4</v>
      </c>
    </row>
    <row r="1162" spans="1:19" ht="18" customHeight="1" x14ac:dyDescent="0.25">
      <c r="A1162" s="7" t="s">
        <v>43</v>
      </c>
      <c r="B1162" s="8">
        <v>1</v>
      </c>
      <c r="C1162" s="9">
        <v>468.44</v>
      </c>
      <c r="D1162" s="29">
        <f>C1162+IF(INDEX('Справочник по %'!B:B,(MATCH(A1162,'Справочник по %'!A:A,0)))="кол-во",B1162*INDEX('Справочник по %'!C:C,(MATCH(A1162,'Справочник по %'!A:A,0))),ОТЧЕТ!C1162*INDEX('Справочник по %'!C:C,(MATCH(A1162,'Справочник по %'!A:A,0))))/100</f>
        <v>515.28399999999999</v>
      </c>
      <c r="E1162" s="29">
        <f>IF(ОТЧЕТ!A1162="SKU3",C1162+ОТЧЕТ!C1162*0.2,C1162+ОТЧЕТ!C1162*0.15)</f>
        <v>538.70600000000002</v>
      </c>
      <c r="F1162" s="7" t="s">
        <v>2616</v>
      </c>
      <c r="G1162" s="7">
        <v>550711904930</v>
      </c>
      <c r="H1162" s="20" t="s">
        <v>50</v>
      </c>
      <c r="I1162" s="22" t="str">
        <f>INDEX('Справочник Сети'!B:B,(MATCH(G1162,'Справочник Сети'!C:C,0)))</f>
        <v>Ригла</v>
      </c>
      <c r="J1162" s="7" t="s">
        <v>251</v>
      </c>
      <c r="K1162" s="7" t="s">
        <v>1482</v>
      </c>
      <c r="L1162" s="7" t="s">
        <v>251</v>
      </c>
      <c r="M1162" s="31">
        <v>45659</v>
      </c>
      <c r="N1162" s="7" t="s">
        <v>2617</v>
      </c>
      <c r="O1162" s="8">
        <v>3477</v>
      </c>
      <c r="P1162" s="24">
        <v>5435</v>
      </c>
      <c r="Q1162" s="22">
        <f>IF(COUNTIFS(A$2:A1162,A1162,I$2:I1162,I1162)=1,1,0)</f>
        <v>0</v>
      </c>
      <c r="R1162" s="22">
        <f t="shared" si="18"/>
        <v>4</v>
      </c>
      <c r="S1162" s="33">
        <f>IF(COUNTIF(O$2:O1162,O1162)=1,R1162,0)/2.5</f>
        <v>0</v>
      </c>
    </row>
    <row r="1163" spans="1:19" ht="18" customHeight="1" x14ac:dyDescent="0.25">
      <c r="A1163" s="7" t="s">
        <v>43</v>
      </c>
      <c r="B1163" s="8">
        <v>1</v>
      </c>
      <c r="C1163" s="9">
        <v>399</v>
      </c>
      <c r="D1163" s="29">
        <f>C1163+IF(INDEX('Справочник по %'!B:B,(MATCH(A1163,'Справочник по %'!A:A,0)))="кол-во",B1163*INDEX('Справочник по %'!C:C,(MATCH(A1163,'Справочник по %'!A:A,0))),ОТЧЕТ!C1163*INDEX('Справочник по %'!C:C,(MATCH(A1163,'Справочник по %'!A:A,0))))/100</f>
        <v>438.9</v>
      </c>
      <c r="E1163" s="29">
        <f>IF(ОТЧЕТ!A1163="SKU3",C1163+ОТЧЕТ!C1163*0.2,C1163+ОТЧЕТ!C1163*0.15)</f>
        <v>458.85</v>
      </c>
      <c r="F1163" s="7" t="s">
        <v>2618</v>
      </c>
      <c r="G1163" s="7">
        <v>7732121736</v>
      </c>
      <c r="H1163" s="20" t="s">
        <v>2619</v>
      </c>
      <c r="I1163" s="22" t="str">
        <f>INDEX('Справочник Сети'!B:B,(MATCH(G1163,'Справочник Сети'!C:C,0)))</f>
        <v>Планета здоровья</v>
      </c>
      <c r="J1163" s="7" t="s">
        <v>149</v>
      </c>
      <c r="K1163" s="7" t="s">
        <v>2620</v>
      </c>
      <c r="L1163" s="7" t="s">
        <v>149</v>
      </c>
      <c r="M1163" s="31">
        <v>45673</v>
      </c>
      <c r="N1163" s="7" t="s">
        <v>2621</v>
      </c>
      <c r="O1163" s="8">
        <v>2886</v>
      </c>
      <c r="P1163" s="24">
        <v>5439</v>
      </c>
      <c r="Q1163" s="22">
        <f>IF(COUNTIFS(A$2:A1163,A1163,I$2:I1163,I1163)=1,1,0)</f>
        <v>0</v>
      </c>
      <c r="R1163" s="22">
        <f t="shared" si="18"/>
        <v>1</v>
      </c>
      <c r="S1163" s="33">
        <f>IF(COUNTIF(O$2:O1163,O1163)=1,R1163,0)/2.5</f>
        <v>0.4</v>
      </c>
    </row>
    <row r="1164" spans="1:19" ht="18" customHeight="1" x14ac:dyDescent="0.25">
      <c r="A1164" s="7" t="s">
        <v>43</v>
      </c>
      <c r="B1164" s="8">
        <v>1</v>
      </c>
      <c r="C1164" s="9">
        <v>527</v>
      </c>
      <c r="D1164" s="29">
        <f>C1164+IF(INDEX('Справочник по %'!B:B,(MATCH(A1164,'Справочник по %'!A:A,0)))="кол-во",B1164*INDEX('Справочник по %'!C:C,(MATCH(A1164,'Справочник по %'!A:A,0))),ОТЧЕТ!C1164*INDEX('Справочник по %'!C:C,(MATCH(A1164,'Справочник по %'!A:A,0))))/100</f>
        <v>579.70000000000005</v>
      </c>
      <c r="E1164" s="29">
        <f>IF(ОТЧЕТ!A1164="SKU3",C1164+ОТЧЕТ!C1164*0.2,C1164+ОТЧЕТ!C1164*0.15)</f>
        <v>606.04999999999995</v>
      </c>
      <c r="F1164" s="7" t="s">
        <v>2618</v>
      </c>
      <c r="G1164" s="7">
        <v>7705947629</v>
      </c>
      <c r="H1164" s="20" t="s">
        <v>50</v>
      </c>
      <c r="I1164" s="22" t="str">
        <f>INDEX('Справочник Сети'!B:B,(MATCH(G1164,'Справочник Сети'!C:C,0)))</f>
        <v>36,6</v>
      </c>
      <c r="J1164" s="7" t="s">
        <v>104</v>
      </c>
      <c r="K1164" s="7" t="s">
        <v>714</v>
      </c>
      <c r="L1164" s="7" t="s">
        <v>104</v>
      </c>
      <c r="M1164" s="31">
        <v>45693</v>
      </c>
      <c r="N1164" s="7" t="s">
        <v>2622</v>
      </c>
      <c r="O1164" s="8">
        <v>289</v>
      </c>
      <c r="P1164" s="24">
        <v>5441</v>
      </c>
      <c r="Q1164" s="22">
        <f>IF(COUNTIFS(A$2:A1164,A1164,I$2:I1164,I1164)=1,1,0)</f>
        <v>0</v>
      </c>
      <c r="R1164" s="22">
        <f t="shared" si="18"/>
        <v>2</v>
      </c>
      <c r="S1164" s="33">
        <f>IF(COUNTIF(O$2:O1164,O1164)=1,R1164,0)/2.5</f>
        <v>0.8</v>
      </c>
    </row>
    <row r="1165" spans="1:19" ht="18" customHeight="1" x14ac:dyDescent="0.25">
      <c r="A1165" s="7" t="s">
        <v>43</v>
      </c>
      <c r="B1165" s="8">
        <v>1</v>
      </c>
      <c r="C1165" s="9">
        <v>386.9</v>
      </c>
      <c r="D1165" s="29">
        <f>C1165+IF(INDEX('Справочник по %'!B:B,(MATCH(A1165,'Справочник по %'!A:A,0)))="кол-во",B1165*INDEX('Справочник по %'!C:C,(MATCH(A1165,'Справочник по %'!A:A,0))),ОТЧЕТ!C1165*INDEX('Справочник по %'!C:C,(MATCH(A1165,'Справочник по %'!A:A,0))))/100</f>
        <v>425.59</v>
      </c>
      <c r="E1165" s="29">
        <f>IF(ОТЧЕТ!A1165="SKU3",C1165+ОТЧЕТ!C1165*0.2,C1165+ОТЧЕТ!C1165*0.15)</f>
        <v>444.93499999999995</v>
      </c>
      <c r="F1165" s="7" t="s">
        <v>2623</v>
      </c>
      <c r="G1165" s="7">
        <v>6312076214</v>
      </c>
      <c r="H1165" s="20" t="s">
        <v>2624</v>
      </c>
      <c r="I1165" s="22" t="str">
        <f>INDEX('Справочник Сети'!B:B,(MATCH(G1165,'Справочник Сети'!C:C,0)))</f>
        <v>Ригла</v>
      </c>
      <c r="J1165" s="7" t="s">
        <v>203</v>
      </c>
      <c r="K1165" s="7" t="s">
        <v>308</v>
      </c>
      <c r="L1165" s="7" t="s">
        <v>203</v>
      </c>
      <c r="M1165" s="31">
        <v>45696</v>
      </c>
      <c r="N1165" s="7" t="s">
        <v>2625</v>
      </c>
      <c r="O1165" s="8">
        <v>138</v>
      </c>
      <c r="P1165" s="24">
        <v>5447</v>
      </c>
      <c r="Q1165" s="22">
        <f>IF(COUNTIFS(A$2:A1165,A1165,I$2:I1165,I1165)=1,1,0)</f>
        <v>0</v>
      </c>
      <c r="R1165" s="22">
        <f t="shared" si="18"/>
        <v>2</v>
      </c>
      <c r="S1165" s="33">
        <f>IF(COUNTIF(O$2:O1165,O1165)=1,R1165,0)/2.5</f>
        <v>0.8</v>
      </c>
    </row>
    <row r="1166" spans="1:19" ht="18" customHeight="1" x14ac:dyDescent="0.25">
      <c r="A1166" s="7" t="s">
        <v>43</v>
      </c>
      <c r="B1166" s="8">
        <v>1</v>
      </c>
      <c r="C1166" s="9">
        <v>364</v>
      </c>
      <c r="D1166" s="29">
        <f>C1166+IF(INDEX('Справочник по %'!B:B,(MATCH(A1166,'Справочник по %'!A:A,0)))="кол-во",B1166*INDEX('Справочник по %'!C:C,(MATCH(A1166,'Справочник по %'!A:A,0))),ОТЧЕТ!C1166*INDEX('Справочник по %'!C:C,(MATCH(A1166,'Справочник по %'!A:A,0))))/100</f>
        <v>400.4</v>
      </c>
      <c r="E1166" s="29">
        <f>IF(ОТЧЕТ!A1166="SKU3",C1166+ОТЧЕТ!C1166*0.2,C1166+ОТЧЕТ!C1166*0.15)</f>
        <v>418.6</v>
      </c>
      <c r="F1166" s="7" t="s">
        <v>2626</v>
      </c>
      <c r="G1166" s="7">
        <v>7814443325</v>
      </c>
      <c r="H1166" s="20" t="s">
        <v>50</v>
      </c>
      <c r="I1166" s="22" t="str">
        <f>INDEX('Справочник Сети'!B:B,(MATCH(G1166,'Справочник Сети'!C:C,0)))</f>
        <v>Планета здоровья</v>
      </c>
      <c r="J1166" s="7" t="s">
        <v>121</v>
      </c>
      <c r="K1166" s="7" t="s">
        <v>2627</v>
      </c>
      <c r="L1166" s="7" t="s">
        <v>121</v>
      </c>
      <c r="M1166" s="31">
        <v>45671</v>
      </c>
      <c r="N1166" s="7" t="s">
        <v>2628</v>
      </c>
      <c r="O1166" s="8">
        <v>2049</v>
      </c>
      <c r="P1166" s="24">
        <v>5455</v>
      </c>
      <c r="Q1166" s="22">
        <f>IF(COUNTIFS(A$2:A1166,A1166,I$2:I1166,I1166)=1,1,0)</f>
        <v>0</v>
      </c>
      <c r="R1166" s="22">
        <f t="shared" si="18"/>
        <v>5</v>
      </c>
      <c r="S1166" s="33">
        <f>IF(COUNTIF(O$2:O1166,O1166)=1,R1166,0)/2.5</f>
        <v>2</v>
      </c>
    </row>
    <row r="1167" spans="1:19" ht="18" customHeight="1" x14ac:dyDescent="0.25">
      <c r="A1167" s="7" t="s">
        <v>43</v>
      </c>
      <c r="B1167" s="8">
        <v>1</v>
      </c>
      <c r="C1167" s="9">
        <v>412</v>
      </c>
      <c r="D1167" s="29">
        <f>C1167+IF(INDEX('Справочник по %'!B:B,(MATCH(A1167,'Справочник по %'!A:A,0)))="кол-во",B1167*INDEX('Справочник по %'!C:C,(MATCH(A1167,'Справочник по %'!A:A,0))),ОТЧЕТ!C1167*INDEX('Справочник по %'!C:C,(MATCH(A1167,'Справочник по %'!A:A,0))))/100</f>
        <v>453.2</v>
      </c>
      <c r="E1167" s="29">
        <f>IF(ОТЧЕТ!A1167="SKU3",C1167+ОТЧЕТ!C1167*0.2,C1167+ОТЧЕТ!C1167*0.15)</f>
        <v>473.8</v>
      </c>
      <c r="F1167" s="7" t="s">
        <v>2629</v>
      </c>
      <c r="G1167" s="7">
        <v>3665071695</v>
      </c>
      <c r="H1167" s="20" t="s">
        <v>50</v>
      </c>
      <c r="I1167" s="22" t="str">
        <f>INDEX('Справочник Сети'!B:B,(MATCH(G1167,'Справочник Сети'!C:C,0)))</f>
        <v>Планета здоровья</v>
      </c>
      <c r="J1167" s="7" t="s">
        <v>65</v>
      </c>
      <c r="K1167" s="7" t="s">
        <v>1545</v>
      </c>
      <c r="L1167" s="7" t="s">
        <v>65</v>
      </c>
      <c r="M1167" s="31">
        <v>45717</v>
      </c>
      <c r="N1167" s="7" t="s">
        <v>2630</v>
      </c>
      <c r="O1167" s="8">
        <v>2058</v>
      </c>
      <c r="P1167" s="24">
        <v>5457</v>
      </c>
      <c r="Q1167" s="22">
        <f>IF(COUNTIFS(A$2:A1167,A1167,I$2:I1167,I1167)=1,1,0)</f>
        <v>0</v>
      </c>
      <c r="R1167" s="22">
        <f t="shared" si="18"/>
        <v>1</v>
      </c>
      <c r="S1167" s="33">
        <f>IF(COUNTIF(O$2:O1167,O1167)=1,R1167,0)/2.5</f>
        <v>0.4</v>
      </c>
    </row>
    <row r="1168" spans="1:19" ht="18" customHeight="1" x14ac:dyDescent="0.25">
      <c r="A1168" s="7" t="s">
        <v>43</v>
      </c>
      <c r="B1168" s="8">
        <v>1</v>
      </c>
      <c r="C1168" s="9">
        <v>391</v>
      </c>
      <c r="D1168" s="29">
        <f>C1168+IF(INDEX('Справочник по %'!B:B,(MATCH(A1168,'Справочник по %'!A:A,0)))="кол-во",B1168*INDEX('Справочник по %'!C:C,(MATCH(A1168,'Справочник по %'!A:A,0))),ОТЧЕТ!C1168*INDEX('Справочник по %'!C:C,(MATCH(A1168,'Справочник по %'!A:A,0))))/100</f>
        <v>430.1</v>
      </c>
      <c r="E1168" s="29">
        <f>IF(ОТЧЕТ!A1168="SKU3",C1168+ОТЧЕТ!C1168*0.2,C1168+ОТЧЕТ!C1168*0.15)</f>
        <v>449.65</v>
      </c>
      <c r="F1168" s="7" t="s">
        <v>2629</v>
      </c>
      <c r="G1168" s="7">
        <v>7732121736</v>
      </c>
      <c r="H1168" s="20" t="s">
        <v>1035</v>
      </c>
      <c r="I1168" s="22" t="str">
        <f>INDEX('Справочник Сети'!B:B,(MATCH(G1168,'Справочник Сети'!C:C,0)))</f>
        <v>Планета здоровья</v>
      </c>
      <c r="J1168" s="7" t="s">
        <v>149</v>
      </c>
      <c r="K1168" s="7" t="s">
        <v>2353</v>
      </c>
      <c r="L1168" s="7" t="s">
        <v>149</v>
      </c>
      <c r="M1168" s="31">
        <v>45673</v>
      </c>
      <c r="N1168" s="7" t="s">
        <v>2631</v>
      </c>
      <c r="O1168" s="8">
        <v>2129</v>
      </c>
      <c r="P1168" s="24">
        <v>5458</v>
      </c>
      <c r="Q1168" s="22">
        <f>IF(COUNTIFS(A$2:A1168,A1168,I$2:I1168,I1168)=1,1,0)</f>
        <v>0</v>
      </c>
      <c r="R1168" s="22">
        <f t="shared" si="18"/>
        <v>1</v>
      </c>
      <c r="S1168" s="33">
        <f>IF(COUNTIF(O$2:O1168,O1168)=1,R1168,0)/2.5</f>
        <v>0.4</v>
      </c>
    </row>
    <row r="1169" spans="1:19" ht="18" customHeight="1" x14ac:dyDescent="0.25">
      <c r="A1169" s="7" t="s">
        <v>43</v>
      </c>
      <c r="B1169" s="8">
        <v>1</v>
      </c>
      <c r="C1169" s="9">
        <v>445</v>
      </c>
      <c r="D1169" s="29">
        <f>C1169+IF(INDEX('Справочник по %'!B:B,(MATCH(A1169,'Справочник по %'!A:A,0)))="кол-во",B1169*INDEX('Справочник по %'!C:C,(MATCH(A1169,'Справочник по %'!A:A,0))),ОТЧЕТ!C1169*INDEX('Справочник по %'!C:C,(MATCH(A1169,'Справочник по %'!A:A,0))))/100</f>
        <v>489.5</v>
      </c>
      <c r="E1169" s="29">
        <f>IF(ОТЧЕТ!A1169="SKU3",C1169+ОТЧЕТ!C1169*0.2,C1169+ОТЧЕТ!C1169*0.15)</f>
        <v>511.75</v>
      </c>
      <c r="F1169" s="7" t="s">
        <v>2629</v>
      </c>
      <c r="G1169" s="7">
        <v>231700119537</v>
      </c>
      <c r="H1169" s="20" t="s">
        <v>50</v>
      </c>
      <c r="I1169" s="22">
        <f>INDEX('Справочник Сети'!B:B,(MATCH(G1169,'Справочник Сети'!C:C,0)))</f>
        <v>0</v>
      </c>
      <c r="J1169" s="7" t="s">
        <v>74</v>
      </c>
      <c r="K1169" s="7" t="s">
        <v>80</v>
      </c>
      <c r="L1169" s="7" t="s">
        <v>74</v>
      </c>
      <c r="M1169" s="31">
        <v>45661</v>
      </c>
      <c r="N1169" s="7" t="s">
        <v>2632</v>
      </c>
      <c r="O1169" s="8">
        <v>2602</v>
      </c>
      <c r="P1169" s="24">
        <v>5459</v>
      </c>
      <c r="Q1169" s="22">
        <f>IF(COUNTIFS(A$2:A1169,A1169,I$2:I1169,I1169)=1,1,0)</f>
        <v>0</v>
      </c>
      <c r="R1169" s="22">
        <f t="shared" si="18"/>
        <v>2</v>
      </c>
      <c r="S1169" s="33">
        <f>IF(COUNTIF(O$2:O1169,O1169)=1,R1169,0)/2.5</f>
        <v>0</v>
      </c>
    </row>
    <row r="1170" spans="1:19" ht="18" customHeight="1" x14ac:dyDescent="0.25">
      <c r="A1170" s="7" t="s">
        <v>37</v>
      </c>
      <c r="B1170" s="8">
        <v>1</v>
      </c>
      <c r="C1170" s="9">
        <v>780</v>
      </c>
      <c r="D1170" s="29">
        <f>C1170+IF(INDEX('Справочник по %'!B:B,(MATCH(A1170,'Справочник по %'!A:A,0)))="кол-во",B1170*INDEX('Справочник по %'!C:C,(MATCH(A1170,'Справочник по %'!A:A,0))),ОТЧЕТ!C1170*INDEX('Справочник по %'!C:C,(MATCH(A1170,'Справочник по %'!A:A,0))))/100</f>
        <v>780.2</v>
      </c>
      <c r="E1170" s="29">
        <f>IF(ОТЧЕТ!A1170="SKU3",C1170+ОТЧЕТ!C1170*0.2,C1170+ОТЧЕТ!C1170*0.15)</f>
        <v>897</v>
      </c>
      <c r="F1170" s="7" t="s">
        <v>2629</v>
      </c>
      <c r="G1170" s="7">
        <v>9729278681</v>
      </c>
      <c r="H1170" s="20" t="s">
        <v>91</v>
      </c>
      <c r="I1170" s="22">
        <f>INDEX('Справочник Сети'!B:B,(MATCH(G1170,'Справочник Сети'!C:C,0)))</f>
        <v>0</v>
      </c>
      <c r="J1170" s="7" t="s">
        <v>74</v>
      </c>
      <c r="K1170" s="7" t="s">
        <v>2633</v>
      </c>
      <c r="L1170" s="7" t="s">
        <v>74</v>
      </c>
      <c r="M1170" s="31">
        <v>45661</v>
      </c>
      <c r="N1170" s="7" t="s">
        <v>2634</v>
      </c>
      <c r="O1170" s="8">
        <v>860</v>
      </c>
      <c r="P1170" s="24">
        <v>5460</v>
      </c>
      <c r="Q1170" s="22">
        <f>IF(COUNTIFS(A$2:A1170,A1170,I$2:I1170,I1170)=1,1,0)</f>
        <v>0</v>
      </c>
      <c r="R1170" s="22">
        <f t="shared" si="18"/>
        <v>2</v>
      </c>
      <c r="S1170" s="33">
        <f>IF(COUNTIF(O$2:O1170,O1170)=1,R1170,0)/2.5</f>
        <v>0.8</v>
      </c>
    </row>
    <row r="1171" spans="1:19" ht="18" customHeight="1" x14ac:dyDescent="0.25">
      <c r="A1171" s="7" t="s">
        <v>43</v>
      </c>
      <c r="B1171" s="8">
        <v>1</v>
      </c>
      <c r="C1171" s="9">
        <v>440</v>
      </c>
      <c r="D1171" s="29">
        <f>C1171+IF(INDEX('Справочник по %'!B:B,(MATCH(A1171,'Справочник по %'!A:A,0)))="кол-во",B1171*INDEX('Справочник по %'!C:C,(MATCH(A1171,'Справочник по %'!A:A,0))),ОТЧЕТ!C1171*INDEX('Справочник по %'!C:C,(MATCH(A1171,'Справочник по %'!A:A,0))))/100</f>
        <v>484</v>
      </c>
      <c r="E1171" s="29">
        <f>IF(ОТЧЕТ!A1171="SKU3",C1171+ОТЧЕТ!C1171*0.2,C1171+ОТЧЕТ!C1171*0.15)</f>
        <v>506</v>
      </c>
      <c r="F1171" s="7" t="s">
        <v>2635</v>
      </c>
      <c r="G1171" s="7">
        <v>5018012052</v>
      </c>
      <c r="H1171" s="20" t="s">
        <v>50</v>
      </c>
      <c r="I1171" s="22" t="str">
        <f>INDEX('Справочник Сети'!B:B,(MATCH(G1171,'Справочник Сети'!C:C,0)))</f>
        <v>Столички</v>
      </c>
      <c r="J1171" s="7" t="s">
        <v>83</v>
      </c>
      <c r="K1171" s="7" t="s">
        <v>1283</v>
      </c>
      <c r="L1171" s="7" t="s">
        <v>83</v>
      </c>
      <c r="M1171" s="31">
        <v>45715</v>
      </c>
      <c r="N1171" s="7" t="s">
        <v>2636</v>
      </c>
      <c r="O1171" s="8">
        <v>1044</v>
      </c>
      <c r="P1171" s="24">
        <v>5468</v>
      </c>
      <c r="Q1171" s="22">
        <f>IF(COUNTIFS(A$2:A1171,A1171,I$2:I1171,I1171)=1,1,0)</f>
        <v>0</v>
      </c>
      <c r="R1171" s="22">
        <f t="shared" si="18"/>
        <v>3</v>
      </c>
      <c r="S1171" s="33">
        <f>IF(COUNTIF(O$2:O1171,O1171)=1,R1171,0)/2.5</f>
        <v>0</v>
      </c>
    </row>
    <row r="1172" spans="1:19" ht="18" customHeight="1" x14ac:dyDescent="0.25">
      <c r="A1172" s="7" t="s">
        <v>43</v>
      </c>
      <c r="B1172" s="8">
        <v>1</v>
      </c>
      <c r="C1172" s="9">
        <v>432</v>
      </c>
      <c r="D1172" s="29">
        <f>C1172+IF(INDEX('Справочник по %'!B:B,(MATCH(A1172,'Справочник по %'!A:A,0)))="кол-во",B1172*INDEX('Справочник по %'!C:C,(MATCH(A1172,'Справочник по %'!A:A,0))),ОТЧЕТ!C1172*INDEX('Справочник по %'!C:C,(MATCH(A1172,'Справочник по %'!A:A,0))))/100</f>
        <v>475.2</v>
      </c>
      <c r="E1172" s="29">
        <f>IF(ОТЧЕТ!A1172="SKU3",C1172+ОТЧЕТ!C1172*0.2,C1172+ОТЧЕТ!C1172*0.15)</f>
        <v>496.8</v>
      </c>
      <c r="F1172" s="7" t="s">
        <v>2637</v>
      </c>
      <c r="G1172" s="7">
        <v>6673189417</v>
      </c>
      <c r="H1172" s="20" t="s">
        <v>2638</v>
      </c>
      <c r="I1172" s="22">
        <f>INDEX('Справочник Сети'!B:B,(MATCH(G1172,'Справочник Сети'!C:C,0)))</f>
        <v>0</v>
      </c>
      <c r="J1172" s="7" t="s">
        <v>133</v>
      </c>
      <c r="K1172" s="7" t="s">
        <v>246</v>
      </c>
      <c r="L1172" s="7" t="s">
        <v>133</v>
      </c>
      <c r="M1172" s="31">
        <v>45695</v>
      </c>
      <c r="N1172" s="7" t="s">
        <v>2639</v>
      </c>
      <c r="O1172" s="8">
        <v>3367</v>
      </c>
      <c r="P1172" s="24">
        <v>5474</v>
      </c>
      <c r="Q1172" s="22">
        <f>IF(COUNTIFS(A$2:A1172,A1172,I$2:I1172,I1172)=1,1,0)</f>
        <v>0</v>
      </c>
      <c r="R1172" s="22">
        <f t="shared" si="18"/>
        <v>1</v>
      </c>
      <c r="S1172" s="33">
        <f>IF(COUNTIF(O$2:O1172,O1172)=1,R1172,0)/2.5</f>
        <v>0.4</v>
      </c>
    </row>
    <row r="1173" spans="1:19" ht="18" customHeight="1" x14ac:dyDescent="0.25">
      <c r="A1173" s="7" t="s">
        <v>37</v>
      </c>
      <c r="B1173" s="8">
        <v>1</v>
      </c>
      <c r="C1173" s="9">
        <v>696</v>
      </c>
      <c r="D1173" s="29">
        <f>C1173+IF(INDEX('Справочник по %'!B:B,(MATCH(A1173,'Справочник по %'!A:A,0)))="кол-во",B1173*INDEX('Справочник по %'!C:C,(MATCH(A1173,'Справочник по %'!A:A,0))),ОТЧЕТ!C1173*INDEX('Справочник по %'!C:C,(MATCH(A1173,'Справочник по %'!A:A,0))))/100</f>
        <v>696.2</v>
      </c>
      <c r="E1173" s="29">
        <f>IF(ОТЧЕТ!A1173="SKU3",C1173+ОТЧЕТ!C1173*0.2,C1173+ОТЧЕТ!C1173*0.15)</f>
        <v>800.4</v>
      </c>
      <c r="F1173" s="7" t="s">
        <v>2637</v>
      </c>
      <c r="G1173" s="7">
        <v>5408026558</v>
      </c>
      <c r="H1173" s="20" t="s">
        <v>50</v>
      </c>
      <c r="I1173" s="22">
        <f>INDEX('Справочник Сети'!B:B,(MATCH(G1173,'Справочник Сети'!C:C,0)))</f>
        <v>0</v>
      </c>
      <c r="J1173" s="7" t="s">
        <v>255</v>
      </c>
      <c r="K1173" s="7" t="s">
        <v>356</v>
      </c>
      <c r="L1173" s="7" t="s">
        <v>92</v>
      </c>
      <c r="M1173" s="31">
        <v>45714</v>
      </c>
      <c r="N1173" s="7" t="s">
        <v>2640</v>
      </c>
      <c r="O1173" s="8">
        <v>1883</v>
      </c>
      <c r="P1173" s="24">
        <v>5479</v>
      </c>
      <c r="Q1173" s="22">
        <f>IF(COUNTIFS(A$2:A1173,A1173,I$2:I1173,I1173)=1,1,0)</f>
        <v>0</v>
      </c>
      <c r="R1173" s="22">
        <f t="shared" si="18"/>
        <v>1</v>
      </c>
      <c r="S1173" s="33">
        <f>IF(COUNTIF(O$2:O1173,O1173)=1,R1173,0)/2.5</f>
        <v>0.4</v>
      </c>
    </row>
    <row r="1174" spans="1:19" ht="18" customHeight="1" x14ac:dyDescent="0.25">
      <c r="A1174" s="7" t="s">
        <v>37</v>
      </c>
      <c r="B1174" s="8">
        <v>1</v>
      </c>
      <c r="C1174" s="9">
        <v>552</v>
      </c>
      <c r="D1174" s="29">
        <f>C1174+IF(INDEX('Справочник по %'!B:B,(MATCH(A1174,'Справочник по %'!A:A,0)))="кол-во",B1174*INDEX('Справочник по %'!C:C,(MATCH(A1174,'Справочник по %'!A:A,0))),ОТЧЕТ!C1174*INDEX('Справочник по %'!C:C,(MATCH(A1174,'Справочник по %'!A:A,0))))/100</f>
        <v>552.20000000000005</v>
      </c>
      <c r="E1174" s="29">
        <f>IF(ОТЧЕТ!A1174="SKU3",C1174+ОТЧЕТ!C1174*0.2,C1174+ОТЧЕТ!C1174*0.15)</f>
        <v>634.79999999999995</v>
      </c>
      <c r="F1174" s="7" t="s">
        <v>2637</v>
      </c>
      <c r="G1174" s="7">
        <v>150102061261</v>
      </c>
      <c r="H1174" s="20" t="s">
        <v>2641</v>
      </c>
      <c r="I1174" s="22">
        <f>INDEX('Справочник Сети'!B:B,(MATCH(G1174,'Справочник Сети'!C:C,0)))</f>
        <v>0</v>
      </c>
      <c r="J1174" s="7" t="s">
        <v>74</v>
      </c>
      <c r="K1174" s="7" t="s">
        <v>137</v>
      </c>
      <c r="L1174" s="7" t="s">
        <v>74</v>
      </c>
      <c r="M1174" s="31">
        <v>45661</v>
      </c>
      <c r="N1174" s="7" t="s">
        <v>2642</v>
      </c>
      <c r="O1174" s="8">
        <v>3342</v>
      </c>
      <c r="P1174" s="24">
        <v>5481</v>
      </c>
      <c r="Q1174" s="22">
        <f>IF(COUNTIFS(A$2:A1174,A1174,I$2:I1174,I1174)=1,1,0)</f>
        <v>0</v>
      </c>
      <c r="R1174" s="22">
        <f t="shared" si="18"/>
        <v>1</v>
      </c>
      <c r="S1174" s="33">
        <f>IF(COUNTIF(O$2:O1174,O1174)=1,R1174,0)/2.5</f>
        <v>0.4</v>
      </c>
    </row>
    <row r="1175" spans="1:19" ht="18" customHeight="1" x14ac:dyDescent="0.25">
      <c r="A1175" s="7" t="s">
        <v>43</v>
      </c>
      <c r="B1175" s="8">
        <v>1</v>
      </c>
      <c r="C1175" s="9">
        <v>500</v>
      </c>
      <c r="D1175" s="29">
        <f>C1175+IF(INDEX('Справочник по %'!B:B,(MATCH(A1175,'Справочник по %'!A:A,0)))="кол-во",B1175*INDEX('Справочник по %'!C:C,(MATCH(A1175,'Справочник по %'!A:A,0))),ОТЧЕТ!C1175*INDEX('Справочник по %'!C:C,(MATCH(A1175,'Справочник по %'!A:A,0))))/100</f>
        <v>550</v>
      </c>
      <c r="E1175" s="29">
        <f>IF(ОТЧЕТ!A1175="SKU3",C1175+ОТЧЕТ!C1175*0.2,C1175+ОТЧЕТ!C1175*0.15)</f>
        <v>575</v>
      </c>
      <c r="F1175" s="7" t="s">
        <v>2637</v>
      </c>
      <c r="G1175" s="7">
        <v>4632170357</v>
      </c>
      <c r="H1175" s="20" t="s">
        <v>153</v>
      </c>
      <c r="I1175" s="22" t="str">
        <f>INDEX('Справочник Сети'!B:B,(MATCH(G1175,'Справочник Сети'!C:C,0)))</f>
        <v>Столички</v>
      </c>
      <c r="J1175" s="7" t="s">
        <v>83</v>
      </c>
      <c r="K1175" s="7" t="s">
        <v>427</v>
      </c>
      <c r="L1175" s="7" t="s">
        <v>155</v>
      </c>
      <c r="M1175" s="31">
        <v>45716</v>
      </c>
      <c r="N1175" s="7" t="s">
        <v>2643</v>
      </c>
      <c r="O1175" s="8">
        <v>707</v>
      </c>
      <c r="P1175" s="24">
        <v>5483</v>
      </c>
      <c r="Q1175" s="22">
        <f>IF(COUNTIFS(A$2:A1175,A1175,I$2:I1175,I1175)=1,1,0)</f>
        <v>0</v>
      </c>
      <c r="R1175" s="22">
        <f t="shared" si="18"/>
        <v>4</v>
      </c>
      <c r="S1175" s="33">
        <f>IF(COUNTIF(O$2:O1175,O1175)=1,R1175,0)/2.5</f>
        <v>0</v>
      </c>
    </row>
    <row r="1176" spans="1:19" ht="18" customHeight="1" x14ac:dyDescent="0.25">
      <c r="A1176" s="7" t="s">
        <v>37</v>
      </c>
      <c r="B1176" s="8">
        <v>1</v>
      </c>
      <c r="C1176" s="9">
        <v>700</v>
      </c>
      <c r="D1176" s="29">
        <f>C1176+IF(INDEX('Справочник по %'!B:B,(MATCH(A1176,'Справочник по %'!A:A,0)))="кол-во",B1176*INDEX('Справочник по %'!C:C,(MATCH(A1176,'Справочник по %'!A:A,0))),ОТЧЕТ!C1176*INDEX('Справочник по %'!C:C,(MATCH(A1176,'Справочник по %'!A:A,0))))/100</f>
        <v>700.2</v>
      </c>
      <c r="E1176" s="29">
        <f>IF(ОТЧЕТ!A1176="SKU3",C1176+ОТЧЕТ!C1176*0.2,C1176+ОТЧЕТ!C1176*0.15)</f>
        <v>805</v>
      </c>
      <c r="F1176" s="7" t="s">
        <v>2637</v>
      </c>
      <c r="G1176" s="7">
        <v>7814139847</v>
      </c>
      <c r="H1176" s="20" t="s">
        <v>50</v>
      </c>
      <c r="I1176" s="22" t="str">
        <f>INDEX('Справочник Сети'!B:B,(MATCH(G1176,'Справочник Сети'!C:C,0)))</f>
        <v>Планета здоровья</v>
      </c>
      <c r="J1176" s="7" t="s">
        <v>121</v>
      </c>
      <c r="K1176" s="7" t="s">
        <v>325</v>
      </c>
      <c r="L1176" s="7" t="s">
        <v>121</v>
      </c>
      <c r="M1176" s="31">
        <v>45671</v>
      </c>
      <c r="N1176" s="7" t="s">
        <v>2644</v>
      </c>
      <c r="O1176" s="8">
        <v>2855</v>
      </c>
      <c r="P1176" s="24">
        <v>5484</v>
      </c>
      <c r="Q1176" s="22">
        <f>IF(COUNTIFS(A$2:A1176,A1176,I$2:I1176,I1176)=1,1,0)</f>
        <v>0</v>
      </c>
      <c r="R1176" s="22">
        <f t="shared" si="18"/>
        <v>5</v>
      </c>
      <c r="S1176" s="33">
        <f>IF(COUNTIF(O$2:O1176,O1176)=1,R1176,0)/2.5</f>
        <v>0</v>
      </c>
    </row>
    <row r="1177" spans="1:19" ht="18" customHeight="1" x14ac:dyDescent="0.25">
      <c r="A1177" s="7" t="s">
        <v>43</v>
      </c>
      <c r="B1177" s="8">
        <v>1</v>
      </c>
      <c r="C1177" s="9">
        <v>374</v>
      </c>
      <c r="D1177" s="29">
        <f>C1177+IF(INDEX('Справочник по %'!B:B,(MATCH(A1177,'Справочник по %'!A:A,0)))="кол-во",B1177*INDEX('Справочник по %'!C:C,(MATCH(A1177,'Справочник по %'!A:A,0))),ОТЧЕТ!C1177*INDEX('Справочник по %'!C:C,(MATCH(A1177,'Справочник по %'!A:A,0))))/100</f>
        <v>411.4</v>
      </c>
      <c r="E1177" s="29">
        <f>IF(ОТЧЕТ!A1177="SKU3",C1177+ОТЧЕТ!C1177*0.2,C1177+ОТЧЕТ!C1177*0.15)</f>
        <v>430.1</v>
      </c>
      <c r="F1177" s="7" t="s">
        <v>2645</v>
      </c>
      <c r="G1177" s="7">
        <v>7706795062</v>
      </c>
      <c r="H1177" s="20" t="s">
        <v>2646</v>
      </c>
      <c r="I1177" s="22" t="str">
        <f>INDEX('Справочник Сети'!B:B,(MATCH(G1177,'Справочник Сети'!C:C,0)))</f>
        <v>Планета здоровья</v>
      </c>
      <c r="J1177" s="7" t="s">
        <v>87</v>
      </c>
      <c r="K1177" s="7" t="s">
        <v>2647</v>
      </c>
      <c r="L1177" s="7" t="s">
        <v>87</v>
      </c>
      <c r="M1177" s="31">
        <v>45691</v>
      </c>
      <c r="N1177" s="7" t="s">
        <v>2648</v>
      </c>
      <c r="O1177" s="8">
        <v>2795</v>
      </c>
      <c r="P1177" s="24">
        <v>5488</v>
      </c>
      <c r="Q1177" s="22">
        <f>IF(COUNTIFS(A$2:A1177,A1177,I$2:I1177,I1177)=1,1,0)</f>
        <v>0</v>
      </c>
      <c r="R1177" s="22">
        <f t="shared" si="18"/>
        <v>1</v>
      </c>
      <c r="S1177" s="33">
        <f>IF(COUNTIF(O$2:O1177,O1177)=1,R1177,0)/2.5</f>
        <v>0.4</v>
      </c>
    </row>
    <row r="1178" spans="1:19" ht="18" customHeight="1" x14ac:dyDescent="0.25">
      <c r="A1178" s="7" t="s">
        <v>146</v>
      </c>
      <c r="B1178" s="8">
        <v>1</v>
      </c>
      <c r="C1178" s="9">
        <v>810</v>
      </c>
      <c r="D1178" s="29">
        <f>C1178+IF(INDEX('Справочник по %'!B:B,(MATCH(A1178,'Справочник по %'!A:A,0)))="кол-во",B1178*INDEX('Справочник по %'!C:C,(MATCH(A1178,'Справочник по %'!A:A,0))),ОТЧЕТ!C1178*INDEX('Справочник по %'!C:C,(MATCH(A1178,'Справочник по %'!A:A,0))))/100</f>
        <v>931.5</v>
      </c>
      <c r="E1178" s="29">
        <f>IF(ОТЧЕТ!A1178="SKU3",C1178+ОТЧЕТ!C1178*0.2,C1178+ОТЧЕТ!C1178*0.15)</f>
        <v>972</v>
      </c>
      <c r="F1178" s="7" t="s">
        <v>2645</v>
      </c>
      <c r="G1178" s="7">
        <v>7714844316</v>
      </c>
      <c r="H1178" s="20" t="s">
        <v>50</v>
      </c>
      <c r="I1178" s="22" t="str">
        <f>INDEX('Справочник Сети'!B:B,(MATCH(G1178,'Справочник Сети'!C:C,0)))</f>
        <v>Планета здоровья</v>
      </c>
      <c r="J1178" s="7" t="s">
        <v>504</v>
      </c>
      <c r="K1178" s="7" t="s">
        <v>839</v>
      </c>
      <c r="L1178" s="7" t="s">
        <v>504</v>
      </c>
      <c r="M1178" s="31">
        <v>45690</v>
      </c>
      <c r="N1178" s="7" t="s">
        <v>2649</v>
      </c>
      <c r="O1178" s="8">
        <v>868</v>
      </c>
      <c r="P1178" s="24">
        <v>5492</v>
      </c>
      <c r="Q1178" s="22">
        <f>IF(COUNTIFS(A$2:A1178,A1178,I$2:I1178,I1178)=1,1,0)</f>
        <v>0</v>
      </c>
      <c r="R1178" s="22">
        <f t="shared" si="18"/>
        <v>12</v>
      </c>
      <c r="S1178" s="33">
        <f>IF(COUNTIF(O$2:O1178,O1178)=1,R1178,0)/2.5</f>
        <v>0</v>
      </c>
    </row>
    <row r="1179" spans="1:19" ht="18" customHeight="1" x14ac:dyDescent="0.25">
      <c r="A1179" s="7" t="s">
        <v>43</v>
      </c>
      <c r="B1179" s="8">
        <v>1</v>
      </c>
      <c r="C1179" s="9">
        <v>397</v>
      </c>
      <c r="D1179" s="29">
        <f>C1179+IF(INDEX('Справочник по %'!B:B,(MATCH(A1179,'Справочник по %'!A:A,0)))="кол-во",B1179*INDEX('Справочник по %'!C:C,(MATCH(A1179,'Справочник по %'!A:A,0))),ОТЧЕТ!C1179*INDEX('Справочник по %'!C:C,(MATCH(A1179,'Справочник по %'!A:A,0))))/100</f>
        <v>436.7</v>
      </c>
      <c r="E1179" s="29">
        <f>IF(ОТЧЕТ!A1179="SKU3",C1179+ОТЧЕТ!C1179*0.2,C1179+ОТЧЕТ!C1179*0.15)</f>
        <v>456.55</v>
      </c>
      <c r="F1179" s="7" t="s">
        <v>2650</v>
      </c>
      <c r="G1179" s="7">
        <v>7728339546</v>
      </c>
      <c r="H1179" s="20" t="s">
        <v>1792</v>
      </c>
      <c r="I1179" s="22" t="str">
        <f>INDEX('Справочник Сети'!B:B,(MATCH(G1179,'Справочник Сети'!C:C,0)))</f>
        <v>Планета здоровья</v>
      </c>
      <c r="J1179" s="7" t="s">
        <v>142</v>
      </c>
      <c r="K1179" s="7" t="s">
        <v>2651</v>
      </c>
      <c r="L1179" s="7" t="s">
        <v>142</v>
      </c>
      <c r="M1179" s="31">
        <v>45674</v>
      </c>
      <c r="N1179" s="7" t="s">
        <v>2652</v>
      </c>
      <c r="O1179" s="8">
        <v>380</v>
      </c>
      <c r="P1179" s="24">
        <v>5496</v>
      </c>
      <c r="Q1179" s="22">
        <f>IF(COUNTIFS(A$2:A1179,A1179,I$2:I1179,I1179)=1,1,0)</f>
        <v>0</v>
      </c>
      <c r="R1179" s="22">
        <f t="shared" si="18"/>
        <v>4</v>
      </c>
      <c r="S1179" s="33">
        <f>IF(COUNTIF(O$2:O1179,O1179)=1,R1179,0)/2.5</f>
        <v>0</v>
      </c>
    </row>
    <row r="1180" spans="1:19" ht="18" customHeight="1" x14ac:dyDescent="0.25">
      <c r="A1180" s="7" t="s">
        <v>43</v>
      </c>
      <c r="B1180" s="8">
        <v>1</v>
      </c>
      <c r="C1180" s="9">
        <v>490.3</v>
      </c>
      <c r="D1180" s="29">
        <f>C1180+IF(INDEX('Справочник по %'!B:B,(MATCH(A1180,'Справочник по %'!A:A,0)))="кол-во",B1180*INDEX('Справочник по %'!C:C,(MATCH(A1180,'Справочник по %'!A:A,0))),ОТЧЕТ!C1180*INDEX('Справочник по %'!C:C,(MATCH(A1180,'Справочник по %'!A:A,0))))/100</f>
        <v>539.33000000000004</v>
      </c>
      <c r="E1180" s="29">
        <f>IF(ОТЧЕТ!A1180="SKU3",C1180+ОТЧЕТ!C1180*0.2,C1180+ОТЧЕТ!C1180*0.15)</f>
        <v>563.84500000000003</v>
      </c>
      <c r="F1180" s="7" t="s">
        <v>2653</v>
      </c>
      <c r="G1180" s="7">
        <v>6824002695</v>
      </c>
      <c r="H1180" s="20" t="s">
        <v>50</v>
      </c>
      <c r="I1180" s="22" t="str">
        <f>INDEX('Справочник Сети'!B:B,(MATCH(G1180,'Справочник Сети'!C:C,0)))</f>
        <v>Планета здоровья</v>
      </c>
      <c r="J1180" s="7" t="s">
        <v>106</v>
      </c>
      <c r="K1180" s="7" t="s">
        <v>414</v>
      </c>
      <c r="L1180" s="7" t="s">
        <v>106</v>
      </c>
      <c r="M1180" s="31">
        <v>45694</v>
      </c>
      <c r="N1180" s="7" t="s">
        <v>2654</v>
      </c>
      <c r="O1180" s="8">
        <v>2172</v>
      </c>
      <c r="P1180" s="24">
        <v>5499</v>
      </c>
      <c r="Q1180" s="22">
        <f>IF(COUNTIFS(A$2:A1180,A1180,I$2:I1180,I1180)=1,1,0)</f>
        <v>0</v>
      </c>
      <c r="R1180" s="22">
        <f t="shared" si="18"/>
        <v>2</v>
      </c>
      <c r="S1180" s="33">
        <f>IF(COUNTIF(O$2:O1180,O1180)=1,R1180,0)/2.5</f>
        <v>0.8</v>
      </c>
    </row>
    <row r="1181" spans="1:19" ht="18" customHeight="1" x14ac:dyDescent="0.25">
      <c r="A1181" s="7" t="s">
        <v>43</v>
      </c>
      <c r="B1181" s="8">
        <v>1</v>
      </c>
      <c r="C1181" s="9">
        <v>397</v>
      </c>
      <c r="D1181" s="29">
        <f>C1181+IF(INDEX('Справочник по %'!B:B,(MATCH(A1181,'Справочник по %'!A:A,0)))="кол-во",B1181*INDEX('Справочник по %'!C:C,(MATCH(A1181,'Справочник по %'!A:A,0))),ОТЧЕТ!C1181*INDEX('Справочник по %'!C:C,(MATCH(A1181,'Справочник по %'!A:A,0))))/100</f>
        <v>436.7</v>
      </c>
      <c r="E1181" s="29">
        <f>IF(ОТЧЕТ!A1181="SKU3",C1181+ОТЧЕТ!C1181*0.2,C1181+ОТЧЕТ!C1181*0.15)</f>
        <v>456.55</v>
      </c>
      <c r="F1181" s="7" t="s">
        <v>2655</v>
      </c>
      <c r="G1181" s="7">
        <v>7728339546</v>
      </c>
      <c r="H1181" s="20" t="s">
        <v>141</v>
      </c>
      <c r="I1181" s="22" t="str">
        <f>INDEX('Справочник Сети'!B:B,(MATCH(G1181,'Справочник Сети'!C:C,0)))</f>
        <v>Планета здоровья</v>
      </c>
      <c r="J1181" s="7" t="s">
        <v>142</v>
      </c>
      <c r="K1181" s="7" t="s">
        <v>1821</v>
      </c>
      <c r="L1181" s="7" t="s">
        <v>142</v>
      </c>
      <c r="M1181" s="31">
        <v>45674</v>
      </c>
      <c r="N1181" s="7" t="s">
        <v>2656</v>
      </c>
      <c r="O1181" s="8">
        <v>1353</v>
      </c>
      <c r="P1181" s="24">
        <v>5501</v>
      </c>
      <c r="Q1181" s="22">
        <f>IF(COUNTIFS(A$2:A1181,A1181,I$2:I1181,I1181)=1,1,0)</f>
        <v>0</v>
      </c>
      <c r="R1181" s="22">
        <f t="shared" si="18"/>
        <v>5</v>
      </c>
      <c r="S1181" s="33">
        <f>IF(COUNTIF(O$2:O1181,O1181)=1,R1181,0)/2.5</f>
        <v>0</v>
      </c>
    </row>
    <row r="1182" spans="1:19" ht="18" customHeight="1" x14ac:dyDescent="0.25">
      <c r="A1182" s="7" t="s">
        <v>43</v>
      </c>
      <c r="B1182" s="8">
        <v>1</v>
      </c>
      <c r="C1182" s="9">
        <v>455</v>
      </c>
      <c r="D1182" s="29">
        <f>C1182+IF(INDEX('Справочник по %'!B:B,(MATCH(A1182,'Справочник по %'!A:A,0)))="кол-во",B1182*INDEX('Справочник по %'!C:C,(MATCH(A1182,'Справочник по %'!A:A,0))),ОТЧЕТ!C1182*INDEX('Справочник по %'!C:C,(MATCH(A1182,'Справочник по %'!A:A,0))))/100</f>
        <v>500.5</v>
      </c>
      <c r="E1182" s="29">
        <f>IF(ОТЧЕТ!A1182="SKU3",C1182+ОТЧЕТ!C1182*0.2,C1182+ОТЧЕТ!C1182*0.15)</f>
        <v>523.25</v>
      </c>
      <c r="F1182" s="7" t="s">
        <v>2655</v>
      </c>
      <c r="G1182" s="7">
        <v>231700679497</v>
      </c>
      <c r="H1182" s="20" t="s">
        <v>91</v>
      </c>
      <c r="I1182" s="22">
        <f>INDEX('Справочник Сети'!B:B,(MATCH(G1182,'Справочник Сети'!C:C,0)))</f>
        <v>0</v>
      </c>
      <c r="J1182" s="7" t="s">
        <v>74</v>
      </c>
      <c r="K1182" s="7" t="s">
        <v>214</v>
      </c>
      <c r="L1182" s="7" t="s">
        <v>74</v>
      </c>
      <c r="M1182" s="31">
        <v>45661</v>
      </c>
      <c r="N1182" s="7" t="s">
        <v>2657</v>
      </c>
      <c r="O1182" s="8">
        <v>776</v>
      </c>
      <c r="P1182" s="24">
        <v>5502</v>
      </c>
      <c r="Q1182" s="22">
        <f>IF(COUNTIFS(A$2:A1182,A1182,I$2:I1182,I1182)=1,1,0)</f>
        <v>0</v>
      </c>
      <c r="R1182" s="22">
        <f t="shared" si="18"/>
        <v>1</v>
      </c>
      <c r="S1182" s="33">
        <f>IF(COUNTIF(O$2:O1182,O1182)=1,R1182,0)/2.5</f>
        <v>0.4</v>
      </c>
    </row>
    <row r="1183" spans="1:19" ht="18" customHeight="1" x14ac:dyDescent="0.25">
      <c r="A1183" s="7" t="s">
        <v>43</v>
      </c>
      <c r="B1183" s="8">
        <v>1</v>
      </c>
      <c r="C1183" s="9">
        <v>410</v>
      </c>
      <c r="D1183" s="29">
        <f>C1183+IF(INDEX('Справочник по %'!B:B,(MATCH(A1183,'Справочник по %'!A:A,0)))="кол-во",B1183*INDEX('Справочник по %'!C:C,(MATCH(A1183,'Справочник по %'!A:A,0))),ОТЧЕТ!C1183*INDEX('Справочник по %'!C:C,(MATCH(A1183,'Справочник по %'!A:A,0))))/100</f>
        <v>451</v>
      </c>
      <c r="E1183" s="29">
        <f>IF(ОТЧЕТ!A1183="SKU3",C1183+ОТЧЕТ!C1183*0.2,C1183+ОТЧЕТ!C1183*0.15)</f>
        <v>471.5</v>
      </c>
      <c r="F1183" s="7" t="s">
        <v>2655</v>
      </c>
      <c r="G1183" s="7">
        <v>7702514360</v>
      </c>
      <c r="H1183" s="20" t="s">
        <v>50</v>
      </c>
      <c r="I1183" s="22" t="str">
        <f>INDEX('Справочник Сети'!B:B,(MATCH(G1183,'Справочник Сети'!C:C,0)))</f>
        <v>Ригла</v>
      </c>
      <c r="J1183" s="7" t="s">
        <v>104</v>
      </c>
      <c r="K1183" s="7" t="s">
        <v>884</v>
      </c>
      <c r="L1183" s="7" t="s">
        <v>104</v>
      </c>
      <c r="M1183" s="31">
        <v>45693</v>
      </c>
      <c r="N1183" s="7" t="s">
        <v>2658</v>
      </c>
      <c r="O1183" s="8">
        <v>462</v>
      </c>
      <c r="P1183" s="24">
        <v>5503</v>
      </c>
      <c r="Q1183" s="22">
        <f>IF(COUNTIFS(A$2:A1183,A1183,I$2:I1183,I1183)=1,1,0)</f>
        <v>0</v>
      </c>
      <c r="R1183" s="22">
        <f t="shared" si="18"/>
        <v>4</v>
      </c>
      <c r="S1183" s="33">
        <f>IF(COUNTIF(O$2:O1183,O1183)=1,R1183,0)/2.5</f>
        <v>1.6</v>
      </c>
    </row>
    <row r="1184" spans="1:19" ht="18" customHeight="1" x14ac:dyDescent="0.25">
      <c r="A1184" s="7" t="s">
        <v>43</v>
      </c>
      <c r="B1184" s="8">
        <v>1</v>
      </c>
      <c r="C1184" s="9">
        <v>479</v>
      </c>
      <c r="D1184" s="29">
        <f>C1184+IF(INDEX('Справочник по %'!B:B,(MATCH(A1184,'Справочник по %'!A:A,0)))="кол-во",B1184*INDEX('Справочник по %'!C:C,(MATCH(A1184,'Справочник по %'!A:A,0))),ОТЧЕТ!C1184*INDEX('Справочник по %'!C:C,(MATCH(A1184,'Справочник по %'!A:A,0))))/100</f>
        <v>526.9</v>
      </c>
      <c r="E1184" s="29">
        <f>IF(ОТЧЕТ!A1184="SKU3",C1184+ОТЧЕТ!C1184*0.2,C1184+ОТЧЕТ!C1184*0.15)</f>
        <v>550.85</v>
      </c>
      <c r="F1184" s="7" t="s">
        <v>2655</v>
      </c>
      <c r="G1184" s="7">
        <v>5907998608</v>
      </c>
      <c r="H1184" s="20" t="s">
        <v>511</v>
      </c>
      <c r="I1184" s="22" t="str">
        <f>INDEX('Справочник Сети'!B:B,(MATCH(G1184,'Справочник Сети'!C:C,0)))</f>
        <v>Планета здоровья</v>
      </c>
      <c r="J1184" s="7" t="s">
        <v>512</v>
      </c>
      <c r="K1184" s="7" t="s">
        <v>2659</v>
      </c>
      <c r="L1184" s="7" t="s">
        <v>513</v>
      </c>
      <c r="M1184" s="31">
        <v>45701</v>
      </c>
      <c r="N1184" s="7" t="s">
        <v>2660</v>
      </c>
      <c r="O1184" s="8">
        <v>1253</v>
      </c>
      <c r="P1184" s="24">
        <v>5504</v>
      </c>
      <c r="Q1184" s="22">
        <f>IF(COUNTIFS(A$2:A1184,A1184,I$2:I1184,I1184)=1,1,0)</f>
        <v>0</v>
      </c>
      <c r="R1184" s="22">
        <f t="shared" si="18"/>
        <v>8</v>
      </c>
      <c r="S1184" s="33">
        <f>IF(COUNTIF(O$2:O1184,O1184)=1,R1184,0)/2.5</f>
        <v>0</v>
      </c>
    </row>
    <row r="1185" spans="1:19" ht="18" customHeight="1" x14ac:dyDescent="0.25">
      <c r="A1185" s="7" t="s">
        <v>43</v>
      </c>
      <c r="B1185" s="8">
        <v>1</v>
      </c>
      <c r="C1185" s="9">
        <v>387</v>
      </c>
      <c r="D1185" s="29">
        <f>C1185+IF(INDEX('Справочник по %'!B:B,(MATCH(A1185,'Справочник по %'!A:A,0)))="кол-во",B1185*INDEX('Справочник по %'!C:C,(MATCH(A1185,'Справочник по %'!A:A,0))),ОТЧЕТ!C1185*INDEX('Справочник по %'!C:C,(MATCH(A1185,'Справочник по %'!A:A,0))))/100</f>
        <v>425.7</v>
      </c>
      <c r="E1185" s="29">
        <f>IF(ОТЧЕТ!A1185="SKU3",C1185+ОТЧЕТ!C1185*0.2,C1185+ОТЧЕТ!C1185*0.15)</f>
        <v>445.05</v>
      </c>
      <c r="F1185" s="7" t="s">
        <v>2661</v>
      </c>
      <c r="G1185" s="7">
        <v>7732121736</v>
      </c>
      <c r="H1185" s="20" t="s">
        <v>2662</v>
      </c>
      <c r="I1185" s="22" t="str">
        <f>INDEX('Справочник Сети'!B:B,(MATCH(G1185,'Справочник Сети'!C:C,0)))</f>
        <v>Планета здоровья</v>
      </c>
      <c r="J1185" s="7" t="s">
        <v>149</v>
      </c>
      <c r="K1185" s="7" t="s">
        <v>2663</v>
      </c>
      <c r="L1185" s="7" t="s">
        <v>149</v>
      </c>
      <c r="M1185" s="31">
        <v>45673</v>
      </c>
      <c r="N1185" s="7" t="s">
        <v>2664</v>
      </c>
      <c r="O1185" s="8">
        <v>1571</v>
      </c>
      <c r="P1185" s="24">
        <v>5507</v>
      </c>
      <c r="Q1185" s="22">
        <f>IF(COUNTIFS(A$2:A1185,A1185,I$2:I1185,I1185)=1,1,0)</f>
        <v>0</v>
      </c>
      <c r="R1185" s="22">
        <f t="shared" si="18"/>
        <v>1</v>
      </c>
      <c r="S1185" s="33">
        <f>IF(COUNTIF(O$2:O1185,O1185)=1,R1185,0)/2.5</f>
        <v>0.4</v>
      </c>
    </row>
    <row r="1186" spans="1:19" ht="18" customHeight="1" x14ac:dyDescent="0.25">
      <c r="A1186" s="7" t="s">
        <v>43</v>
      </c>
      <c r="B1186" s="8">
        <v>1</v>
      </c>
      <c r="C1186" s="9">
        <v>462</v>
      </c>
      <c r="D1186" s="29">
        <f>C1186+IF(INDEX('Справочник по %'!B:B,(MATCH(A1186,'Справочник по %'!A:A,0)))="кол-во",B1186*INDEX('Справочник по %'!C:C,(MATCH(A1186,'Справочник по %'!A:A,0))),ОТЧЕТ!C1186*INDEX('Справочник по %'!C:C,(MATCH(A1186,'Справочник по %'!A:A,0))))/100</f>
        <v>508.2</v>
      </c>
      <c r="E1186" s="29">
        <f>IF(ОТЧЕТ!A1186="SKU3",C1186+ОТЧЕТ!C1186*0.2,C1186+ОТЧЕТ!C1186*0.15)</f>
        <v>531.29999999999995</v>
      </c>
      <c r="F1186" s="7" t="s">
        <v>2661</v>
      </c>
      <c r="G1186" s="7">
        <v>7726423062</v>
      </c>
      <c r="H1186" s="20" t="s">
        <v>50</v>
      </c>
      <c r="I1186" s="22" t="str">
        <f>INDEX('Справочник Сети'!B:B,(MATCH(G1186,'Справочник Сети'!C:C,0)))</f>
        <v>Ригла</v>
      </c>
      <c r="J1186" s="7" t="s">
        <v>185</v>
      </c>
      <c r="K1186" s="7" t="s">
        <v>2665</v>
      </c>
      <c r="L1186" s="7" t="s">
        <v>185</v>
      </c>
      <c r="M1186" s="31">
        <v>45675</v>
      </c>
      <c r="N1186" s="7" t="s">
        <v>2666</v>
      </c>
      <c r="O1186" s="8">
        <v>2113</v>
      </c>
      <c r="P1186" s="24">
        <v>5510</v>
      </c>
      <c r="Q1186" s="22">
        <f>IF(COUNTIFS(A$2:A1186,A1186,I$2:I1186,I1186)=1,1,0)</f>
        <v>0</v>
      </c>
      <c r="R1186" s="22">
        <f t="shared" si="18"/>
        <v>3</v>
      </c>
      <c r="S1186" s="33">
        <f>IF(COUNTIF(O$2:O1186,O1186)=1,R1186,0)/2.5</f>
        <v>1.2</v>
      </c>
    </row>
    <row r="1187" spans="1:19" ht="18" customHeight="1" x14ac:dyDescent="0.25">
      <c r="A1187" s="7" t="s">
        <v>146</v>
      </c>
      <c r="B1187" s="8">
        <v>1</v>
      </c>
      <c r="C1187" s="9">
        <v>810</v>
      </c>
      <c r="D1187" s="29">
        <f>C1187+IF(INDEX('Справочник по %'!B:B,(MATCH(A1187,'Справочник по %'!A:A,0)))="кол-во",B1187*INDEX('Справочник по %'!C:C,(MATCH(A1187,'Справочник по %'!A:A,0))),ОТЧЕТ!C1187*INDEX('Справочник по %'!C:C,(MATCH(A1187,'Справочник по %'!A:A,0))))/100</f>
        <v>931.5</v>
      </c>
      <c r="E1187" s="29">
        <f>IF(ОТЧЕТ!A1187="SKU3",C1187+ОТЧЕТ!C1187*0.2,C1187+ОТЧЕТ!C1187*0.15)</f>
        <v>972</v>
      </c>
      <c r="F1187" s="7" t="s">
        <v>2661</v>
      </c>
      <c r="G1187" s="7">
        <v>7714844316</v>
      </c>
      <c r="H1187" s="20" t="s">
        <v>50</v>
      </c>
      <c r="I1187" s="22" t="str">
        <f>INDEX('Справочник Сети'!B:B,(MATCH(G1187,'Справочник Сети'!C:C,0)))</f>
        <v>Планета здоровья</v>
      </c>
      <c r="J1187" s="7" t="s">
        <v>504</v>
      </c>
      <c r="K1187" s="7" t="s">
        <v>1905</v>
      </c>
      <c r="L1187" s="7" t="s">
        <v>504</v>
      </c>
      <c r="M1187" s="31">
        <v>45690</v>
      </c>
      <c r="N1187" s="7" t="s">
        <v>2667</v>
      </c>
      <c r="O1187" s="8">
        <v>868</v>
      </c>
      <c r="P1187" s="24">
        <v>5511</v>
      </c>
      <c r="Q1187" s="22">
        <f>IF(COUNTIFS(A$2:A1187,A1187,I$2:I1187,I1187)=1,1,0)</f>
        <v>0</v>
      </c>
      <c r="R1187" s="22">
        <f t="shared" si="18"/>
        <v>12</v>
      </c>
      <c r="S1187" s="33">
        <f>IF(COUNTIF(O$2:O1187,O1187)=1,R1187,0)/2.5</f>
        <v>0</v>
      </c>
    </row>
    <row r="1188" spans="1:19" ht="18" customHeight="1" x14ac:dyDescent="0.25">
      <c r="A1188" s="7" t="s">
        <v>37</v>
      </c>
      <c r="B1188" s="8">
        <v>1</v>
      </c>
      <c r="C1188" s="9">
        <v>507</v>
      </c>
      <c r="D1188" s="29">
        <f>C1188+IF(INDEX('Справочник по %'!B:B,(MATCH(A1188,'Справочник по %'!A:A,0)))="кол-во",B1188*INDEX('Справочник по %'!C:C,(MATCH(A1188,'Справочник по %'!A:A,0))),ОТЧЕТ!C1188*INDEX('Справочник по %'!C:C,(MATCH(A1188,'Справочник по %'!A:A,0))))/100</f>
        <v>507.2</v>
      </c>
      <c r="E1188" s="29">
        <f>IF(ОТЧЕТ!A1188="SKU3",C1188+ОТЧЕТ!C1188*0.2,C1188+ОТЧЕТ!C1188*0.15)</f>
        <v>583.04999999999995</v>
      </c>
      <c r="F1188" s="7" t="s">
        <v>2661</v>
      </c>
      <c r="G1188" s="7">
        <v>2310200444</v>
      </c>
      <c r="H1188" s="20" t="s">
        <v>69</v>
      </c>
      <c r="I1188" s="22" t="str">
        <f>INDEX('Справочник Сети'!B:B,(MATCH(G1188,'Справочник Сети'!C:C,0)))</f>
        <v>Планета здоровья</v>
      </c>
      <c r="J1188" s="7" t="s">
        <v>70</v>
      </c>
      <c r="K1188" s="7" t="s">
        <v>77</v>
      </c>
      <c r="L1188" s="7" t="s">
        <v>57</v>
      </c>
      <c r="M1188" s="31">
        <v>45729</v>
      </c>
      <c r="N1188" s="7" t="s">
        <v>2668</v>
      </c>
      <c r="O1188" s="8">
        <v>1176</v>
      </c>
      <c r="P1188" s="24">
        <v>5513</v>
      </c>
      <c r="Q1188" s="22">
        <f>IF(COUNTIFS(A$2:A1188,A1188,I$2:I1188,I1188)=1,1,0)</f>
        <v>0</v>
      </c>
      <c r="R1188" s="22">
        <f t="shared" si="18"/>
        <v>2</v>
      </c>
      <c r="S1188" s="33">
        <f>IF(COUNTIF(O$2:O1188,O1188)=1,R1188,0)/2.5</f>
        <v>0.8</v>
      </c>
    </row>
    <row r="1189" spans="1:19" ht="18" customHeight="1" x14ac:dyDescent="0.25">
      <c r="A1189" s="7" t="s">
        <v>43</v>
      </c>
      <c r="B1189" s="8">
        <v>1</v>
      </c>
      <c r="C1189" s="9">
        <v>489</v>
      </c>
      <c r="D1189" s="29">
        <f>C1189+IF(INDEX('Справочник по %'!B:B,(MATCH(A1189,'Справочник по %'!A:A,0)))="кол-во",B1189*INDEX('Справочник по %'!C:C,(MATCH(A1189,'Справочник по %'!A:A,0))),ОТЧЕТ!C1189*INDEX('Справочник по %'!C:C,(MATCH(A1189,'Справочник по %'!A:A,0))))/100</f>
        <v>537.9</v>
      </c>
      <c r="E1189" s="29">
        <f>IF(ОТЧЕТ!A1189="SKU3",C1189+ОТЧЕТ!C1189*0.2,C1189+ОТЧЕТ!C1189*0.15)</f>
        <v>562.35</v>
      </c>
      <c r="F1189" s="7" t="s">
        <v>2669</v>
      </c>
      <c r="G1189" s="7">
        <v>2538047433</v>
      </c>
      <c r="H1189" s="20" t="s">
        <v>2171</v>
      </c>
      <c r="I1189" s="22">
        <f>INDEX('Справочник Сети'!B:B,(MATCH(G1189,'Справочник Сети'!C:C,0)))</f>
        <v>0</v>
      </c>
      <c r="J1189" s="7" t="s">
        <v>46</v>
      </c>
      <c r="K1189" s="7" t="s">
        <v>2181</v>
      </c>
      <c r="L1189" s="7" t="s">
        <v>96</v>
      </c>
      <c r="M1189" s="31">
        <v>45727</v>
      </c>
      <c r="N1189" s="7" t="s">
        <v>2670</v>
      </c>
      <c r="O1189" s="8">
        <v>907</v>
      </c>
      <c r="P1189" s="24">
        <v>5518</v>
      </c>
      <c r="Q1189" s="22">
        <f>IF(COUNTIFS(A$2:A1189,A1189,I$2:I1189,I1189)=1,1,0)</f>
        <v>0</v>
      </c>
      <c r="R1189" s="22">
        <f t="shared" si="18"/>
        <v>3</v>
      </c>
      <c r="S1189" s="33">
        <f>IF(COUNTIF(O$2:O1189,O1189)=1,R1189,0)/2.5</f>
        <v>0</v>
      </c>
    </row>
    <row r="1190" spans="1:19" ht="18" customHeight="1" x14ac:dyDescent="0.25">
      <c r="A1190" s="7" t="s">
        <v>43</v>
      </c>
      <c r="B1190" s="8">
        <v>1</v>
      </c>
      <c r="C1190" s="9">
        <v>451</v>
      </c>
      <c r="D1190" s="29">
        <f>C1190+IF(INDEX('Справочник по %'!B:B,(MATCH(A1190,'Справочник по %'!A:A,0)))="кол-во",B1190*INDEX('Справочник по %'!C:C,(MATCH(A1190,'Справочник по %'!A:A,0))),ОТЧЕТ!C1190*INDEX('Справочник по %'!C:C,(MATCH(A1190,'Справочник по %'!A:A,0))))/100</f>
        <v>496.1</v>
      </c>
      <c r="E1190" s="29">
        <f>IF(ОТЧЕТ!A1190="SKU3",C1190+ОТЧЕТ!C1190*0.2,C1190+ОТЧЕТ!C1190*0.15)</f>
        <v>518.65</v>
      </c>
      <c r="F1190" s="7" t="s">
        <v>2671</v>
      </c>
      <c r="G1190" s="7">
        <v>326537584</v>
      </c>
      <c r="H1190" s="20" t="s">
        <v>50</v>
      </c>
      <c r="I1190" s="22" t="str">
        <f>INDEX('Справочник Сети'!B:B,(MATCH(G1190,'Справочник Сети'!C:C,0)))</f>
        <v>Планета здоровья</v>
      </c>
      <c r="J1190" s="7" t="s">
        <v>362</v>
      </c>
      <c r="K1190" s="7" t="s">
        <v>1459</v>
      </c>
      <c r="L1190" s="7" t="s">
        <v>362</v>
      </c>
      <c r="M1190" s="31">
        <v>45732</v>
      </c>
      <c r="N1190" s="7" t="s">
        <v>2672</v>
      </c>
      <c r="O1190" s="8">
        <v>1702</v>
      </c>
      <c r="P1190" s="24">
        <v>5524</v>
      </c>
      <c r="Q1190" s="22">
        <f>IF(COUNTIFS(A$2:A1190,A1190,I$2:I1190,I1190)=1,1,0)</f>
        <v>0</v>
      </c>
      <c r="R1190" s="22">
        <f t="shared" si="18"/>
        <v>9</v>
      </c>
      <c r="S1190" s="33">
        <f>IF(COUNTIF(O$2:O1190,O1190)=1,R1190,0)/2.5</f>
        <v>0</v>
      </c>
    </row>
    <row r="1191" spans="1:19" ht="18" customHeight="1" x14ac:dyDescent="0.25">
      <c r="A1191" s="7" t="s">
        <v>43</v>
      </c>
      <c r="B1191" s="8">
        <v>1</v>
      </c>
      <c r="C1191" s="9">
        <v>395</v>
      </c>
      <c r="D1191" s="29">
        <f>C1191+IF(INDEX('Справочник по %'!B:B,(MATCH(A1191,'Справочник по %'!A:A,0)))="кол-во",B1191*INDEX('Справочник по %'!C:C,(MATCH(A1191,'Справочник по %'!A:A,0))),ОТЧЕТ!C1191*INDEX('Справочник по %'!C:C,(MATCH(A1191,'Справочник по %'!A:A,0))))/100</f>
        <v>434.5</v>
      </c>
      <c r="E1191" s="29">
        <f>IF(ОТЧЕТ!A1191="SKU3",C1191+ОТЧЕТ!C1191*0.2,C1191+ОТЧЕТ!C1191*0.15)</f>
        <v>454.25</v>
      </c>
      <c r="F1191" s="7" t="s">
        <v>2673</v>
      </c>
      <c r="G1191" s="7">
        <v>2466189073</v>
      </c>
      <c r="H1191" s="20" t="s">
        <v>2674</v>
      </c>
      <c r="I1191" s="22" t="str">
        <f>INDEX('Справочник Сети'!B:B,(MATCH(G1191,'Справочник Сети'!C:C,0)))</f>
        <v>Нео-фарм</v>
      </c>
      <c r="J1191" s="7" t="s">
        <v>96</v>
      </c>
      <c r="K1191" s="7" t="s">
        <v>2675</v>
      </c>
      <c r="L1191" s="7" t="s">
        <v>96</v>
      </c>
      <c r="M1191" s="31">
        <v>45727</v>
      </c>
      <c r="N1191" s="7" t="s">
        <v>2676</v>
      </c>
      <c r="O1191" s="8">
        <v>2383</v>
      </c>
      <c r="P1191" s="24">
        <v>5529</v>
      </c>
      <c r="Q1191" s="22">
        <f>IF(COUNTIFS(A$2:A1191,A1191,I$2:I1191,I1191)=1,1,0)</f>
        <v>0</v>
      </c>
      <c r="R1191" s="22">
        <f t="shared" si="18"/>
        <v>1</v>
      </c>
      <c r="S1191" s="33">
        <f>IF(COUNTIF(O$2:O1191,O1191)=1,R1191,0)/2.5</f>
        <v>0.4</v>
      </c>
    </row>
    <row r="1192" spans="1:19" ht="18" customHeight="1" x14ac:dyDescent="0.25">
      <c r="A1192" s="7" t="s">
        <v>43</v>
      </c>
      <c r="B1192" s="8">
        <v>1</v>
      </c>
      <c r="C1192" s="9">
        <v>384</v>
      </c>
      <c r="D1192" s="29">
        <f>C1192+IF(INDEX('Справочник по %'!B:B,(MATCH(A1192,'Справочник по %'!A:A,0)))="кол-во",B1192*INDEX('Справочник по %'!C:C,(MATCH(A1192,'Справочник по %'!A:A,0))),ОТЧЕТ!C1192*INDEX('Справочник по %'!C:C,(MATCH(A1192,'Справочник по %'!A:A,0))))/100</f>
        <v>422.4</v>
      </c>
      <c r="E1192" s="29">
        <f>IF(ОТЧЕТ!A1192="SKU3",C1192+ОТЧЕТ!C1192*0.2,C1192+ОТЧЕТ!C1192*0.15)</f>
        <v>441.6</v>
      </c>
      <c r="F1192" s="7" t="s">
        <v>2677</v>
      </c>
      <c r="G1192" s="7">
        <v>2221019606</v>
      </c>
      <c r="H1192" s="20" t="s">
        <v>2678</v>
      </c>
      <c r="I1192" s="22">
        <f>INDEX('Справочник Сети'!B:B,(MATCH(G1192,'Справочник Сети'!C:C,0)))</f>
        <v>0</v>
      </c>
      <c r="J1192" s="7" t="s">
        <v>372</v>
      </c>
      <c r="K1192" s="7" t="s">
        <v>2679</v>
      </c>
      <c r="L1192" s="7" t="s">
        <v>372</v>
      </c>
      <c r="M1192" s="31">
        <v>45730</v>
      </c>
      <c r="N1192" s="7" t="s">
        <v>2680</v>
      </c>
      <c r="O1192" s="8">
        <v>3451</v>
      </c>
      <c r="P1192" s="24">
        <v>5533</v>
      </c>
      <c r="Q1192" s="22">
        <f>IF(COUNTIFS(A$2:A1192,A1192,I$2:I1192,I1192)=1,1,0)</f>
        <v>0</v>
      </c>
      <c r="R1192" s="22">
        <f t="shared" si="18"/>
        <v>3</v>
      </c>
      <c r="S1192" s="33">
        <f>IF(COUNTIF(O$2:O1192,O1192)=1,R1192,0)/2.5</f>
        <v>1.2</v>
      </c>
    </row>
    <row r="1193" spans="1:19" ht="18" customHeight="1" x14ac:dyDescent="0.25">
      <c r="A1193" s="7" t="s">
        <v>146</v>
      </c>
      <c r="B1193" s="8">
        <v>1</v>
      </c>
      <c r="C1193" s="9">
        <v>810</v>
      </c>
      <c r="D1193" s="29">
        <f>C1193+IF(INDEX('Справочник по %'!B:B,(MATCH(A1193,'Справочник по %'!A:A,0)))="кол-во",B1193*INDEX('Справочник по %'!C:C,(MATCH(A1193,'Справочник по %'!A:A,0))),ОТЧЕТ!C1193*INDEX('Справочник по %'!C:C,(MATCH(A1193,'Справочник по %'!A:A,0))))/100</f>
        <v>931.5</v>
      </c>
      <c r="E1193" s="29">
        <f>IF(ОТЧЕТ!A1193="SKU3",C1193+ОТЧЕТ!C1193*0.2,C1193+ОТЧЕТ!C1193*0.15)</f>
        <v>972</v>
      </c>
      <c r="F1193" s="7" t="s">
        <v>2681</v>
      </c>
      <c r="G1193" s="7">
        <v>7714844316</v>
      </c>
      <c r="H1193" s="20" t="s">
        <v>50</v>
      </c>
      <c r="I1193" s="22" t="str">
        <f>INDEX('Справочник Сети'!B:B,(MATCH(G1193,'Справочник Сети'!C:C,0)))</f>
        <v>Планета здоровья</v>
      </c>
      <c r="J1193" s="7" t="s">
        <v>504</v>
      </c>
      <c r="K1193" s="7" t="s">
        <v>2682</v>
      </c>
      <c r="L1193" s="7" t="s">
        <v>504</v>
      </c>
      <c r="M1193" s="31">
        <v>45690</v>
      </c>
      <c r="N1193" s="7" t="s">
        <v>2683</v>
      </c>
      <c r="O1193" s="8">
        <v>868</v>
      </c>
      <c r="P1193" s="24">
        <v>5534</v>
      </c>
      <c r="Q1193" s="22">
        <f>IF(COUNTIFS(A$2:A1193,A1193,I$2:I1193,I1193)=1,1,0)</f>
        <v>0</v>
      </c>
      <c r="R1193" s="22">
        <f t="shared" si="18"/>
        <v>12</v>
      </c>
      <c r="S1193" s="33">
        <f>IF(COUNTIF(O$2:O1193,O1193)=1,R1193,0)/2.5</f>
        <v>0</v>
      </c>
    </row>
    <row r="1194" spans="1:19" ht="18" customHeight="1" x14ac:dyDescent="0.25">
      <c r="A1194" s="7" t="s">
        <v>37</v>
      </c>
      <c r="B1194" s="8">
        <v>1</v>
      </c>
      <c r="C1194" s="9">
        <v>600</v>
      </c>
      <c r="D1194" s="29">
        <f>C1194+IF(INDEX('Справочник по %'!B:B,(MATCH(A1194,'Справочник по %'!A:A,0)))="кол-во",B1194*INDEX('Справочник по %'!C:C,(MATCH(A1194,'Справочник по %'!A:A,0))),ОТЧЕТ!C1194*INDEX('Справочник по %'!C:C,(MATCH(A1194,'Справочник по %'!A:A,0))))/100</f>
        <v>600.20000000000005</v>
      </c>
      <c r="E1194" s="29">
        <f>IF(ОТЧЕТ!A1194="SKU3",C1194+ОТЧЕТ!C1194*0.2,C1194+ОТЧЕТ!C1194*0.15)</f>
        <v>690</v>
      </c>
      <c r="F1194" s="7" t="s">
        <v>2684</v>
      </c>
      <c r="G1194" s="7">
        <v>5504206024</v>
      </c>
      <c r="H1194" s="20" t="s">
        <v>50</v>
      </c>
      <c r="I1194" s="22">
        <f>INDEX('Справочник Сети'!B:B,(MATCH(G1194,'Справочник Сети'!C:C,0)))</f>
        <v>0</v>
      </c>
      <c r="J1194" s="7" t="s">
        <v>255</v>
      </c>
      <c r="K1194" s="7" t="s">
        <v>2685</v>
      </c>
      <c r="L1194" s="7" t="s">
        <v>255</v>
      </c>
      <c r="M1194" s="31">
        <v>45713</v>
      </c>
      <c r="N1194" s="7" t="s">
        <v>2686</v>
      </c>
      <c r="O1194" s="8">
        <v>1335</v>
      </c>
      <c r="P1194" s="24">
        <v>5538</v>
      </c>
      <c r="Q1194" s="22">
        <f>IF(COUNTIFS(A$2:A1194,A1194,I$2:I1194,I1194)=1,1,0)</f>
        <v>0</v>
      </c>
      <c r="R1194" s="22">
        <f t="shared" si="18"/>
        <v>1</v>
      </c>
      <c r="S1194" s="33">
        <f>IF(COUNTIF(O$2:O1194,O1194)=1,R1194,0)/2.5</f>
        <v>0.4</v>
      </c>
    </row>
    <row r="1195" spans="1:19" ht="18" customHeight="1" x14ac:dyDescent="0.25">
      <c r="A1195" s="7" t="s">
        <v>43</v>
      </c>
      <c r="B1195" s="8">
        <v>1</v>
      </c>
      <c r="C1195" s="9">
        <v>495</v>
      </c>
      <c r="D1195" s="29">
        <f>C1195+IF(INDEX('Справочник по %'!B:B,(MATCH(A1195,'Справочник по %'!A:A,0)))="кол-во",B1195*INDEX('Справочник по %'!C:C,(MATCH(A1195,'Справочник по %'!A:A,0))),ОТЧЕТ!C1195*INDEX('Справочник по %'!C:C,(MATCH(A1195,'Справочник по %'!A:A,0))))/100</f>
        <v>544.5</v>
      </c>
      <c r="E1195" s="29">
        <f>IF(ОТЧЕТ!A1195="SKU3",C1195+ОТЧЕТ!C1195*0.2,C1195+ОТЧЕТ!C1195*0.15)</f>
        <v>569.25</v>
      </c>
      <c r="F1195" s="7" t="s">
        <v>2687</v>
      </c>
      <c r="G1195" s="7">
        <v>143511131416</v>
      </c>
      <c r="H1195" s="20" t="s">
        <v>2688</v>
      </c>
      <c r="I1195" s="22">
        <f>INDEX('Справочник Сети'!B:B,(MATCH(G1195,'Справочник Сети'!C:C,0)))</f>
        <v>0</v>
      </c>
      <c r="J1195" s="7" t="s">
        <v>74</v>
      </c>
      <c r="K1195" s="7" t="s">
        <v>2689</v>
      </c>
      <c r="L1195" s="7" t="s">
        <v>74</v>
      </c>
      <c r="M1195" s="31">
        <v>45661</v>
      </c>
      <c r="N1195" s="7" t="s">
        <v>2690</v>
      </c>
      <c r="O1195" s="8">
        <v>1838</v>
      </c>
      <c r="P1195" s="24">
        <v>5542</v>
      </c>
      <c r="Q1195" s="22">
        <f>IF(COUNTIFS(A$2:A1195,A1195,I$2:I1195,I1195)=1,1,0)</f>
        <v>0</v>
      </c>
      <c r="R1195" s="22">
        <f t="shared" si="18"/>
        <v>1</v>
      </c>
      <c r="S1195" s="33">
        <f>IF(COUNTIF(O$2:O1195,O1195)=1,R1195,0)/2.5</f>
        <v>0.4</v>
      </c>
    </row>
    <row r="1196" spans="1:19" ht="18" customHeight="1" x14ac:dyDescent="0.25">
      <c r="A1196" s="7" t="s">
        <v>43</v>
      </c>
      <c r="B1196" s="8">
        <v>1</v>
      </c>
      <c r="C1196" s="9">
        <v>400.87</v>
      </c>
      <c r="D1196" s="29">
        <f>C1196+IF(INDEX('Справочник по %'!B:B,(MATCH(A1196,'Справочник по %'!A:A,0)))="кол-во",B1196*INDEX('Справочник по %'!C:C,(MATCH(A1196,'Справочник по %'!A:A,0))),ОТЧЕТ!C1196*INDEX('Справочник по %'!C:C,(MATCH(A1196,'Справочник по %'!A:A,0))))/100</f>
        <v>440.95699999999999</v>
      </c>
      <c r="E1196" s="29">
        <f>IF(ОТЧЕТ!A1196="SKU3",C1196+ОТЧЕТ!C1196*0.2,C1196+ОТЧЕТ!C1196*0.15)</f>
        <v>461.00049999999999</v>
      </c>
      <c r="F1196" s="7" t="s">
        <v>2691</v>
      </c>
      <c r="G1196" s="7">
        <v>5507102175</v>
      </c>
      <c r="H1196" s="20" t="s">
        <v>50</v>
      </c>
      <c r="I1196" s="22" t="str">
        <f>INDEX('Справочник Сети'!B:B,(MATCH(G1196,'Справочник Сети'!C:C,0)))</f>
        <v>Столички</v>
      </c>
      <c r="J1196" s="7" t="s">
        <v>255</v>
      </c>
      <c r="K1196" s="7" t="s">
        <v>2692</v>
      </c>
      <c r="L1196" s="7" t="s">
        <v>255</v>
      </c>
      <c r="M1196" s="31">
        <v>45713</v>
      </c>
      <c r="N1196" s="7" t="s">
        <v>2693</v>
      </c>
      <c r="O1196" s="8">
        <v>1721</v>
      </c>
      <c r="P1196" s="24">
        <v>5544</v>
      </c>
      <c r="Q1196" s="22">
        <f>IF(COUNTIFS(A$2:A1196,A1196,I$2:I1196,I1196)=1,1,0)</f>
        <v>0</v>
      </c>
      <c r="R1196" s="22">
        <f t="shared" si="18"/>
        <v>2</v>
      </c>
      <c r="S1196" s="33">
        <f>IF(COUNTIF(O$2:O1196,O1196)=1,R1196,0)/2.5</f>
        <v>0.8</v>
      </c>
    </row>
    <row r="1197" spans="1:19" ht="18" customHeight="1" x14ac:dyDescent="0.25">
      <c r="A1197" s="7" t="s">
        <v>43</v>
      </c>
      <c r="B1197" s="8">
        <v>1</v>
      </c>
      <c r="C1197" s="9">
        <v>451</v>
      </c>
      <c r="D1197" s="29">
        <f>C1197+IF(INDEX('Справочник по %'!B:B,(MATCH(A1197,'Справочник по %'!A:A,0)))="кол-во",B1197*INDEX('Справочник по %'!C:C,(MATCH(A1197,'Справочник по %'!A:A,0))),ОТЧЕТ!C1197*INDEX('Справочник по %'!C:C,(MATCH(A1197,'Справочник по %'!A:A,0))))/100</f>
        <v>496.1</v>
      </c>
      <c r="E1197" s="29">
        <f>IF(ОТЧЕТ!A1197="SKU3",C1197+ОТЧЕТ!C1197*0.2,C1197+ОТЧЕТ!C1197*0.15)</f>
        <v>518.65</v>
      </c>
      <c r="F1197" s="7" t="s">
        <v>2694</v>
      </c>
      <c r="G1197" s="7">
        <v>326537584</v>
      </c>
      <c r="H1197" s="20" t="s">
        <v>459</v>
      </c>
      <c r="I1197" s="22" t="str">
        <f>INDEX('Справочник Сети'!B:B,(MATCH(G1197,'Справочник Сети'!C:C,0)))</f>
        <v>Планета здоровья</v>
      </c>
      <c r="J1197" s="7" t="s">
        <v>362</v>
      </c>
      <c r="K1197" s="7" t="s">
        <v>1209</v>
      </c>
      <c r="L1197" s="7" t="s">
        <v>362</v>
      </c>
      <c r="M1197" s="31">
        <v>45732</v>
      </c>
      <c r="N1197" s="7" t="s">
        <v>2695</v>
      </c>
      <c r="O1197" s="8">
        <v>714</v>
      </c>
      <c r="P1197" s="24">
        <v>5549</v>
      </c>
      <c r="Q1197" s="22">
        <f>IF(COUNTIFS(A$2:A1197,A1197,I$2:I1197,I1197)=1,1,0)</f>
        <v>0</v>
      </c>
      <c r="R1197" s="22">
        <f t="shared" si="18"/>
        <v>6</v>
      </c>
      <c r="S1197" s="33">
        <f>IF(COUNTIF(O$2:O1197,O1197)=1,R1197,0)/2.5</f>
        <v>0</v>
      </c>
    </row>
    <row r="1198" spans="1:19" ht="18" customHeight="1" x14ac:dyDescent="0.25">
      <c r="A1198" s="7" t="s">
        <v>43</v>
      </c>
      <c r="B1198" s="8">
        <v>1</v>
      </c>
      <c r="C1198" s="9">
        <v>466</v>
      </c>
      <c r="D1198" s="29">
        <f>C1198+IF(INDEX('Справочник по %'!B:B,(MATCH(A1198,'Справочник по %'!A:A,0)))="кол-во",B1198*INDEX('Справочник по %'!C:C,(MATCH(A1198,'Справочник по %'!A:A,0))),ОТЧЕТ!C1198*INDEX('Справочник по %'!C:C,(MATCH(A1198,'Справочник по %'!A:A,0))))/100</f>
        <v>512.6</v>
      </c>
      <c r="E1198" s="29">
        <f>IF(ОТЧЕТ!A1198="SKU3",C1198+ОТЧЕТ!C1198*0.2,C1198+ОТЧЕТ!C1198*0.15)</f>
        <v>535.9</v>
      </c>
      <c r="F1198" s="7" t="s">
        <v>2694</v>
      </c>
      <c r="G1198" s="7">
        <v>2543102471</v>
      </c>
      <c r="H1198" s="20" t="s">
        <v>2696</v>
      </c>
      <c r="I1198" s="22" t="str">
        <f>INDEX('Справочник Сети'!B:B,(MATCH(G1198,'Справочник Сети'!C:C,0)))</f>
        <v>Столички</v>
      </c>
      <c r="J1198" s="7" t="s">
        <v>46</v>
      </c>
      <c r="K1198" s="7" t="s">
        <v>481</v>
      </c>
      <c r="L1198" s="7" t="s">
        <v>46</v>
      </c>
      <c r="M1198" s="31">
        <v>45726</v>
      </c>
      <c r="N1198" s="7" t="s">
        <v>2697</v>
      </c>
      <c r="O1198" s="8">
        <v>710</v>
      </c>
      <c r="P1198" s="24">
        <v>5550</v>
      </c>
      <c r="Q1198" s="22">
        <f>IF(COUNTIFS(A$2:A1198,A1198,I$2:I1198,I1198)=1,1,0)</f>
        <v>0</v>
      </c>
      <c r="R1198" s="22">
        <f t="shared" si="18"/>
        <v>6</v>
      </c>
      <c r="S1198" s="33">
        <f>IF(COUNTIF(O$2:O1198,O1198)=1,R1198,0)/2.5</f>
        <v>0</v>
      </c>
    </row>
    <row r="1199" spans="1:19" ht="18" customHeight="1" x14ac:dyDescent="0.25">
      <c r="A1199" s="7" t="s">
        <v>37</v>
      </c>
      <c r="B1199" s="8">
        <v>1</v>
      </c>
      <c r="C1199" s="9">
        <v>658</v>
      </c>
      <c r="D1199" s="29">
        <f>C1199+IF(INDEX('Справочник по %'!B:B,(MATCH(A1199,'Справочник по %'!A:A,0)))="кол-во",B1199*INDEX('Справочник по %'!C:C,(MATCH(A1199,'Справочник по %'!A:A,0))),ОТЧЕТ!C1199*INDEX('Справочник по %'!C:C,(MATCH(A1199,'Справочник по %'!A:A,0))))/100</f>
        <v>658.2</v>
      </c>
      <c r="E1199" s="29">
        <f>IF(ОТЧЕТ!A1199="SKU3",C1199+ОТЧЕТ!C1199*0.2,C1199+ОТЧЕТ!C1199*0.15)</f>
        <v>756.7</v>
      </c>
      <c r="F1199" s="7" t="s">
        <v>2694</v>
      </c>
      <c r="G1199" s="7">
        <v>6673189417</v>
      </c>
      <c r="H1199" s="20" t="s">
        <v>2638</v>
      </c>
      <c r="I1199" s="22">
        <f>INDEX('Справочник Сети'!B:B,(MATCH(G1199,'Справочник Сети'!C:C,0)))</f>
        <v>0</v>
      </c>
      <c r="J1199" s="7" t="s">
        <v>133</v>
      </c>
      <c r="K1199" s="7" t="s">
        <v>2082</v>
      </c>
      <c r="L1199" s="7" t="s">
        <v>133</v>
      </c>
      <c r="M1199" s="31">
        <v>45695</v>
      </c>
      <c r="N1199" s="7" t="s">
        <v>2698</v>
      </c>
      <c r="O1199" s="8">
        <v>3347</v>
      </c>
      <c r="P1199" s="24">
        <v>5552</v>
      </c>
      <c r="Q1199" s="22">
        <f>IF(COUNTIFS(A$2:A1199,A1199,I$2:I1199,I1199)=1,1,0)</f>
        <v>0</v>
      </c>
      <c r="R1199" s="22">
        <f t="shared" si="18"/>
        <v>1</v>
      </c>
      <c r="S1199" s="33">
        <f>IF(COUNTIF(O$2:O1199,O1199)=1,R1199,0)/2.5</f>
        <v>0.4</v>
      </c>
    </row>
    <row r="1200" spans="1:19" ht="18" customHeight="1" x14ac:dyDescent="0.25">
      <c r="A1200" s="7" t="s">
        <v>43</v>
      </c>
      <c r="B1200" s="8">
        <v>1</v>
      </c>
      <c r="C1200" s="9">
        <v>455</v>
      </c>
      <c r="D1200" s="29">
        <f>C1200+IF(INDEX('Справочник по %'!B:B,(MATCH(A1200,'Справочник по %'!A:A,0)))="кол-во",B1200*INDEX('Справочник по %'!C:C,(MATCH(A1200,'Справочник по %'!A:A,0))),ОТЧЕТ!C1200*INDEX('Справочник по %'!C:C,(MATCH(A1200,'Справочник по %'!A:A,0))))/100</f>
        <v>500.5</v>
      </c>
      <c r="E1200" s="29">
        <f>IF(ОТЧЕТ!A1200="SKU3",C1200+ОТЧЕТ!C1200*0.2,C1200+ОТЧЕТ!C1200*0.15)</f>
        <v>523.25</v>
      </c>
      <c r="F1200" s="7" t="s">
        <v>2699</v>
      </c>
      <c r="G1200" s="7">
        <v>326537584</v>
      </c>
      <c r="H1200" s="20" t="s">
        <v>50</v>
      </c>
      <c r="I1200" s="22" t="str">
        <f>INDEX('Справочник Сети'!B:B,(MATCH(G1200,'Справочник Сети'!C:C,0)))</f>
        <v>Планета здоровья</v>
      </c>
      <c r="J1200" s="7" t="s">
        <v>362</v>
      </c>
      <c r="K1200" s="7" t="s">
        <v>2689</v>
      </c>
      <c r="L1200" s="7" t="s">
        <v>362</v>
      </c>
      <c r="M1200" s="31">
        <v>45732</v>
      </c>
      <c r="N1200" s="7" t="s">
        <v>2700</v>
      </c>
      <c r="O1200" s="8">
        <v>2809</v>
      </c>
      <c r="P1200" s="24">
        <v>5557</v>
      </c>
      <c r="Q1200" s="22">
        <f>IF(COUNTIFS(A$2:A1200,A1200,I$2:I1200,I1200)=1,1,0)</f>
        <v>0</v>
      </c>
      <c r="R1200" s="22">
        <f t="shared" si="18"/>
        <v>1</v>
      </c>
      <c r="S1200" s="33">
        <f>IF(COUNTIF(O$2:O1200,O1200)=1,R1200,0)/2.5</f>
        <v>0.4</v>
      </c>
    </row>
    <row r="1201" spans="1:19" ht="18" customHeight="1" x14ac:dyDescent="0.25">
      <c r="A1201" s="7" t="s">
        <v>43</v>
      </c>
      <c r="B1201" s="8">
        <v>1</v>
      </c>
      <c r="C1201" s="9">
        <v>441</v>
      </c>
      <c r="D1201" s="29">
        <f>C1201+IF(INDEX('Справочник по %'!B:B,(MATCH(A1201,'Справочник по %'!A:A,0)))="кол-во",B1201*INDEX('Справочник по %'!C:C,(MATCH(A1201,'Справочник по %'!A:A,0))),ОТЧЕТ!C1201*INDEX('Справочник по %'!C:C,(MATCH(A1201,'Справочник по %'!A:A,0))))/100</f>
        <v>485.1</v>
      </c>
      <c r="E1201" s="29">
        <f>IF(ОТЧЕТ!A1201="SKU3",C1201+ОТЧЕТ!C1201*0.2,C1201+ОТЧЕТ!C1201*0.15)</f>
        <v>507.15</v>
      </c>
      <c r="F1201" s="7" t="s">
        <v>2699</v>
      </c>
      <c r="G1201" s="7">
        <v>6163224960</v>
      </c>
      <c r="H1201" s="20" t="s">
        <v>2701</v>
      </c>
      <c r="I1201" s="22" t="str">
        <f>INDEX('Справочник Сети'!B:B,(MATCH(G1201,'Справочник Сети'!C:C,0)))</f>
        <v>Столички</v>
      </c>
      <c r="J1201" s="7" t="s">
        <v>520</v>
      </c>
      <c r="K1201" s="7" t="s">
        <v>325</v>
      </c>
      <c r="L1201" s="7" t="s">
        <v>520</v>
      </c>
      <c r="M1201" s="31">
        <v>45697</v>
      </c>
      <c r="N1201" s="7" t="s">
        <v>2702</v>
      </c>
      <c r="O1201" s="8">
        <v>1206</v>
      </c>
      <c r="P1201" s="24">
        <v>5558</v>
      </c>
      <c r="Q1201" s="22">
        <f>IF(COUNTIFS(A$2:A1201,A1201,I$2:I1201,I1201)=1,1,0)</f>
        <v>0</v>
      </c>
      <c r="R1201" s="22">
        <f t="shared" si="18"/>
        <v>1</v>
      </c>
      <c r="S1201" s="33">
        <f>IF(COUNTIF(O$2:O1201,O1201)=1,R1201,0)/2.5</f>
        <v>0.4</v>
      </c>
    </row>
    <row r="1202" spans="1:19" ht="18" customHeight="1" x14ac:dyDescent="0.25">
      <c r="A1202" s="7" t="s">
        <v>37</v>
      </c>
      <c r="B1202" s="8">
        <v>1</v>
      </c>
      <c r="C1202" s="9">
        <v>549</v>
      </c>
      <c r="D1202" s="29">
        <f>C1202+IF(INDEX('Справочник по %'!B:B,(MATCH(A1202,'Справочник по %'!A:A,0)))="кол-во",B1202*INDEX('Справочник по %'!C:C,(MATCH(A1202,'Справочник по %'!A:A,0))),ОТЧЕТ!C1202*INDEX('Справочник по %'!C:C,(MATCH(A1202,'Справочник по %'!A:A,0))))/100</f>
        <v>549.20000000000005</v>
      </c>
      <c r="E1202" s="29">
        <f>IF(ОТЧЕТ!A1202="SKU3",C1202+ОТЧЕТ!C1202*0.2,C1202+ОТЧЕТ!C1202*0.15)</f>
        <v>631.35</v>
      </c>
      <c r="F1202" s="7" t="s">
        <v>2703</v>
      </c>
      <c r="G1202" s="7">
        <v>7204146152</v>
      </c>
      <c r="H1202" s="20" t="s">
        <v>103</v>
      </c>
      <c r="I1202" s="22" t="str">
        <f>INDEX('Справочник Сети'!B:B,(MATCH(G1202,'Справочник Сети'!C:C,0)))</f>
        <v>36,6</v>
      </c>
      <c r="J1202" s="7" t="s">
        <v>104</v>
      </c>
      <c r="K1202" s="7" t="s">
        <v>2164</v>
      </c>
      <c r="L1202" s="7" t="s">
        <v>106</v>
      </c>
      <c r="M1202" s="31">
        <v>45694</v>
      </c>
      <c r="N1202" s="7" t="s">
        <v>2704</v>
      </c>
      <c r="O1202" s="8">
        <v>1683</v>
      </c>
      <c r="P1202" s="24">
        <v>5569</v>
      </c>
      <c r="Q1202" s="22">
        <f>IF(COUNTIFS(A$2:A1202,A1202,I$2:I1202,I1202)=1,1,0)</f>
        <v>0</v>
      </c>
      <c r="R1202" s="22">
        <f t="shared" si="18"/>
        <v>9</v>
      </c>
      <c r="S1202" s="33">
        <f>IF(COUNTIF(O$2:O1202,O1202)=1,R1202,0)/2.5</f>
        <v>0</v>
      </c>
    </row>
    <row r="1203" spans="1:19" ht="18" customHeight="1" x14ac:dyDescent="0.25">
      <c r="A1203" s="7" t="s">
        <v>43</v>
      </c>
      <c r="B1203" s="8">
        <v>1</v>
      </c>
      <c r="C1203" s="9">
        <v>378</v>
      </c>
      <c r="D1203" s="29">
        <f>C1203+IF(INDEX('Справочник по %'!B:B,(MATCH(A1203,'Справочник по %'!A:A,0)))="кол-во",B1203*INDEX('Справочник по %'!C:C,(MATCH(A1203,'Справочник по %'!A:A,0))),ОТЧЕТ!C1203*INDEX('Справочник по %'!C:C,(MATCH(A1203,'Справочник по %'!A:A,0))))/100</f>
        <v>415.8</v>
      </c>
      <c r="E1203" s="29">
        <f>IF(ОТЧЕТ!A1203="SKU3",C1203+ОТЧЕТ!C1203*0.2,C1203+ОТЧЕТ!C1203*0.15)</f>
        <v>434.7</v>
      </c>
      <c r="F1203" s="7" t="s">
        <v>2703</v>
      </c>
      <c r="G1203" s="7">
        <v>7706795062</v>
      </c>
      <c r="H1203" s="20" t="s">
        <v>2705</v>
      </c>
      <c r="I1203" s="22" t="str">
        <f>INDEX('Справочник Сети'!B:B,(MATCH(G1203,'Справочник Сети'!C:C,0)))</f>
        <v>Планета здоровья</v>
      </c>
      <c r="J1203" s="7" t="s">
        <v>87</v>
      </c>
      <c r="K1203" s="7" t="s">
        <v>2201</v>
      </c>
      <c r="L1203" s="7" t="s">
        <v>87</v>
      </c>
      <c r="M1203" s="31">
        <v>45691</v>
      </c>
      <c r="N1203" s="7" t="s">
        <v>2706</v>
      </c>
      <c r="O1203" s="8">
        <v>2879</v>
      </c>
      <c r="P1203" s="24">
        <v>5570</v>
      </c>
      <c r="Q1203" s="22">
        <f>IF(COUNTIFS(A$2:A1203,A1203,I$2:I1203,I1203)=1,1,0)</f>
        <v>0</v>
      </c>
      <c r="R1203" s="22">
        <f t="shared" si="18"/>
        <v>3</v>
      </c>
      <c r="S1203" s="33">
        <f>IF(COUNTIF(O$2:O1203,O1203)=1,R1203,0)/2.5</f>
        <v>1.2</v>
      </c>
    </row>
    <row r="1204" spans="1:19" ht="18" customHeight="1" x14ac:dyDescent="0.25">
      <c r="A1204" s="7" t="s">
        <v>43</v>
      </c>
      <c r="B1204" s="8">
        <v>1</v>
      </c>
      <c r="C1204" s="9">
        <v>367</v>
      </c>
      <c r="D1204" s="29">
        <f>C1204+IF(INDEX('Справочник по %'!B:B,(MATCH(A1204,'Справочник по %'!A:A,0)))="кол-во",B1204*INDEX('Справочник по %'!C:C,(MATCH(A1204,'Справочник по %'!A:A,0))),ОТЧЕТ!C1204*INDEX('Справочник по %'!C:C,(MATCH(A1204,'Справочник по %'!A:A,0))))/100</f>
        <v>403.7</v>
      </c>
      <c r="E1204" s="29">
        <f>IF(ОТЧЕТ!A1204="SKU3",C1204+ОТЧЕТ!C1204*0.2,C1204+ОТЧЕТ!C1204*0.15)</f>
        <v>422.05</v>
      </c>
      <c r="F1204" s="7" t="s">
        <v>2703</v>
      </c>
      <c r="G1204" s="7">
        <v>7706795062</v>
      </c>
      <c r="H1204" s="20" t="s">
        <v>2707</v>
      </c>
      <c r="I1204" s="22" t="str">
        <f>INDEX('Справочник Сети'!B:B,(MATCH(G1204,'Справочник Сети'!C:C,0)))</f>
        <v>Планета здоровья</v>
      </c>
      <c r="J1204" s="7" t="s">
        <v>87</v>
      </c>
      <c r="K1204" s="7" t="s">
        <v>2309</v>
      </c>
      <c r="L1204" s="7" t="s">
        <v>116</v>
      </c>
      <c r="M1204" s="31">
        <v>45692</v>
      </c>
      <c r="N1204" s="7" t="s">
        <v>2708</v>
      </c>
      <c r="O1204" s="8">
        <v>1250</v>
      </c>
      <c r="P1204" s="24">
        <v>5573</v>
      </c>
      <c r="Q1204" s="22">
        <f>IF(COUNTIFS(A$2:A1204,A1204,I$2:I1204,I1204)=1,1,0)</f>
        <v>0</v>
      </c>
      <c r="R1204" s="22">
        <f t="shared" si="18"/>
        <v>3</v>
      </c>
      <c r="S1204" s="33">
        <f>IF(COUNTIF(O$2:O1204,O1204)=1,R1204,0)/2.5</f>
        <v>1.2</v>
      </c>
    </row>
    <row r="1205" spans="1:19" ht="18" customHeight="1" x14ac:dyDescent="0.25">
      <c r="A1205" s="7" t="s">
        <v>43</v>
      </c>
      <c r="B1205" s="8">
        <v>1</v>
      </c>
      <c r="C1205" s="9">
        <v>377</v>
      </c>
      <c r="D1205" s="29">
        <f>C1205+IF(INDEX('Справочник по %'!B:B,(MATCH(A1205,'Справочник по %'!A:A,0)))="кол-во",B1205*INDEX('Справочник по %'!C:C,(MATCH(A1205,'Справочник по %'!A:A,0))),ОТЧЕТ!C1205*INDEX('Справочник по %'!C:C,(MATCH(A1205,'Справочник по %'!A:A,0))))/100</f>
        <v>414.7</v>
      </c>
      <c r="E1205" s="29">
        <f>IF(ОТЧЕТ!A1205="SKU3",C1205+ОТЧЕТ!C1205*0.2,C1205+ОТЧЕТ!C1205*0.15)</f>
        <v>433.55</v>
      </c>
      <c r="F1205" s="7" t="s">
        <v>2703</v>
      </c>
      <c r="G1205" s="7">
        <v>7706795062</v>
      </c>
      <c r="H1205" s="20" t="s">
        <v>2707</v>
      </c>
      <c r="I1205" s="22" t="str">
        <f>INDEX('Справочник Сети'!B:B,(MATCH(G1205,'Справочник Сети'!C:C,0)))</f>
        <v>Планета здоровья</v>
      </c>
      <c r="J1205" s="7" t="s">
        <v>87</v>
      </c>
      <c r="K1205" s="7" t="s">
        <v>1686</v>
      </c>
      <c r="L1205" s="7" t="s">
        <v>116</v>
      </c>
      <c r="M1205" s="31">
        <v>45692</v>
      </c>
      <c r="N1205" s="7" t="s">
        <v>2709</v>
      </c>
      <c r="O1205" s="8">
        <v>1250</v>
      </c>
      <c r="P1205" s="24">
        <v>5575</v>
      </c>
      <c r="Q1205" s="22">
        <f>IF(COUNTIFS(A$2:A1205,A1205,I$2:I1205,I1205)=1,1,0)</f>
        <v>0</v>
      </c>
      <c r="R1205" s="22">
        <f t="shared" si="18"/>
        <v>3</v>
      </c>
      <c r="S1205" s="33">
        <f>IF(COUNTIF(O$2:O1205,O1205)=1,R1205,0)/2.5</f>
        <v>0</v>
      </c>
    </row>
    <row r="1206" spans="1:19" ht="18" customHeight="1" x14ac:dyDescent="0.25">
      <c r="A1206" s="7" t="s">
        <v>43</v>
      </c>
      <c r="B1206" s="8">
        <v>1</v>
      </c>
      <c r="C1206" s="9">
        <v>400.77</v>
      </c>
      <c r="D1206" s="29">
        <f>C1206+IF(INDEX('Справочник по %'!B:B,(MATCH(A1206,'Справочник по %'!A:A,0)))="кол-во",B1206*INDEX('Справочник по %'!C:C,(MATCH(A1206,'Справочник по %'!A:A,0))),ОТЧЕТ!C1206*INDEX('Справочник по %'!C:C,(MATCH(A1206,'Справочник по %'!A:A,0))))/100</f>
        <v>440.84699999999998</v>
      </c>
      <c r="E1206" s="29">
        <f>IF(ОТЧЕТ!A1206="SKU3",C1206+ОТЧЕТ!C1206*0.2,C1206+ОТЧЕТ!C1206*0.15)</f>
        <v>460.88549999999998</v>
      </c>
      <c r="F1206" s="7" t="s">
        <v>2703</v>
      </c>
      <c r="G1206" s="7">
        <v>5507102175</v>
      </c>
      <c r="H1206" s="20" t="s">
        <v>50</v>
      </c>
      <c r="I1206" s="22" t="str">
        <f>INDEX('Справочник Сети'!B:B,(MATCH(G1206,'Справочник Сети'!C:C,0)))</f>
        <v>Столички</v>
      </c>
      <c r="J1206" s="7" t="s">
        <v>255</v>
      </c>
      <c r="K1206" s="7" t="s">
        <v>2710</v>
      </c>
      <c r="L1206" s="7" t="s">
        <v>255</v>
      </c>
      <c r="M1206" s="31">
        <v>45713</v>
      </c>
      <c r="N1206" s="7" t="s">
        <v>2711</v>
      </c>
      <c r="O1206" s="8">
        <v>1721</v>
      </c>
      <c r="P1206" s="24">
        <v>5578</v>
      </c>
      <c r="Q1206" s="22">
        <f>IF(COUNTIFS(A$2:A1206,A1206,I$2:I1206,I1206)=1,1,0)</f>
        <v>0</v>
      </c>
      <c r="R1206" s="22">
        <f t="shared" si="18"/>
        <v>2</v>
      </c>
      <c r="S1206" s="33">
        <f>IF(COUNTIF(O$2:O1206,O1206)=1,R1206,0)/2.5</f>
        <v>0</v>
      </c>
    </row>
    <row r="1207" spans="1:19" ht="18" customHeight="1" x14ac:dyDescent="0.25">
      <c r="A1207" s="7" t="s">
        <v>43</v>
      </c>
      <c r="B1207" s="8">
        <v>1</v>
      </c>
      <c r="C1207" s="9">
        <v>425.9</v>
      </c>
      <c r="D1207" s="29">
        <f>C1207+IF(INDEX('Справочник по %'!B:B,(MATCH(A1207,'Справочник по %'!A:A,0)))="кол-во",B1207*INDEX('Справочник по %'!C:C,(MATCH(A1207,'Справочник по %'!A:A,0))),ОТЧЕТ!C1207*INDEX('Справочник по %'!C:C,(MATCH(A1207,'Справочник по %'!A:A,0))))/100</f>
        <v>468.49</v>
      </c>
      <c r="E1207" s="29">
        <f>IF(ОТЧЕТ!A1207="SKU3",C1207+ОТЧЕТ!C1207*0.2,C1207+ОТЧЕТ!C1207*0.15)</f>
        <v>489.78499999999997</v>
      </c>
      <c r="F1207" s="7" t="s">
        <v>2703</v>
      </c>
      <c r="G1207" s="7">
        <v>7204146152</v>
      </c>
      <c r="H1207" s="20" t="s">
        <v>1655</v>
      </c>
      <c r="I1207" s="22" t="str">
        <f>INDEX('Справочник Сети'!B:B,(MATCH(G1207,'Справочник Сети'!C:C,0)))</f>
        <v>36,6</v>
      </c>
      <c r="J1207" s="7" t="s">
        <v>104</v>
      </c>
      <c r="K1207" s="7" t="s">
        <v>1515</v>
      </c>
      <c r="L1207" s="7" t="s">
        <v>106</v>
      </c>
      <c r="M1207" s="31">
        <v>45694</v>
      </c>
      <c r="N1207" s="7" t="s">
        <v>2712</v>
      </c>
      <c r="O1207" s="8">
        <v>871</v>
      </c>
      <c r="P1207" s="24">
        <v>5580</v>
      </c>
      <c r="Q1207" s="22">
        <f>IF(COUNTIFS(A$2:A1207,A1207,I$2:I1207,I1207)=1,1,0)</f>
        <v>0</v>
      </c>
      <c r="R1207" s="22">
        <f t="shared" si="18"/>
        <v>4</v>
      </c>
      <c r="S1207" s="33">
        <f>IF(COUNTIF(O$2:O1207,O1207)=1,R1207,0)/2.5</f>
        <v>0</v>
      </c>
    </row>
    <row r="1208" spans="1:19" ht="18" customHeight="1" x14ac:dyDescent="0.25">
      <c r="A1208" s="7" t="s">
        <v>43</v>
      </c>
      <c r="B1208" s="8">
        <v>1</v>
      </c>
      <c r="C1208" s="9">
        <v>450</v>
      </c>
      <c r="D1208" s="29">
        <f>C1208+IF(INDEX('Справочник по %'!B:B,(MATCH(A1208,'Справочник по %'!A:A,0)))="кол-во",B1208*INDEX('Справочник по %'!C:C,(MATCH(A1208,'Справочник по %'!A:A,0))),ОТЧЕТ!C1208*INDEX('Справочник по %'!C:C,(MATCH(A1208,'Справочник по %'!A:A,0))))/100</f>
        <v>495</v>
      </c>
      <c r="E1208" s="29">
        <f>IF(ОТЧЕТ!A1208="SKU3",C1208+ОТЧЕТ!C1208*0.2,C1208+ОТЧЕТ!C1208*0.15)</f>
        <v>517.5</v>
      </c>
      <c r="F1208" s="7" t="s">
        <v>2703</v>
      </c>
      <c r="G1208" s="7">
        <v>4217058652</v>
      </c>
      <c r="H1208" s="20" t="s">
        <v>167</v>
      </c>
      <c r="I1208" s="22" t="str">
        <f>INDEX('Справочник Сети'!B:B,(MATCH(G1208,'Справочник Сети'!C:C,0)))</f>
        <v>Нео-фарм</v>
      </c>
      <c r="J1208" s="7" t="s">
        <v>155</v>
      </c>
      <c r="K1208" s="7" t="s">
        <v>2713</v>
      </c>
      <c r="L1208" s="7" t="s">
        <v>155</v>
      </c>
      <c r="M1208" s="31">
        <v>45716</v>
      </c>
      <c r="N1208" s="7" t="s">
        <v>2714</v>
      </c>
      <c r="O1208" s="8">
        <v>274</v>
      </c>
      <c r="P1208" s="24">
        <v>5582</v>
      </c>
      <c r="Q1208" s="22">
        <f>IF(COUNTIFS(A$2:A1208,A1208,I$2:I1208,I1208)=1,1,0)</f>
        <v>0</v>
      </c>
      <c r="R1208" s="22">
        <f t="shared" si="18"/>
        <v>1</v>
      </c>
      <c r="S1208" s="33">
        <f>IF(COUNTIF(O$2:O1208,O1208)=1,R1208,0)/2.5</f>
        <v>0.4</v>
      </c>
    </row>
    <row r="1209" spans="1:19" ht="18" customHeight="1" x14ac:dyDescent="0.25">
      <c r="A1209" s="7" t="s">
        <v>43</v>
      </c>
      <c r="B1209" s="8">
        <v>1</v>
      </c>
      <c r="C1209" s="9">
        <v>672</v>
      </c>
      <c r="D1209" s="29">
        <f>C1209+IF(INDEX('Справочник по %'!B:B,(MATCH(A1209,'Справочник по %'!A:A,0)))="кол-во",B1209*INDEX('Справочник по %'!C:C,(MATCH(A1209,'Справочник по %'!A:A,0))),ОТЧЕТ!C1209*INDEX('Справочник по %'!C:C,(MATCH(A1209,'Справочник по %'!A:A,0))))/100</f>
        <v>739.2</v>
      </c>
      <c r="E1209" s="29">
        <f>IF(ОТЧЕТ!A1209="SKU3",C1209+ОТЧЕТ!C1209*0.2,C1209+ОТЧЕТ!C1209*0.15)</f>
        <v>772.8</v>
      </c>
      <c r="F1209" s="7" t="s">
        <v>2703</v>
      </c>
      <c r="G1209" s="7">
        <v>7705947629</v>
      </c>
      <c r="H1209" s="20" t="s">
        <v>50</v>
      </c>
      <c r="I1209" s="22" t="str">
        <f>INDEX('Справочник Сети'!B:B,(MATCH(G1209,'Справочник Сети'!C:C,0)))</f>
        <v>36,6</v>
      </c>
      <c r="J1209" s="7" t="s">
        <v>104</v>
      </c>
      <c r="K1209" s="7" t="s">
        <v>2715</v>
      </c>
      <c r="L1209" s="7" t="s">
        <v>104</v>
      </c>
      <c r="M1209" s="31">
        <v>45693</v>
      </c>
      <c r="N1209" s="7" t="s">
        <v>2716</v>
      </c>
      <c r="O1209" s="8">
        <v>2126</v>
      </c>
      <c r="P1209" s="24">
        <v>5585</v>
      </c>
      <c r="Q1209" s="22">
        <f>IF(COUNTIFS(A$2:A1209,A1209,I$2:I1209,I1209)=1,1,0)</f>
        <v>0</v>
      </c>
      <c r="R1209" s="22">
        <f t="shared" si="18"/>
        <v>2</v>
      </c>
      <c r="S1209" s="33">
        <f>IF(COUNTIF(O$2:O1209,O1209)=1,R1209,0)/2.5</f>
        <v>0.8</v>
      </c>
    </row>
    <row r="1210" spans="1:19" ht="18" customHeight="1" x14ac:dyDescent="0.25">
      <c r="A1210" s="7" t="s">
        <v>43</v>
      </c>
      <c r="B1210" s="8">
        <v>1</v>
      </c>
      <c r="C1210" s="9">
        <v>474</v>
      </c>
      <c r="D1210" s="29">
        <f>C1210+IF(INDEX('Справочник по %'!B:B,(MATCH(A1210,'Справочник по %'!A:A,0)))="кол-во",B1210*INDEX('Справочник по %'!C:C,(MATCH(A1210,'Справочник по %'!A:A,0))),ОТЧЕТ!C1210*INDEX('Справочник по %'!C:C,(MATCH(A1210,'Справочник по %'!A:A,0))))/100</f>
        <v>521.4</v>
      </c>
      <c r="E1210" s="29">
        <f>IF(ОТЧЕТ!A1210="SKU3",C1210+ОТЧЕТ!C1210*0.2,C1210+ОТЧЕТ!C1210*0.15)</f>
        <v>545.1</v>
      </c>
      <c r="F1210" s="7" t="s">
        <v>2703</v>
      </c>
      <c r="G1210" s="7">
        <v>2225224388</v>
      </c>
      <c r="H1210" s="20" t="s">
        <v>50</v>
      </c>
      <c r="I1210" s="22" t="str">
        <f>INDEX('Справочник Сети'!B:B,(MATCH(G1210,'Справочник Сети'!C:C,0)))</f>
        <v>Нео-фарм</v>
      </c>
      <c r="J1210" s="7" t="s">
        <v>372</v>
      </c>
      <c r="K1210" s="7" t="s">
        <v>1075</v>
      </c>
      <c r="L1210" s="7" t="s">
        <v>372</v>
      </c>
      <c r="M1210" s="31">
        <v>45730</v>
      </c>
      <c r="N1210" s="7" t="s">
        <v>2717</v>
      </c>
      <c r="O1210" s="8">
        <v>2739</v>
      </c>
      <c r="P1210" s="24">
        <v>5586</v>
      </c>
      <c r="Q1210" s="22">
        <f>IF(COUNTIFS(A$2:A1210,A1210,I$2:I1210,I1210)=1,1,0)</f>
        <v>0</v>
      </c>
      <c r="R1210" s="22">
        <f t="shared" si="18"/>
        <v>2</v>
      </c>
      <c r="S1210" s="33">
        <f>IF(COUNTIF(O$2:O1210,O1210)=1,R1210,0)/2.5</f>
        <v>0.8</v>
      </c>
    </row>
    <row r="1211" spans="1:19" ht="18" customHeight="1" x14ac:dyDescent="0.25">
      <c r="A1211" s="7" t="s">
        <v>43</v>
      </c>
      <c r="B1211" s="8">
        <v>1</v>
      </c>
      <c r="C1211" s="9">
        <v>387</v>
      </c>
      <c r="D1211" s="29">
        <f>C1211+IF(INDEX('Справочник по %'!B:B,(MATCH(A1211,'Справочник по %'!A:A,0)))="кол-во",B1211*INDEX('Справочник по %'!C:C,(MATCH(A1211,'Справочник по %'!A:A,0))),ОТЧЕТ!C1211*INDEX('Справочник по %'!C:C,(MATCH(A1211,'Справочник по %'!A:A,0))))/100</f>
        <v>425.7</v>
      </c>
      <c r="E1211" s="29">
        <f>IF(ОТЧЕТ!A1211="SKU3",C1211+ОТЧЕТ!C1211*0.2,C1211+ОТЧЕТ!C1211*0.15)</f>
        <v>445.05</v>
      </c>
      <c r="F1211" s="7" t="s">
        <v>2703</v>
      </c>
      <c r="G1211" s="7">
        <v>6453164914</v>
      </c>
      <c r="H1211" s="20" t="s">
        <v>50</v>
      </c>
      <c r="I1211" s="22">
        <f>INDEX('Справочник Сети'!B:B,(MATCH(G1211,'Справочник Сети'!C:C,0)))</f>
        <v>0</v>
      </c>
      <c r="J1211" s="7" t="s">
        <v>133</v>
      </c>
      <c r="K1211" s="7" t="s">
        <v>2718</v>
      </c>
      <c r="L1211" s="7" t="s">
        <v>133</v>
      </c>
      <c r="M1211" s="31">
        <v>45695</v>
      </c>
      <c r="N1211" s="7" t="s">
        <v>2719</v>
      </c>
      <c r="O1211" s="8">
        <v>2014</v>
      </c>
      <c r="P1211" s="24">
        <v>5590</v>
      </c>
      <c r="Q1211" s="22">
        <f>IF(COUNTIFS(A$2:A1211,A1211,I$2:I1211,I1211)=1,1,0)</f>
        <v>0</v>
      </c>
      <c r="R1211" s="22">
        <f t="shared" si="18"/>
        <v>2</v>
      </c>
      <c r="S1211" s="33">
        <f>IF(COUNTIF(O$2:O1211,O1211)=1,R1211,0)/2.5</f>
        <v>0</v>
      </c>
    </row>
    <row r="1212" spans="1:19" ht="18" customHeight="1" x14ac:dyDescent="0.25">
      <c r="A1212" s="7" t="s">
        <v>43</v>
      </c>
      <c r="B1212" s="8">
        <v>1</v>
      </c>
      <c r="C1212" s="9">
        <v>351</v>
      </c>
      <c r="D1212" s="29">
        <f>C1212+IF(INDEX('Справочник по %'!B:B,(MATCH(A1212,'Справочник по %'!A:A,0)))="кол-во",B1212*INDEX('Справочник по %'!C:C,(MATCH(A1212,'Справочник по %'!A:A,0))),ОТЧЕТ!C1212*INDEX('Справочник по %'!C:C,(MATCH(A1212,'Справочник по %'!A:A,0))))/100</f>
        <v>386.1</v>
      </c>
      <c r="E1212" s="29">
        <f>IF(ОТЧЕТ!A1212="SKU3",C1212+ОТЧЕТ!C1212*0.2,C1212+ОТЧЕТ!C1212*0.15)</f>
        <v>403.65</v>
      </c>
      <c r="F1212" s="7" t="s">
        <v>2703</v>
      </c>
      <c r="G1212" s="7">
        <v>2311241316</v>
      </c>
      <c r="H1212" s="20" t="s">
        <v>50</v>
      </c>
      <c r="I1212" s="22">
        <f>INDEX('Справочник Сети'!B:B,(MATCH(G1212,'Справочник Сети'!C:C,0)))</f>
        <v>0</v>
      </c>
      <c r="J1212" s="7" t="s">
        <v>70</v>
      </c>
      <c r="K1212" s="7" t="s">
        <v>228</v>
      </c>
      <c r="L1212" s="7" t="s">
        <v>70</v>
      </c>
      <c r="M1212" s="31">
        <v>45728</v>
      </c>
      <c r="N1212" s="7" t="s">
        <v>2720</v>
      </c>
      <c r="O1212" s="8">
        <v>1451</v>
      </c>
      <c r="P1212" s="24">
        <v>5593</v>
      </c>
      <c r="Q1212" s="22">
        <f>IF(COUNTIFS(A$2:A1212,A1212,I$2:I1212,I1212)=1,1,0)</f>
        <v>0</v>
      </c>
      <c r="R1212" s="22">
        <f t="shared" si="18"/>
        <v>2</v>
      </c>
      <c r="S1212" s="33">
        <f>IF(COUNTIF(O$2:O1212,O1212)=1,R1212,0)/2.5</f>
        <v>0.8</v>
      </c>
    </row>
    <row r="1213" spans="1:19" ht="18" customHeight="1" x14ac:dyDescent="0.25">
      <c r="A1213" s="7" t="s">
        <v>43</v>
      </c>
      <c r="B1213" s="8">
        <v>1</v>
      </c>
      <c r="C1213" s="9">
        <v>427.5</v>
      </c>
      <c r="D1213" s="29">
        <f>C1213+IF(INDEX('Справочник по %'!B:B,(MATCH(A1213,'Справочник по %'!A:A,0)))="кол-во",B1213*INDEX('Справочник по %'!C:C,(MATCH(A1213,'Справочник по %'!A:A,0))),ОТЧЕТ!C1213*INDEX('Справочник по %'!C:C,(MATCH(A1213,'Справочник по %'!A:A,0))))/100</f>
        <v>470.25</v>
      </c>
      <c r="E1213" s="29">
        <f>IF(ОТЧЕТ!A1213="SKU3",C1213+ОТЧЕТ!C1213*0.2,C1213+ОТЧЕТ!C1213*0.15)</f>
        <v>491.625</v>
      </c>
      <c r="F1213" s="7" t="s">
        <v>2703</v>
      </c>
      <c r="G1213" s="7">
        <v>3604000062</v>
      </c>
      <c r="H1213" s="20" t="s">
        <v>2721</v>
      </c>
      <c r="I1213" s="22">
        <f>INDEX('Справочник Сети'!B:B,(MATCH(G1213,'Справочник Сети'!C:C,0)))</f>
        <v>0</v>
      </c>
      <c r="J1213" s="7" t="s">
        <v>65</v>
      </c>
      <c r="K1213" s="7" t="s">
        <v>1213</v>
      </c>
      <c r="L1213" s="7" t="s">
        <v>65</v>
      </c>
      <c r="M1213" s="31">
        <v>45717</v>
      </c>
      <c r="N1213" s="7" t="s">
        <v>2722</v>
      </c>
      <c r="O1213" s="8">
        <v>799</v>
      </c>
      <c r="P1213" s="24">
        <v>5595</v>
      </c>
      <c r="Q1213" s="22">
        <f>IF(COUNTIFS(A$2:A1213,A1213,I$2:I1213,I1213)=1,1,0)</f>
        <v>0</v>
      </c>
      <c r="R1213" s="22">
        <f t="shared" si="18"/>
        <v>1</v>
      </c>
      <c r="S1213" s="33">
        <f>IF(COUNTIF(O$2:O1213,O1213)=1,R1213,0)/2.5</f>
        <v>0.4</v>
      </c>
    </row>
    <row r="1214" spans="1:19" ht="18" customHeight="1" x14ac:dyDescent="0.25">
      <c r="A1214" s="7" t="s">
        <v>43</v>
      </c>
      <c r="B1214" s="8">
        <v>1</v>
      </c>
      <c r="C1214" s="9">
        <v>406.46</v>
      </c>
      <c r="D1214" s="29">
        <f>C1214+IF(INDEX('Справочник по %'!B:B,(MATCH(A1214,'Справочник по %'!A:A,0)))="кол-во",B1214*INDEX('Справочник по %'!C:C,(MATCH(A1214,'Справочник по %'!A:A,0))),ОТЧЕТ!C1214*INDEX('Справочник по %'!C:C,(MATCH(A1214,'Справочник по %'!A:A,0))))/100</f>
        <v>447.10599999999999</v>
      </c>
      <c r="E1214" s="29">
        <f>IF(ОТЧЕТ!A1214="SKU3",C1214+ОТЧЕТ!C1214*0.2,C1214+ОТЧЕТ!C1214*0.15)</f>
        <v>467.42899999999997</v>
      </c>
      <c r="F1214" s="7" t="s">
        <v>2703</v>
      </c>
      <c r="G1214" s="7">
        <v>2723197553</v>
      </c>
      <c r="H1214" s="20" t="s">
        <v>50</v>
      </c>
      <c r="I1214" s="22" t="str">
        <f>INDEX('Справочник Сети'!B:B,(MATCH(G1214,'Справочник Сети'!C:C,0)))</f>
        <v>Ригла</v>
      </c>
      <c r="J1214" s="7" t="s">
        <v>51</v>
      </c>
      <c r="K1214" s="7" t="s">
        <v>1657</v>
      </c>
      <c r="L1214" s="7" t="s">
        <v>46</v>
      </c>
      <c r="M1214" s="31">
        <v>45726</v>
      </c>
      <c r="N1214" s="7" t="s">
        <v>2723</v>
      </c>
      <c r="O1214" s="8">
        <v>1828</v>
      </c>
      <c r="P1214" s="24">
        <v>5596</v>
      </c>
      <c r="Q1214" s="22">
        <f>IF(COUNTIFS(A$2:A1214,A1214,I$2:I1214,I1214)=1,1,0)</f>
        <v>0</v>
      </c>
      <c r="R1214" s="22">
        <f t="shared" si="18"/>
        <v>2</v>
      </c>
      <c r="S1214" s="33">
        <f>IF(COUNTIF(O$2:O1214,O1214)=1,R1214,0)/2.5</f>
        <v>0.8</v>
      </c>
    </row>
    <row r="1215" spans="1:19" ht="18" customHeight="1" x14ac:dyDescent="0.25">
      <c r="A1215" s="7" t="s">
        <v>43</v>
      </c>
      <c r="B1215" s="8">
        <v>1</v>
      </c>
      <c r="C1215" s="9">
        <v>440.7</v>
      </c>
      <c r="D1215" s="29">
        <f>C1215+IF(INDEX('Справочник по %'!B:B,(MATCH(A1215,'Справочник по %'!A:A,0)))="кол-во",B1215*INDEX('Справочник по %'!C:C,(MATCH(A1215,'Справочник по %'!A:A,0))),ОТЧЕТ!C1215*INDEX('Справочник по %'!C:C,(MATCH(A1215,'Справочник по %'!A:A,0))))/100</f>
        <v>484.77</v>
      </c>
      <c r="E1215" s="29">
        <f>IF(ОТЧЕТ!A1215="SKU3",C1215+ОТЧЕТ!C1215*0.2,C1215+ОТЧЕТ!C1215*0.15)</f>
        <v>506.80499999999995</v>
      </c>
      <c r="F1215" s="7" t="s">
        <v>2703</v>
      </c>
      <c r="G1215" s="7">
        <v>3704004871</v>
      </c>
      <c r="H1215" s="20" t="s">
        <v>64</v>
      </c>
      <c r="I1215" s="22" t="str">
        <f>INDEX('Справочник Сети'!B:B,(MATCH(G1215,'Справочник Сети'!C:C,0)))</f>
        <v>Планета здоровья</v>
      </c>
      <c r="J1215" s="7" t="s">
        <v>65</v>
      </c>
      <c r="K1215" s="7" t="s">
        <v>2724</v>
      </c>
      <c r="L1215" s="7" t="s">
        <v>65</v>
      </c>
      <c r="M1215" s="31">
        <v>45717</v>
      </c>
      <c r="N1215" s="7" t="s">
        <v>2725</v>
      </c>
      <c r="O1215" s="8">
        <v>3489</v>
      </c>
      <c r="P1215" s="24">
        <v>5598</v>
      </c>
      <c r="Q1215" s="22">
        <f>IF(COUNTIFS(A$2:A1215,A1215,I$2:I1215,I1215)=1,1,0)</f>
        <v>0</v>
      </c>
      <c r="R1215" s="22">
        <f t="shared" si="18"/>
        <v>6</v>
      </c>
      <c r="S1215" s="33">
        <f>IF(COUNTIF(O$2:O1215,O1215)=1,R1215,0)/2.5</f>
        <v>0</v>
      </c>
    </row>
    <row r="1216" spans="1:19" ht="18" customHeight="1" x14ac:dyDescent="0.25">
      <c r="A1216" s="7" t="s">
        <v>43</v>
      </c>
      <c r="B1216" s="8">
        <v>1</v>
      </c>
      <c r="C1216" s="9">
        <v>399</v>
      </c>
      <c r="D1216" s="29">
        <f>C1216+IF(INDEX('Справочник по %'!B:B,(MATCH(A1216,'Справочник по %'!A:A,0)))="кол-во",B1216*INDEX('Справочник по %'!C:C,(MATCH(A1216,'Справочник по %'!A:A,0))),ОТЧЕТ!C1216*INDEX('Справочник по %'!C:C,(MATCH(A1216,'Справочник по %'!A:A,0))))/100</f>
        <v>438.9</v>
      </c>
      <c r="E1216" s="29">
        <f>IF(ОТЧЕТ!A1216="SKU3",C1216+ОТЧЕТ!C1216*0.2,C1216+ОТЧЕТ!C1216*0.15)</f>
        <v>458.85</v>
      </c>
      <c r="F1216" s="7" t="s">
        <v>2703</v>
      </c>
      <c r="G1216" s="7">
        <v>7706795062</v>
      </c>
      <c r="H1216" s="20" t="s">
        <v>1270</v>
      </c>
      <c r="I1216" s="22" t="str">
        <f>INDEX('Справочник Сети'!B:B,(MATCH(G1216,'Справочник Сети'!C:C,0)))</f>
        <v>Планета здоровья</v>
      </c>
      <c r="J1216" s="7" t="s">
        <v>87</v>
      </c>
      <c r="K1216" s="7" t="s">
        <v>2726</v>
      </c>
      <c r="L1216" s="7" t="s">
        <v>87</v>
      </c>
      <c r="M1216" s="31">
        <v>45691</v>
      </c>
      <c r="N1216" s="7" t="s">
        <v>2727</v>
      </c>
      <c r="O1216" s="8">
        <v>2506</v>
      </c>
      <c r="P1216" s="24">
        <v>5600</v>
      </c>
      <c r="Q1216" s="22">
        <f>IF(COUNTIFS(A$2:A1216,A1216,I$2:I1216,I1216)=1,1,0)</f>
        <v>0</v>
      </c>
      <c r="R1216" s="22">
        <f t="shared" si="18"/>
        <v>4</v>
      </c>
      <c r="S1216" s="33">
        <f>IF(COUNTIF(O$2:O1216,O1216)=1,R1216,0)/2.5</f>
        <v>0</v>
      </c>
    </row>
    <row r="1217" spans="1:19" ht="18" customHeight="1" x14ac:dyDescent="0.25">
      <c r="A1217" s="7" t="s">
        <v>37</v>
      </c>
      <c r="B1217" s="8">
        <v>1</v>
      </c>
      <c r="C1217" s="9">
        <v>677</v>
      </c>
      <c r="D1217" s="29">
        <f>C1217+IF(INDEX('Справочник по %'!B:B,(MATCH(A1217,'Справочник по %'!A:A,0)))="кол-во",B1217*INDEX('Справочник по %'!C:C,(MATCH(A1217,'Справочник по %'!A:A,0))),ОТЧЕТ!C1217*INDEX('Справочник по %'!C:C,(MATCH(A1217,'Справочник по %'!A:A,0))))/100</f>
        <v>677.2</v>
      </c>
      <c r="E1217" s="29">
        <f>IF(ОТЧЕТ!A1217="SKU3",C1217+ОТЧЕТ!C1217*0.2,C1217+ОТЧЕТ!C1217*0.15)</f>
        <v>778.55</v>
      </c>
      <c r="F1217" s="7" t="s">
        <v>2703</v>
      </c>
      <c r="G1217" s="7">
        <v>6000009727</v>
      </c>
      <c r="H1217" s="20" t="s">
        <v>519</v>
      </c>
      <c r="I1217" s="22">
        <f>INDEX('Справочник Сети'!B:B,(MATCH(G1217,'Справочник Сети'!C:C,0)))</f>
        <v>0</v>
      </c>
      <c r="J1217" s="7" t="s">
        <v>520</v>
      </c>
      <c r="K1217" s="7" t="s">
        <v>609</v>
      </c>
      <c r="L1217" s="7" t="s">
        <v>520</v>
      </c>
      <c r="M1217" s="31">
        <v>45697</v>
      </c>
      <c r="N1217" s="7" t="s">
        <v>2728</v>
      </c>
      <c r="O1217" s="8">
        <v>36</v>
      </c>
      <c r="P1217" s="24">
        <v>5604</v>
      </c>
      <c r="Q1217" s="22">
        <f>IF(COUNTIFS(A$2:A1217,A1217,I$2:I1217,I1217)=1,1,0)</f>
        <v>0</v>
      </c>
      <c r="R1217" s="22">
        <f t="shared" si="18"/>
        <v>2</v>
      </c>
      <c r="S1217" s="33">
        <f>IF(COUNTIF(O$2:O1217,O1217)=1,R1217,0)/2.5</f>
        <v>0.8</v>
      </c>
    </row>
    <row r="1218" spans="1:19" ht="18" customHeight="1" x14ac:dyDescent="0.25">
      <c r="A1218" s="7" t="s">
        <v>43</v>
      </c>
      <c r="B1218" s="8">
        <v>1</v>
      </c>
      <c r="C1218" s="9">
        <v>399.9</v>
      </c>
      <c r="D1218" s="29">
        <f>C1218+IF(INDEX('Справочник по %'!B:B,(MATCH(A1218,'Справочник по %'!A:A,0)))="кол-во",B1218*INDEX('Справочник по %'!C:C,(MATCH(A1218,'Справочник по %'!A:A,0))),ОТЧЕТ!C1218*INDEX('Справочник по %'!C:C,(MATCH(A1218,'Справочник по %'!A:A,0))))/100</f>
        <v>439.89</v>
      </c>
      <c r="E1218" s="29">
        <f>IF(ОТЧЕТ!A1218="SKU3",C1218+ОТЧЕТ!C1218*0.2,C1218+ОТЧЕТ!C1218*0.15)</f>
        <v>459.88499999999999</v>
      </c>
      <c r="F1218" s="7" t="s">
        <v>2703</v>
      </c>
      <c r="G1218" s="7">
        <v>275912643</v>
      </c>
      <c r="H1218" s="20" t="s">
        <v>1854</v>
      </c>
      <c r="I1218" s="22">
        <f>INDEX('Справочник Сети'!B:B,(MATCH(G1218,'Справочник Сети'!C:C,0)))</f>
        <v>0</v>
      </c>
      <c r="J1218" s="7" t="s">
        <v>362</v>
      </c>
      <c r="K1218" s="7" t="s">
        <v>647</v>
      </c>
      <c r="L1218" s="7" t="s">
        <v>362</v>
      </c>
      <c r="M1218" s="31">
        <v>45732</v>
      </c>
      <c r="N1218" s="7" t="s">
        <v>2729</v>
      </c>
      <c r="O1218" s="8">
        <v>2529</v>
      </c>
      <c r="P1218" s="24">
        <v>5607</v>
      </c>
      <c r="Q1218" s="22">
        <f>IF(COUNTIFS(A$2:A1218,A1218,I$2:I1218,I1218)=1,1,0)</f>
        <v>0</v>
      </c>
      <c r="R1218" s="22">
        <f t="shared" si="18"/>
        <v>2</v>
      </c>
      <c r="S1218" s="33">
        <f>IF(COUNTIF(O$2:O1218,O1218)=1,R1218,0)/2.5</f>
        <v>0</v>
      </c>
    </row>
    <row r="1219" spans="1:19" ht="18" customHeight="1" x14ac:dyDescent="0.25">
      <c r="A1219" s="7" t="s">
        <v>37</v>
      </c>
      <c r="B1219" s="8">
        <v>1</v>
      </c>
      <c r="C1219" s="9">
        <v>670</v>
      </c>
      <c r="D1219" s="29">
        <f>C1219+IF(INDEX('Справочник по %'!B:B,(MATCH(A1219,'Справочник по %'!A:A,0)))="кол-во",B1219*INDEX('Справочник по %'!C:C,(MATCH(A1219,'Справочник по %'!A:A,0))),ОТЧЕТ!C1219*INDEX('Справочник по %'!C:C,(MATCH(A1219,'Справочник по %'!A:A,0))))/100</f>
        <v>670.2</v>
      </c>
      <c r="E1219" s="29">
        <f>IF(ОТЧЕТ!A1219="SKU3",C1219+ОТЧЕТ!C1219*0.2,C1219+ОТЧЕТ!C1219*0.15)</f>
        <v>770.5</v>
      </c>
      <c r="F1219" s="7" t="s">
        <v>2703</v>
      </c>
      <c r="G1219" s="7">
        <v>553000048187</v>
      </c>
      <c r="H1219" s="20" t="s">
        <v>2730</v>
      </c>
      <c r="I1219" s="22">
        <f>INDEX('Справочник Сети'!B:B,(MATCH(G1219,'Справочник Сети'!C:C,0)))</f>
        <v>0</v>
      </c>
      <c r="J1219" s="7" t="s">
        <v>251</v>
      </c>
      <c r="K1219" s="7" t="s">
        <v>2209</v>
      </c>
      <c r="L1219" s="7" t="s">
        <v>251</v>
      </c>
      <c r="M1219" s="31">
        <v>45659</v>
      </c>
      <c r="N1219" s="7" t="s">
        <v>2731</v>
      </c>
      <c r="O1219" s="8">
        <v>986</v>
      </c>
      <c r="P1219" s="24">
        <v>5608</v>
      </c>
      <c r="Q1219" s="22">
        <f>IF(COUNTIFS(A$2:A1219,A1219,I$2:I1219,I1219)=1,1,0)</f>
        <v>0</v>
      </c>
      <c r="R1219" s="22">
        <f t="shared" ref="R1219:R1282" si="19">COUNTIF(O:O,O1219)</f>
        <v>1</v>
      </c>
      <c r="S1219" s="33">
        <f>IF(COUNTIF(O$2:O1219,O1219)=1,R1219,0)/2.5</f>
        <v>0.4</v>
      </c>
    </row>
    <row r="1220" spans="1:19" ht="18" customHeight="1" x14ac:dyDescent="0.25">
      <c r="A1220" s="7" t="s">
        <v>37</v>
      </c>
      <c r="B1220" s="8">
        <v>1</v>
      </c>
      <c r="C1220" s="9">
        <v>777.49</v>
      </c>
      <c r="D1220" s="29">
        <f>C1220+IF(INDEX('Справочник по %'!B:B,(MATCH(A1220,'Справочник по %'!A:A,0)))="кол-во",B1220*INDEX('Справочник по %'!C:C,(MATCH(A1220,'Справочник по %'!A:A,0))),ОТЧЕТ!C1220*INDEX('Справочник по %'!C:C,(MATCH(A1220,'Справочник по %'!A:A,0))))/100</f>
        <v>777.69</v>
      </c>
      <c r="E1220" s="29">
        <f>IF(ОТЧЕТ!A1220="SKU3",C1220+ОТЧЕТ!C1220*0.2,C1220+ОТЧЕТ!C1220*0.15)</f>
        <v>894.11350000000004</v>
      </c>
      <c r="F1220" s="7" t="s">
        <v>2703</v>
      </c>
      <c r="G1220" s="7">
        <v>7705947629</v>
      </c>
      <c r="H1220" s="20" t="s">
        <v>50</v>
      </c>
      <c r="I1220" s="22" t="str">
        <f>INDEX('Справочник Сети'!B:B,(MATCH(G1220,'Справочник Сети'!C:C,0)))</f>
        <v>36,6</v>
      </c>
      <c r="J1220" s="7" t="s">
        <v>104</v>
      </c>
      <c r="K1220" s="7" t="s">
        <v>433</v>
      </c>
      <c r="L1220" s="7" t="s">
        <v>104</v>
      </c>
      <c r="M1220" s="31">
        <v>45693</v>
      </c>
      <c r="N1220" s="7" t="s">
        <v>2732</v>
      </c>
      <c r="O1220" s="8">
        <v>1688</v>
      </c>
      <c r="P1220" s="24">
        <v>5610</v>
      </c>
      <c r="Q1220" s="22">
        <f>IF(COUNTIFS(A$2:A1220,A1220,I$2:I1220,I1220)=1,1,0)</f>
        <v>0</v>
      </c>
      <c r="R1220" s="22">
        <f t="shared" si="19"/>
        <v>1</v>
      </c>
      <c r="S1220" s="33">
        <f>IF(COUNTIF(O$2:O1220,O1220)=1,R1220,0)/2.5</f>
        <v>0.4</v>
      </c>
    </row>
    <row r="1221" spans="1:19" ht="18" customHeight="1" x14ac:dyDescent="0.25">
      <c r="A1221" s="7" t="s">
        <v>43</v>
      </c>
      <c r="B1221" s="8">
        <v>1</v>
      </c>
      <c r="C1221" s="9">
        <v>440</v>
      </c>
      <c r="D1221" s="29">
        <f>C1221+IF(INDEX('Справочник по %'!B:B,(MATCH(A1221,'Справочник по %'!A:A,0)))="кол-во",B1221*INDEX('Справочник по %'!C:C,(MATCH(A1221,'Справочник по %'!A:A,0))),ОТЧЕТ!C1221*INDEX('Справочник по %'!C:C,(MATCH(A1221,'Справочник по %'!A:A,0))))/100</f>
        <v>484</v>
      </c>
      <c r="E1221" s="29">
        <f>IF(ОТЧЕТ!A1221="SKU3",C1221+ОТЧЕТ!C1221*0.2,C1221+ОТЧЕТ!C1221*0.15)</f>
        <v>506</v>
      </c>
      <c r="F1221" s="7" t="s">
        <v>2703</v>
      </c>
      <c r="G1221" s="7">
        <v>6673189456</v>
      </c>
      <c r="H1221" s="20" t="s">
        <v>132</v>
      </c>
      <c r="I1221" s="22" t="str">
        <f>INDEX('Справочник Сети'!B:B,(MATCH(G1221,'Справочник Сети'!C:C,0)))</f>
        <v>Столички</v>
      </c>
      <c r="J1221" s="7" t="s">
        <v>133</v>
      </c>
      <c r="K1221" s="7" t="s">
        <v>1129</v>
      </c>
      <c r="L1221" s="7" t="s">
        <v>133</v>
      </c>
      <c r="M1221" s="31">
        <v>45695</v>
      </c>
      <c r="N1221" s="7" t="s">
        <v>2733</v>
      </c>
      <c r="O1221" s="8">
        <v>2265</v>
      </c>
      <c r="P1221" s="24">
        <v>5613</v>
      </c>
      <c r="Q1221" s="22">
        <f>IF(COUNTIFS(A$2:A1221,A1221,I$2:I1221,I1221)=1,1,0)</f>
        <v>0</v>
      </c>
      <c r="R1221" s="22">
        <f t="shared" si="19"/>
        <v>1</v>
      </c>
      <c r="S1221" s="33">
        <f>IF(COUNTIF(O$2:O1221,O1221)=1,R1221,0)/2.5</f>
        <v>0.4</v>
      </c>
    </row>
    <row r="1222" spans="1:19" ht="18" customHeight="1" x14ac:dyDescent="0.25">
      <c r="A1222" s="7" t="s">
        <v>43</v>
      </c>
      <c r="B1222" s="8">
        <v>1</v>
      </c>
      <c r="C1222" s="9">
        <v>395</v>
      </c>
      <c r="D1222" s="29">
        <f>C1222+IF(INDEX('Справочник по %'!B:B,(MATCH(A1222,'Справочник по %'!A:A,0)))="кол-во",B1222*INDEX('Справочник по %'!C:C,(MATCH(A1222,'Справочник по %'!A:A,0))),ОТЧЕТ!C1222*INDEX('Справочник по %'!C:C,(MATCH(A1222,'Справочник по %'!A:A,0))))/100</f>
        <v>434.5</v>
      </c>
      <c r="E1222" s="29">
        <f>IF(ОТЧЕТ!A1222="SKU3",C1222+ОТЧЕТ!C1222*0.2,C1222+ОТЧЕТ!C1222*0.15)</f>
        <v>454.25</v>
      </c>
      <c r="F1222" s="7" t="s">
        <v>2703</v>
      </c>
      <c r="G1222" s="7">
        <v>7706795062</v>
      </c>
      <c r="H1222" s="20" t="s">
        <v>327</v>
      </c>
      <c r="I1222" s="22" t="str">
        <f>INDEX('Справочник Сети'!B:B,(MATCH(G1222,'Справочник Сети'!C:C,0)))</f>
        <v>Планета здоровья</v>
      </c>
      <c r="J1222" s="7" t="s">
        <v>87</v>
      </c>
      <c r="K1222" s="7" t="s">
        <v>2734</v>
      </c>
      <c r="L1222" s="7" t="s">
        <v>116</v>
      </c>
      <c r="M1222" s="31">
        <v>45692</v>
      </c>
      <c r="N1222" s="7" t="s">
        <v>2735</v>
      </c>
      <c r="O1222" s="8">
        <v>1232</v>
      </c>
      <c r="P1222" s="24">
        <v>5615</v>
      </c>
      <c r="Q1222" s="22">
        <f>IF(COUNTIFS(A$2:A1222,A1222,I$2:I1222,I1222)=1,1,0)</f>
        <v>0</v>
      </c>
      <c r="R1222" s="22">
        <f t="shared" si="19"/>
        <v>3</v>
      </c>
      <c r="S1222" s="33">
        <f>IF(COUNTIF(O$2:O1222,O1222)=1,R1222,0)/2.5</f>
        <v>1.2</v>
      </c>
    </row>
    <row r="1223" spans="1:19" ht="18" customHeight="1" x14ac:dyDescent="0.25">
      <c r="A1223" s="7" t="s">
        <v>43</v>
      </c>
      <c r="B1223" s="8">
        <v>1</v>
      </c>
      <c r="C1223" s="9">
        <v>375</v>
      </c>
      <c r="D1223" s="29">
        <f>C1223+IF(INDEX('Справочник по %'!B:B,(MATCH(A1223,'Справочник по %'!A:A,0)))="кол-во",B1223*INDEX('Справочник по %'!C:C,(MATCH(A1223,'Справочник по %'!A:A,0))),ОТЧЕТ!C1223*INDEX('Справочник по %'!C:C,(MATCH(A1223,'Справочник по %'!A:A,0))))/100</f>
        <v>412.5</v>
      </c>
      <c r="E1223" s="29">
        <f>IF(ОТЧЕТ!A1223="SKU3",C1223+ОТЧЕТ!C1223*0.2,C1223+ОТЧЕТ!C1223*0.15)</f>
        <v>431.25</v>
      </c>
      <c r="F1223" s="7" t="s">
        <v>2703</v>
      </c>
      <c r="G1223" s="7">
        <v>2225105670</v>
      </c>
      <c r="H1223" s="20" t="s">
        <v>69</v>
      </c>
      <c r="I1223" s="22" t="str">
        <f>INDEX('Справочник Сети'!B:B,(MATCH(G1223,'Справочник Сети'!C:C,0)))</f>
        <v>Столички</v>
      </c>
      <c r="J1223" s="7" t="s">
        <v>372</v>
      </c>
      <c r="K1223" s="7" t="s">
        <v>1098</v>
      </c>
      <c r="L1223" s="7" t="s">
        <v>372</v>
      </c>
      <c r="M1223" s="31">
        <v>45730</v>
      </c>
      <c r="N1223" s="7" t="s">
        <v>2736</v>
      </c>
      <c r="O1223" s="8">
        <v>1054</v>
      </c>
      <c r="P1223" s="24">
        <v>5618</v>
      </c>
      <c r="Q1223" s="22">
        <f>IF(COUNTIFS(A$2:A1223,A1223,I$2:I1223,I1223)=1,1,0)</f>
        <v>0</v>
      </c>
      <c r="R1223" s="22">
        <f t="shared" si="19"/>
        <v>3</v>
      </c>
      <c r="S1223" s="33">
        <f>IF(COUNTIF(O$2:O1223,O1223)=1,R1223,0)/2.5</f>
        <v>1.2</v>
      </c>
    </row>
    <row r="1224" spans="1:19" ht="18" customHeight="1" x14ac:dyDescent="0.25">
      <c r="A1224" s="7" t="s">
        <v>43</v>
      </c>
      <c r="B1224" s="8">
        <v>1</v>
      </c>
      <c r="C1224" s="9">
        <v>497</v>
      </c>
      <c r="D1224" s="29">
        <f>C1224+IF(INDEX('Справочник по %'!B:B,(MATCH(A1224,'Справочник по %'!A:A,0)))="кол-во",B1224*INDEX('Справочник по %'!C:C,(MATCH(A1224,'Справочник по %'!A:A,0))),ОТЧЕТ!C1224*INDEX('Справочник по %'!C:C,(MATCH(A1224,'Справочник по %'!A:A,0))))/100</f>
        <v>546.70000000000005</v>
      </c>
      <c r="E1224" s="29">
        <f>IF(ОТЧЕТ!A1224="SKU3",C1224+ОТЧЕТ!C1224*0.2,C1224+ОТЧЕТ!C1224*0.15)</f>
        <v>571.54999999999995</v>
      </c>
      <c r="F1224" s="7" t="s">
        <v>2703</v>
      </c>
      <c r="G1224" s="7">
        <v>7705947629</v>
      </c>
      <c r="H1224" s="20" t="s">
        <v>50</v>
      </c>
      <c r="I1224" s="22" t="str">
        <f>INDEX('Справочник Сети'!B:B,(MATCH(G1224,'Справочник Сети'!C:C,0)))</f>
        <v>36,6</v>
      </c>
      <c r="J1224" s="7" t="s">
        <v>116</v>
      </c>
      <c r="K1224" s="7" t="s">
        <v>1163</v>
      </c>
      <c r="L1224" s="7" t="s">
        <v>116</v>
      </c>
      <c r="M1224" s="31">
        <v>45692</v>
      </c>
      <c r="N1224" s="7" t="s">
        <v>2737</v>
      </c>
      <c r="O1224" s="8">
        <v>3756</v>
      </c>
      <c r="P1224" s="24">
        <v>5621</v>
      </c>
      <c r="Q1224" s="22">
        <f>IF(COUNTIFS(A$2:A1224,A1224,I$2:I1224,I1224)=1,1,0)</f>
        <v>0</v>
      </c>
      <c r="R1224" s="22">
        <f t="shared" si="19"/>
        <v>4</v>
      </c>
      <c r="S1224" s="33">
        <f>IF(COUNTIF(O$2:O1224,O1224)=1,R1224,0)/2.5</f>
        <v>0</v>
      </c>
    </row>
    <row r="1225" spans="1:19" ht="18" customHeight="1" x14ac:dyDescent="0.25">
      <c r="A1225" s="7" t="s">
        <v>43</v>
      </c>
      <c r="B1225" s="8">
        <v>1</v>
      </c>
      <c r="C1225" s="9">
        <v>396</v>
      </c>
      <c r="D1225" s="29">
        <f>C1225+IF(INDEX('Справочник по %'!B:B,(MATCH(A1225,'Справочник по %'!A:A,0)))="кол-во",B1225*INDEX('Справочник по %'!C:C,(MATCH(A1225,'Справочник по %'!A:A,0))),ОТЧЕТ!C1225*INDEX('Справочник по %'!C:C,(MATCH(A1225,'Справочник по %'!A:A,0))))/100</f>
        <v>435.6</v>
      </c>
      <c r="E1225" s="29">
        <f>IF(ОТЧЕТ!A1225="SKU3",C1225+ОТЧЕТ!C1225*0.2,C1225+ОТЧЕТ!C1225*0.15)</f>
        <v>455.4</v>
      </c>
      <c r="F1225" s="7" t="s">
        <v>2703</v>
      </c>
      <c r="G1225" s="7">
        <v>7706795062</v>
      </c>
      <c r="H1225" s="20" t="s">
        <v>2705</v>
      </c>
      <c r="I1225" s="22" t="str">
        <f>INDEX('Справочник Сети'!B:B,(MATCH(G1225,'Справочник Сети'!C:C,0)))</f>
        <v>Планета здоровья</v>
      </c>
      <c r="J1225" s="7" t="s">
        <v>87</v>
      </c>
      <c r="K1225" s="7" t="s">
        <v>2718</v>
      </c>
      <c r="L1225" s="7" t="s">
        <v>87</v>
      </c>
      <c r="M1225" s="31">
        <v>45691</v>
      </c>
      <c r="N1225" s="7" t="s">
        <v>2738</v>
      </c>
      <c r="O1225" s="8">
        <v>2879</v>
      </c>
      <c r="P1225" s="24">
        <v>5623</v>
      </c>
      <c r="Q1225" s="22">
        <f>IF(COUNTIFS(A$2:A1225,A1225,I$2:I1225,I1225)=1,1,0)</f>
        <v>0</v>
      </c>
      <c r="R1225" s="22">
        <f t="shared" si="19"/>
        <v>3</v>
      </c>
      <c r="S1225" s="33">
        <f>IF(COUNTIF(O$2:O1225,O1225)=1,R1225,0)/2.5</f>
        <v>0</v>
      </c>
    </row>
    <row r="1226" spans="1:19" ht="18" customHeight="1" x14ac:dyDescent="0.25">
      <c r="A1226" s="7" t="s">
        <v>43</v>
      </c>
      <c r="B1226" s="8">
        <v>1</v>
      </c>
      <c r="C1226" s="9">
        <v>456</v>
      </c>
      <c r="D1226" s="29">
        <f>C1226+IF(INDEX('Справочник по %'!B:B,(MATCH(A1226,'Справочник по %'!A:A,0)))="кол-во",B1226*INDEX('Справочник по %'!C:C,(MATCH(A1226,'Справочник по %'!A:A,0))),ОТЧЕТ!C1226*INDEX('Справочник по %'!C:C,(MATCH(A1226,'Справочник по %'!A:A,0))))/100</f>
        <v>501.6</v>
      </c>
      <c r="E1226" s="29">
        <f>IF(ОТЧЕТ!A1226="SKU3",C1226+ОТЧЕТ!C1226*0.2,C1226+ОТЧЕТ!C1226*0.15)</f>
        <v>524.4</v>
      </c>
      <c r="F1226" s="7" t="s">
        <v>2703</v>
      </c>
      <c r="G1226" s="7">
        <v>5501207372</v>
      </c>
      <c r="H1226" s="20" t="s">
        <v>50</v>
      </c>
      <c r="I1226" s="22" t="str">
        <f>INDEX('Справочник Сети'!B:B,(MATCH(G1226,'Справочник Сети'!C:C,0)))</f>
        <v>Ригла</v>
      </c>
      <c r="J1226" s="7" t="s">
        <v>255</v>
      </c>
      <c r="K1226" s="7" t="s">
        <v>558</v>
      </c>
      <c r="L1226" s="7" t="s">
        <v>255</v>
      </c>
      <c r="M1226" s="31">
        <v>45713</v>
      </c>
      <c r="N1226" s="7" t="s">
        <v>2739</v>
      </c>
      <c r="O1226" s="8">
        <v>351</v>
      </c>
      <c r="P1226" s="24">
        <v>5629</v>
      </c>
      <c r="Q1226" s="22">
        <f>IF(COUNTIFS(A$2:A1226,A1226,I$2:I1226,I1226)=1,1,0)</f>
        <v>0</v>
      </c>
      <c r="R1226" s="22">
        <f t="shared" si="19"/>
        <v>2</v>
      </c>
      <c r="S1226" s="33">
        <f>IF(COUNTIF(O$2:O1226,O1226)=1,R1226,0)/2.5</f>
        <v>0.8</v>
      </c>
    </row>
    <row r="1227" spans="1:19" ht="18" customHeight="1" x14ac:dyDescent="0.25">
      <c r="A1227" s="7" t="s">
        <v>37</v>
      </c>
      <c r="B1227" s="8">
        <v>1</v>
      </c>
      <c r="C1227" s="9">
        <v>554</v>
      </c>
      <c r="D1227" s="29">
        <f>C1227+IF(INDEX('Справочник по %'!B:B,(MATCH(A1227,'Справочник по %'!A:A,0)))="кол-во",B1227*INDEX('Справочник по %'!C:C,(MATCH(A1227,'Справочник по %'!A:A,0))),ОТЧЕТ!C1227*INDEX('Справочник по %'!C:C,(MATCH(A1227,'Справочник по %'!A:A,0))))/100</f>
        <v>554.20000000000005</v>
      </c>
      <c r="E1227" s="29">
        <f>IF(ОТЧЕТ!A1227="SKU3",C1227+ОТЧЕТ!C1227*0.2,C1227+ОТЧЕТ!C1227*0.15)</f>
        <v>637.1</v>
      </c>
      <c r="F1227" s="7" t="s">
        <v>2703</v>
      </c>
      <c r="G1227" s="7">
        <v>7706795062</v>
      </c>
      <c r="H1227" s="20" t="s">
        <v>687</v>
      </c>
      <c r="I1227" s="22" t="str">
        <f>INDEX('Справочник Сети'!B:B,(MATCH(G1227,'Справочник Сети'!C:C,0)))</f>
        <v>Планета здоровья</v>
      </c>
      <c r="J1227" s="7" t="s">
        <v>87</v>
      </c>
      <c r="K1227" s="7" t="s">
        <v>2082</v>
      </c>
      <c r="L1227" s="7" t="s">
        <v>87</v>
      </c>
      <c r="M1227" s="31">
        <v>45691</v>
      </c>
      <c r="N1227" s="7" t="s">
        <v>2740</v>
      </c>
      <c r="O1227" s="8">
        <v>2278</v>
      </c>
      <c r="P1227" s="24">
        <v>5631</v>
      </c>
      <c r="Q1227" s="22">
        <f>IF(COUNTIFS(A$2:A1227,A1227,I$2:I1227,I1227)=1,1,0)</f>
        <v>0</v>
      </c>
      <c r="R1227" s="22">
        <f t="shared" si="19"/>
        <v>3</v>
      </c>
      <c r="S1227" s="33">
        <f>IF(COUNTIF(O$2:O1227,O1227)=1,R1227,0)/2.5</f>
        <v>1.2</v>
      </c>
    </row>
    <row r="1228" spans="1:19" ht="18" customHeight="1" x14ac:dyDescent="0.25">
      <c r="A1228" s="7" t="s">
        <v>37</v>
      </c>
      <c r="B1228" s="8">
        <v>1</v>
      </c>
      <c r="C1228" s="9">
        <v>574.5</v>
      </c>
      <c r="D1228" s="29">
        <f>C1228+IF(INDEX('Справочник по %'!B:B,(MATCH(A1228,'Справочник по %'!A:A,0)))="кол-во",B1228*INDEX('Справочник по %'!C:C,(MATCH(A1228,'Справочник по %'!A:A,0))),ОТЧЕТ!C1228*INDEX('Справочник по %'!C:C,(MATCH(A1228,'Справочник по %'!A:A,0))))/100</f>
        <v>574.70000000000005</v>
      </c>
      <c r="E1228" s="29">
        <f>IF(ОТЧЕТ!A1228="SKU3",C1228+ОТЧЕТ!C1228*0.2,C1228+ОТЧЕТ!C1228*0.15)</f>
        <v>660.67499999999995</v>
      </c>
      <c r="F1228" s="7" t="s">
        <v>2703</v>
      </c>
      <c r="G1228" s="7">
        <v>6722022100</v>
      </c>
      <c r="H1228" s="20" t="s">
        <v>50</v>
      </c>
      <c r="I1228" s="22">
        <f>INDEX('Справочник Сети'!B:B,(MATCH(G1228,'Справочник Сети'!C:C,0)))</f>
        <v>0</v>
      </c>
      <c r="J1228" s="7" t="s">
        <v>106</v>
      </c>
      <c r="K1228" s="7" t="s">
        <v>2082</v>
      </c>
      <c r="L1228" s="7" t="s">
        <v>106</v>
      </c>
      <c r="M1228" s="31">
        <v>45694</v>
      </c>
      <c r="N1228" s="7" t="s">
        <v>2741</v>
      </c>
      <c r="O1228" s="8">
        <v>1700</v>
      </c>
      <c r="P1228" s="24">
        <v>5633</v>
      </c>
      <c r="Q1228" s="22">
        <f>IF(COUNTIFS(A$2:A1228,A1228,I$2:I1228,I1228)=1,1,0)</f>
        <v>0</v>
      </c>
      <c r="R1228" s="22">
        <f t="shared" si="19"/>
        <v>5</v>
      </c>
      <c r="S1228" s="33">
        <f>IF(COUNTIF(O$2:O1228,O1228)=1,R1228,0)/2.5</f>
        <v>0</v>
      </c>
    </row>
    <row r="1229" spans="1:19" ht="18" customHeight="1" x14ac:dyDescent="0.25">
      <c r="A1229" s="7" t="s">
        <v>43</v>
      </c>
      <c r="B1229" s="8">
        <v>1</v>
      </c>
      <c r="C1229" s="9">
        <v>395</v>
      </c>
      <c r="D1229" s="29">
        <f>C1229+IF(INDEX('Справочник по %'!B:B,(MATCH(A1229,'Справочник по %'!A:A,0)))="кол-во",B1229*INDEX('Справочник по %'!C:C,(MATCH(A1229,'Справочник по %'!A:A,0))),ОТЧЕТ!C1229*INDEX('Справочник по %'!C:C,(MATCH(A1229,'Справочник по %'!A:A,0))))/100</f>
        <v>434.5</v>
      </c>
      <c r="E1229" s="29">
        <f>IF(ОТЧЕТ!A1229="SKU3",C1229+ОТЧЕТ!C1229*0.2,C1229+ОТЧЕТ!C1229*0.15)</f>
        <v>454.25</v>
      </c>
      <c r="F1229" s="7" t="s">
        <v>2703</v>
      </c>
      <c r="G1229" s="7">
        <v>6164289657</v>
      </c>
      <c r="H1229" s="20" t="s">
        <v>50</v>
      </c>
      <c r="I1229" s="22">
        <f>INDEX('Справочник Сети'!B:B,(MATCH(G1229,'Справочник Сети'!C:C,0)))</f>
        <v>0</v>
      </c>
      <c r="J1229" s="7" t="s">
        <v>520</v>
      </c>
      <c r="K1229" s="7" t="s">
        <v>1000</v>
      </c>
      <c r="L1229" s="7" t="s">
        <v>520</v>
      </c>
      <c r="M1229" s="31">
        <v>45697</v>
      </c>
      <c r="N1229" s="7" t="s">
        <v>2742</v>
      </c>
      <c r="O1229" s="8">
        <v>2206</v>
      </c>
      <c r="P1229" s="24">
        <v>5638</v>
      </c>
      <c r="Q1229" s="22">
        <f>IF(COUNTIFS(A$2:A1229,A1229,I$2:I1229,I1229)=1,1,0)</f>
        <v>0</v>
      </c>
      <c r="R1229" s="22">
        <f t="shared" si="19"/>
        <v>1</v>
      </c>
      <c r="S1229" s="33">
        <f>IF(COUNTIF(O$2:O1229,O1229)=1,R1229,0)/2.5</f>
        <v>0.4</v>
      </c>
    </row>
    <row r="1230" spans="1:19" ht="18" customHeight="1" x14ac:dyDescent="0.25">
      <c r="A1230" s="7" t="s">
        <v>43</v>
      </c>
      <c r="B1230" s="8">
        <v>1</v>
      </c>
      <c r="C1230" s="9">
        <v>397</v>
      </c>
      <c r="D1230" s="29">
        <f>C1230+IF(INDEX('Справочник по %'!B:B,(MATCH(A1230,'Справочник по %'!A:A,0)))="кол-во",B1230*INDEX('Справочник по %'!C:C,(MATCH(A1230,'Справочник по %'!A:A,0))),ОТЧЕТ!C1230*INDEX('Справочник по %'!C:C,(MATCH(A1230,'Справочник по %'!A:A,0))))/100</f>
        <v>436.7</v>
      </c>
      <c r="E1230" s="29">
        <f>IF(ОТЧЕТ!A1230="SKU3",C1230+ОТЧЕТ!C1230*0.2,C1230+ОТЧЕТ!C1230*0.15)</f>
        <v>456.55</v>
      </c>
      <c r="F1230" s="7" t="s">
        <v>2703</v>
      </c>
      <c r="G1230" s="7">
        <v>7732121736</v>
      </c>
      <c r="H1230" s="20" t="s">
        <v>2743</v>
      </c>
      <c r="I1230" s="22" t="str">
        <f>INDEX('Справочник Сети'!B:B,(MATCH(G1230,'Справочник Сети'!C:C,0)))</f>
        <v>Планета здоровья</v>
      </c>
      <c r="J1230" s="7" t="s">
        <v>149</v>
      </c>
      <c r="K1230" s="7" t="s">
        <v>2744</v>
      </c>
      <c r="L1230" s="7" t="s">
        <v>142</v>
      </c>
      <c r="M1230" s="31">
        <v>45674</v>
      </c>
      <c r="N1230" s="7" t="s">
        <v>2745</v>
      </c>
      <c r="O1230" s="8">
        <v>128</v>
      </c>
      <c r="P1230" s="24">
        <v>5639</v>
      </c>
      <c r="Q1230" s="22">
        <f>IF(COUNTIFS(A$2:A1230,A1230,I$2:I1230,I1230)=1,1,0)</f>
        <v>0</v>
      </c>
      <c r="R1230" s="22">
        <f t="shared" si="19"/>
        <v>2</v>
      </c>
      <c r="S1230" s="33">
        <f>IF(COUNTIF(O$2:O1230,O1230)=1,R1230,0)/2.5</f>
        <v>0.8</v>
      </c>
    </row>
    <row r="1231" spans="1:19" ht="18" customHeight="1" x14ac:dyDescent="0.25">
      <c r="A1231" s="7" t="s">
        <v>43</v>
      </c>
      <c r="B1231" s="8">
        <v>1</v>
      </c>
      <c r="C1231" s="9">
        <v>400</v>
      </c>
      <c r="D1231" s="29">
        <f>C1231+IF(INDEX('Справочник по %'!B:B,(MATCH(A1231,'Справочник по %'!A:A,0)))="кол-во",B1231*INDEX('Справочник по %'!C:C,(MATCH(A1231,'Справочник по %'!A:A,0))),ОТЧЕТ!C1231*INDEX('Справочник по %'!C:C,(MATCH(A1231,'Справочник по %'!A:A,0))))/100</f>
        <v>440</v>
      </c>
      <c r="E1231" s="29">
        <f>IF(ОТЧЕТ!A1231="SKU3",C1231+ОТЧЕТ!C1231*0.2,C1231+ОТЧЕТ!C1231*0.15)</f>
        <v>460</v>
      </c>
      <c r="F1231" s="7" t="s">
        <v>2703</v>
      </c>
      <c r="G1231" s="7">
        <v>9103070398</v>
      </c>
      <c r="H1231" s="20" t="s">
        <v>50</v>
      </c>
      <c r="I1231" s="22">
        <f>INDEX('Справочник Сети'!B:B,(MATCH(G1231,'Справочник Сети'!C:C,0)))</f>
        <v>0</v>
      </c>
      <c r="J1231" s="7" t="s">
        <v>737</v>
      </c>
      <c r="K1231" s="7" t="s">
        <v>1469</v>
      </c>
      <c r="L1231" s="7" t="s">
        <v>737</v>
      </c>
      <c r="M1231" s="31">
        <v>45669</v>
      </c>
      <c r="N1231" s="7" t="s">
        <v>1469</v>
      </c>
      <c r="O1231" s="8">
        <v>3436</v>
      </c>
      <c r="P1231" s="24">
        <v>5643</v>
      </c>
      <c r="Q1231" s="22">
        <f>IF(COUNTIFS(A$2:A1231,A1231,I$2:I1231,I1231)=1,1,0)</f>
        <v>0</v>
      </c>
      <c r="R1231" s="22">
        <f t="shared" si="19"/>
        <v>3</v>
      </c>
      <c r="S1231" s="33">
        <f>IF(COUNTIF(O$2:O1231,O1231)=1,R1231,0)/2.5</f>
        <v>0</v>
      </c>
    </row>
    <row r="1232" spans="1:19" ht="18" customHeight="1" x14ac:dyDescent="0.25">
      <c r="A1232" s="7" t="s">
        <v>43</v>
      </c>
      <c r="B1232" s="8">
        <v>1</v>
      </c>
      <c r="C1232" s="9">
        <v>448</v>
      </c>
      <c r="D1232" s="29">
        <f>C1232+IF(INDEX('Справочник по %'!B:B,(MATCH(A1232,'Справочник по %'!A:A,0)))="кол-во",B1232*INDEX('Справочник по %'!C:C,(MATCH(A1232,'Справочник по %'!A:A,0))),ОТЧЕТ!C1232*INDEX('Справочник по %'!C:C,(MATCH(A1232,'Справочник по %'!A:A,0))))/100</f>
        <v>492.8</v>
      </c>
      <c r="E1232" s="29">
        <f>IF(ОТЧЕТ!A1232="SKU3",C1232+ОТЧЕТ!C1232*0.2,C1232+ОТЧЕТ!C1232*0.15)</f>
        <v>515.20000000000005</v>
      </c>
      <c r="F1232" s="7" t="s">
        <v>2746</v>
      </c>
      <c r="G1232" s="7">
        <v>7704729709</v>
      </c>
      <c r="H1232" s="20" t="s">
        <v>64</v>
      </c>
      <c r="I1232" s="22">
        <f>INDEX('Справочник Сети'!B:B,(MATCH(G1232,'Справочник Сети'!C:C,0)))</f>
        <v>0</v>
      </c>
      <c r="J1232" s="7" t="s">
        <v>104</v>
      </c>
      <c r="K1232" s="7" t="s">
        <v>2747</v>
      </c>
      <c r="L1232" s="7" t="s">
        <v>104</v>
      </c>
      <c r="M1232" s="31">
        <v>45693</v>
      </c>
      <c r="N1232" s="7" t="s">
        <v>2748</v>
      </c>
      <c r="O1232" s="8">
        <v>833</v>
      </c>
      <c r="P1232" s="24">
        <v>5645</v>
      </c>
      <c r="Q1232" s="22">
        <f>IF(COUNTIFS(A$2:A1232,A1232,I$2:I1232,I1232)=1,1,0)</f>
        <v>0</v>
      </c>
      <c r="R1232" s="22">
        <f t="shared" si="19"/>
        <v>6</v>
      </c>
      <c r="S1232" s="33">
        <f>IF(COUNTIF(O$2:O1232,O1232)=1,R1232,0)/2.5</f>
        <v>2.4</v>
      </c>
    </row>
    <row r="1233" spans="1:19" ht="18" customHeight="1" x14ac:dyDescent="0.25">
      <c r="A1233" s="7" t="s">
        <v>43</v>
      </c>
      <c r="B1233" s="8">
        <v>1</v>
      </c>
      <c r="C1233" s="9">
        <v>370</v>
      </c>
      <c r="D1233" s="29">
        <f>C1233+IF(INDEX('Справочник по %'!B:B,(MATCH(A1233,'Справочник по %'!A:A,0)))="кол-во",B1233*INDEX('Справочник по %'!C:C,(MATCH(A1233,'Справочник по %'!A:A,0))),ОТЧЕТ!C1233*INDEX('Справочник по %'!C:C,(MATCH(A1233,'Справочник по %'!A:A,0))))/100</f>
        <v>407</v>
      </c>
      <c r="E1233" s="29">
        <f>IF(ОТЧЕТ!A1233="SKU3",C1233+ОТЧЕТ!C1233*0.2,C1233+ОТЧЕТ!C1233*0.15)</f>
        <v>425.5</v>
      </c>
      <c r="F1233" s="7" t="s">
        <v>2749</v>
      </c>
      <c r="G1233" s="7">
        <v>2225105670</v>
      </c>
      <c r="H1233" s="20" t="s">
        <v>69</v>
      </c>
      <c r="I1233" s="22" t="str">
        <f>INDEX('Справочник Сети'!B:B,(MATCH(G1233,'Справочник Сети'!C:C,0)))</f>
        <v>Столички</v>
      </c>
      <c r="J1233" s="7" t="s">
        <v>372</v>
      </c>
      <c r="K1233" s="7" t="s">
        <v>165</v>
      </c>
      <c r="L1233" s="7" t="s">
        <v>372</v>
      </c>
      <c r="M1233" s="31">
        <v>45730</v>
      </c>
      <c r="N1233" s="7" t="s">
        <v>2750</v>
      </c>
      <c r="O1233" s="8">
        <v>1054</v>
      </c>
      <c r="P1233" s="24">
        <v>5649</v>
      </c>
      <c r="Q1233" s="22">
        <f>IF(COUNTIFS(A$2:A1233,A1233,I$2:I1233,I1233)=1,1,0)</f>
        <v>0</v>
      </c>
      <c r="R1233" s="22">
        <f t="shared" si="19"/>
        <v>3</v>
      </c>
      <c r="S1233" s="33">
        <f>IF(COUNTIF(O$2:O1233,O1233)=1,R1233,0)/2.5</f>
        <v>0</v>
      </c>
    </row>
    <row r="1234" spans="1:19" ht="18" customHeight="1" x14ac:dyDescent="0.25">
      <c r="A1234" s="7" t="s">
        <v>37</v>
      </c>
      <c r="B1234" s="8">
        <v>1</v>
      </c>
      <c r="C1234" s="9">
        <v>588</v>
      </c>
      <c r="D1234" s="29">
        <f>C1234+IF(INDEX('Справочник по %'!B:B,(MATCH(A1234,'Справочник по %'!A:A,0)))="кол-во",B1234*INDEX('Справочник по %'!C:C,(MATCH(A1234,'Справочник по %'!A:A,0))),ОТЧЕТ!C1234*INDEX('Справочник по %'!C:C,(MATCH(A1234,'Справочник по %'!A:A,0))))/100</f>
        <v>588.20000000000005</v>
      </c>
      <c r="E1234" s="29">
        <f>IF(ОТЧЕТ!A1234="SKU3",C1234+ОТЧЕТ!C1234*0.2,C1234+ОТЧЕТ!C1234*0.15)</f>
        <v>676.2</v>
      </c>
      <c r="F1234" s="7" t="s">
        <v>2751</v>
      </c>
      <c r="G1234" s="7">
        <v>550502319283</v>
      </c>
      <c r="H1234" s="20" t="s">
        <v>50</v>
      </c>
      <c r="I1234" s="22">
        <f>INDEX('Справочник Сети'!B:B,(MATCH(G1234,'Справочник Сети'!C:C,0)))</f>
        <v>0</v>
      </c>
      <c r="J1234" s="7" t="s">
        <v>251</v>
      </c>
      <c r="K1234" s="7" t="s">
        <v>1048</v>
      </c>
      <c r="L1234" s="7" t="s">
        <v>251</v>
      </c>
      <c r="M1234" s="31">
        <v>45659</v>
      </c>
      <c r="N1234" s="7" t="s">
        <v>2752</v>
      </c>
      <c r="O1234" s="8">
        <v>174</v>
      </c>
      <c r="P1234" s="24">
        <v>5653</v>
      </c>
      <c r="Q1234" s="22">
        <f>IF(COUNTIFS(A$2:A1234,A1234,I$2:I1234,I1234)=1,1,0)</f>
        <v>0</v>
      </c>
      <c r="R1234" s="22">
        <f t="shared" si="19"/>
        <v>1</v>
      </c>
      <c r="S1234" s="33">
        <f>IF(COUNTIF(O$2:O1234,O1234)=1,R1234,0)/2.5</f>
        <v>0.4</v>
      </c>
    </row>
    <row r="1235" spans="1:19" ht="18" customHeight="1" x14ac:dyDescent="0.25">
      <c r="A1235" s="7" t="s">
        <v>37</v>
      </c>
      <c r="B1235" s="8">
        <v>1</v>
      </c>
      <c r="C1235" s="9">
        <v>631.29999999999995</v>
      </c>
      <c r="D1235" s="29">
        <f>C1235+IF(INDEX('Справочник по %'!B:B,(MATCH(A1235,'Справочник по %'!A:A,0)))="кол-во",B1235*INDEX('Справочник по %'!C:C,(MATCH(A1235,'Справочник по %'!A:A,0))),ОТЧЕТ!C1235*INDEX('Справочник по %'!C:C,(MATCH(A1235,'Справочник по %'!A:A,0))))/100</f>
        <v>631.5</v>
      </c>
      <c r="E1235" s="29">
        <f>IF(ОТЧЕТ!A1235="SKU3",C1235+ОТЧЕТ!C1235*0.2,C1235+ОТЧЕТ!C1235*0.15)</f>
        <v>725.99499999999989</v>
      </c>
      <c r="F1235" s="7" t="s">
        <v>2753</v>
      </c>
      <c r="G1235" s="7">
        <v>6630006059</v>
      </c>
      <c r="H1235" s="20" t="s">
        <v>132</v>
      </c>
      <c r="I1235" s="22" t="str">
        <f>INDEX('Справочник Сети'!B:B,(MATCH(G1235,'Справочник Сети'!C:C,0)))</f>
        <v>Планета здоровья</v>
      </c>
      <c r="J1235" s="7" t="s">
        <v>133</v>
      </c>
      <c r="K1235" s="7" t="s">
        <v>1595</v>
      </c>
      <c r="L1235" s="7" t="s">
        <v>133</v>
      </c>
      <c r="M1235" s="31">
        <v>45695</v>
      </c>
      <c r="N1235" s="7" t="s">
        <v>2754</v>
      </c>
      <c r="O1235" s="8">
        <v>749</v>
      </c>
      <c r="P1235" s="24">
        <v>5663</v>
      </c>
      <c r="Q1235" s="22">
        <f>IF(COUNTIFS(A$2:A1235,A1235,I$2:I1235,I1235)=1,1,0)</f>
        <v>0</v>
      </c>
      <c r="R1235" s="22">
        <f t="shared" si="19"/>
        <v>2</v>
      </c>
      <c r="S1235" s="33">
        <f>IF(COUNTIF(O$2:O1235,O1235)=1,R1235,0)/2.5</f>
        <v>0.8</v>
      </c>
    </row>
    <row r="1236" spans="1:19" ht="18" customHeight="1" x14ac:dyDescent="0.25">
      <c r="A1236" s="7" t="s">
        <v>43</v>
      </c>
      <c r="B1236" s="8">
        <v>1</v>
      </c>
      <c r="C1236" s="9">
        <v>512</v>
      </c>
      <c r="D1236" s="29">
        <f>C1236+IF(INDEX('Справочник по %'!B:B,(MATCH(A1236,'Справочник по %'!A:A,0)))="кол-во",B1236*INDEX('Справочник по %'!C:C,(MATCH(A1236,'Справочник по %'!A:A,0))),ОТЧЕТ!C1236*INDEX('Справочник по %'!C:C,(MATCH(A1236,'Справочник по %'!A:A,0))))/100</f>
        <v>563.20000000000005</v>
      </c>
      <c r="E1236" s="29">
        <f>IF(ОТЧЕТ!A1236="SKU3",C1236+ОТЧЕТ!C1236*0.2,C1236+ОТЧЕТ!C1236*0.15)</f>
        <v>588.79999999999995</v>
      </c>
      <c r="F1236" s="7" t="s">
        <v>2753</v>
      </c>
      <c r="G1236" s="7">
        <v>2724157659</v>
      </c>
      <c r="H1236" s="20" t="s">
        <v>50</v>
      </c>
      <c r="I1236" s="22">
        <f>INDEX('Справочник Сети'!B:B,(MATCH(G1236,'Справочник Сети'!C:C,0)))</f>
        <v>0</v>
      </c>
      <c r="J1236" s="7" t="s">
        <v>1400</v>
      </c>
      <c r="K1236" s="7" t="s">
        <v>200</v>
      </c>
      <c r="L1236" s="7" t="s">
        <v>51</v>
      </c>
      <c r="M1236" s="31">
        <v>45725</v>
      </c>
      <c r="N1236" s="7" t="s">
        <v>2755</v>
      </c>
      <c r="O1236" s="8">
        <v>2695</v>
      </c>
      <c r="P1236" s="24">
        <v>5664</v>
      </c>
      <c r="Q1236" s="22">
        <f>IF(COUNTIFS(A$2:A1236,A1236,I$2:I1236,I1236)=1,1,0)</f>
        <v>0</v>
      </c>
      <c r="R1236" s="22">
        <f t="shared" si="19"/>
        <v>4</v>
      </c>
      <c r="S1236" s="33">
        <f>IF(COUNTIF(O$2:O1236,O1236)=1,R1236,0)/2.5</f>
        <v>0</v>
      </c>
    </row>
    <row r="1237" spans="1:19" ht="18" customHeight="1" x14ac:dyDescent="0.25">
      <c r="A1237" s="7" t="s">
        <v>43</v>
      </c>
      <c r="B1237" s="8">
        <v>1</v>
      </c>
      <c r="C1237" s="9">
        <v>453</v>
      </c>
      <c r="D1237" s="29">
        <f>C1237+IF(INDEX('Справочник по %'!B:B,(MATCH(A1237,'Справочник по %'!A:A,0)))="кол-во",B1237*INDEX('Справочник по %'!C:C,(MATCH(A1237,'Справочник по %'!A:A,0))),ОТЧЕТ!C1237*INDEX('Справочник по %'!C:C,(MATCH(A1237,'Справочник по %'!A:A,0))))/100</f>
        <v>498.3</v>
      </c>
      <c r="E1237" s="29">
        <f>IF(ОТЧЕТ!A1237="SKU3",C1237+ОТЧЕТ!C1237*0.2,C1237+ОТЧЕТ!C1237*0.15)</f>
        <v>520.95000000000005</v>
      </c>
      <c r="F1237" s="7" t="s">
        <v>2753</v>
      </c>
      <c r="G1237" s="7">
        <v>7128500722</v>
      </c>
      <c r="H1237" s="20" t="s">
        <v>91</v>
      </c>
      <c r="I1237" s="22">
        <f>INDEX('Справочник Сети'!B:B,(MATCH(G1237,'Справочник Сети'!C:C,0)))</f>
        <v>0</v>
      </c>
      <c r="J1237" s="7" t="s">
        <v>106</v>
      </c>
      <c r="K1237" s="7" t="s">
        <v>2089</v>
      </c>
      <c r="L1237" s="7" t="s">
        <v>106</v>
      </c>
      <c r="M1237" s="31">
        <v>45694</v>
      </c>
      <c r="N1237" s="7" t="s">
        <v>2756</v>
      </c>
      <c r="O1237" s="8">
        <v>2225</v>
      </c>
      <c r="P1237" s="24">
        <v>5665</v>
      </c>
      <c r="Q1237" s="22">
        <f>IF(COUNTIFS(A$2:A1237,A1237,I$2:I1237,I1237)=1,1,0)</f>
        <v>0</v>
      </c>
      <c r="R1237" s="22">
        <f t="shared" si="19"/>
        <v>2</v>
      </c>
      <c r="S1237" s="33">
        <f>IF(COUNTIF(O$2:O1237,O1237)=1,R1237,0)/2.5</f>
        <v>0</v>
      </c>
    </row>
    <row r="1238" spans="1:19" ht="18" customHeight="1" x14ac:dyDescent="0.25">
      <c r="A1238" s="7" t="s">
        <v>43</v>
      </c>
      <c r="B1238" s="8">
        <v>1</v>
      </c>
      <c r="C1238" s="9">
        <v>594</v>
      </c>
      <c r="D1238" s="29">
        <f>C1238+IF(INDEX('Справочник по %'!B:B,(MATCH(A1238,'Справочник по %'!A:A,0)))="кол-во",B1238*INDEX('Справочник по %'!C:C,(MATCH(A1238,'Справочник по %'!A:A,0))),ОТЧЕТ!C1238*INDEX('Справочник по %'!C:C,(MATCH(A1238,'Справочник по %'!A:A,0))))/100</f>
        <v>653.4</v>
      </c>
      <c r="E1238" s="29">
        <f>IF(ОТЧЕТ!A1238="SKU3",C1238+ОТЧЕТ!C1238*0.2,C1238+ОТЧЕТ!C1238*0.15)</f>
        <v>683.1</v>
      </c>
      <c r="F1238" s="7" t="s">
        <v>2753</v>
      </c>
      <c r="G1238" s="7">
        <v>7709068298</v>
      </c>
      <c r="H1238" s="20" t="s">
        <v>50</v>
      </c>
      <c r="I1238" s="22" t="str">
        <f>INDEX('Справочник Сети'!B:B,(MATCH(G1238,'Справочник Сети'!C:C,0)))</f>
        <v>36,6</v>
      </c>
      <c r="J1238" s="7" t="s">
        <v>504</v>
      </c>
      <c r="K1238" s="7" t="s">
        <v>1537</v>
      </c>
      <c r="L1238" s="7" t="s">
        <v>504</v>
      </c>
      <c r="M1238" s="31">
        <v>45690</v>
      </c>
      <c r="N1238" s="7" t="s">
        <v>2757</v>
      </c>
      <c r="O1238" s="8">
        <v>803</v>
      </c>
      <c r="P1238" s="24">
        <v>5667</v>
      </c>
      <c r="Q1238" s="22">
        <f>IF(COUNTIFS(A$2:A1238,A1238,I$2:I1238,I1238)=1,1,0)</f>
        <v>0</v>
      </c>
      <c r="R1238" s="22">
        <f t="shared" si="19"/>
        <v>2</v>
      </c>
      <c r="S1238" s="33">
        <f>IF(COUNTIF(O$2:O1238,O1238)=1,R1238,0)/2.5</f>
        <v>0</v>
      </c>
    </row>
    <row r="1239" spans="1:19" ht="18" customHeight="1" x14ac:dyDescent="0.25">
      <c r="A1239" s="7" t="s">
        <v>37</v>
      </c>
      <c r="B1239" s="8">
        <v>1</v>
      </c>
      <c r="C1239" s="9">
        <v>693</v>
      </c>
      <c r="D1239" s="29">
        <f>C1239+IF(INDEX('Справочник по %'!B:B,(MATCH(A1239,'Справочник по %'!A:A,0)))="кол-во",B1239*INDEX('Справочник по %'!C:C,(MATCH(A1239,'Справочник по %'!A:A,0))),ОТЧЕТ!C1239*INDEX('Справочник по %'!C:C,(MATCH(A1239,'Справочник по %'!A:A,0))))/100</f>
        <v>693.2</v>
      </c>
      <c r="E1239" s="29">
        <f>IF(ОТЧЕТ!A1239="SKU3",C1239+ОТЧЕТ!C1239*0.2,C1239+ОТЧЕТ!C1239*0.15)</f>
        <v>796.95</v>
      </c>
      <c r="F1239" s="7" t="s">
        <v>2758</v>
      </c>
      <c r="G1239" s="7">
        <v>7839481347</v>
      </c>
      <c r="H1239" s="20" t="s">
        <v>50</v>
      </c>
      <c r="I1239" s="22" t="str">
        <f>INDEX('Справочник Сети'!B:B,(MATCH(G1239,'Справочник Сети'!C:C,0)))</f>
        <v>Ригла</v>
      </c>
      <c r="J1239" s="7" t="s">
        <v>315</v>
      </c>
      <c r="K1239" s="7" t="s">
        <v>1828</v>
      </c>
      <c r="L1239" s="7" t="s">
        <v>121</v>
      </c>
      <c r="M1239" s="31">
        <v>45671</v>
      </c>
      <c r="N1239" s="7" t="s">
        <v>2759</v>
      </c>
      <c r="O1239" s="8">
        <v>2273</v>
      </c>
      <c r="P1239" s="24">
        <v>5669</v>
      </c>
      <c r="Q1239" s="22">
        <f>IF(COUNTIFS(A$2:A1239,A1239,I$2:I1239,I1239)=1,1,0)</f>
        <v>0</v>
      </c>
      <c r="R1239" s="22">
        <f t="shared" si="19"/>
        <v>3</v>
      </c>
      <c r="S1239" s="33">
        <f>IF(COUNTIF(O$2:O1239,O1239)=1,R1239,0)/2.5</f>
        <v>1.2</v>
      </c>
    </row>
    <row r="1240" spans="1:19" ht="18" customHeight="1" x14ac:dyDescent="0.25">
      <c r="A1240" s="7" t="s">
        <v>43</v>
      </c>
      <c r="B1240" s="8">
        <v>1</v>
      </c>
      <c r="C1240" s="9">
        <v>401</v>
      </c>
      <c r="D1240" s="29">
        <f>C1240+IF(INDEX('Справочник по %'!B:B,(MATCH(A1240,'Справочник по %'!A:A,0)))="кол-во",B1240*INDEX('Справочник по %'!C:C,(MATCH(A1240,'Справочник по %'!A:A,0))),ОТЧЕТ!C1240*INDEX('Справочник по %'!C:C,(MATCH(A1240,'Справочник по %'!A:A,0))))/100</f>
        <v>441.1</v>
      </c>
      <c r="E1240" s="29">
        <f>IF(ОТЧЕТ!A1240="SKU3",C1240+ОТЧЕТ!C1240*0.2,C1240+ОТЧЕТ!C1240*0.15)</f>
        <v>461.15</v>
      </c>
      <c r="F1240" s="7" t="s">
        <v>2760</v>
      </c>
      <c r="G1240" s="7">
        <v>7705947629</v>
      </c>
      <c r="H1240" s="20" t="s">
        <v>64</v>
      </c>
      <c r="I1240" s="22" t="str">
        <f>INDEX('Справочник Сети'!B:B,(MATCH(G1240,'Справочник Сети'!C:C,0)))</f>
        <v>36,6</v>
      </c>
      <c r="J1240" s="7" t="s">
        <v>104</v>
      </c>
      <c r="K1240" s="7" t="s">
        <v>2761</v>
      </c>
      <c r="L1240" s="7" t="s">
        <v>104</v>
      </c>
      <c r="M1240" s="31">
        <v>45693</v>
      </c>
      <c r="N1240" s="7" t="s">
        <v>2762</v>
      </c>
      <c r="O1240" s="8">
        <v>1340</v>
      </c>
      <c r="P1240" s="24">
        <v>5671</v>
      </c>
      <c r="Q1240" s="22">
        <f>IF(COUNTIFS(A$2:A1240,A1240,I$2:I1240,I1240)=1,1,0)</f>
        <v>0</v>
      </c>
      <c r="R1240" s="22">
        <f t="shared" si="19"/>
        <v>1</v>
      </c>
      <c r="S1240" s="33">
        <f>IF(COUNTIF(O$2:O1240,O1240)=1,R1240,0)/2.5</f>
        <v>0.4</v>
      </c>
    </row>
    <row r="1241" spans="1:19" ht="18" customHeight="1" x14ac:dyDescent="0.25">
      <c r="A1241" s="7" t="s">
        <v>43</v>
      </c>
      <c r="B1241" s="8">
        <v>1</v>
      </c>
      <c r="C1241" s="9">
        <v>580</v>
      </c>
      <c r="D1241" s="29">
        <f>C1241+IF(INDEX('Справочник по %'!B:B,(MATCH(A1241,'Справочник по %'!A:A,0)))="кол-во",B1241*INDEX('Справочник по %'!C:C,(MATCH(A1241,'Справочник по %'!A:A,0))),ОТЧЕТ!C1241*INDEX('Справочник по %'!C:C,(MATCH(A1241,'Справочник по %'!A:A,0))))/100</f>
        <v>638</v>
      </c>
      <c r="E1241" s="29">
        <f>IF(ОТЧЕТ!A1241="SKU3",C1241+ОТЧЕТ!C1241*0.2,C1241+ОТЧЕТ!C1241*0.15)</f>
        <v>667</v>
      </c>
      <c r="F1241" s="7" t="s">
        <v>2763</v>
      </c>
      <c r="G1241" s="7">
        <v>2723197553</v>
      </c>
      <c r="H1241" s="20" t="s">
        <v>50</v>
      </c>
      <c r="I1241" s="22" t="str">
        <f>INDEX('Справочник Сети'!B:B,(MATCH(G1241,'Справочник Сети'!C:C,0)))</f>
        <v>Ригла</v>
      </c>
      <c r="J1241" s="7" t="s">
        <v>51</v>
      </c>
      <c r="K1241" s="7" t="s">
        <v>398</v>
      </c>
      <c r="L1241" s="7" t="s">
        <v>46</v>
      </c>
      <c r="M1241" s="31">
        <v>45726</v>
      </c>
      <c r="N1241" s="7" t="s">
        <v>2764</v>
      </c>
      <c r="O1241" s="8">
        <v>1828</v>
      </c>
      <c r="P1241" s="24">
        <v>5674</v>
      </c>
      <c r="Q1241" s="22">
        <f>IF(COUNTIFS(A$2:A1241,A1241,I$2:I1241,I1241)=1,1,0)</f>
        <v>0</v>
      </c>
      <c r="R1241" s="22">
        <f t="shared" si="19"/>
        <v>2</v>
      </c>
      <c r="S1241" s="33">
        <f>IF(COUNTIF(O$2:O1241,O1241)=1,R1241,0)/2.5</f>
        <v>0</v>
      </c>
    </row>
    <row r="1242" spans="1:19" ht="18" customHeight="1" x14ac:dyDescent="0.25">
      <c r="A1242" s="7" t="s">
        <v>43</v>
      </c>
      <c r="B1242" s="8">
        <v>1</v>
      </c>
      <c r="C1242" s="9">
        <v>368</v>
      </c>
      <c r="D1242" s="29">
        <f>C1242+IF(INDEX('Справочник по %'!B:B,(MATCH(A1242,'Справочник по %'!A:A,0)))="кол-во",B1242*INDEX('Справочник по %'!C:C,(MATCH(A1242,'Справочник по %'!A:A,0))),ОТЧЕТ!C1242*INDEX('Справочник по %'!C:C,(MATCH(A1242,'Справочник по %'!A:A,0))))/100</f>
        <v>404.8</v>
      </c>
      <c r="E1242" s="29">
        <f>IF(ОТЧЕТ!A1242="SKU3",C1242+ОТЧЕТ!C1242*0.2,C1242+ОТЧЕТ!C1242*0.15)</f>
        <v>423.2</v>
      </c>
      <c r="F1242" s="7" t="s">
        <v>2763</v>
      </c>
      <c r="G1242" s="7">
        <v>7706795062</v>
      </c>
      <c r="H1242" s="20" t="s">
        <v>2243</v>
      </c>
      <c r="I1242" s="22" t="str">
        <f>INDEX('Справочник Сети'!B:B,(MATCH(G1242,'Справочник Сети'!C:C,0)))</f>
        <v>Планета здоровья</v>
      </c>
      <c r="J1242" s="7" t="s">
        <v>87</v>
      </c>
      <c r="K1242" s="7" t="s">
        <v>2097</v>
      </c>
      <c r="L1242" s="7" t="s">
        <v>87</v>
      </c>
      <c r="M1242" s="31">
        <v>45691</v>
      </c>
      <c r="N1242" s="7" t="s">
        <v>2765</v>
      </c>
      <c r="O1242" s="8">
        <v>1796</v>
      </c>
      <c r="P1242" s="24">
        <v>5677</v>
      </c>
      <c r="Q1242" s="22">
        <f>IF(COUNTIFS(A$2:A1242,A1242,I$2:I1242,I1242)=1,1,0)</f>
        <v>0</v>
      </c>
      <c r="R1242" s="22">
        <f t="shared" si="19"/>
        <v>8</v>
      </c>
      <c r="S1242" s="33">
        <f>IF(COUNTIF(O$2:O1242,O1242)=1,R1242,0)/2.5</f>
        <v>0</v>
      </c>
    </row>
    <row r="1243" spans="1:19" ht="18" customHeight="1" x14ac:dyDescent="0.25">
      <c r="A1243" s="7" t="s">
        <v>43</v>
      </c>
      <c r="B1243" s="8">
        <v>1</v>
      </c>
      <c r="C1243" s="9">
        <v>391.66</v>
      </c>
      <c r="D1243" s="29">
        <f>C1243+IF(INDEX('Справочник по %'!B:B,(MATCH(A1243,'Справочник по %'!A:A,0)))="кол-во",B1243*INDEX('Справочник по %'!C:C,(MATCH(A1243,'Справочник по %'!A:A,0))),ОТЧЕТ!C1243*INDEX('Справочник по %'!C:C,(MATCH(A1243,'Справочник по %'!A:A,0))))/100</f>
        <v>430.82600000000002</v>
      </c>
      <c r="E1243" s="29">
        <f>IF(ОТЧЕТ!A1243="SKU3",C1243+ОТЧЕТ!C1243*0.2,C1243+ОТЧЕТ!C1243*0.15)</f>
        <v>450.40900000000005</v>
      </c>
      <c r="F1243" s="7" t="s">
        <v>2763</v>
      </c>
      <c r="G1243" s="7">
        <v>5507102175</v>
      </c>
      <c r="H1243" s="20" t="s">
        <v>50</v>
      </c>
      <c r="I1243" s="22" t="str">
        <f>INDEX('Справочник Сети'!B:B,(MATCH(G1243,'Справочник Сети'!C:C,0)))</f>
        <v>Столички</v>
      </c>
      <c r="J1243" s="7" t="s">
        <v>255</v>
      </c>
      <c r="K1243" s="7" t="s">
        <v>630</v>
      </c>
      <c r="L1243" s="7" t="s">
        <v>255</v>
      </c>
      <c r="M1243" s="31">
        <v>45713</v>
      </c>
      <c r="N1243" s="7" t="s">
        <v>2766</v>
      </c>
      <c r="O1243" s="8">
        <v>435</v>
      </c>
      <c r="P1243" s="24">
        <v>5678</v>
      </c>
      <c r="Q1243" s="22">
        <f>IF(COUNTIFS(A$2:A1243,A1243,I$2:I1243,I1243)=1,1,0)</f>
        <v>0</v>
      </c>
      <c r="R1243" s="22">
        <f t="shared" si="19"/>
        <v>6</v>
      </c>
      <c r="S1243" s="33">
        <f>IF(COUNTIF(O$2:O1243,O1243)=1,R1243,0)/2.5</f>
        <v>2.4</v>
      </c>
    </row>
    <row r="1244" spans="1:19" ht="18" customHeight="1" x14ac:dyDescent="0.25">
      <c r="A1244" s="7" t="s">
        <v>37</v>
      </c>
      <c r="B1244" s="8">
        <v>1</v>
      </c>
      <c r="C1244" s="9">
        <v>578</v>
      </c>
      <c r="D1244" s="29">
        <f>C1244+IF(INDEX('Справочник по %'!B:B,(MATCH(A1244,'Справочник по %'!A:A,0)))="кол-во",B1244*INDEX('Справочник по %'!C:C,(MATCH(A1244,'Справочник по %'!A:A,0))),ОТЧЕТ!C1244*INDEX('Справочник по %'!C:C,(MATCH(A1244,'Справочник по %'!A:A,0))))/100</f>
        <v>578.20000000000005</v>
      </c>
      <c r="E1244" s="29">
        <f>IF(ОТЧЕТ!A1244="SKU3",C1244+ОТЧЕТ!C1244*0.2,C1244+ОТЧЕТ!C1244*0.15)</f>
        <v>664.7</v>
      </c>
      <c r="F1244" s="7" t="s">
        <v>2767</v>
      </c>
      <c r="G1244" s="7">
        <v>2310096546</v>
      </c>
      <c r="H1244" s="20" t="s">
        <v>69</v>
      </c>
      <c r="I1244" s="22" t="str">
        <f>INDEX('Справочник Сети'!B:B,(MATCH(G1244,'Справочник Сети'!C:C,0)))</f>
        <v>36,6</v>
      </c>
      <c r="J1244" s="7" t="s">
        <v>57</v>
      </c>
      <c r="K1244" s="7" t="s">
        <v>1515</v>
      </c>
      <c r="L1244" s="7" t="s">
        <v>57</v>
      </c>
      <c r="M1244" s="31">
        <v>45729</v>
      </c>
      <c r="N1244" s="7" t="s">
        <v>2768</v>
      </c>
      <c r="O1244" s="8">
        <v>2263</v>
      </c>
      <c r="P1244" s="24">
        <v>5686</v>
      </c>
      <c r="Q1244" s="22">
        <f>IF(COUNTIFS(A$2:A1244,A1244,I$2:I1244,I1244)=1,1,0)</f>
        <v>0</v>
      </c>
      <c r="R1244" s="22">
        <f t="shared" si="19"/>
        <v>3</v>
      </c>
      <c r="S1244" s="33">
        <f>IF(COUNTIF(O$2:O1244,O1244)=1,R1244,0)/2.5</f>
        <v>1.2</v>
      </c>
    </row>
    <row r="1245" spans="1:19" ht="18" customHeight="1" x14ac:dyDescent="0.25">
      <c r="A1245" s="7" t="s">
        <v>43</v>
      </c>
      <c r="B1245" s="8">
        <v>1</v>
      </c>
      <c r="C1245" s="9">
        <v>399</v>
      </c>
      <c r="D1245" s="29">
        <f>C1245+IF(INDEX('Справочник по %'!B:B,(MATCH(A1245,'Справочник по %'!A:A,0)))="кол-во",B1245*INDEX('Справочник по %'!C:C,(MATCH(A1245,'Справочник по %'!A:A,0))),ОТЧЕТ!C1245*INDEX('Справочник по %'!C:C,(MATCH(A1245,'Справочник по %'!A:A,0))))/100</f>
        <v>438.9</v>
      </c>
      <c r="E1245" s="29">
        <f>IF(ОТЧЕТ!A1245="SKU3",C1245+ОТЧЕТ!C1245*0.2,C1245+ОТЧЕТ!C1245*0.15)</f>
        <v>458.85</v>
      </c>
      <c r="F1245" s="7" t="s">
        <v>2769</v>
      </c>
      <c r="G1245" s="7">
        <v>5902058784</v>
      </c>
      <c r="H1245" s="20" t="s">
        <v>39</v>
      </c>
      <c r="I1245" s="22" t="str">
        <f>INDEX('Справочник Сети'!B:B,(MATCH(G1245,'Справочник Сети'!C:C,0)))</f>
        <v>Планета здоровья</v>
      </c>
      <c r="J1245" s="7" t="s">
        <v>40</v>
      </c>
      <c r="K1245" s="7" t="s">
        <v>2770</v>
      </c>
      <c r="L1245" s="7" t="s">
        <v>40</v>
      </c>
      <c r="M1245" s="31">
        <v>45712</v>
      </c>
      <c r="N1245" s="7" t="s">
        <v>2771</v>
      </c>
      <c r="O1245" s="8">
        <v>2169</v>
      </c>
      <c r="P1245" s="24">
        <v>5690</v>
      </c>
      <c r="Q1245" s="22">
        <f>IF(COUNTIFS(A$2:A1245,A1245,I$2:I1245,I1245)=1,1,0)</f>
        <v>0</v>
      </c>
      <c r="R1245" s="22">
        <f t="shared" si="19"/>
        <v>1</v>
      </c>
      <c r="S1245" s="33">
        <f>IF(COUNTIF(O$2:O1245,O1245)=1,R1245,0)/2.5</f>
        <v>0.4</v>
      </c>
    </row>
    <row r="1246" spans="1:19" ht="18" customHeight="1" x14ac:dyDescent="0.25">
      <c r="A1246" s="7" t="s">
        <v>43</v>
      </c>
      <c r="B1246" s="8">
        <v>1</v>
      </c>
      <c r="C1246" s="9">
        <v>439</v>
      </c>
      <c r="D1246" s="29">
        <f>C1246+IF(INDEX('Справочник по %'!B:B,(MATCH(A1246,'Справочник по %'!A:A,0)))="кол-во",B1246*INDEX('Справочник по %'!C:C,(MATCH(A1246,'Справочник по %'!A:A,0))),ОТЧЕТ!C1246*INDEX('Справочник по %'!C:C,(MATCH(A1246,'Справочник по %'!A:A,0))))/100</f>
        <v>482.9</v>
      </c>
      <c r="E1246" s="29">
        <f>IF(ОТЧЕТ!A1246="SKU3",C1246+ОТЧЕТ!C1246*0.2,C1246+ОТЧЕТ!C1246*0.15)</f>
        <v>504.85</v>
      </c>
      <c r="F1246" s="7" t="s">
        <v>2772</v>
      </c>
      <c r="G1246" s="7">
        <v>6630006059</v>
      </c>
      <c r="H1246" s="20" t="s">
        <v>132</v>
      </c>
      <c r="I1246" s="22" t="str">
        <f>INDEX('Справочник Сети'!B:B,(MATCH(G1246,'Справочник Сети'!C:C,0)))</f>
        <v>Планета здоровья</v>
      </c>
      <c r="J1246" s="7" t="s">
        <v>133</v>
      </c>
      <c r="K1246" s="7" t="s">
        <v>2079</v>
      </c>
      <c r="L1246" s="7" t="s">
        <v>133</v>
      </c>
      <c r="M1246" s="31">
        <v>45695</v>
      </c>
      <c r="N1246" s="7" t="s">
        <v>2773</v>
      </c>
      <c r="O1246" s="8">
        <v>3348</v>
      </c>
      <c r="P1246" s="24">
        <v>5700</v>
      </c>
      <c r="Q1246" s="22">
        <f>IF(COUNTIFS(A$2:A1246,A1246,I$2:I1246,I1246)=1,1,0)</f>
        <v>0</v>
      </c>
      <c r="R1246" s="22">
        <f t="shared" si="19"/>
        <v>1</v>
      </c>
      <c r="S1246" s="33">
        <f>IF(COUNTIF(O$2:O1246,O1246)=1,R1246,0)/2.5</f>
        <v>0.4</v>
      </c>
    </row>
    <row r="1247" spans="1:19" ht="18" customHeight="1" x14ac:dyDescent="0.25">
      <c r="A1247" s="7" t="s">
        <v>43</v>
      </c>
      <c r="B1247" s="8">
        <v>1</v>
      </c>
      <c r="C1247" s="9">
        <v>454.38</v>
      </c>
      <c r="D1247" s="29">
        <f>C1247+IF(INDEX('Справочник по %'!B:B,(MATCH(A1247,'Справочник по %'!A:A,0)))="кол-во",B1247*INDEX('Справочник по %'!C:C,(MATCH(A1247,'Справочник по %'!A:A,0))),ОТЧЕТ!C1247*INDEX('Справочник по %'!C:C,(MATCH(A1247,'Справочник по %'!A:A,0))))/100</f>
        <v>499.81799999999998</v>
      </c>
      <c r="E1247" s="29">
        <f>IF(ОТЧЕТ!A1247="SKU3",C1247+ОТЧЕТ!C1247*0.2,C1247+ОТЧЕТ!C1247*0.15)</f>
        <v>522.53700000000003</v>
      </c>
      <c r="F1247" s="7" t="s">
        <v>2774</v>
      </c>
      <c r="G1247" s="7">
        <v>253804596643</v>
      </c>
      <c r="H1247" s="20" t="s">
        <v>50</v>
      </c>
      <c r="I1247" s="22" t="str">
        <f>INDEX('Справочник Сети'!B:B,(MATCH(G1247,'Справочник Сети'!C:C,0)))</f>
        <v>Ригла</v>
      </c>
      <c r="J1247" s="7" t="s">
        <v>110</v>
      </c>
      <c r="K1247" s="7" t="s">
        <v>688</v>
      </c>
      <c r="L1247" s="7" t="s">
        <v>74</v>
      </c>
      <c r="M1247" s="31">
        <v>45661</v>
      </c>
      <c r="N1247" s="7" t="s">
        <v>2775</v>
      </c>
      <c r="O1247" s="8">
        <v>3573</v>
      </c>
      <c r="P1247" s="24">
        <v>5710</v>
      </c>
      <c r="Q1247" s="22">
        <f>IF(COUNTIFS(A$2:A1247,A1247,I$2:I1247,I1247)=1,1,0)</f>
        <v>0</v>
      </c>
      <c r="R1247" s="22">
        <f t="shared" si="19"/>
        <v>1</v>
      </c>
      <c r="S1247" s="33">
        <f>IF(COUNTIF(O$2:O1247,O1247)=1,R1247,0)/2.5</f>
        <v>0.4</v>
      </c>
    </row>
    <row r="1248" spans="1:19" ht="18" customHeight="1" x14ac:dyDescent="0.25">
      <c r="A1248" s="7" t="s">
        <v>43</v>
      </c>
      <c r="B1248" s="8">
        <v>1</v>
      </c>
      <c r="C1248" s="9">
        <v>505</v>
      </c>
      <c r="D1248" s="29">
        <f>C1248+IF(INDEX('Справочник по %'!B:B,(MATCH(A1248,'Справочник по %'!A:A,0)))="кол-во",B1248*INDEX('Справочник по %'!C:C,(MATCH(A1248,'Справочник по %'!A:A,0))),ОТЧЕТ!C1248*INDEX('Справочник по %'!C:C,(MATCH(A1248,'Справочник по %'!A:A,0))))/100</f>
        <v>555.5</v>
      </c>
      <c r="E1248" s="29">
        <f>IF(ОТЧЕТ!A1248="SKU3",C1248+ОТЧЕТ!C1248*0.2,C1248+ОТЧЕТ!C1248*0.15)</f>
        <v>580.75</v>
      </c>
      <c r="F1248" s="7" t="s">
        <v>2774</v>
      </c>
      <c r="G1248" s="7">
        <v>5012079068</v>
      </c>
      <c r="H1248" s="20" t="s">
        <v>50</v>
      </c>
      <c r="I1248" s="22">
        <f>INDEX('Справочник Сети'!B:B,(MATCH(G1248,'Справочник Сети'!C:C,0)))</f>
        <v>0</v>
      </c>
      <c r="J1248" s="7" t="s">
        <v>83</v>
      </c>
      <c r="K1248" s="7" t="s">
        <v>2776</v>
      </c>
      <c r="L1248" s="7" t="s">
        <v>83</v>
      </c>
      <c r="M1248" s="31">
        <v>45715</v>
      </c>
      <c r="N1248" s="7" t="s">
        <v>2777</v>
      </c>
      <c r="O1248" s="8">
        <v>2427</v>
      </c>
      <c r="P1248" s="24">
        <v>5713</v>
      </c>
      <c r="Q1248" s="22">
        <f>IF(COUNTIFS(A$2:A1248,A1248,I$2:I1248,I1248)=1,1,0)</f>
        <v>0</v>
      </c>
      <c r="R1248" s="22">
        <f t="shared" si="19"/>
        <v>2</v>
      </c>
      <c r="S1248" s="33">
        <f>IF(COUNTIF(O$2:O1248,O1248)=1,R1248,0)/2.5</f>
        <v>0.8</v>
      </c>
    </row>
    <row r="1249" spans="1:19" ht="18" customHeight="1" x14ac:dyDescent="0.25">
      <c r="A1249" s="7" t="s">
        <v>43</v>
      </c>
      <c r="B1249" s="8">
        <v>1</v>
      </c>
      <c r="C1249" s="9">
        <v>377.1</v>
      </c>
      <c r="D1249" s="29">
        <f>C1249+IF(INDEX('Справочник по %'!B:B,(MATCH(A1249,'Справочник по %'!A:A,0)))="кол-во",B1249*INDEX('Справочник по %'!C:C,(MATCH(A1249,'Справочник по %'!A:A,0))),ОТЧЕТ!C1249*INDEX('Справочник по %'!C:C,(MATCH(A1249,'Справочник по %'!A:A,0))))/100</f>
        <v>414.81</v>
      </c>
      <c r="E1249" s="29">
        <f>IF(ОТЧЕТ!A1249="SKU3",C1249+ОТЧЕТ!C1249*0.2,C1249+ОТЧЕТ!C1249*0.15)</f>
        <v>433.66500000000002</v>
      </c>
      <c r="F1249" s="7" t="s">
        <v>2774</v>
      </c>
      <c r="G1249" s="7">
        <v>7731334851</v>
      </c>
      <c r="H1249" s="20" t="s">
        <v>841</v>
      </c>
      <c r="I1249" s="22" t="str">
        <f>INDEX('Справочник Сети'!B:B,(MATCH(G1249,'Справочник Сети'!C:C,0)))</f>
        <v>Планета здоровья</v>
      </c>
      <c r="J1249" s="7" t="s">
        <v>142</v>
      </c>
      <c r="K1249" s="7" t="s">
        <v>2158</v>
      </c>
      <c r="L1249" s="7" t="s">
        <v>142</v>
      </c>
      <c r="M1249" s="31">
        <v>45674</v>
      </c>
      <c r="N1249" s="7" t="s">
        <v>2778</v>
      </c>
      <c r="O1249" s="8">
        <v>1361</v>
      </c>
      <c r="P1249" s="24">
        <v>5715</v>
      </c>
      <c r="Q1249" s="22">
        <f>IF(COUNTIFS(A$2:A1249,A1249,I$2:I1249,I1249)=1,1,0)</f>
        <v>0</v>
      </c>
      <c r="R1249" s="22">
        <f t="shared" si="19"/>
        <v>4</v>
      </c>
      <c r="S1249" s="33">
        <f>IF(COUNTIF(O$2:O1249,O1249)=1,R1249,0)/2.5</f>
        <v>0</v>
      </c>
    </row>
    <row r="1250" spans="1:19" ht="18" customHeight="1" x14ac:dyDescent="0.25">
      <c r="A1250" s="7" t="s">
        <v>43</v>
      </c>
      <c r="B1250" s="8">
        <v>1</v>
      </c>
      <c r="C1250" s="9">
        <v>534</v>
      </c>
      <c r="D1250" s="29">
        <f>C1250+IF(INDEX('Справочник по %'!B:B,(MATCH(A1250,'Справочник по %'!A:A,0)))="кол-во",B1250*INDEX('Справочник по %'!C:C,(MATCH(A1250,'Справочник по %'!A:A,0))),ОТЧЕТ!C1250*INDEX('Справочник по %'!C:C,(MATCH(A1250,'Справочник по %'!A:A,0))))/100</f>
        <v>587.4</v>
      </c>
      <c r="E1250" s="29">
        <f>IF(ОТЧЕТ!A1250="SKU3",C1250+ОТЧЕТ!C1250*0.2,C1250+ОТЧЕТ!C1250*0.15)</f>
        <v>614.1</v>
      </c>
      <c r="F1250" s="7" t="s">
        <v>2779</v>
      </c>
      <c r="G1250" s="7">
        <v>7705947629</v>
      </c>
      <c r="H1250" s="20" t="s">
        <v>50</v>
      </c>
      <c r="I1250" s="22" t="str">
        <f>INDEX('Справочник Сети'!B:B,(MATCH(G1250,'Справочник Сети'!C:C,0)))</f>
        <v>36,6</v>
      </c>
      <c r="J1250" s="7" t="s">
        <v>116</v>
      </c>
      <c r="K1250" s="7" t="s">
        <v>821</v>
      </c>
      <c r="L1250" s="7" t="s">
        <v>104</v>
      </c>
      <c r="M1250" s="31">
        <v>45693</v>
      </c>
      <c r="N1250" s="7" t="s">
        <v>2780</v>
      </c>
      <c r="O1250" s="8">
        <v>2678</v>
      </c>
      <c r="P1250" s="24">
        <v>5721</v>
      </c>
      <c r="Q1250" s="22">
        <f>IF(COUNTIFS(A$2:A1250,A1250,I$2:I1250,I1250)=1,1,0)</f>
        <v>0</v>
      </c>
      <c r="R1250" s="22">
        <f t="shared" si="19"/>
        <v>2</v>
      </c>
      <c r="S1250" s="33">
        <f>IF(COUNTIF(O$2:O1250,O1250)=1,R1250,0)/2.5</f>
        <v>0.8</v>
      </c>
    </row>
    <row r="1251" spans="1:19" ht="18" customHeight="1" x14ac:dyDescent="0.25">
      <c r="A1251" s="7" t="s">
        <v>37</v>
      </c>
      <c r="B1251" s="8">
        <v>1</v>
      </c>
      <c r="C1251" s="9">
        <v>565</v>
      </c>
      <c r="D1251" s="29">
        <f>C1251+IF(INDEX('Справочник по %'!B:B,(MATCH(A1251,'Справочник по %'!A:A,0)))="кол-во",B1251*INDEX('Справочник по %'!C:C,(MATCH(A1251,'Справочник по %'!A:A,0))),ОТЧЕТ!C1251*INDEX('Справочник по %'!C:C,(MATCH(A1251,'Справочник по %'!A:A,0))))/100</f>
        <v>565.20000000000005</v>
      </c>
      <c r="E1251" s="29">
        <f>IF(ОТЧЕТ!A1251="SKU3",C1251+ОТЧЕТ!C1251*0.2,C1251+ОТЧЕТ!C1251*0.15)</f>
        <v>649.75</v>
      </c>
      <c r="F1251" s="7" t="s">
        <v>2779</v>
      </c>
      <c r="G1251" s="7">
        <v>7204146152</v>
      </c>
      <c r="H1251" s="20" t="s">
        <v>103</v>
      </c>
      <c r="I1251" s="22" t="str">
        <f>INDEX('Справочник Сети'!B:B,(MATCH(G1251,'Справочник Сети'!C:C,0)))</f>
        <v>36,6</v>
      </c>
      <c r="J1251" s="7" t="s">
        <v>104</v>
      </c>
      <c r="K1251" s="7" t="s">
        <v>1090</v>
      </c>
      <c r="L1251" s="7" t="s">
        <v>106</v>
      </c>
      <c r="M1251" s="31">
        <v>45694</v>
      </c>
      <c r="N1251" s="7" t="s">
        <v>2781</v>
      </c>
      <c r="O1251" s="8">
        <v>1683</v>
      </c>
      <c r="P1251" s="24">
        <v>5723</v>
      </c>
      <c r="Q1251" s="22">
        <f>IF(COUNTIFS(A$2:A1251,A1251,I$2:I1251,I1251)=1,1,0)</f>
        <v>0</v>
      </c>
      <c r="R1251" s="22">
        <f t="shared" si="19"/>
        <v>9</v>
      </c>
      <c r="S1251" s="33">
        <f>IF(COUNTIF(O$2:O1251,O1251)=1,R1251,0)/2.5</f>
        <v>0</v>
      </c>
    </row>
    <row r="1252" spans="1:19" ht="18" customHeight="1" x14ac:dyDescent="0.25">
      <c r="A1252" s="7" t="s">
        <v>43</v>
      </c>
      <c r="B1252" s="8">
        <v>1</v>
      </c>
      <c r="C1252" s="9">
        <v>430</v>
      </c>
      <c r="D1252" s="29">
        <f>C1252+IF(INDEX('Справочник по %'!B:B,(MATCH(A1252,'Справочник по %'!A:A,0)))="кол-во",B1252*INDEX('Справочник по %'!C:C,(MATCH(A1252,'Справочник по %'!A:A,0))),ОТЧЕТ!C1252*INDEX('Справочник по %'!C:C,(MATCH(A1252,'Справочник по %'!A:A,0))))/100</f>
        <v>473</v>
      </c>
      <c r="E1252" s="29">
        <f>IF(ОТЧЕТ!A1252="SKU3",C1252+ОТЧЕТ!C1252*0.2,C1252+ОТЧЕТ!C1252*0.15)</f>
        <v>494.5</v>
      </c>
      <c r="F1252" s="7" t="s">
        <v>2779</v>
      </c>
      <c r="G1252" s="7">
        <v>9102213935</v>
      </c>
      <c r="H1252" s="20" t="s">
        <v>868</v>
      </c>
      <c r="I1252" s="22" t="str">
        <f>INDEX('Справочник Сети'!B:B,(MATCH(G1252,'Справочник Сети'!C:C,0)))</f>
        <v>Ригла</v>
      </c>
      <c r="J1252" s="7" t="s">
        <v>315</v>
      </c>
      <c r="K1252" s="7" t="s">
        <v>1238</v>
      </c>
      <c r="L1252" s="7" t="s">
        <v>315</v>
      </c>
      <c r="M1252" s="31">
        <v>45670</v>
      </c>
      <c r="N1252" s="7" t="s">
        <v>2782</v>
      </c>
      <c r="O1252" s="8">
        <v>3055</v>
      </c>
      <c r="P1252" s="24">
        <v>5725</v>
      </c>
      <c r="Q1252" s="22">
        <f>IF(COUNTIFS(A$2:A1252,A1252,I$2:I1252,I1252)=1,1,0)</f>
        <v>0</v>
      </c>
      <c r="R1252" s="22">
        <f t="shared" si="19"/>
        <v>4</v>
      </c>
      <c r="S1252" s="33">
        <f>IF(COUNTIF(O$2:O1252,O1252)=1,R1252,0)/2.5</f>
        <v>0</v>
      </c>
    </row>
    <row r="1253" spans="1:19" ht="18" customHeight="1" x14ac:dyDescent="0.25">
      <c r="A1253" s="7" t="s">
        <v>37</v>
      </c>
      <c r="B1253" s="8">
        <v>1</v>
      </c>
      <c r="C1253" s="9">
        <v>641</v>
      </c>
      <c r="D1253" s="29">
        <f>C1253+IF(INDEX('Справочник по %'!B:B,(MATCH(A1253,'Справочник по %'!A:A,0)))="кол-во",B1253*INDEX('Справочник по %'!C:C,(MATCH(A1253,'Справочник по %'!A:A,0))),ОТЧЕТ!C1253*INDEX('Справочник по %'!C:C,(MATCH(A1253,'Справочник по %'!A:A,0))))/100</f>
        <v>641.20000000000005</v>
      </c>
      <c r="E1253" s="29">
        <f>IF(ОТЧЕТ!A1253="SKU3",C1253+ОТЧЕТ!C1253*0.2,C1253+ОТЧЕТ!C1253*0.15)</f>
        <v>737.15</v>
      </c>
      <c r="F1253" s="7" t="s">
        <v>2783</v>
      </c>
      <c r="G1253" s="7">
        <v>5610219642</v>
      </c>
      <c r="H1253" s="20" t="s">
        <v>50</v>
      </c>
      <c r="I1253" s="22">
        <f>INDEX('Справочник Сети'!B:B,(MATCH(G1253,'Справочник Сети'!C:C,0)))</f>
        <v>0</v>
      </c>
      <c r="J1253" s="7" t="s">
        <v>255</v>
      </c>
      <c r="K1253" s="7" t="s">
        <v>2176</v>
      </c>
      <c r="L1253" s="7" t="s">
        <v>255</v>
      </c>
      <c r="M1253" s="31">
        <v>45713</v>
      </c>
      <c r="N1253" s="7" t="s">
        <v>2784</v>
      </c>
      <c r="O1253" s="8">
        <v>3795</v>
      </c>
      <c r="P1253" s="24">
        <v>5731</v>
      </c>
      <c r="Q1253" s="22">
        <f>IF(COUNTIFS(A$2:A1253,A1253,I$2:I1253,I1253)=1,1,0)</f>
        <v>0</v>
      </c>
      <c r="R1253" s="22">
        <f t="shared" si="19"/>
        <v>2</v>
      </c>
      <c r="S1253" s="33">
        <f>IF(COUNTIF(O$2:O1253,O1253)=1,R1253,0)/2.5</f>
        <v>0.8</v>
      </c>
    </row>
    <row r="1254" spans="1:19" ht="18" customHeight="1" x14ac:dyDescent="0.25">
      <c r="A1254" s="7" t="s">
        <v>43</v>
      </c>
      <c r="B1254" s="8">
        <v>1</v>
      </c>
      <c r="C1254" s="9">
        <v>490</v>
      </c>
      <c r="D1254" s="29">
        <f>C1254+IF(INDEX('Справочник по %'!B:B,(MATCH(A1254,'Справочник по %'!A:A,0)))="кол-во",B1254*INDEX('Справочник по %'!C:C,(MATCH(A1254,'Справочник по %'!A:A,0))),ОТЧЕТ!C1254*INDEX('Справочник по %'!C:C,(MATCH(A1254,'Справочник по %'!A:A,0))))/100</f>
        <v>539</v>
      </c>
      <c r="E1254" s="29">
        <f>IF(ОТЧЕТ!A1254="SKU3",C1254+ОТЧЕТ!C1254*0.2,C1254+ОТЧЕТ!C1254*0.15)</f>
        <v>563.5</v>
      </c>
      <c r="F1254" s="7" t="s">
        <v>2785</v>
      </c>
      <c r="G1254" s="7">
        <v>7743897369</v>
      </c>
      <c r="H1254" s="20" t="s">
        <v>50</v>
      </c>
      <c r="I1254" s="22" t="str">
        <f>INDEX('Справочник Сети'!B:B,(MATCH(G1254,'Справочник Сети'!C:C,0)))</f>
        <v>Ригла</v>
      </c>
      <c r="J1254" s="7" t="s">
        <v>353</v>
      </c>
      <c r="K1254" s="7" t="s">
        <v>959</v>
      </c>
      <c r="L1254" s="7" t="s">
        <v>353</v>
      </c>
      <c r="M1254" s="31">
        <v>45672</v>
      </c>
      <c r="N1254" s="7" t="s">
        <v>2786</v>
      </c>
      <c r="O1254" s="8">
        <v>2669</v>
      </c>
      <c r="P1254" s="24">
        <v>5736</v>
      </c>
      <c r="Q1254" s="22">
        <f>IF(COUNTIFS(A$2:A1254,A1254,I$2:I1254,I1254)=1,1,0)</f>
        <v>0</v>
      </c>
      <c r="R1254" s="22">
        <f t="shared" si="19"/>
        <v>2</v>
      </c>
      <c r="S1254" s="33">
        <f>IF(COUNTIF(O$2:O1254,O1254)=1,R1254,0)/2.5</f>
        <v>0.8</v>
      </c>
    </row>
    <row r="1255" spans="1:19" ht="18" customHeight="1" x14ac:dyDescent="0.25">
      <c r="A1255" s="7" t="s">
        <v>43</v>
      </c>
      <c r="B1255" s="8">
        <v>1</v>
      </c>
      <c r="C1255" s="9">
        <v>580</v>
      </c>
      <c r="D1255" s="29">
        <f>C1255+IF(INDEX('Справочник по %'!B:B,(MATCH(A1255,'Справочник по %'!A:A,0)))="кол-во",B1255*INDEX('Справочник по %'!C:C,(MATCH(A1255,'Справочник по %'!A:A,0))),ОТЧЕТ!C1255*INDEX('Справочник по %'!C:C,(MATCH(A1255,'Справочник по %'!A:A,0))))/100</f>
        <v>638</v>
      </c>
      <c r="E1255" s="29">
        <f>IF(ОТЧЕТ!A1255="SKU3",C1255+ОТЧЕТ!C1255*0.2,C1255+ОТЧЕТ!C1255*0.15)</f>
        <v>667</v>
      </c>
      <c r="F1255" s="7" t="s">
        <v>2787</v>
      </c>
      <c r="G1255" s="7">
        <v>1435268848</v>
      </c>
      <c r="H1255" s="20" t="s">
        <v>50</v>
      </c>
      <c r="I1255" s="22" t="str">
        <f>INDEX('Справочник Сети'!B:B,(MATCH(G1255,'Справочник Сети'!C:C,0)))</f>
        <v>Столички</v>
      </c>
      <c r="J1255" s="7" t="s">
        <v>335</v>
      </c>
      <c r="K1255" s="7" t="s">
        <v>1241</v>
      </c>
      <c r="L1255" s="7" t="s">
        <v>335</v>
      </c>
      <c r="M1255" s="31">
        <v>45731</v>
      </c>
      <c r="N1255" s="7" t="s">
        <v>2788</v>
      </c>
      <c r="O1255" s="8">
        <v>1139</v>
      </c>
      <c r="P1255" s="24">
        <v>5738</v>
      </c>
      <c r="Q1255" s="22">
        <f>IF(COUNTIFS(A$2:A1255,A1255,I$2:I1255,I1255)=1,1,0)</f>
        <v>0</v>
      </c>
      <c r="R1255" s="22">
        <f t="shared" si="19"/>
        <v>2</v>
      </c>
      <c r="S1255" s="33">
        <f>IF(COUNTIF(O$2:O1255,O1255)=1,R1255,0)/2.5</f>
        <v>0</v>
      </c>
    </row>
    <row r="1256" spans="1:19" ht="18" customHeight="1" x14ac:dyDescent="0.25">
      <c r="A1256" s="7" t="s">
        <v>43</v>
      </c>
      <c r="B1256" s="8">
        <v>1</v>
      </c>
      <c r="C1256" s="9">
        <v>490</v>
      </c>
      <c r="D1256" s="29">
        <f>C1256+IF(INDEX('Справочник по %'!B:B,(MATCH(A1256,'Справочник по %'!A:A,0)))="кол-во",B1256*INDEX('Справочник по %'!C:C,(MATCH(A1256,'Справочник по %'!A:A,0))),ОТЧЕТ!C1256*INDEX('Справочник по %'!C:C,(MATCH(A1256,'Справочник по %'!A:A,0))))/100</f>
        <v>539</v>
      </c>
      <c r="E1256" s="29">
        <f>IF(ОТЧЕТ!A1256="SKU3",C1256+ОТЧЕТ!C1256*0.2,C1256+ОТЧЕТ!C1256*0.15)</f>
        <v>563.5</v>
      </c>
      <c r="F1256" s="7" t="s">
        <v>2789</v>
      </c>
      <c r="G1256" s="7">
        <v>7838435820</v>
      </c>
      <c r="H1256" s="20" t="s">
        <v>1693</v>
      </c>
      <c r="I1256" s="22">
        <f>INDEX('Справочник Сети'!B:B,(MATCH(G1256,'Справочник Сети'!C:C,0)))</f>
        <v>0</v>
      </c>
      <c r="J1256" s="7" t="s">
        <v>121</v>
      </c>
      <c r="K1256" s="7" t="s">
        <v>1206</v>
      </c>
      <c r="L1256" s="7" t="s">
        <v>121</v>
      </c>
      <c r="M1256" s="31">
        <v>45671</v>
      </c>
      <c r="N1256" s="7" t="s">
        <v>2790</v>
      </c>
      <c r="O1256" s="8">
        <v>3743</v>
      </c>
      <c r="P1256" s="24">
        <v>5740</v>
      </c>
      <c r="Q1256" s="22">
        <f>IF(COUNTIFS(A$2:A1256,A1256,I$2:I1256,I1256)=1,1,0)</f>
        <v>0</v>
      </c>
      <c r="R1256" s="22">
        <f t="shared" si="19"/>
        <v>1</v>
      </c>
      <c r="S1256" s="33">
        <f>IF(COUNTIF(O$2:O1256,O1256)=1,R1256,0)/2.5</f>
        <v>0.4</v>
      </c>
    </row>
    <row r="1257" spans="1:19" ht="18" customHeight="1" x14ac:dyDescent="0.25">
      <c r="A1257" s="7" t="s">
        <v>37</v>
      </c>
      <c r="B1257" s="8">
        <v>1</v>
      </c>
      <c r="C1257" s="9">
        <v>589.9</v>
      </c>
      <c r="D1257" s="29">
        <f>C1257+IF(INDEX('Справочник по %'!B:B,(MATCH(A1257,'Справочник по %'!A:A,0)))="кол-во",B1257*INDEX('Справочник по %'!C:C,(MATCH(A1257,'Справочник по %'!A:A,0))),ОТЧЕТ!C1257*INDEX('Справочник по %'!C:C,(MATCH(A1257,'Справочник по %'!A:A,0))))/100</f>
        <v>590.1</v>
      </c>
      <c r="E1257" s="29">
        <f>IF(ОТЧЕТ!A1257="SKU3",C1257+ОТЧЕТ!C1257*0.2,C1257+ОТЧЕТ!C1257*0.15)</f>
        <v>678.38499999999999</v>
      </c>
      <c r="F1257" s="7" t="s">
        <v>2789</v>
      </c>
      <c r="G1257" s="7">
        <v>1659064696</v>
      </c>
      <c r="H1257" s="20" t="s">
        <v>2791</v>
      </c>
      <c r="I1257" s="22" t="str">
        <f>INDEX('Справочник Сети'!B:B,(MATCH(G1257,'Справочник Сети'!C:C,0)))</f>
        <v>Планета здоровья</v>
      </c>
      <c r="J1257" s="7" t="s">
        <v>335</v>
      </c>
      <c r="K1257" s="7" t="s">
        <v>2792</v>
      </c>
      <c r="L1257" s="7" t="s">
        <v>335</v>
      </c>
      <c r="M1257" s="31">
        <v>45731</v>
      </c>
      <c r="N1257" s="7" t="s">
        <v>2793</v>
      </c>
      <c r="O1257" s="8">
        <v>2377</v>
      </c>
      <c r="P1257" s="24">
        <v>5744</v>
      </c>
      <c r="Q1257" s="22">
        <f>IF(COUNTIFS(A$2:A1257,A1257,I$2:I1257,I1257)=1,1,0)</f>
        <v>0</v>
      </c>
      <c r="R1257" s="22">
        <f t="shared" si="19"/>
        <v>4</v>
      </c>
      <c r="S1257" s="33">
        <f>IF(COUNTIF(O$2:O1257,O1257)=1,R1257,0)/2.5</f>
        <v>1.6</v>
      </c>
    </row>
    <row r="1258" spans="1:19" ht="18" customHeight="1" x14ac:dyDescent="0.25">
      <c r="A1258" s="7" t="s">
        <v>43</v>
      </c>
      <c r="B1258" s="8">
        <v>1</v>
      </c>
      <c r="C1258" s="9">
        <v>468.44</v>
      </c>
      <c r="D1258" s="29">
        <f>C1258+IF(INDEX('Справочник по %'!B:B,(MATCH(A1258,'Справочник по %'!A:A,0)))="кол-во",B1258*INDEX('Справочник по %'!C:C,(MATCH(A1258,'Справочник по %'!A:A,0))),ОТЧЕТ!C1258*INDEX('Справочник по %'!C:C,(MATCH(A1258,'Справочник по %'!A:A,0))))/100</f>
        <v>515.28399999999999</v>
      </c>
      <c r="E1258" s="29">
        <f>IF(ОТЧЕТ!A1258="SKU3",C1258+ОТЧЕТ!C1258*0.2,C1258+ОТЧЕТ!C1258*0.15)</f>
        <v>538.70600000000002</v>
      </c>
      <c r="F1258" s="7" t="s">
        <v>2789</v>
      </c>
      <c r="G1258" s="7">
        <v>550711904930</v>
      </c>
      <c r="H1258" s="20" t="s">
        <v>50</v>
      </c>
      <c r="I1258" s="22" t="str">
        <f>INDEX('Справочник Сети'!B:B,(MATCH(G1258,'Справочник Сети'!C:C,0)))</f>
        <v>Ригла</v>
      </c>
      <c r="J1258" s="7" t="s">
        <v>251</v>
      </c>
      <c r="K1258" s="7" t="s">
        <v>1169</v>
      </c>
      <c r="L1258" s="7" t="s">
        <v>251</v>
      </c>
      <c r="M1258" s="31">
        <v>45659</v>
      </c>
      <c r="N1258" s="7" t="s">
        <v>2794</v>
      </c>
      <c r="O1258" s="8">
        <v>3477</v>
      </c>
      <c r="P1258" s="24">
        <v>5745</v>
      </c>
      <c r="Q1258" s="22">
        <f>IF(COUNTIFS(A$2:A1258,A1258,I$2:I1258,I1258)=1,1,0)</f>
        <v>0</v>
      </c>
      <c r="R1258" s="22">
        <f t="shared" si="19"/>
        <v>4</v>
      </c>
      <c r="S1258" s="33">
        <f>IF(COUNTIF(O$2:O1258,O1258)=1,R1258,0)/2.5</f>
        <v>0</v>
      </c>
    </row>
    <row r="1259" spans="1:19" ht="18" customHeight="1" x14ac:dyDescent="0.25">
      <c r="A1259" s="7" t="s">
        <v>43</v>
      </c>
      <c r="B1259" s="8">
        <v>1</v>
      </c>
      <c r="C1259" s="9">
        <v>491</v>
      </c>
      <c r="D1259" s="29">
        <f>C1259+IF(INDEX('Справочник по %'!B:B,(MATCH(A1259,'Справочник по %'!A:A,0)))="кол-во",B1259*INDEX('Справочник по %'!C:C,(MATCH(A1259,'Справочник по %'!A:A,0))),ОТЧЕТ!C1259*INDEX('Справочник по %'!C:C,(MATCH(A1259,'Справочник по %'!A:A,0))))/100</f>
        <v>540.1</v>
      </c>
      <c r="E1259" s="29">
        <f>IF(ОТЧЕТ!A1259="SKU3",C1259+ОТЧЕТ!C1259*0.2,C1259+ОТЧЕТ!C1259*0.15)</f>
        <v>564.65</v>
      </c>
      <c r="F1259" s="7" t="s">
        <v>2795</v>
      </c>
      <c r="G1259" s="7">
        <v>9718164298</v>
      </c>
      <c r="H1259" s="20" t="s">
        <v>91</v>
      </c>
      <c r="I1259" s="22">
        <f>INDEX('Справочник Сети'!B:B,(MATCH(G1259,'Справочник Сети'!C:C,0)))</f>
        <v>0</v>
      </c>
      <c r="J1259" s="7" t="s">
        <v>74</v>
      </c>
      <c r="K1259" s="7" t="s">
        <v>1531</v>
      </c>
      <c r="L1259" s="7" t="s">
        <v>239</v>
      </c>
      <c r="M1259" s="31">
        <v>45662</v>
      </c>
      <c r="N1259" s="7" t="s">
        <v>2796</v>
      </c>
      <c r="O1259" s="8">
        <v>2572</v>
      </c>
      <c r="P1259" s="24">
        <v>5746</v>
      </c>
      <c r="Q1259" s="22">
        <f>IF(COUNTIFS(A$2:A1259,A1259,I$2:I1259,I1259)=1,1,0)</f>
        <v>0</v>
      </c>
      <c r="R1259" s="22">
        <f t="shared" si="19"/>
        <v>3</v>
      </c>
      <c r="S1259" s="33">
        <f>IF(COUNTIF(O$2:O1259,O1259)=1,R1259,0)/2.5</f>
        <v>0</v>
      </c>
    </row>
    <row r="1260" spans="1:19" ht="18" customHeight="1" x14ac:dyDescent="0.25">
      <c r="A1260" s="7" t="s">
        <v>43</v>
      </c>
      <c r="B1260" s="8">
        <v>1</v>
      </c>
      <c r="C1260" s="9">
        <v>332.2</v>
      </c>
      <c r="D1260" s="29">
        <f>C1260+IF(INDEX('Справочник по %'!B:B,(MATCH(A1260,'Справочник по %'!A:A,0)))="кол-во",B1260*INDEX('Справочник по %'!C:C,(MATCH(A1260,'Справочник по %'!A:A,0))),ОТЧЕТ!C1260*INDEX('Справочник по %'!C:C,(MATCH(A1260,'Справочник по %'!A:A,0))))/100</f>
        <v>365.41999999999996</v>
      </c>
      <c r="E1260" s="29">
        <f>IF(ОТЧЕТ!A1260="SKU3",C1260+ОТЧЕТ!C1260*0.2,C1260+ОТЧЕТ!C1260*0.15)</f>
        <v>382.03</v>
      </c>
      <c r="F1260" s="7" t="s">
        <v>2797</v>
      </c>
      <c r="G1260" s="7">
        <v>344801920882</v>
      </c>
      <c r="H1260" s="20" t="s">
        <v>2388</v>
      </c>
      <c r="I1260" s="22">
        <f>INDEX('Справочник Сети'!B:B,(MATCH(G1260,'Справочник Сети'!C:C,0)))</f>
        <v>0</v>
      </c>
      <c r="J1260" s="7" t="s">
        <v>110</v>
      </c>
      <c r="K1260" s="7" t="s">
        <v>2798</v>
      </c>
      <c r="L1260" s="7" t="s">
        <v>110</v>
      </c>
      <c r="M1260" s="31">
        <v>45660</v>
      </c>
      <c r="N1260" s="7" t="s">
        <v>2799</v>
      </c>
      <c r="O1260" s="8">
        <v>1984</v>
      </c>
      <c r="P1260" s="24">
        <v>5749</v>
      </c>
      <c r="Q1260" s="22">
        <f>IF(COUNTIFS(A$2:A1260,A1260,I$2:I1260,I1260)=1,1,0)</f>
        <v>0</v>
      </c>
      <c r="R1260" s="22">
        <f t="shared" si="19"/>
        <v>2</v>
      </c>
      <c r="S1260" s="33">
        <f>IF(COUNTIF(O$2:O1260,O1260)=1,R1260,0)/2.5</f>
        <v>0.8</v>
      </c>
    </row>
    <row r="1261" spans="1:19" ht="18" customHeight="1" x14ac:dyDescent="0.25">
      <c r="A1261" s="7" t="s">
        <v>43</v>
      </c>
      <c r="B1261" s="8">
        <v>1</v>
      </c>
      <c r="C1261" s="9">
        <v>430</v>
      </c>
      <c r="D1261" s="29">
        <f>C1261+IF(INDEX('Справочник по %'!B:B,(MATCH(A1261,'Справочник по %'!A:A,0)))="кол-во",B1261*INDEX('Справочник по %'!C:C,(MATCH(A1261,'Справочник по %'!A:A,0))),ОТЧЕТ!C1261*INDEX('Справочник по %'!C:C,(MATCH(A1261,'Справочник по %'!A:A,0))))/100</f>
        <v>473</v>
      </c>
      <c r="E1261" s="29">
        <f>IF(ОТЧЕТ!A1261="SKU3",C1261+ОТЧЕТ!C1261*0.2,C1261+ОТЧЕТ!C1261*0.15)</f>
        <v>494.5</v>
      </c>
      <c r="F1261" s="7" t="s">
        <v>2800</v>
      </c>
      <c r="G1261" s="7">
        <v>9102213935</v>
      </c>
      <c r="H1261" s="20" t="s">
        <v>2801</v>
      </c>
      <c r="I1261" s="22" t="str">
        <f>INDEX('Справочник Сети'!B:B,(MATCH(G1261,'Справочник Сети'!C:C,0)))</f>
        <v>Ригла</v>
      </c>
      <c r="J1261" s="7" t="s">
        <v>315</v>
      </c>
      <c r="K1261" s="7" t="s">
        <v>1520</v>
      </c>
      <c r="L1261" s="7" t="s">
        <v>315</v>
      </c>
      <c r="M1261" s="31">
        <v>45670</v>
      </c>
      <c r="N1261" s="7" t="s">
        <v>2802</v>
      </c>
      <c r="O1261" s="8">
        <v>13</v>
      </c>
      <c r="P1261" s="24">
        <v>5752</v>
      </c>
      <c r="Q1261" s="22">
        <f>IF(COUNTIFS(A$2:A1261,A1261,I$2:I1261,I1261)=1,1,0)</f>
        <v>0</v>
      </c>
      <c r="R1261" s="22">
        <f t="shared" si="19"/>
        <v>1</v>
      </c>
      <c r="S1261" s="33">
        <f>IF(COUNTIF(O$2:O1261,O1261)=1,R1261,0)/2.5</f>
        <v>0.4</v>
      </c>
    </row>
    <row r="1262" spans="1:19" ht="18" customHeight="1" x14ac:dyDescent="0.25">
      <c r="A1262" s="7" t="s">
        <v>43</v>
      </c>
      <c r="B1262" s="8">
        <v>1</v>
      </c>
      <c r="C1262" s="9">
        <v>430.01</v>
      </c>
      <c r="D1262" s="29">
        <f>C1262+IF(INDEX('Справочник по %'!B:B,(MATCH(A1262,'Справочник по %'!A:A,0)))="кол-во",B1262*INDEX('Справочник по %'!C:C,(MATCH(A1262,'Справочник по %'!A:A,0))),ОТЧЕТ!C1262*INDEX('Справочник по %'!C:C,(MATCH(A1262,'Справочник по %'!A:A,0))))/100</f>
        <v>473.01099999999997</v>
      </c>
      <c r="E1262" s="29">
        <f>IF(ОТЧЕТ!A1262="SKU3",C1262+ОТЧЕТ!C1262*0.2,C1262+ОТЧЕТ!C1262*0.15)</f>
        <v>494.51149999999996</v>
      </c>
      <c r="F1262" s="7" t="s">
        <v>2803</v>
      </c>
      <c r="G1262" s="7">
        <v>5501207372</v>
      </c>
      <c r="H1262" s="20" t="s">
        <v>50</v>
      </c>
      <c r="I1262" s="22" t="str">
        <f>INDEX('Справочник Сети'!B:B,(MATCH(G1262,'Справочник Сети'!C:C,0)))</f>
        <v>Ригла</v>
      </c>
      <c r="J1262" s="7" t="s">
        <v>255</v>
      </c>
      <c r="K1262" s="7" t="s">
        <v>1699</v>
      </c>
      <c r="L1262" s="7" t="s">
        <v>255</v>
      </c>
      <c r="M1262" s="31">
        <v>45713</v>
      </c>
      <c r="N1262" s="7" t="s">
        <v>2804</v>
      </c>
      <c r="O1262" s="8">
        <v>309</v>
      </c>
      <c r="P1262" s="24">
        <v>5762</v>
      </c>
      <c r="Q1262" s="22">
        <f>IF(COUNTIFS(A$2:A1262,A1262,I$2:I1262,I1262)=1,1,0)</f>
        <v>0</v>
      </c>
      <c r="R1262" s="22">
        <f t="shared" si="19"/>
        <v>2</v>
      </c>
      <c r="S1262" s="33">
        <f>IF(COUNTIF(O$2:O1262,O1262)=1,R1262,0)/2.5</f>
        <v>0.8</v>
      </c>
    </row>
    <row r="1263" spans="1:19" ht="18" customHeight="1" x14ac:dyDescent="0.25">
      <c r="A1263" s="7" t="s">
        <v>43</v>
      </c>
      <c r="B1263" s="8">
        <v>1</v>
      </c>
      <c r="C1263" s="9">
        <v>399</v>
      </c>
      <c r="D1263" s="29">
        <f>C1263+IF(INDEX('Справочник по %'!B:B,(MATCH(A1263,'Справочник по %'!A:A,0)))="кол-во",B1263*INDEX('Справочник по %'!C:C,(MATCH(A1263,'Справочник по %'!A:A,0))),ОТЧЕТ!C1263*INDEX('Справочник по %'!C:C,(MATCH(A1263,'Справочник по %'!A:A,0))))/100</f>
        <v>438.9</v>
      </c>
      <c r="E1263" s="29">
        <f>IF(ОТЧЕТ!A1263="SKU3",C1263+ОТЧЕТ!C1263*0.2,C1263+ОТЧЕТ!C1263*0.15)</f>
        <v>458.85</v>
      </c>
      <c r="F1263" s="7" t="s">
        <v>2803</v>
      </c>
      <c r="G1263" s="7">
        <v>7728339546</v>
      </c>
      <c r="H1263" s="20" t="s">
        <v>2805</v>
      </c>
      <c r="I1263" s="22" t="str">
        <f>INDEX('Справочник Сети'!B:B,(MATCH(G1263,'Справочник Сети'!C:C,0)))</f>
        <v>Планета здоровья</v>
      </c>
      <c r="J1263" s="7" t="s">
        <v>142</v>
      </c>
      <c r="K1263" s="7" t="s">
        <v>1082</v>
      </c>
      <c r="L1263" s="7" t="s">
        <v>142</v>
      </c>
      <c r="M1263" s="31">
        <v>45674</v>
      </c>
      <c r="N1263" s="7" t="s">
        <v>2806</v>
      </c>
      <c r="O1263" s="8">
        <v>2884</v>
      </c>
      <c r="P1263" s="24">
        <v>5764</v>
      </c>
      <c r="Q1263" s="22">
        <f>IF(COUNTIFS(A$2:A1263,A1263,I$2:I1263,I1263)=1,1,0)</f>
        <v>0</v>
      </c>
      <c r="R1263" s="22">
        <f t="shared" si="19"/>
        <v>1</v>
      </c>
      <c r="S1263" s="33">
        <f>IF(COUNTIF(O$2:O1263,O1263)=1,R1263,0)/2.5</f>
        <v>0.4</v>
      </c>
    </row>
    <row r="1264" spans="1:19" ht="18" customHeight="1" x14ac:dyDescent="0.25">
      <c r="A1264" s="7" t="s">
        <v>43</v>
      </c>
      <c r="B1264" s="8">
        <v>1</v>
      </c>
      <c r="C1264" s="9">
        <v>386</v>
      </c>
      <c r="D1264" s="29">
        <f>C1264+IF(INDEX('Справочник по %'!B:B,(MATCH(A1264,'Справочник по %'!A:A,0)))="кол-во",B1264*INDEX('Справочник по %'!C:C,(MATCH(A1264,'Справочник по %'!A:A,0))),ОТЧЕТ!C1264*INDEX('Справочник по %'!C:C,(MATCH(A1264,'Справочник по %'!A:A,0))))/100</f>
        <v>424.6</v>
      </c>
      <c r="E1264" s="29">
        <f>IF(ОТЧЕТ!A1264="SKU3",C1264+ОТЧЕТ!C1264*0.2,C1264+ОТЧЕТ!C1264*0.15)</f>
        <v>443.9</v>
      </c>
      <c r="F1264" s="7" t="s">
        <v>2803</v>
      </c>
      <c r="G1264" s="7">
        <v>7706795062</v>
      </c>
      <c r="H1264" s="20" t="s">
        <v>670</v>
      </c>
      <c r="I1264" s="22" t="str">
        <f>INDEX('Справочник Сети'!B:B,(MATCH(G1264,'Справочник Сети'!C:C,0)))</f>
        <v>Планета здоровья</v>
      </c>
      <c r="J1264" s="7" t="s">
        <v>87</v>
      </c>
      <c r="K1264" s="7" t="s">
        <v>1082</v>
      </c>
      <c r="L1264" s="7" t="s">
        <v>116</v>
      </c>
      <c r="M1264" s="31">
        <v>45692</v>
      </c>
      <c r="N1264" s="7" t="s">
        <v>2807</v>
      </c>
      <c r="O1264" s="8">
        <v>262</v>
      </c>
      <c r="P1264" s="24">
        <v>5766</v>
      </c>
      <c r="Q1264" s="22">
        <f>IF(COUNTIFS(A$2:A1264,A1264,I$2:I1264,I1264)=1,1,0)</f>
        <v>0</v>
      </c>
      <c r="R1264" s="22">
        <f t="shared" si="19"/>
        <v>5</v>
      </c>
      <c r="S1264" s="33">
        <f>IF(COUNTIF(O$2:O1264,O1264)=1,R1264,0)/2.5</f>
        <v>0</v>
      </c>
    </row>
    <row r="1265" spans="1:19" ht="18" customHeight="1" x14ac:dyDescent="0.25">
      <c r="A1265" s="7" t="s">
        <v>43</v>
      </c>
      <c r="B1265" s="8">
        <v>1</v>
      </c>
      <c r="C1265" s="9">
        <v>394</v>
      </c>
      <c r="D1265" s="29">
        <f>C1265+IF(INDEX('Справочник по %'!B:B,(MATCH(A1265,'Справочник по %'!A:A,0)))="кол-во",B1265*INDEX('Справочник по %'!C:C,(MATCH(A1265,'Справочник по %'!A:A,0))),ОТЧЕТ!C1265*INDEX('Справочник по %'!C:C,(MATCH(A1265,'Справочник по %'!A:A,0))))/100</f>
        <v>433.4</v>
      </c>
      <c r="E1265" s="29">
        <f>IF(ОТЧЕТ!A1265="SKU3",C1265+ОТЧЕТ!C1265*0.2,C1265+ОТЧЕТ!C1265*0.15)</f>
        <v>453.1</v>
      </c>
      <c r="F1265" s="7" t="s">
        <v>2803</v>
      </c>
      <c r="G1265" s="7">
        <v>7706795062</v>
      </c>
      <c r="H1265" s="20" t="s">
        <v>2808</v>
      </c>
      <c r="I1265" s="22" t="str">
        <f>INDEX('Справочник Сети'!B:B,(MATCH(G1265,'Справочник Сети'!C:C,0)))</f>
        <v>Планета здоровья</v>
      </c>
      <c r="J1265" s="7" t="s">
        <v>87</v>
      </c>
      <c r="K1265" s="7" t="s">
        <v>1082</v>
      </c>
      <c r="L1265" s="7" t="s">
        <v>87</v>
      </c>
      <c r="M1265" s="31">
        <v>45691</v>
      </c>
      <c r="N1265" s="7" t="s">
        <v>2809</v>
      </c>
      <c r="O1265" s="8">
        <v>2658</v>
      </c>
      <c r="P1265" s="24">
        <v>5768</v>
      </c>
      <c r="Q1265" s="22">
        <f>IF(COUNTIFS(A$2:A1265,A1265,I$2:I1265,I1265)=1,1,0)</f>
        <v>0</v>
      </c>
      <c r="R1265" s="22">
        <f t="shared" si="19"/>
        <v>1</v>
      </c>
      <c r="S1265" s="33">
        <f>IF(COUNTIF(O$2:O1265,O1265)=1,R1265,0)/2.5</f>
        <v>0.4</v>
      </c>
    </row>
    <row r="1266" spans="1:19" ht="18" customHeight="1" x14ac:dyDescent="0.25">
      <c r="A1266" s="7" t="s">
        <v>43</v>
      </c>
      <c r="B1266" s="8">
        <v>1</v>
      </c>
      <c r="C1266" s="9">
        <v>365</v>
      </c>
      <c r="D1266" s="29">
        <f>C1266+IF(INDEX('Справочник по %'!B:B,(MATCH(A1266,'Справочник по %'!A:A,0)))="кол-во",B1266*INDEX('Справочник по %'!C:C,(MATCH(A1266,'Справочник по %'!A:A,0))),ОТЧЕТ!C1266*INDEX('Справочник по %'!C:C,(MATCH(A1266,'Справочник по %'!A:A,0))))/100</f>
        <v>401.5</v>
      </c>
      <c r="E1266" s="29">
        <f>IF(ОТЧЕТ!A1266="SKU3",C1266+ОТЧЕТ!C1266*0.2,C1266+ОТЧЕТ!C1266*0.15)</f>
        <v>419.75</v>
      </c>
      <c r="F1266" s="7" t="s">
        <v>2803</v>
      </c>
      <c r="G1266" s="7">
        <v>151302547702</v>
      </c>
      <c r="H1266" s="20" t="s">
        <v>50</v>
      </c>
      <c r="I1266" s="22">
        <f>INDEX('Справочник Сети'!B:B,(MATCH(G1266,'Справочник Сети'!C:C,0)))</f>
        <v>0</v>
      </c>
      <c r="J1266" s="7" t="s">
        <v>74</v>
      </c>
      <c r="K1266" s="7" t="s">
        <v>2176</v>
      </c>
      <c r="L1266" s="7" t="s">
        <v>74</v>
      </c>
      <c r="M1266" s="31">
        <v>45661</v>
      </c>
      <c r="N1266" s="7" t="s">
        <v>2810</v>
      </c>
      <c r="O1266" s="8">
        <v>543</v>
      </c>
      <c r="P1266" s="24">
        <v>5769</v>
      </c>
      <c r="Q1266" s="22">
        <f>IF(COUNTIFS(A$2:A1266,A1266,I$2:I1266,I1266)=1,1,0)</f>
        <v>0</v>
      </c>
      <c r="R1266" s="22">
        <f t="shared" si="19"/>
        <v>1</v>
      </c>
      <c r="S1266" s="33">
        <f>IF(COUNTIF(O$2:O1266,O1266)=1,R1266,0)/2.5</f>
        <v>0.4</v>
      </c>
    </row>
    <row r="1267" spans="1:19" ht="18" customHeight="1" x14ac:dyDescent="0.25">
      <c r="A1267" s="7" t="s">
        <v>43</v>
      </c>
      <c r="B1267" s="8">
        <v>1</v>
      </c>
      <c r="C1267" s="9">
        <v>414</v>
      </c>
      <c r="D1267" s="29">
        <f>C1267+IF(INDEX('Справочник по %'!B:B,(MATCH(A1267,'Справочник по %'!A:A,0)))="кол-во",B1267*INDEX('Справочник по %'!C:C,(MATCH(A1267,'Справочник по %'!A:A,0))),ОТЧЕТ!C1267*INDEX('Справочник по %'!C:C,(MATCH(A1267,'Справочник по %'!A:A,0))))/100</f>
        <v>455.4</v>
      </c>
      <c r="E1267" s="29">
        <f>IF(ОТЧЕТ!A1267="SKU3",C1267+ОТЧЕТ!C1267*0.2,C1267+ОТЧЕТ!C1267*0.15)</f>
        <v>476.1</v>
      </c>
      <c r="F1267" s="7" t="s">
        <v>2803</v>
      </c>
      <c r="G1267" s="7">
        <v>3665104372</v>
      </c>
      <c r="H1267" s="20" t="s">
        <v>2811</v>
      </c>
      <c r="I1267" s="22">
        <f>INDEX('Справочник Сети'!B:B,(MATCH(G1267,'Справочник Сети'!C:C,0)))</f>
        <v>0</v>
      </c>
      <c r="J1267" s="7" t="s">
        <v>65</v>
      </c>
      <c r="K1267" s="7" t="s">
        <v>1537</v>
      </c>
      <c r="L1267" s="7" t="s">
        <v>65</v>
      </c>
      <c r="M1267" s="31">
        <v>45717</v>
      </c>
      <c r="N1267" s="7" t="s">
        <v>2812</v>
      </c>
      <c r="O1267" s="8">
        <v>3815</v>
      </c>
      <c r="P1267" s="24">
        <v>5771</v>
      </c>
      <c r="Q1267" s="22">
        <f>IF(COUNTIFS(A$2:A1267,A1267,I$2:I1267,I1267)=1,1,0)</f>
        <v>0</v>
      </c>
      <c r="R1267" s="22">
        <f t="shared" si="19"/>
        <v>1</v>
      </c>
      <c r="S1267" s="33">
        <f>IF(COUNTIF(O$2:O1267,O1267)=1,R1267,0)/2.5</f>
        <v>0.4</v>
      </c>
    </row>
    <row r="1268" spans="1:19" ht="18" customHeight="1" x14ac:dyDescent="0.25">
      <c r="A1268" s="7" t="s">
        <v>37</v>
      </c>
      <c r="B1268" s="8">
        <v>1</v>
      </c>
      <c r="C1268" s="9">
        <v>620</v>
      </c>
      <c r="D1268" s="29">
        <f>C1268+IF(INDEX('Справочник по %'!B:B,(MATCH(A1268,'Справочник по %'!A:A,0)))="кол-во",B1268*INDEX('Справочник по %'!C:C,(MATCH(A1268,'Справочник по %'!A:A,0))),ОТЧЕТ!C1268*INDEX('Справочник по %'!C:C,(MATCH(A1268,'Справочник по %'!A:A,0))))/100</f>
        <v>620.20000000000005</v>
      </c>
      <c r="E1268" s="29">
        <f>IF(ОТЧЕТ!A1268="SKU3",C1268+ОТЧЕТ!C1268*0.2,C1268+ОТЧЕТ!C1268*0.15)</f>
        <v>713</v>
      </c>
      <c r="F1268" s="7" t="s">
        <v>2813</v>
      </c>
      <c r="G1268" s="7">
        <v>312825165467</v>
      </c>
      <c r="H1268" s="20" t="s">
        <v>1778</v>
      </c>
      <c r="I1268" s="22">
        <f>INDEX('Справочник Сети'!B:B,(MATCH(G1268,'Справочник Сети'!C:C,0)))</f>
        <v>0</v>
      </c>
      <c r="J1268" s="7" t="s">
        <v>110</v>
      </c>
      <c r="K1268" s="7" t="s">
        <v>2176</v>
      </c>
      <c r="L1268" s="7" t="s">
        <v>110</v>
      </c>
      <c r="M1268" s="31">
        <v>45660</v>
      </c>
      <c r="N1268" s="7" t="s">
        <v>2814</v>
      </c>
      <c r="O1268" s="8">
        <v>408</v>
      </c>
      <c r="P1268" s="24">
        <v>5772</v>
      </c>
      <c r="Q1268" s="22">
        <f>IF(COUNTIFS(A$2:A1268,A1268,I$2:I1268,I1268)=1,1,0)</f>
        <v>0</v>
      </c>
      <c r="R1268" s="22">
        <f t="shared" si="19"/>
        <v>3</v>
      </c>
      <c r="S1268" s="33">
        <f>IF(COUNTIF(O$2:O1268,O1268)=1,R1268,0)/2.5</f>
        <v>0</v>
      </c>
    </row>
    <row r="1269" spans="1:19" ht="18" customHeight="1" x14ac:dyDescent="0.25">
      <c r="A1269" s="7" t="s">
        <v>43</v>
      </c>
      <c r="B1269" s="8">
        <v>1</v>
      </c>
      <c r="C1269" s="9">
        <v>406</v>
      </c>
      <c r="D1269" s="29">
        <f>C1269+IF(INDEX('Справочник по %'!B:B,(MATCH(A1269,'Справочник по %'!A:A,0)))="кол-во",B1269*INDEX('Справочник по %'!C:C,(MATCH(A1269,'Справочник по %'!A:A,0))),ОТЧЕТ!C1269*INDEX('Справочник по %'!C:C,(MATCH(A1269,'Справочник по %'!A:A,0))))/100</f>
        <v>446.6</v>
      </c>
      <c r="E1269" s="29">
        <f>IF(ОТЧЕТ!A1269="SKU3",C1269+ОТЧЕТ!C1269*0.2,C1269+ОТЧЕТ!C1269*0.15)</f>
        <v>466.9</v>
      </c>
      <c r="F1269" s="7" t="s">
        <v>2815</v>
      </c>
      <c r="G1269" s="7">
        <v>7731334851</v>
      </c>
      <c r="H1269" s="20" t="s">
        <v>2816</v>
      </c>
      <c r="I1269" s="22" t="str">
        <f>INDEX('Справочник Сети'!B:B,(MATCH(G1269,'Справочник Сети'!C:C,0)))</f>
        <v>Планета здоровья</v>
      </c>
      <c r="J1269" s="7" t="s">
        <v>142</v>
      </c>
      <c r="K1269" s="7" t="s">
        <v>1048</v>
      </c>
      <c r="L1269" s="7" t="s">
        <v>142</v>
      </c>
      <c r="M1269" s="31">
        <v>45674</v>
      </c>
      <c r="N1269" s="7" t="s">
        <v>2817</v>
      </c>
      <c r="O1269" s="8">
        <v>2925</v>
      </c>
      <c r="P1269" s="24">
        <v>5788</v>
      </c>
      <c r="Q1269" s="22">
        <f>IF(COUNTIFS(A$2:A1269,A1269,I$2:I1269,I1269)=1,1,0)</f>
        <v>0</v>
      </c>
      <c r="R1269" s="22">
        <f t="shared" si="19"/>
        <v>1</v>
      </c>
      <c r="S1269" s="33">
        <f>IF(COUNTIF(O$2:O1269,O1269)=1,R1269,0)/2.5</f>
        <v>0.4</v>
      </c>
    </row>
    <row r="1270" spans="1:19" ht="18" customHeight="1" x14ac:dyDescent="0.25">
      <c r="A1270" s="7" t="s">
        <v>37</v>
      </c>
      <c r="B1270" s="8">
        <v>1</v>
      </c>
      <c r="C1270" s="9">
        <v>594</v>
      </c>
      <c r="D1270" s="29">
        <f>C1270+IF(INDEX('Справочник по %'!B:B,(MATCH(A1270,'Справочник по %'!A:A,0)))="кол-во",B1270*INDEX('Справочник по %'!C:C,(MATCH(A1270,'Справочник по %'!A:A,0))),ОТЧЕТ!C1270*INDEX('Справочник по %'!C:C,(MATCH(A1270,'Справочник по %'!A:A,0))))/100</f>
        <v>594.20000000000005</v>
      </c>
      <c r="E1270" s="29">
        <f>IF(ОТЧЕТ!A1270="SKU3",C1270+ОТЧЕТ!C1270*0.2,C1270+ОТЧЕТ!C1270*0.15)</f>
        <v>683.1</v>
      </c>
      <c r="F1270" s="7" t="s">
        <v>2818</v>
      </c>
      <c r="G1270" s="7">
        <v>7204146152</v>
      </c>
      <c r="H1270" s="20" t="s">
        <v>103</v>
      </c>
      <c r="I1270" s="22" t="str">
        <f>INDEX('Справочник Сети'!B:B,(MATCH(G1270,'Справочник Сети'!C:C,0)))</f>
        <v>36,6</v>
      </c>
      <c r="J1270" s="7" t="s">
        <v>104</v>
      </c>
      <c r="K1270" s="7" t="s">
        <v>1178</v>
      </c>
      <c r="L1270" s="7" t="s">
        <v>106</v>
      </c>
      <c r="M1270" s="31">
        <v>45694</v>
      </c>
      <c r="N1270" s="7" t="s">
        <v>2819</v>
      </c>
      <c r="O1270" s="8">
        <v>1683</v>
      </c>
      <c r="P1270" s="24">
        <v>5796</v>
      </c>
      <c r="Q1270" s="22">
        <f>IF(COUNTIFS(A$2:A1270,A1270,I$2:I1270,I1270)=1,1,0)</f>
        <v>0</v>
      </c>
      <c r="R1270" s="22">
        <f t="shared" si="19"/>
        <v>9</v>
      </c>
      <c r="S1270" s="33">
        <f>IF(COUNTIF(O$2:O1270,O1270)=1,R1270,0)/2.5</f>
        <v>0</v>
      </c>
    </row>
    <row r="1271" spans="1:19" ht="18" customHeight="1" x14ac:dyDescent="0.25">
      <c r="A1271" s="7" t="s">
        <v>37</v>
      </c>
      <c r="B1271" s="8">
        <v>1</v>
      </c>
      <c r="C1271" s="9">
        <v>544</v>
      </c>
      <c r="D1271" s="29">
        <f>C1271+IF(INDEX('Справочник по %'!B:B,(MATCH(A1271,'Справочник по %'!A:A,0)))="кол-во",B1271*INDEX('Справочник по %'!C:C,(MATCH(A1271,'Справочник по %'!A:A,0))),ОТЧЕТ!C1271*INDEX('Справочник по %'!C:C,(MATCH(A1271,'Справочник по %'!A:A,0))))/100</f>
        <v>544.20000000000005</v>
      </c>
      <c r="E1271" s="29">
        <f>IF(ОТЧЕТ!A1271="SKU3",C1271+ОТЧЕТ!C1271*0.2,C1271+ОТЧЕТ!C1271*0.15)</f>
        <v>625.6</v>
      </c>
      <c r="F1271" s="7" t="s">
        <v>2818</v>
      </c>
      <c r="G1271" s="7">
        <v>7728339546</v>
      </c>
      <c r="H1271" s="20" t="s">
        <v>2820</v>
      </c>
      <c r="I1271" s="22" t="str">
        <f>INDEX('Справочник Сети'!B:B,(MATCH(G1271,'Справочник Сети'!C:C,0)))</f>
        <v>Планета здоровья</v>
      </c>
      <c r="J1271" s="7" t="s">
        <v>142</v>
      </c>
      <c r="K1271" s="7" t="s">
        <v>605</v>
      </c>
      <c r="L1271" s="7" t="s">
        <v>142</v>
      </c>
      <c r="M1271" s="31">
        <v>45674</v>
      </c>
      <c r="N1271" s="7" t="s">
        <v>2821</v>
      </c>
      <c r="O1271" s="8">
        <v>2927</v>
      </c>
      <c r="P1271" s="24">
        <v>5798</v>
      </c>
      <c r="Q1271" s="22">
        <f>IF(COUNTIFS(A$2:A1271,A1271,I$2:I1271,I1271)=1,1,0)</f>
        <v>0</v>
      </c>
      <c r="R1271" s="22">
        <f t="shared" si="19"/>
        <v>2</v>
      </c>
      <c r="S1271" s="33">
        <f>IF(COUNTIF(O$2:O1271,O1271)=1,R1271,0)/2.5</f>
        <v>0.8</v>
      </c>
    </row>
    <row r="1272" spans="1:19" ht="18" customHeight="1" x14ac:dyDescent="0.25">
      <c r="A1272" s="7" t="s">
        <v>43</v>
      </c>
      <c r="B1272" s="8">
        <v>1</v>
      </c>
      <c r="C1272" s="9">
        <v>399</v>
      </c>
      <c r="D1272" s="29">
        <f>C1272+IF(INDEX('Справочник по %'!B:B,(MATCH(A1272,'Справочник по %'!A:A,0)))="кол-во",B1272*INDEX('Справочник по %'!C:C,(MATCH(A1272,'Справочник по %'!A:A,0))),ОТЧЕТ!C1272*INDEX('Справочник по %'!C:C,(MATCH(A1272,'Справочник по %'!A:A,0))))/100</f>
        <v>438.9</v>
      </c>
      <c r="E1272" s="29">
        <f>IF(ОТЧЕТ!A1272="SKU3",C1272+ОТЧЕТ!C1272*0.2,C1272+ОТЧЕТ!C1272*0.15)</f>
        <v>458.85</v>
      </c>
      <c r="F1272" s="7" t="s">
        <v>2818</v>
      </c>
      <c r="G1272" s="7">
        <v>7732121736</v>
      </c>
      <c r="H1272" s="20" t="s">
        <v>2743</v>
      </c>
      <c r="I1272" s="22" t="str">
        <f>INDEX('Справочник Сети'!B:B,(MATCH(G1272,'Справочник Сети'!C:C,0)))</f>
        <v>Планета здоровья</v>
      </c>
      <c r="J1272" s="7" t="s">
        <v>149</v>
      </c>
      <c r="K1272" s="7" t="s">
        <v>605</v>
      </c>
      <c r="L1272" s="7" t="s">
        <v>142</v>
      </c>
      <c r="M1272" s="31">
        <v>45674</v>
      </c>
      <c r="N1272" s="7" t="s">
        <v>2822</v>
      </c>
      <c r="O1272" s="8">
        <v>128</v>
      </c>
      <c r="P1272" s="24">
        <v>5799</v>
      </c>
      <c r="Q1272" s="22">
        <f>IF(COUNTIFS(A$2:A1272,A1272,I$2:I1272,I1272)=1,1,0)</f>
        <v>0</v>
      </c>
      <c r="R1272" s="22">
        <f t="shared" si="19"/>
        <v>2</v>
      </c>
      <c r="S1272" s="33">
        <f>IF(COUNTIF(O$2:O1272,O1272)=1,R1272,0)/2.5</f>
        <v>0</v>
      </c>
    </row>
    <row r="1273" spans="1:19" ht="18" customHeight="1" x14ac:dyDescent="0.25">
      <c r="A1273" s="7" t="s">
        <v>43</v>
      </c>
      <c r="B1273" s="8">
        <v>1</v>
      </c>
      <c r="C1273" s="9">
        <v>395</v>
      </c>
      <c r="D1273" s="29">
        <f>C1273+IF(INDEX('Справочник по %'!B:B,(MATCH(A1273,'Справочник по %'!A:A,0)))="кол-во",B1273*INDEX('Справочник по %'!C:C,(MATCH(A1273,'Справочник по %'!A:A,0))),ОТЧЕТ!C1273*INDEX('Справочник по %'!C:C,(MATCH(A1273,'Справочник по %'!A:A,0))))/100</f>
        <v>434.5</v>
      </c>
      <c r="E1273" s="29">
        <f>IF(ОТЧЕТ!A1273="SKU3",C1273+ОТЧЕТ!C1273*0.2,C1273+ОТЧЕТ!C1273*0.15)</f>
        <v>454.25</v>
      </c>
      <c r="F1273" s="7" t="s">
        <v>2818</v>
      </c>
      <c r="G1273" s="7">
        <v>5803012468</v>
      </c>
      <c r="H1273" s="20" t="s">
        <v>2096</v>
      </c>
      <c r="I1273" s="22">
        <f>INDEX('Справочник Сети'!B:B,(MATCH(G1273,'Справочник Сети'!C:C,0)))</f>
        <v>0</v>
      </c>
      <c r="J1273" s="7" t="s">
        <v>40</v>
      </c>
      <c r="K1273" s="7" t="s">
        <v>607</v>
      </c>
      <c r="L1273" s="7" t="s">
        <v>40</v>
      </c>
      <c r="M1273" s="31">
        <v>45712</v>
      </c>
      <c r="N1273" s="7" t="s">
        <v>2823</v>
      </c>
      <c r="O1273" s="8">
        <v>539</v>
      </c>
      <c r="P1273" s="24">
        <v>5800</v>
      </c>
      <c r="Q1273" s="22">
        <f>IF(COUNTIFS(A$2:A1273,A1273,I$2:I1273,I1273)=1,1,0)</f>
        <v>0</v>
      </c>
      <c r="R1273" s="22">
        <f t="shared" si="19"/>
        <v>2</v>
      </c>
      <c r="S1273" s="33">
        <f>IF(COUNTIF(O$2:O1273,O1273)=1,R1273,0)/2.5</f>
        <v>0</v>
      </c>
    </row>
    <row r="1274" spans="1:19" ht="18" customHeight="1" x14ac:dyDescent="0.25">
      <c r="A1274" s="7" t="s">
        <v>43</v>
      </c>
      <c r="B1274" s="8">
        <v>1</v>
      </c>
      <c r="C1274" s="9">
        <v>427.5</v>
      </c>
      <c r="D1274" s="29">
        <f>C1274+IF(INDEX('Справочник по %'!B:B,(MATCH(A1274,'Справочник по %'!A:A,0)))="кол-во",B1274*INDEX('Справочник по %'!C:C,(MATCH(A1274,'Справочник по %'!A:A,0))),ОТЧЕТ!C1274*INDEX('Справочник по %'!C:C,(MATCH(A1274,'Справочник по %'!A:A,0))))/100</f>
        <v>470.25</v>
      </c>
      <c r="E1274" s="29">
        <f>IF(ОТЧЕТ!A1274="SKU3",C1274+ОТЧЕТ!C1274*0.2,C1274+ОТЧЕТ!C1274*0.15)</f>
        <v>491.625</v>
      </c>
      <c r="F1274" s="7" t="s">
        <v>2824</v>
      </c>
      <c r="G1274" s="7">
        <v>4218105425</v>
      </c>
      <c r="H1274" s="20" t="s">
        <v>2825</v>
      </c>
      <c r="I1274" s="22">
        <f>INDEX('Справочник Сети'!B:B,(MATCH(G1274,'Справочник Сети'!C:C,0)))</f>
        <v>0</v>
      </c>
      <c r="J1274" s="7" t="s">
        <v>155</v>
      </c>
      <c r="K1274" s="7" t="s">
        <v>88</v>
      </c>
      <c r="L1274" s="7" t="s">
        <v>155</v>
      </c>
      <c r="M1274" s="31">
        <v>45716</v>
      </c>
      <c r="N1274" s="7" t="s">
        <v>2826</v>
      </c>
      <c r="O1274" s="8">
        <v>2591</v>
      </c>
      <c r="P1274" s="24">
        <v>5801</v>
      </c>
      <c r="Q1274" s="22">
        <f>IF(COUNTIFS(A$2:A1274,A1274,I$2:I1274,I1274)=1,1,0)</f>
        <v>0</v>
      </c>
      <c r="R1274" s="22">
        <f t="shared" si="19"/>
        <v>1</v>
      </c>
      <c r="S1274" s="33">
        <f>IF(COUNTIF(O$2:O1274,O1274)=1,R1274,0)/2.5</f>
        <v>0.4</v>
      </c>
    </row>
    <row r="1275" spans="1:19" ht="18" customHeight="1" x14ac:dyDescent="0.25">
      <c r="A1275" s="7" t="s">
        <v>43</v>
      </c>
      <c r="B1275" s="8">
        <v>1</v>
      </c>
      <c r="C1275" s="9">
        <v>415</v>
      </c>
      <c r="D1275" s="29">
        <f>C1275+IF(INDEX('Справочник по %'!B:B,(MATCH(A1275,'Справочник по %'!A:A,0)))="кол-во",B1275*INDEX('Справочник по %'!C:C,(MATCH(A1275,'Справочник по %'!A:A,0))),ОТЧЕТ!C1275*INDEX('Справочник по %'!C:C,(MATCH(A1275,'Справочник по %'!A:A,0))))/100</f>
        <v>456.5</v>
      </c>
      <c r="E1275" s="29">
        <f>IF(ОТЧЕТ!A1275="SKU3",C1275+ОТЧЕТ!C1275*0.2,C1275+ОТЧЕТ!C1275*0.15)</f>
        <v>477.25</v>
      </c>
      <c r="F1275" s="7" t="s">
        <v>2824</v>
      </c>
      <c r="G1275" s="7">
        <v>231700119537</v>
      </c>
      <c r="H1275" s="20" t="s">
        <v>50</v>
      </c>
      <c r="I1275" s="22">
        <f>INDEX('Справочник Сети'!B:B,(MATCH(G1275,'Справочник Сети'!C:C,0)))</f>
        <v>0</v>
      </c>
      <c r="J1275" s="7" t="s">
        <v>74</v>
      </c>
      <c r="K1275" s="7" t="s">
        <v>578</v>
      </c>
      <c r="L1275" s="7" t="s">
        <v>74</v>
      </c>
      <c r="M1275" s="31">
        <v>45661</v>
      </c>
      <c r="N1275" s="7" t="s">
        <v>2827</v>
      </c>
      <c r="O1275" s="8">
        <v>802</v>
      </c>
      <c r="P1275" s="24">
        <v>5802</v>
      </c>
      <c r="Q1275" s="22">
        <f>IF(COUNTIFS(A$2:A1275,A1275,I$2:I1275,I1275)=1,1,0)</f>
        <v>0</v>
      </c>
      <c r="R1275" s="22">
        <f t="shared" si="19"/>
        <v>1</v>
      </c>
      <c r="S1275" s="33">
        <f>IF(COUNTIF(O$2:O1275,O1275)=1,R1275,0)/2.5</f>
        <v>0.4</v>
      </c>
    </row>
    <row r="1276" spans="1:19" ht="18" customHeight="1" x14ac:dyDescent="0.25">
      <c r="A1276" s="7" t="s">
        <v>37</v>
      </c>
      <c r="B1276" s="8">
        <v>1</v>
      </c>
      <c r="C1276" s="9">
        <v>540</v>
      </c>
      <c r="D1276" s="29">
        <f>C1276+IF(INDEX('Справочник по %'!B:B,(MATCH(A1276,'Справочник по %'!A:A,0)))="кол-во",B1276*INDEX('Справочник по %'!C:C,(MATCH(A1276,'Справочник по %'!A:A,0))),ОТЧЕТ!C1276*INDEX('Справочник по %'!C:C,(MATCH(A1276,'Справочник по %'!A:A,0))))/100</f>
        <v>540.20000000000005</v>
      </c>
      <c r="E1276" s="29">
        <f>IF(ОТЧЕТ!A1276="SKU3",C1276+ОТЧЕТ!C1276*0.2,C1276+ОТЧЕТ!C1276*0.15)</f>
        <v>621</v>
      </c>
      <c r="F1276" s="7" t="s">
        <v>2828</v>
      </c>
      <c r="G1276" s="7">
        <v>7706795062</v>
      </c>
      <c r="H1276" s="20" t="s">
        <v>670</v>
      </c>
      <c r="I1276" s="22" t="str">
        <f>INDEX('Справочник Сети'!B:B,(MATCH(G1276,'Справочник Сети'!C:C,0)))</f>
        <v>Планета здоровья</v>
      </c>
      <c r="J1276" s="7" t="s">
        <v>87</v>
      </c>
      <c r="K1276" s="7" t="s">
        <v>2689</v>
      </c>
      <c r="L1276" s="7" t="s">
        <v>116</v>
      </c>
      <c r="M1276" s="31">
        <v>45692</v>
      </c>
      <c r="N1276" s="7" t="s">
        <v>2829</v>
      </c>
      <c r="O1276" s="8">
        <v>262</v>
      </c>
      <c r="P1276" s="24">
        <v>5807</v>
      </c>
      <c r="Q1276" s="22">
        <f>IF(COUNTIFS(A$2:A1276,A1276,I$2:I1276,I1276)=1,1,0)</f>
        <v>0</v>
      </c>
      <c r="R1276" s="22">
        <f t="shared" si="19"/>
        <v>5</v>
      </c>
      <c r="S1276" s="33">
        <f>IF(COUNTIF(O$2:O1276,O1276)=1,R1276,0)/2.5</f>
        <v>0</v>
      </c>
    </row>
    <row r="1277" spans="1:19" ht="18" customHeight="1" x14ac:dyDescent="0.25">
      <c r="A1277" s="7" t="s">
        <v>43</v>
      </c>
      <c r="B1277" s="8">
        <v>1</v>
      </c>
      <c r="C1277" s="9">
        <v>431</v>
      </c>
      <c r="D1277" s="29">
        <f>C1277+IF(INDEX('Справочник по %'!B:B,(MATCH(A1277,'Справочник по %'!A:A,0)))="кол-во",B1277*INDEX('Справочник по %'!C:C,(MATCH(A1277,'Справочник по %'!A:A,0))),ОТЧЕТ!C1277*INDEX('Справочник по %'!C:C,(MATCH(A1277,'Справочник по %'!A:A,0))))/100</f>
        <v>474.1</v>
      </c>
      <c r="E1277" s="29">
        <f>IF(ОТЧЕТ!A1277="SKU3",C1277+ОТЧЕТ!C1277*0.2,C1277+ОТЧЕТ!C1277*0.15)</f>
        <v>495.65</v>
      </c>
      <c r="F1277" s="7" t="s">
        <v>2830</v>
      </c>
      <c r="G1277" s="7">
        <v>344600461131</v>
      </c>
      <c r="H1277" s="20" t="s">
        <v>2605</v>
      </c>
      <c r="I1277" s="22">
        <f>INDEX('Справочник Сети'!B:B,(MATCH(G1277,'Справочник Сети'!C:C,0)))</f>
        <v>0</v>
      </c>
      <c r="J1277" s="7" t="s">
        <v>110</v>
      </c>
      <c r="K1277" s="7" t="s">
        <v>1077</v>
      </c>
      <c r="L1277" s="7" t="s">
        <v>110</v>
      </c>
      <c r="M1277" s="31">
        <v>45660</v>
      </c>
      <c r="N1277" s="7" t="s">
        <v>2831</v>
      </c>
      <c r="O1277" s="8">
        <v>3567</v>
      </c>
      <c r="P1277" s="24">
        <v>5811</v>
      </c>
      <c r="Q1277" s="22">
        <f>IF(COUNTIFS(A$2:A1277,A1277,I$2:I1277,I1277)=1,1,0)</f>
        <v>0</v>
      </c>
      <c r="R1277" s="22">
        <f t="shared" si="19"/>
        <v>4</v>
      </c>
      <c r="S1277" s="33">
        <f>IF(COUNTIF(O$2:O1277,O1277)=1,R1277,0)/2.5</f>
        <v>0</v>
      </c>
    </row>
    <row r="1278" spans="1:19" ht="18" customHeight="1" x14ac:dyDescent="0.25">
      <c r="A1278" s="7" t="s">
        <v>37</v>
      </c>
      <c r="B1278" s="8">
        <v>1</v>
      </c>
      <c r="C1278" s="9">
        <v>614.70000000000005</v>
      </c>
      <c r="D1278" s="29">
        <f>C1278+IF(INDEX('Справочник по %'!B:B,(MATCH(A1278,'Справочник по %'!A:A,0)))="кол-во",B1278*INDEX('Справочник по %'!C:C,(MATCH(A1278,'Справочник по %'!A:A,0))),ОТЧЕТ!C1278*INDEX('Справочник по %'!C:C,(MATCH(A1278,'Справочник по %'!A:A,0))))/100</f>
        <v>614.90000000000009</v>
      </c>
      <c r="E1278" s="29">
        <f>IF(ОТЧЕТ!A1278="SKU3",C1278+ОТЧЕТ!C1278*0.2,C1278+ОТЧЕТ!C1278*0.15)</f>
        <v>706.90500000000009</v>
      </c>
      <c r="F1278" s="7" t="s">
        <v>2830</v>
      </c>
      <c r="G1278" s="7">
        <v>2466189073</v>
      </c>
      <c r="H1278" s="20" t="s">
        <v>2287</v>
      </c>
      <c r="I1278" s="22" t="str">
        <f>INDEX('Справочник Сети'!B:B,(MATCH(G1278,'Справочник Сети'!C:C,0)))</f>
        <v>Нео-фарм</v>
      </c>
      <c r="J1278" s="7" t="s">
        <v>96</v>
      </c>
      <c r="K1278" s="7" t="s">
        <v>1817</v>
      </c>
      <c r="L1278" s="7" t="s">
        <v>96</v>
      </c>
      <c r="M1278" s="31">
        <v>45727</v>
      </c>
      <c r="N1278" s="7" t="s">
        <v>1921</v>
      </c>
      <c r="O1278" s="8">
        <v>3550</v>
      </c>
      <c r="P1278" s="24">
        <v>5812</v>
      </c>
      <c r="Q1278" s="22">
        <f>IF(COUNTIFS(A$2:A1278,A1278,I$2:I1278,I1278)=1,1,0)</f>
        <v>0</v>
      </c>
      <c r="R1278" s="22">
        <f t="shared" si="19"/>
        <v>1</v>
      </c>
      <c r="S1278" s="33">
        <f>IF(COUNTIF(O$2:O1278,O1278)=1,R1278,0)/2.5</f>
        <v>0.4</v>
      </c>
    </row>
    <row r="1279" spans="1:19" ht="18" customHeight="1" x14ac:dyDescent="0.25">
      <c r="A1279" s="7" t="s">
        <v>37</v>
      </c>
      <c r="B1279" s="8">
        <v>1</v>
      </c>
      <c r="C1279" s="9">
        <v>536</v>
      </c>
      <c r="D1279" s="29">
        <f>C1279+IF(INDEX('Справочник по %'!B:B,(MATCH(A1279,'Справочник по %'!A:A,0)))="кол-во",B1279*INDEX('Справочник по %'!C:C,(MATCH(A1279,'Справочник по %'!A:A,0))),ОТЧЕТ!C1279*INDEX('Справочник по %'!C:C,(MATCH(A1279,'Справочник по %'!A:A,0))))/100</f>
        <v>536.20000000000005</v>
      </c>
      <c r="E1279" s="29">
        <f>IF(ОТЧЕТ!A1279="SKU3",C1279+ОТЧЕТ!C1279*0.2,C1279+ОТЧЕТ!C1279*0.15)</f>
        <v>616.4</v>
      </c>
      <c r="F1279" s="7" t="s">
        <v>2830</v>
      </c>
      <c r="G1279" s="7">
        <v>7706795062</v>
      </c>
      <c r="H1279" s="20" t="s">
        <v>487</v>
      </c>
      <c r="I1279" s="22" t="str">
        <f>INDEX('Справочник Сети'!B:B,(MATCH(G1279,'Справочник Сети'!C:C,0)))</f>
        <v>Планета здоровья</v>
      </c>
      <c r="J1279" s="7" t="s">
        <v>87</v>
      </c>
      <c r="K1279" s="7" t="s">
        <v>1921</v>
      </c>
      <c r="L1279" s="7" t="s">
        <v>116</v>
      </c>
      <c r="M1279" s="31">
        <v>45692</v>
      </c>
      <c r="N1279" s="7" t="s">
        <v>2832</v>
      </c>
      <c r="O1279" s="8">
        <v>1267</v>
      </c>
      <c r="P1279" s="24">
        <v>5813</v>
      </c>
      <c r="Q1279" s="22">
        <f>IF(COUNTIFS(A$2:A1279,A1279,I$2:I1279,I1279)=1,1,0)</f>
        <v>0</v>
      </c>
      <c r="R1279" s="22">
        <f t="shared" si="19"/>
        <v>3</v>
      </c>
      <c r="S1279" s="33">
        <f>IF(COUNTIF(O$2:O1279,O1279)=1,R1279,0)/2.5</f>
        <v>1.2</v>
      </c>
    </row>
    <row r="1280" spans="1:19" ht="18" customHeight="1" x14ac:dyDescent="0.25">
      <c r="A1280" s="7" t="s">
        <v>43</v>
      </c>
      <c r="B1280" s="8">
        <v>1</v>
      </c>
      <c r="C1280" s="9">
        <v>376.2</v>
      </c>
      <c r="D1280" s="29">
        <f>C1280+IF(INDEX('Справочник по %'!B:B,(MATCH(A1280,'Справочник по %'!A:A,0)))="кол-во",B1280*INDEX('Справочник по %'!C:C,(MATCH(A1280,'Справочник по %'!A:A,0))),ОТЧЕТ!C1280*INDEX('Справочник по %'!C:C,(MATCH(A1280,'Справочник по %'!A:A,0))))/100</f>
        <v>413.82</v>
      </c>
      <c r="E1280" s="29">
        <f>IF(ОТЧЕТ!A1280="SKU3",C1280+ОТЧЕТ!C1280*0.2,C1280+ОТЧЕТ!C1280*0.15)</f>
        <v>432.63</v>
      </c>
      <c r="F1280" s="7" t="s">
        <v>2833</v>
      </c>
      <c r="G1280" s="7">
        <v>5321137817</v>
      </c>
      <c r="H1280" s="20" t="s">
        <v>50</v>
      </c>
      <c r="I1280" s="22" t="str">
        <f>INDEX('Справочник Сети'!B:B,(MATCH(G1280,'Справочник Сети'!C:C,0)))</f>
        <v>Ригла</v>
      </c>
      <c r="J1280" s="7" t="s">
        <v>92</v>
      </c>
      <c r="K1280" s="7" t="s">
        <v>1921</v>
      </c>
      <c r="L1280" s="7" t="s">
        <v>92</v>
      </c>
      <c r="M1280" s="31">
        <v>45714</v>
      </c>
      <c r="N1280" s="7" t="s">
        <v>2834</v>
      </c>
      <c r="O1280" s="8">
        <v>3574</v>
      </c>
      <c r="P1280" s="24">
        <v>5816</v>
      </c>
      <c r="Q1280" s="22">
        <f>IF(COUNTIFS(A$2:A1280,A1280,I$2:I1280,I1280)=1,1,0)</f>
        <v>0</v>
      </c>
      <c r="R1280" s="22">
        <f t="shared" si="19"/>
        <v>2</v>
      </c>
      <c r="S1280" s="33">
        <f>IF(COUNTIF(O$2:O1280,O1280)=1,R1280,0)/2.5</f>
        <v>0</v>
      </c>
    </row>
    <row r="1281" spans="1:19" ht="18" customHeight="1" x14ac:dyDescent="0.25">
      <c r="A1281" s="7" t="s">
        <v>43</v>
      </c>
      <c r="B1281" s="8">
        <v>1</v>
      </c>
      <c r="C1281" s="9">
        <v>430</v>
      </c>
      <c r="D1281" s="29">
        <f>C1281+IF(INDEX('Справочник по %'!B:B,(MATCH(A1281,'Справочник по %'!A:A,0)))="кол-во",B1281*INDEX('Справочник по %'!C:C,(MATCH(A1281,'Справочник по %'!A:A,0))),ОТЧЕТ!C1281*INDEX('Справочник по %'!C:C,(MATCH(A1281,'Справочник по %'!A:A,0))))/100</f>
        <v>473</v>
      </c>
      <c r="E1281" s="29">
        <f>IF(ОТЧЕТ!A1281="SKU3",C1281+ОТЧЕТ!C1281*0.2,C1281+ОТЧЕТ!C1281*0.15)</f>
        <v>494.5</v>
      </c>
      <c r="F1281" s="7" t="s">
        <v>2833</v>
      </c>
      <c r="G1281" s="7">
        <v>9102213935</v>
      </c>
      <c r="H1281" s="20" t="s">
        <v>868</v>
      </c>
      <c r="I1281" s="22" t="str">
        <f>INDEX('Справочник Сети'!B:B,(MATCH(G1281,'Справочник Сети'!C:C,0)))</f>
        <v>Ригла</v>
      </c>
      <c r="J1281" s="7" t="s">
        <v>315</v>
      </c>
      <c r="K1281" s="7" t="s">
        <v>616</v>
      </c>
      <c r="L1281" s="7" t="s">
        <v>315</v>
      </c>
      <c r="M1281" s="31">
        <v>45670</v>
      </c>
      <c r="N1281" s="7" t="s">
        <v>2835</v>
      </c>
      <c r="O1281" s="8">
        <v>872</v>
      </c>
      <c r="P1281" s="24">
        <v>5819</v>
      </c>
      <c r="Q1281" s="22">
        <f>IF(COUNTIFS(A$2:A1281,A1281,I$2:I1281,I1281)=1,1,0)</f>
        <v>0</v>
      </c>
      <c r="R1281" s="22">
        <f t="shared" si="19"/>
        <v>1</v>
      </c>
      <c r="S1281" s="33">
        <f>IF(COUNTIF(O$2:O1281,O1281)=1,R1281,0)/2.5</f>
        <v>0.4</v>
      </c>
    </row>
    <row r="1282" spans="1:19" ht="18" customHeight="1" x14ac:dyDescent="0.25">
      <c r="A1282" s="7" t="s">
        <v>43</v>
      </c>
      <c r="B1282" s="8">
        <v>1</v>
      </c>
      <c r="C1282" s="9">
        <v>454</v>
      </c>
      <c r="D1282" s="29">
        <f>C1282+IF(INDEX('Справочник по %'!B:B,(MATCH(A1282,'Справочник по %'!A:A,0)))="кол-во",B1282*INDEX('Справочник по %'!C:C,(MATCH(A1282,'Справочник по %'!A:A,0))),ОТЧЕТ!C1282*INDEX('Справочник по %'!C:C,(MATCH(A1282,'Справочник по %'!A:A,0))))/100</f>
        <v>499.4</v>
      </c>
      <c r="E1282" s="29">
        <f>IF(ОТЧЕТ!A1282="SKU3",C1282+ОТЧЕТ!C1282*0.2,C1282+ОТЧЕТ!C1282*0.15)</f>
        <v>522.1</v>
      </c>
      <c r="F1282" s="7" t="s">
        <v>2833</v>
      </c>
      <c r="G1282" s="7">
        <v>7704729709</v>
      </c>
      <c r="H1282" s="20" t="s">
        <v>64</v>
      </c>
      <c r="I1282" s="22">
        <f>INDEX('Справочник Сети'!B:B,(MATCH(G1282,'Справочник Сети'!C:C,0)))</f>
        <v>0</v>
      </c>
      <c r="J1282" s="7" t="s">
        <v>104</v>
      </c>
      <c r="K1282" s="7" t="s">
        <v>591</v>
      </c>
      <c r="L1282" s="7" t="s">
        <v>104</v>
      </c>
      <c r="M1282" s="31">
        <v>45693</v>
      </c>
      <c r="N1282" s="7" t="s">
        <v>2836</v>
      </c>
      <c r="O1282" s="8">
        <v>833</v>
      </c>
      <c r="P1282" s="24">
        <v>5820</v>
      </c>
      <c r="Q1282" s="22">
        <f>IF(COUNTIFS(A$2:A1282,A1282,I$2:I1282,I1282)=1,1,0)</f>
        <v>0</v>
      </c>
      <c r="R1282" s="22">
        <f t="shared" si="19"/>
        <v>6</v>
      </c>
      <c r="S1282" s="33">
        <f>IF(COUNTIF(O$2:O1282,O1282)=1,R1282,0)/2.5</f>
        <v>0</v>
      </c>
    </row>
    <row r="1283" spans="1:19" ht="18" customHeight="1" x14ac:dyDescent="0.25">
      <c r="A1283" s="7" t="s">
        <v>146</v>
      </c>
      <c r="B1283" s="8">
        <v>1</v>
      </c>
      <c r="C1283" s="9">
        <v>810</v>
      </c>
      <c r="D1283" s="29">
        <f>C1283+IF(INDEX('Справочник по %'!B:B,(MATCH(A1283,'Справочник по %'!A:A,0)))="кол-во",B1283*INDEX('Справочник по %'!C:C,(MATCH(A1283,'Справочник по %'!A:A,0))),ОТЧЕТ!C1283*INDEX('Справочник по %'!C:C,(MATCH(A1283,'Справочник по %'!A:A,0))))/100</f>
        <v>931.5</v>
      </c>
      <c r="E1283" s="29">
        <f>IF(ОТЧЕТ!A1283="SKU3",C1283+ОТЧЕТ!C1283*0.2,C1283+ОТЧЕТ!C1283*0.15)</f>
        <v>972</v>
      </c>
      <c r="F1283" s="7" t="s">
        <v>2833</v>
      </c>
      <c r="G1283" s="7">
        <v>7714844316</v>
      </c>
      <c r="H1283" s="20" t="s">
        <v>50</v>
      </c>
      <c r="I1283" s="22" t="str">
        <f>INDEX('Справочник Сети'!B:B,(MATCH(G1283,'Справочник Сети'!C:C,0)))</f>
        <v>Планета здоровья</v>
      </c>
      <c r="J1283" s="7" t="s">
        <v>504</v>
      </c>
      <c r="K1283" s="7" t="s">
        <v>1568</v>
      </c>
      <c r="L1283" s="7" t="s">
        <v>504</v>
      </c>
      <c r="M1283" s="31">
        <v>45690</v>
      </c>
      <c r="N1283" s="7" t="s">
        <v>2837</v>
      </c>
      <c r="O1283" s="8">
        <v>2706</v>
      </c>
      <c r="P1283" s="24">
        <v>5823</v>
      </c>
      <c r="Q1283" s="22">
        <f>IF(COUNTIFS(A$2:A1283,A1283,I$2:I1283,I1283)=1,1,0)</f>
        <v>0</v>
      </c>
      <c r="R1283" s="22">
        <f t="shared" ref="R1283:R1346" si="20">COUNTIF(O:O,O1283)</f>
        <v>5</v>
      </c>
      <c r="S1283" s="33">
        <f>IF(COUNTIF(O$2:O1283,O1283)=1,R1283,0)/2.5</f>
        <v>0</v>
      </c>
    </row>
    <row r="1284" spans="1:19" ht="18" customHeight="1" x14ac:dyDescent="0.25">
      <c r="A1284" s="7" t="s">
        <v>43</v>
      </c>
      <c r="B1284" s="8">
        <v>1</v>
      </c>
      <c r="C1284" s="9">
        <v>459</v>
      </c>
      <c r="D1284" s="29">
        <f>C1284+IF(INDEX('Справочник по %'!B:B,(MATCH(A1284,'Справочник по %'!A:A,0)))="кол-во",B1284*INDEX('Справочник по %'!C:C,(MATCH(A1284,'Справочник по %'!A:A,0))),ОТЧЕТ!C1284*INDEX('Справочник по %'!C:C,(MATCH(A1284,'Справочник по %'!A:A,0))))/100</f>
        <v>504.9</v>
      </c>
      <c r="E1284" s="29">
        <f>IF(ОТЧЕТ!A1284="SKU3",C1284+ОТЧЕТ!C1284*0.2,C1284+ОТЧЕТ!C1284*0.15)</f>
        <v>527.85</v>
      </c>
      <c r="F1284" s="7" t="s">
        <v>2838</v>
      </c>
      <c r="G1284" s="7">
        <v>7820003322</v>
      </c>
      <c r="H1284" s="20" t="s">
        <v>50</v>
      </c>
      <c r="I1284" s="22">
        <f>INDEX('Справочник Сети'!B:B,(MATCH(G1284,'Справочник Сети'!C:C,0)))</f>
        <v>0</v>
      </c>
      <c r="J1284" s="7" t="s">
        <v>121</v>
      </c>
      <c r="K1284" s="7" t="s">
        <v>375</v>
      </c>
      <c r="L1284" s="7" t="s">
        <v>121</v>
      </c>
      <c r="M1284" s="31">
        <v>45671</v>
      </c>
      <c r="N1284" s="7" t="s">
        <v>2839</v>
      </c>
      <c r="O1284" s="8">
        <v>112</v>
      </c>
      <c r="P1284" s="24">
        <v>5826</v>
      </c>
      <c r="Q1284" s="22">
        <f>IF(COUNTIFS(A$2:A1284,A1284,I$2:I1284,I1284)=1,1,0)</f>
        <v>0</v>
      </c>
      <c r="R1284" s="22">
        <f t="shared" si="20"/>
        <v>1</v>
      </c>
      <c r="S1284" s="33">
        <f>IF(COUNTIF(O$2:O1284,O1284)=1,R1284,0)/2.5</f>
        <v>0.4</v>
      </c>
    </row>
    <row r="1285" spans="1:19" ht="18" customHeight="1" x14ac:dyDescent="0.25">
      <c r="A1285" s="7" t="s">
        <v>43</v>
      </c>
      <c r="B1285" s="8">
        <v>1</v>
      </c>
      <c r="C1285" s="9">
        <v>419.1</v>
      </c>
      <c r="D1285" s="29">
        <f>C1285+IF(INDEX('Справочник по %'!B:B,(MATCH(A1285,'Справочник по %'!A:A,0)))="кол-во",B1285*INDEX('Справочник по %'!C:C,(MATCH(A1285,'Справочник по %'!A:A,0))),ОТЧЕТ!C1285*INDEX('Справочник по %'!C:C,(MATCH(A1285,'Справочник по %'!A:A,0))))/100</f>
        <v>461.01</v>
      </c>
      <c r="E1285" s="29">
        <f>IF(ОТЧЕТ!A1285="SKU3",C1285+ОТЧЕТ!C1285*0.2,C1285+ОТЧЕТ!C1285*0.15)</f>
        <v>481.96500000000003</v>
      </c>
      <c r="F1285" s="7" t="s">
        <v>2840</v>
      </c>
      <c r="G1285" s="7">
        <v>3704004871</v>
      </c>
      <c r="H1285" s="20" t="s">
        <v>64</v>
      </c>
      <c r="I1285" s="22" t="str">
        <f>INDEX('Справочник Сети'!B:B,(MATCH(G1285,'Справочник Сети'!C:C,0)))</f>
        <v>Планета здоровья</v>
      </c>
      <c r="J1285" s="7" t="s">
        <v>65</v>
      </c>
      <c r="K1285" s="7" t="s">
        <v>1205</v>
      </c>
      <c r="L1285" s="7" t="s">
        <v>65</v>
      </c>
      <c r="M1285" s="31">
        <v>45717</v>
      </c>
      <c r="N1285" s="7" t="s">
        <v>2841</v>
      </c>
      <c r="O1285" s="8">
        <v>3489</v>
      </c>
      <c r="P1285" s="24">
        <v>5828</v>
      </c>
      <c r="Q1285" s="22">
        <f>IF(COUNTIFS(A$2:A1285,A1285,I$2:I1285,I1285)=1,1,0)</f>
        <v>0</v>
      </c>
      <c r="R1285" s="22">
        <f t="shared" si="20"/>
        <v>6</v>
      </c>
      <c r="S1285" s="33">
        <f>IF(COUNTIF(O$2:O1285,O1285)=1,R1285,0)/2.5</f>
        <v>0</v>
      </c>
    </row>
    <row r="1286" spans="1:19" ht="18" customHeight="1" x14ac:dyDescent="0.25">
      <c r="A1286" s="7" t="s">
        <v>43</v>
      </c>
      <c r="B1286" s="8">
        <v>1</v>
      </c>
      <c r="C1286" s="9">
        <v>428</v>
      </c>
      <c r="D1286" s="29">
        <f>C1286+IF(INDEX('Справочник по %'!B:B,(MATCH(A1286,'Справочник по %'!A:A,0)))="кол-во",B1286*INDEX('Справочник по %'!C:C,(MATCH(A1286,'Справочник по %'!A:A,0))),ОТЧЕТ!C1286*INDEX('Справочник по %'!C:C,(MATCH(A1286,'Справочник по %'!A:A,0))))/100</f>
        <v>470.8</v>
      </c>
      <c r="E1286" s="29">
        <f>IF(ОТЧЕТ!A1286="SKU3",C1286+ОТЧЕТ!C1286*0.2,C1286+ОТЧЕТ!C1286*0.15)</f>
        <v>492.2</v>
      </c>
      <c r="F1286" s="7" t="s">
        <v>2840</v>
      </c>
      <c r="G1286" s="7">
        <v>3907029575</v>
      </c>
      <c r="H1286" s="20" t="s">
        <v>2842</v>
      </c>
      <c r="I1286" s="22" t="str">
        <f>INDEX('Справочник Сети'!B:B,(MATCH(G1286,'Справочник Сети'!C:C,0)))</f>
        <v>Столички</v>
      </c>
      <c r="J1286" s="7" t="s">
        <v>155</v>
      </c>
      <c r="K1286" s="7" t="s">
        <v>1520</v>
      </c>
      <c r="L1286" s="7" t="s">
        <v>155</v>
      </c>
      <c r="M1286" s="31">
        <v>45716</v>
      </c>
      <c r="N1286" s="7" t="s">
        <v>2843</v>
      </c>
      <c r="O1286" s="8">
        <v>3544</v>
      </c>
      <c r="P1286" s="24">
        <v>5829</v>
      </c>
      <c r="Q1286" s="22">
        <f>IF(COUNTIFS(A$2:A1286,A1286,I$2:I1286,I1286)=1,1,0)</f>
        <v>0</v>
      </c>
      <c r="R1286" s="22">
        <f t="shared" si="20"/>
        <v>2</v>
      </c>
      <c r="S1286" s="33">
        <f>IF(COUNTIF(O$2:O1286,O1286)=1,R1286,0)/2.5</f>
        <v>0.8</v>
      </c>
    </row>
    <row r="1287" spans="1:19" ht="18" customHeight="1" x14ac:dyDescent="0.25">
      <c r="A1287" s="7" t="s">
        <v>43</v>
      </c>
      <c r="B1287" s="8">
        <v>1</v>
      </c>
      <c r="C1287" s="9">
        <v>409</v>
      </c>
      <c r="D1287" s="29">
        <f>C1287+IF(INDEX('Справочник по %'!B:B,(MATCH(A1287,'Справочник по %'!A:A,0)))="кол-во",B1287*INDEX('Справочник по %'!C:C,(MATCH(A1287,'Справочник по %'!A:A,0))),ОТЧЕТ!C1287*INDEX('Справочник по %'!C:C,(MATCH(A1287,'Справочник по %'!A:A,0))))/100</f>
        <v>449.9</v>
      </c>
      <c r="E1287" s="29">
        <f>IF(ОТЧЕТ!A1287="SKU3",C1287+ОТЧЕТ!C1287*0.2,C1287+ОТЧЕТ!C1287*0.15)</f>
        <v>470.35</v>
      </c>
      <c r="F1287" s="7" t="s">
        <v>2840</v>
      </c>
      <c r="G1287" s="7">
        <v>2310212231</v>
      </c>
      <c r="H1287" s="20" t="s">
        <v>69</v>
      </c>
      <c r="I1287" s="22" t="str">
        <f>INDEX('Справочник Сети'!B:B,(MATCH(G1287,'Справочник Сети'!C:C,0)))</f>
        <v>Нео-фарм</v>
      </c>
      <c r="J1287" s="7" t="s">
        <v>70</v>
      </c>
      <c r="K1287" s="7" t="s">
        <v>2844</v>
      </c>
      <c r="L1287" s="7" t="s">
        <v>70</v>
      </c>
      <c r="M1287" s="31">
        <v>45728</v>
      </c>
      <c r="N1287" s="7" t="s">
        <v>2845</v>
      </c>
      <c r="O1287" s="8">
        <v>625</v>
      </c>
      <c r="P1287" s="24">
        <v>5830</v>
      </c>
      <c r="Q1287" s="22">
        <f>IF(COUNTIFS(A$2:A1287,A1287,I$2:I1287,I1287)=1,1,0)</f>
        <v>0</v>
      </c>
      <c r="R1287" s="22">
        <f t="shared" si="20"/>
        <v>1</v>
      </c>
      <c r="S1287" s="33">
        <f>IF(COUNTIF(O$2:O1287,O1287)=1,R1287,0)/2.5</f>
        <v>0.4</v>
      </c>
    </row>
    <row r="1288" spans="1:19" ht="18" customHeight="1" x14ac:dyDescent="0.25">
      <c r="A1288" s="7" t="s">
        <v>37</v>
      </c>
      <c r="B1288" s="8">
        <v>1</v>
      </c>
      <c r="C1288" s="9">
        <v>481</v>
      </c>
      <c r="D1288" s="29">
        <f>C1288+IF(INDEX('Справочник по %'!B:B,(MATCH(A1288,'Справочник по %'!A:A,0)))="кол-во",B1288*INDEX('Справочник по %'!C:C,(MATCH(A1288,'Справочник по %'!A:A,0))),ОТЧЕТ!C1288*INDEX('Справочник по %'!C:C,(MATCH(A1288,'Справочник по %'!A:A,0))))/100</f>
        <v>481.2</v>
      </c>
      <c r="E1288" s="29">
        <f>IF(ОТЧЕТ!A1288="SKU3",C1288+ОТЧЕТ!C1288*0.2,C1288+ОТЧЕТ!C1288*0.15)</f>
        <v>553.15</v>
      </c>
      <c r="F1288" s="7" t="s">
        <v>2846</v>
      </c>
      <c r="G1288" s="7">
        <v>2543023195</v>
      </c>
      <c r="H1288" s="20" t="s">
        <v>69</v>
      </c>
      <c r="I1288" s="22" t="str">
        <f>INDEX('Справочник Сети'!B:B,(MATCH(G1288,'Справочник Сети'!C:C,0)))</f>
        <v>36,6</v>
      </c>
      <c r="J1288" s="7" t="s">
        <v>46</v>
      </c>
      <c r="K1288" s="7" t="s">
        <v>639</v>
      </c>
      <c r="L1288" s="7" t="s">
        <v>46</v>
      </c>
      <c r="M1288" s="31">
        <v>45726</v>
      </c>
      <c r="N1288" s="7" t="s">
        <v>2847</v>
      </c>
      <c r="O1288" s="8">
        <v>2730</v>
      </c>
      <c r="P1288" s="24">
        <v>5832</v>
      </c>
      <c r="Q1288" s="22">
        <f>IF(COUNTIFS(A$2:A1288,A1288,I$2:I1288,I1288)=1,1,0)</f>
        <v>0</v>
      </c>
      <c r="R1288" s="22">
        <f t="shared" si="20"/>
        <v>1</v>
      </c>
      <c r="S1288" s="33">
        <f>IF(COUNTIF(O$2:O1288,O1288)=1,R1288,0)/2.5</f>
        <v>0.4</v>
      </c>
    </row>
    <row r="1289" spans="1:19" ht="18" customHeight="1" x14ac:dyDescent="0.25">
      <c r="A1289" s="7" t="s">
        <v>43</v>
      </c>
      <c r="B1289" s="8">
        <v>1</v>
      </c>
      <c r="C1289" s="9">
        <v>488</v>
      </c>
      <c r="D1289" s="29">
        <f>C1289+IF(INDEX('Справочник по %'!B:B,(MATCH(A1289,'Справочник по %'!A:A,0)))="кол-во",B1289*INDEX('Справочник по %'!C:C,(MATCH(A1289,'Справочник по %'!A:A,0))),ОТЧЕТ!C1289*INDEX('Справочник по %'!C:C,(MATCH(A1289,'Справочник по %'!A:A,0))))/100</f>
        <v>536.79999999999995</v>
      </c>
      <c r="E1289" s="29">
        <f>IF(ОТЧЕТ!A1289="SKU3",C1289+ОТЧЕТ!C1289*0.2,C1289+ОТЧЕТ!C1289*0.15)</f>
        <v>561.20000000000005</v>
      </c>
      <c r="F1289" s="7" t="s">
        <v>2846</v>
      </c>
      <c r="G1289" s="7">
        <v>7807231471</v>
      </c>
      <c r="H1289" s="20" t="s">
        <v>91</v>
      </c>
      <c r="I1289" s="22">
        <f>INDEX('Справочник Сети'!B:B,(MATCH(G1289,'Справочник Сети'!C:C,0)))</f>
        <v>0</v>
      </c>
      <c r="J1289" s="7" t="s">
        <v>121</v>
      </c>
      <c r="K1289" s="7" t="s">
        <v>2848</v>
      </c>
      <c r="L1289" s="7" t="s">
        <v>353</v>
      </c>
      <c r="M1289" s="31">
        <v>45672</v>
      </c>
      <c r="N1289" s="7" t="s">
        <v>2849</v>
      </c>
      <c r="O1289" s="8">
        <v>2022</v>
      </c>
      <c r="P1289" s="24">
        <v>5833</v>
      </c>
      <c r="Q1289" s="22">
        <f>IF(COUNTIFS(A$2:A1289,A1289,I$2:I1289,I1289)=1,1,0)</f>
        <v>0</v>
      </c>
      <c r="R1289" s="22">
        <f t="shared" si="20"/>
        <v>3</v>
      </c>
      <c r="S1289" s="33">
        <f>IF(COUNTIF(O$2:O1289,O1289)=1,R1289,0)/2.5</f>
        <v>0</v>
      </c>
    </row>
    <row r="1290" spans="1:19" ht="18" customHeight="1" x14ac:dyDescent="0.25">
      <c r="A1290" s="7" t="s">
        <v>43</v>
      </c>
      <c r="B1290" s="8">
        <v>1</v>
      </c>
      <c r="C1290" s="9">
        <v>527</v>
      </c>
      <c r="D1290" s="29">
        <f>C1290+IF(INDEX('Справочник по %'!B:B,(MATCH(A1290,'Справочник по %'!A:A,0)))="кол-во",B1290*INDEX('Справочник по %'!C:C,(MATCH(A1290,'Справочник по %'!A:A,0))),ОТЧЕТ!C1290*INDEX('Справочник по %'!C:C,(MATCH(A1290,'Справочник по %'!A:A,0))))/100</f>
        <v>579.70000000000005</v>
      </c>
      <c r="E1290" s="29">
        <f>IF(ОТЧЕТ!A1290="SKU3",C1290+ОТЧЕТ!C1290*0.2,C1290+ОТЧЕТ!C1290*0.15)</f>
        <v>606.04999999999995</v>
      </c>
      <c r="F1290" s="7" t="s">
        <v>2846</v>
      </c>
      <c r="G1290" s="7">
        <v>7705947629</v>
      </c>
      <c r="H1290" s="20" t="s">
        <v>50</v>
      </c>
      <c r="I1290" s="22" t="str">
        <f>INDEX('Справочник Сети'!B:B,(MATCH(G1290,'Справочник Сети'!C:C,0)))</f>
        <v>36,6</v>
      </c>
      <c r="J1290" s="7" t="s">
        <v>104</v>
      </c>
      <c r="K1290" s="7" t="s">
        <v>598</v>
      </c>
      <c r="L1290" s="7" t="s">
        <v>104</v>
      </c>
      <c r="M1290" s="31">
        <v>45693</v>
      </c>
      <c r="N1290" s="7" t="s">
        <v>2850</v>
      </c>
      <c r="O1290" s="8">
        <v>1593</v>
      </c>
      <c r="P1290" s="24">
        <v>5834</v>
      </c>
      <c r="Q1290" s="22">
        <f>IF(COUNTIFS(A$2:A1290,A1290,I$2:I1290,I1290)=1,1,0)</f>
        <v>0</v>
      </c>
      <c r="R1290" s="22">
        <f t="shared" si="20"/>
        <v>2</v>
      </c>
      <c r="S1290" s="33">
        <f>IF(COUNTIF(O$2:O1290,O1290)=1,R1290,0)/2.5</f>
        <v>0</v>
      </c>
    </row>
    <row r="1291" spans="1:19" ht="18" customHeight="1" x14ac:dyDescent="0.25">
      <c r="A1291" s="7" t="s">
        <v>43</v>
      </c>
      <c r="B1291" s="8">
        <v>1</v>
      </c>
      <c r="C1291" s="9">
        <v>311</v>
      </c>
      <c r="D1291" s="29">
        <f>C1291+IF(INDEX('Справочник по %'!B:B,(MATCH(A1291,'Справочник по %'!A:A,0)))="кол-во",B1291*INDEX('Справочник по %'!C:C,(MATCH(A1291,'Справочник по %'!A:A,0))),ОТЧЕТ!C1291*INDEX('Справочник по %'!C:C,(MATCH(A1291,'Справочник по %'!A:A,0))))/100</f>
        <v>342.1</v>
      </c>
      <c r="E1291" s="29">
        <f>IF(ОТЧЕТ!A1291="SKU3",C1291+ОТЧЕТ!C1291*0.2,C1291+ОТЧЕТ!C1291*0.15)</f>
        <v>357.65</v>
      </c>
      <c r="F1291" s="7" t="s">
        <v>2846</v>
      </c>
      <c r="G1291" s="7">
        <v>2311242373</v>
      </c>
      <c r="H1291" s="20" t="s">
        <v>50</v>
      </c>
      <c r="I1291" s="22">
        <f>INDEX('Справочник Сети'!B:B,(MATCH(G1291,'Справочник Сети'!C:C,0)))</f>
        <v>0</v>
      </c>
      <c r="J1291" s="7" t="s">
        <v>70</v>
      </c>
      <c r="K1291" s="7" t="s">
        <v>788</v>
      </c>
      <c r="L1291" s="7" t="s">
        <v>70</v>
      </c>
      <c r="M1291" s="31">
        <v>45728</v>
      </c>
      <c r="N1291" s="7" t="s">
        <v>2851</v>
      </c>
      <c r="O1291" s="8">
        <v>353</v>
      </c>
      <c r="P1291" s="24">
        <v>5837</v>
      </c>
      <c r="Q1291" s="22">
        <f>IF(COUNTIFS(A$2:A1291,A1291,I$2:I1291,I1291)=1,1,0)</f>
        <v>0</v>
      </c>
      <c r="R1291" s="22">
        <f t="shared" si="20"/>
        <v>2</v>
      </c>
      <c r="S1291" s="33">
        <f>IF(COUNTIF(O$2:O1291,O1291)=1,R1291,0)/2.5</f>
        <v>0.8</v>
      </c>
    </row>
    <row r="1292" spans="1:19" ht="18" customHeight="1" x14ac:dyDescent="0.25">
      <c r="A1292" s="7" t="s">
        <v>43</v>
      </c>
      <c r="B1292" s="8">
        <v>1</v>
      </c>
      <c r="C1292" s="9">
        <v>486</v>
      </c>
      <c r="D1292" s="29">
        <f>C1292+IF(INDEX('Справочник по %'!B:B,(MATCH(A1292,'Справочник по %'!A:A,0)))="кол-во",B1292*INDEX('Справочник по %'!C:C,(MATCH(A1292,'Справочник по %'!A:A,0))),ОТЧЕТ!C1292*INDEX('Справочник по %'!C:C,(MATCH(A1292,'Справочник по %'!A:A,0))))/100</f>
        <v>534.6</v>
      </c>
      <c r="E1292" s="29">
        <f>IF(ОТЧЕТ!A1292="SKU3",C1292+ОТЧЕТ!C1292*0.2,C1292+ОТЧЕТ!C1292*0.15)</f>
        <v>558.9</v>
      </c>
      <c r="F1292" s="7" t="s">
        <v>2852</v>
      </c>
      <c r="G1292" s="7">
        <v>3664114730</v>
      </c>
      <c r="H1292" s="20" t="s">
        <v>2853</v>
      </c>
      <c r="I1292" s="22">
        <f>INDEX('Справочник Сети'!B:B,(MATCH(G1292,'Справочник Сети'!C:C,0)))</f>
        <v>0</v>
      </c>
      <c r="J1292" s="7" t="s">
        <v>65</v>
      </c>
      <c r="K1292" s="7" t="s">
        <v>2209</v>
      </c>
      <c r="L1292" s="7" t="s">
        <v>65</v>
      </c>
      <c r="M1292" s="31">
        <v>45717</v>
      </c>
      <c r="N1292" s="7" t="s">
        <v>2854</v>
      </c>
      <c r="O1292" s="8">
        <v>1551</v>
      </c>
      <c r="P1292" s="24">
        <v>5840</v>
      </c>
      <c r="Q1292" s="22">
        <f>IF(COUNTIFS(A$2:A1292,A1292,I$2:I1292,I1292)=1,1,0)</f>
        <v>0</v>
      </c>
      <c r="R1292" s="22">
        <f t="shared" si="20"/>
        <v>2</v>
      </c>
      <c r="S1292" s="33">
        <f>IF(COUNTIF(O$2:O1292,O1292)=1,R1292,0)/2.5</f>
        <v>0.8</v>
      </c>
    </row>
    <row r="1293" spans="1:19" ht="18" customHeight="1" x14ac:dyDescent="0.25">
      <c r="A1293" s="7" t="s">
        <v>37</v>
      </c>
      <c r="B1293" s="8">
        <v>1</v>
      </c>
      <c r="C1293" s="9">
        <v>525.24</v>
      </c>
      <c r="D1293" s="29">
        <f>C1293+IF(INDEX('Справочник по %'!B:B,(MATCH(A1293,'Справочник по %'!A:A,0)))="кол-во",B1293*INDEX('Справочник по %'!C:C,(MATCH(A1293,'Справочник по %'!A:A,0))),ОТЧЕТ!C1293*INDEX('Справочник по %'!C:C,(MATCH(A1293,'Справочник по %'!A:A,0))))/100</f>
        <v>525.44000000000005</v>
      </c>
      <c r="E1293" s="29">
        <f>IF(ОТЧЕТ!A1293="SKU3",C1293+ОТЧЕТ!C1293*0.2,C1293+ОТЧЕТ!C1293*0.15)</f>
        <v>604.02600000000007</v>
      </c>
      <c r="F1293" s="7" t="s">
        <v>2852</v>
      </c>
      <c r="G1293" s="7">
        <v>7731334851</v>
      </c>
      <c r="H1293" s="20" t="s">
        <v>865</v>
      </c>
      <c r="I1293" s="22" t="str">
        <f>INDEX('Справочник Сети'!B:B,(MATCH(G1293,'Справочник Сети'!C:C,0)))</f>
        <v>Планета здоровья</v>
      </c>
      <c r="J1293" s="7" t="s">
        <v>142</v>
      </c>
      <c r="K1293" s="7" t="s">
        <v>632</v>
      </c>
      <c r="L1293" s="7" t="s">
        <v>142</v>
      </c>
      <c r="M1293" s="31">
        <v>45674</v>
      </c>
      <c r="N1293" s="7" t="s">
        <v>2855</v>
      </c>
      <c r="O1293" s="8">
        <v>658</v>
      </c>
      <c r="P1293" s="24">
        <v>5842</v>
      </c>
      <c r="Q1293" s="22">
        <f>IF(COUNTIFS(A$2:A1293,A1293,I$2:I1293,I1293)=1,1,0)</f>
        <v>0</v>
      </c>
      <c r="R1293" s="22">
        <f t="shared" si="20"/>
        <v>3</v>
      </c>
      <c r="S1293" s="33">
        <f>IF(COUNTIF(O$2:O1293,O1293)=1,R1293,0)/2.5</f>
        <v>0</v>
      </c>
    </row>
    <row r="1294" spans="1:19" ht="18" customHeight="1" x14ac:dyDescent="0.25">
      <c r="A1294" s="7" t="s">
        <v>43</v>
      </c>
      <c r="B1294" s="8">
        <v>1</v>
      </c>
      <c r="C1294" s="9">
        <v>422</v>
      </c>
      <c r="D1294" s="29">
        <f>C1294+IF(INDEX('Справочник по %'!B:B,(MATCH(A1294,'Справочник по %'!A:A,0)))="кол-во",B1294*INDEX('Справочник по %'!C:C,(MATCH(A1294,'Справочник по %'!A:A,0))),ОТЧЕТ!C1294*INDEX('Справочник по %'!C:C,(MATCH(A1294,'Справочник по %'!A:A,0))))/100</f>
        <v>464.2</v>
      </c>
      <c r="E1294" s="29">
        <f>IF(ОТЧЕТ!A1294="SKU3",C1294+ОТЧЕТ!C1294*0.2,C1294+ОТЧЕТ!C1294*0.15)</f>
        <v>485.3</v>
      </c>
      <c r="F1294" s="7" t="s">
        <v>2856</v>
      </c>
      <c r="G1294" s="7">
        <v>1511019564</v>
      </c>
      <c r="H1294" s="20" t="s">
        <v>50</v>
      </c>
      <c r="I1294" s="22">
        <f>INDEX('Справочник Сети'!B:B,(MATCH(G1294,'Справочник Сети'!C:C,0)))</f>
        <v>0</v>
      </c>
      <c r="J1294" s="7" t="s">
        <v>335</v>
      </c>
      <c r="K1294" s="7" t="s">
        <v>578</v>
      </c>
      <c r="L1294" s="7" t="s">
        <v>335</v>
      </c>
      <c r="M1294" s="31">
        <v>45731</v>
      </c>
      <c r="N1294" s="7" t="s">
        <v>2857</v>
      </c>
      <c r="O1294" s="8">
        <v>358</v>
      </c>
      <c r="P1294" s="24">
        <v>5848</v>
      </c>
      <c r="Q1294" s="22">
        <f>IF(COUNTIFS(A$2:A1294,A1294,I$2:I1294,I1294)=1,1,0)</f>
        <v>0</v>
      </c>
      <c r="R1294" s="22">
        <f t="shared" si="20"/>
        <v>4</v>
      </c>
      <c r="S1294" s="33">
        <f>IF(COUNTIF(O$2:O1294,O1294)=1,R1294,0)/2.5</f>
        <v>0</v>
      </c>
    </row>
    <row r="1295" spans="1:19" ht="18" customHeight="1" x14ac:dyDescent="0.25">
      <c r="A1295" s="7" t="s">
        <v>43</v>
      </c>
      <c r="B1295" s="8">
        <v>1</v>
      </c>
      <c r="C1295" s="9">
        <v>443.29</v>
      </c>
      <c r="D1295" s="29">
        <f>C1295+IF(INDEX('Справочник по %'!B:B,(MATCH(A1295,'Справочник по %'!A:A,0)))="кол-во",B1295*INDEX('Справочник по %'!C:C,(MATCH(A1295,'Справочник по %'!A:A,0))),ОТЧЕТ!C1295*INDEX('Справочник по %'!C:C,(MATCH(A1295,'Справочник по %'!A:A,0))))/100</f>
        <v>487.61900000000003</v>
      </c>
      <c r="E1295" s="29">
        <f>IF(ОТЧЕТ!A1295="SKU3",C1295+ОТЧЕТ!C1295*0.2,C1295+ОТЧЕТ!C1295*0.15)</f>
        <v>509.7835</v>
      </c>
      <c r="F1295" s="7" t="s">
        <v>2856</v>
      </c>
      <c r="G1295" s="7">
        <v>9201016367</v>
      </c>
      <c r="H1295" s="20" t="s">
        <v>50</v>
      </c>
      <c r="I1295" s="22">
        <f>INDEX('Справочник Сети'!B:B,(MATCH(G1295,'Справочник Сети'!C:C,0)))</f>
        <v>0</v>
      </c>
      <c r="J1295" s="7" t="s">
        <v>239</v>
      </c>
      <c r="K1295" s="7" t="s">
        <v>1589</v>
      </c>
      <c r="L1295" s="7" t="s">
        <v>239</v>
      </c>
      <c r="M1295" s="31">
        <v>45662</v>
      </c>
      <c r="N1295" s="7" t="s">
        <v>2858</v>
      </c>
      <c r="O1295" s="8">
        <v>1782</v>
      </c>
      <c r="P1295" s="24">
        <v>5849</v>
      </c>
      <c r="Q1295" s="22">
        <f>IF(COUNTIFS(A$2:A1295,A1295,I$2:I1295,I1295)=1,1,0)</f>
        <v>0</v>
      </c>
      <c r="R1295" s="22">
        <f t="shared" si="20"/>
        <v>3</v>
      </c>
      <c r="S1295" s="33">
        <f>IF(COUNTIF(O$2:O1295,O1295)=1,R1295,0)/2.5</f>
        <v>1.2</v>
      </c>
    </row>
    <row r="1296" spans="1:19" ht="18" customHeight="1" x14ac:dyDescent="0.25">
      <c r="A1296" s="7" t="s">
        <v>43</v>
      </c>
      <c r="B1296" s="8">
        <v>1</v>
      </c>
      <c r="C1296" s="9">
        <v>431.65</v>
      </c>
      <c r="D1296" s="29">
        <f>C1296+IF(INDEX('Справочник по %'!B:B,(MATCH(A1296,'Справочник по %'!A:A,0)))="кол-во",B1296*INDEX('Справочник по %'!C:C,(MATCH(A1296,'Справочник по %'!A:A,0))),ОТЧЕТ!C1296*INDEX('Справочник по %'!C:C,(MATCH(A1296,'Справочник по %'!A:A,0))))/100</f>
        <v>474.815</v>
      </c>
      <c r="E1296" s="29">
        <f>IF(ОТЧЕТ!A1296="SKU3",C1296+ОТЧЕТ!C1296*0.2,C1296+ОТЧЕТ!C1296*0.15)</f>
        <v>496.39749999999998</v>
      </c>
      <c r="F1296" s="7" t="s">
        <v>2856</v>
      </c>
      <c r="G1296" s="7">
        <v>9201016367</v>
      </c>
      <c r="H1296" s="20" t="s">
        <v>50</v>
      </c>
      <c r="I1296" s="22">
        <f>INDEX('Справочник Сети'!B:B,(MATCH(G1296,'Справочник Сети'!C:C,0)))</f>
        <v>0</v>
      </c>
      <c r="J1296" s="7" t="s">
        <v>239</v>
      </c>
      <c r="K1296" s="7" t="s">
        <v>1589</v>
      </c>
      <c r="L1296" s="7" t="s">
        <v>239</v>
      </c>
      <c r="M1296" s="31">
        <v>45662</v>
      </c>
      <c r="N1296" s="7" t="s">
        <v>2858</v>
      </c>
      <c r="O1296" s="8">
        <v>1782</v>
      </c>
      <c r="P1296" s="24">
        <v>5849</v>
      </c>
      <c r="Q1296" s="22">
        <f>IF(COUNTIFS(A$2:A1296,A1296,I$2:I1296,I1296)=1,1,0)</f>
        <v>0</v>
      </c>
      <c r="R1296" s="22">
        <f t="shared" si="20"/>
        <v>3</v>
      </c>
      <c r="S1296" s="33">
        <f>IF(COUNTIF(O$2:O1296,O1296)=1,R1296,0)/2.5</f>
        <v>0</v>
      </c>
    </row>
    <row r="1297" spans="1:19" ht="18" customHeight="1" x14ac:dyDescent="0.25">
      <c r="A1297" s="7" t="s">
        <v>43</v>
      </c>
      <c r="B1297" s="8">
        <v>1</v>
      </c>
      <c r="C1297" s="9">
        <v>330</v>
      </c>
      <c r="D1297" s="29">
        <f>C1297+IF(INDEX('Справочник по %'!B:B,(MATCH(A1297,'Справочник по %'!A:A,0)))="кол-во",B1297*INDEX('Справочник по %'!C:C,(MATCH(A1297,'Справочник по %'!A:A,0))),ОТЧЕТ!C1297*INDEX('Справочник по %'!C:C,(MATCH(A1297,'Справочник по %'!A:A,0))))/100</f>
        <v>363</v>
      </c>
      <c r="E1297" s="29">
        <f>IF(ОТЧЕТ!A1297="SKU3",C1297+ОТЧЕТ!C1297*0.2,C1297+ОТЧЕТ!C1297*0.15)</f>
        <v>379.5</v>
      </c>
      <c r="F1297" s="7" t="s">
        <v>2859</v>
      </c>
      <c r="G1297" s="7">
        <v>2310174811</v>
      </c>
      <c r="H1297" s="20" t="s">
        <v>50</v>
      </c>
      <c r="I1297" s="22" t="str">
        <f>INDEX('Справочник Сети'!B:B,(MATCH(G1297,'Справочник Сети'!C:C,0)))</f>
        <v>Нео-фарм</v>
      </c>
      <c r="J1297" s="7" t="s">
        <v>57</v>
      </c>
      <c r="K1297" s="7" t="s">
        <v>642</v>
      </c>
      <c r="L1297" s="7" t="s">
        <v>57</v>
      </c>
      <c r="M1297" s="31">
        <v>45729</v>
      </c>
      <c r="N1297" s="7" t="s">
        <v>2860</v>
      </c>
      <c r="O1297" s="8">
        <v>2596</v>
      </c>
      <c r="P1297" s="24">
        <v>5851</v>
      </c>
      <c r="Q1297" s="22">
        <f>IF(COUNTIFS(A$2:A1297,A1297,I$2:I1297,I1297)=1,1,0)</f>
        <v>0</v>
      </c>
      <c r="R1297" s="22">
        <f t="shared" si="20"/>
        <v>2</v>
      </c>
      <c r="S1297" s="33">
        <f>IF(COUNTIF(O$2:O1297,O1297)=1,R1297,0)/2.5</f>
        <v>0.8</v>
      </c>
    </row>
    <row r="1298" spans="1:19" ht="18" customHeight="1" x14ac:dyDescent="0.25">
      <c r="A1298" s="7" t="s">
        <v>43</v>
      </c>
      <c r="B1298" s="8">
        <v>1</v>
      </c>
      <c r="C1298" s="9">
        <v>395</v>
      </c>
      <c r="D1298" s="29">
        <f>C1298+IF(INDEX('Справочник по %'!B:B,(MATCH(A1298,'Справочник по %'!A:A,0)))="кол-во",B1298*INDEX('Справочник по %'!C:C,(MATCH(A1298,'Справочник по %'!A:A,0))),ОТЧЕТ!C1298*INDEX('Справочник по %'!C:C,(MATCH(A1298,'Справочник по %'!A:A,0))))/100</f>
        <v>434.5</v>
      </c>
      <c r="E1298" s="29">
        <f>IF(ОТЧЕТ!A1298="SKU3",C1298+ОТЧЕТ!C1298*0.2,C1298+ОТЧЕТ!C1298*0.15)</f>
        <v>454.25</v>
      </c>
      <c r="F1298" s="7" t="s">
        <v>2861</v>
      </c>
      <c r="G1298" s="7">
        <v>5262292840</v>
      </c>
      <c r="H1298" s="20" t="s">
        <v>50</v>
      </c>
      <c r="I1298" s="22" t="str">
        <f>INDEX('Справочник Сети'!B:B,(MATCH(G1298,'Справочник Сети'!C:C,0)))</f>
        <v>Ригла</v>
      </c>
      <c r="J1298" s="7" t="s">
        <v>92</v>
      </c>
      <c r="K1298" s="7" t="s">
        <v>1588</v>
      </c>
      <c r="L1298" s="7" t="s">
        <v>92</v>
      </c>
      <c r="M1298" s="31">
        <v>45714</v>
      </c>
      <c r="N1298" s="7" t="s">
        <v>2862</v>
      </c>
      <c r="O1298" s="8">
        <v>1968</v>
      </c>
      <c r="P1298" s="24">
        <v>5853</v>
      </c>
      <c r="Q1298" s="22">
        <f>IF(COUNTIFS(A$2:A1298,A1298,I$2:I1298,I1298)=1,1,0)</f>
        <v>0</v>
      </c>
      <c r="R1298" s="22">
        <f t="shared" si="20"/>
        <v>1</v>
      </c>
      <c r="S1298" s="33">
        <f>IF(COUNTIF(O$2:O1298,O1298)=1,R1298,0)/2.5</f>
        <v>0.4</v>
      </c>
    </row>
    <row r="1299" spans="1:19" ht="18" customHeight="1" x14ac:dyDescent="0.25">
      <c r="A1299" s="7" t="s">
        <v>43</v>
      </c>
      <c r="B1299" s="8">
        <v>1</v>
      </c>
      <c r="C1299" s="9">
        <v>451.2</v>
      </c>
      <c r="D1299" s="29">
        <f>C1299+IF(INDEX('Справочник по %'!B:B,(MATCH(A1299,'Справочник по %'!A:A,0)))="кол-во",B1299*INDEX('Справочник по %'!C:C,(MATCH(A1299,'Справочник по %'!A:A,0))),ОТЧЕТ!C1299*INDEX('Справочник по %'!C:C,(MATCH(A1299,'Справочник по %'!A:A,0))))/100</f>
        <v>496.32</v>
      </c>
      <c r="E1299" s="29">
        <f>IF(ОТЧЕТ!A1299="SKU3",C1299+ОТЧЕТ!C1299*0.2,C1299+ОТЧЕТ!C1299*0.15)</f>
        <v>518.88</v>
      </c>
      <c r="F1299" s="7" t="s">
        <v>2863</v>
      </c>
      <c r="G1299" s="7">
        <v>4632170357</v>
      </c>
      <c r="H1299" s="20" t="s">
        <v>2864</v>
      </c>
      <c r="I1299" s="22" t="str">
        <f>INDEX('Справочник Сети'!B:B,(MATCH(G1299,'Справочник Сети'!C:C,0)))</f>
        <v>Столички</v>
      </c>
      <c r="J1299" s="7" t="s">
        <v>83</v>
      </c>
      <c r="K1299" s="7" t="s">
        <v>1844</v>
      </c>
      <c r="L1299" s="7" t="s">
        <v>155</v>
      </c>
      <c r="M1299" s="31">
        <v>45716</v>
      </c>
      <c r="N1299" s="7" t="s">
        <v>2865</v>
      </c>
      <c r="O1299" s="8">
        <v>190</v>
      </c>
      <c r="P1299" s="24">
        <v>5864</v>
      </c>
      <c r="Q1299" s="22">
        <f>IF(COUNTIFS(A$2:A1299,A1299,I$2:I1299,I1299)=1,1,0)</f>
        <v>0</v>
      </c>
      <c r="R1299" s="22">
        <f t="shared" si="20"/>
        <v>4</v>
      </c>
      <c r="S1299" s="33">
        <f>IF(COUNTIF(O$2:O1299,O1299)=1,R1299,0)/2.5</f>
        <v>0</v>
      </c>
    </row>
    <row r="1300" spans="1:19" ht="18" customHeight="1" x14ac:dyDescent="0.25">
      <c r="A1300" s="7" t="s">
        <v>37</v>
      </c>
      <c r="B1300" s="8">
        <v>1</v>
      </c>
      <c r="C1300" s="9">
        <v>549</v>
      </c>
      <c r="D1300" s="29">
        <f>C1300+IF(INDEX('Справочник по %'!B:B,(MATCH(A1300,'Справочник по %'!A:A,0)))="кол-во",B1300*INDEX('Справочник по %'!C:C,(MATCH(A1300,'Справочник по %'!A:A,0))),ОТЧЕТ!C1300*INDEX('Справочник по %'!C:C,(MATCH(A1300,'Справочник по %'!A:A,0))))/100</f>
        <v>549.20000000000005</v>
      </c>
      <c r="E1300" s="29">
        <f>IF(ОТЧЕТ!A1300="SKU3",C1300+ОТЧЕТ!C1300*0.2,C1300+ОТЧЕТ!C1300*0.15)</f>
        <v>631.35</v>
      </c>
      <c r="F1300" s="7" t="s">
        <v>2866</v>
      </c>
      <c r="G1300" s="7">
        <v>275912643</v>
      </c>
      <c r="H1300" s="20" t="s">
        <v>2290</v>
      </c>
      <c r="I1300" s="22">
        <f>INDEX('Справочник Сети'!B:B,(MATCH(G1300,'Справочник Сети'!C:C,0)))</f>
        <v>0</v>
      </c>
      <c r="J1300" s="7" t="s">
        <v>362</v>
      </c>
      <c r="K1300" s="7" t="s">
        <v>1262</v>
      </c>
      <c r="L1300" s="7" t="s">
        <v>362</v>
      </c>
      <c r="M1300" s="31">
        <v>45732</v>
      </c>
      <c r="N1300" s="7" t="s">
        <v>2867</v>
      </c>
      <c r="O1300" s="8">
        <v>1077</v>
      </c>
      <c r="P1300" s="24">
        <v>5868</v>
      </c>
      <c r="Q1300" s="22">
        <f>IF(COUNTIFS(A$2:A1300,A1300,I$2:I1300,I1300)=1,1,0)</f>
        <v>0</v>
      </c>
      <c r="R1300" s="22">
        <f t="shared" si="20"/>
        <v>6</v>
      </c>
      <c r="S1300" s="33">
        <f>IF(COUNTIF(O$2:O1300,O1300)=1,R1300,0)/2.5</f>
        <v>0</v>
      </c>
    </row>
    <row r="1301" spans="1:19" ht="18" customHeight="1" x14ac:dyDescent="0.25">
      <c r="A1301" s="7" t="s">
        <v>43</v>
      </c>
      <c r="B1301" s="8">
        <v>1</v>
      </c>
      <c r="C1301" s="9">
        <v>480</v>
      </c>
      <c r="D1301" s="29">
        <f>C1301+IF(INDEX('Справочник по %'!B:B,(MATCH(A1301,'Справочник по %'!A:A,0)))="кол-во",B1301*INDEX('Справочник по %'!C:C,(MATCH(A1301,'Справочник по %'!A:A,0))),ОТЧЕТ!C1301*INDEX('Справочник по %'!C:C,(MATCH(A1301,'Справочник по %'!A:A,0))))/100</f>
        <v>528</v>
      </c>
      <c r="E1301" s="29">
        <f>IF(ОТЧЕТ!A1301="SKU3",C1301+ОТЧЕТ!C1301*0.2,C1301+ОТЧЕТ!C1301*0.15)</f>
        <v>552</v>
      </c>
      <c r="F1301" s="7" t="s">
        <v>2868</v>
      </c>
      <c r="G1301" s="7">
        <v>4027034318</v>
      </c>
      <c r="H1301" s="20" t="s">
        <v>2869</v>
      </c>
      <c r="I1301" s="22">
        <f>INDEX('Справочник Сети'!B:B,(MATCH(G1301,'Справочник Сети'!C:C,0)))</f>
        <v>0</v>
      </c>
      <c r="J1301" s="7" t="s">
        <v>155</v>
      </c>
      <c r="K1301" s="7" t="s">
        <v>1184</v>
      </c>
      <c r="L1301" s="7" t="s">
        <v>155</v>
      </c>
      <c r="M1301" s="31">
        <v>45716</v>
      </c>
      <c r="N1301" s="7" t="s">
        <v>2870</v>
      </c>
      <c r="O1301" s="8">
        <v>1544</v>
      </c>
      <c r="P1301" s="24">
        <v>5875</v>
      </c>
      <c r="Q1301" s="22">
        <f>IF(COUNTIFS(A$2:A1301,A1301,I$2:I1301,I1301)=1,1,0)</f>
        <v>0</v>
      </c>
      <c r="R1301" s="22">
        <f t="shared" si="20"/>
        <v>1</v>
      </c>
      <c r="S1301" s="33">
        <f>IF(COUNTIF(O$2:O1301,O1301)=1,R1301,0)/2.5</f>
        <v>0.4</v>
      </c>
    </row>
    <row r="1302" spans="1:19" ht="18" customHeight="1" x14ac:dyDescent="0.25">
      <c r="A1302" s="7" t="s">
        <v>43</v>
      </c>
      <c r="B1302" s="8">
        <v>1</v>
      </c>
      <c r="C1302" s="9">
        <v>535</v>
      </c>
      <c r="D1302" s="29">
        <f>C1302+IF(INDEX('Справочник по %'!B:B,(MATCH(A1302,'Справочник по %'!A:A,0)))="кол-во",B1302*INDEX('Справочник по %'!C:C,(MATCH(A1302,'Справочник по %'!A:A,0))),ОТЧЕТ!C1302*INDEX('Справочник по %'!C:C,(MATCH(A1302,'Справочник по %'!A:A,0))))/100</f>
        <v>588.5</v>
      </c>
      <c r="E1302" s="29">
        <f>IF(ОТЧЕТ!A1302="SKU3",C1302+ОТЧЕТ!C1302*0.2,C1302+ОТЧЕТ!C1302*0.15)</f>
        <v>615.25</v>
      </c>
      <c r="F1302" s="7" t="s">
        <v>2868</v>
      </c>
      <c r="G1302" s="7">
        <v>7733709256</v>
      </c>
      <c r="H1302" s="20" t="s">
        <v>1441</v>
      </c>
      <c r="I1302" s="22">
        <f>INDEX('Справочник Сети'!B:B,(MATCH(G1302,'Справочник Сети'!C:C,0)))</f>
        <v>0</v>
      </c>
      <c r="J1302" s="7" t="s">
        <v>353</v>
      </c>
      <c r="K1302" s="7" t="s">
        <v>2267</v>
      </c>
      <c r="L1302" s="7" t="s">
        <v>353</v>
      </c>
      <c r="M1302" s="31">
        <v>45672</v>
      </c>
      <c r="N1302" s="7" t="s">
        <v>2871</v>
      </c>
      <c r="O1302" s="8">
        <v>1319</v>
      </c>
      <c r="P1302" s="24">
        <v>5876</v>
      </c>
      <c r="Q1302" s="22">
        <f>IF(COUNTIFS(A$2:A1302,A1302,I$2:I1302,I1302)=1,1,0)</f>
        <v>0</v>
      </c>
      <c r="R1302" s="22">
        <f t="shared" si="20"/>
        <v>4</v>
      </c>
      <c r="S1302" s="33">
        <f>IF(COUNTIF(O$2:O1302,O1302)=1,R1302,0)/2.5</f>
        <v>0</v>
      </c>
    </row>
    <row r="1303" spans="1:19" ht="18" customHeight="1" x14ac:dyDescent="0.25">
      <c r="A1303" s="7" t="s">
        <v>43</v>
      </c>
      <c r="B1303" s="8">
        <v>1</v>
      </c>
      <c r="C1303" s="9">
        <v>535</v>
      </c>
      <c r="D1303" s="29">
        <f>C1303+IF(INDEX('Справочник по %'!B:B,(MATCH(A1303,'Справочник по %'!A:A,0)))="кол-во",B1303*INDEX('Справочник по %'!C:C,(MATCH(A1303,'Справочник по %'!A:A,0))),ОТЧЕТ!C1303*INDEX('Справочник по %'!C:C,(MATCH(A1303,'Справочник по %'!A:A,0))))/100</f>
        <v>588.5</v>
      </c>
      <c r="E1303" s="29">
        <f>IF(ОТЧЕТ!A1303="SKU3",C1303+ОТЧЕТ!C1303*0.2,C1303+ОТЧЕТ!C1303*0.15)</f>
        <v>615.25</v>
      </c>
      <c r="F1303" s="7" t="s">
        <v>2872</v>
      </c>
      <c r="G1303" s="7">
        <v>7733709256</v>
      </c>
      <c r="H1303" s="20" t="s">
        <v>1441</v>
      </c>
      <c r="I1303" s="22">
        <f>INDEX('Справочник Сети'!B:B,(MATCH(G1303,'Справочник Сети'!C:C,0)))</f>
        <v>0</v>
      </c>
      <c r="J1303" s="7" t="s">
        <v>353</v>
      </c>
      <c r="K1303" s="7" t="s">
        <v>2267</v>
      </c>
      <c r="L1303" s="7" t="s">
        <v>353</v>
      </c>
      <c r="M1303" s="31">
        <v>45672</v>
      </c>
      <c r="N1303" s="7" t="s">
        <v>2871</v>
      </c>
      <c r="O1303" s="8">
        <v>1319</v>
      </c>
      <c r="P1303" s="24">
        <v>5876</v>
      </c>
      <c r="Q1303" s="22">
        <f>IF(COUNTIFS(A$2:A1303,A1303,I$2:I1303,I1303)=1,1,0)</f>
        <v>0</v>
      </c>
      <c r="R1303" s="22">
        <f t="shared" si="20"/>
        <v>4</v>
      </c>
      <c r="S1303" s="33">
        <f>IF(COUNTIF(O$2:O1303,O1303)=1,R1303,0)/2.5</f>
        <v>0</v>
      </c>
    </row>
    <row r="1304" spans="1:19" ht="18" customHeight="1" x14ac:dyDescent="0.25">
      <c r="A1304" s="7" t="s">
        <v>37</v>
      </c>
      <c r="B1304" s="8">
        <v>1</v>
      </c>
      <c r="C1304" s="9">
        <v>682</v>
      </c>
      <c r="D1304" s="29">
        <f>C1304+IF(INDEX('Справочник по %'!B:B,(MATCH(A1304,'Справочник по %'!A:A,0)))="кол-во",B1304*INDEX('Справочник по %'!C:C,(MATCH(A1304,'Справочник по %'!A:A,0))),ОТЧЕТ!C1304*INDEX('Справочник по %'!C:C,(MATCH(A1304,'Справочник по %'!A:A,0))))/100</f>
        <v>682.2</v>
      </c>
      <c r="E1304" s="29">
        <f>IF(ОТЧЕТ!A1304="SKU3",C1304+ОТЧЕТ!C1304*0.2,C1304+ОТЧЕТ!C1304*0.15)</f>
        <v>784.3</v>
      </c>
      <c r="F1304" s="7" t="s">
        <v>2873</v>
      </c>
      <c r="G1304" s="7">
        <v>7802194843</v>
      </c>
      <c r="H1304" s="20" t="s">
        <v>50</v>
      </c>
      <c r="I1304" s="22" t="str">
        <f>INDEX('Справочник Сети'!B:B,(MATCH(G1304,'Справочник Сети'!C:C,0)))</f>
        <v>Столички</v>
      </c>
      <c r="J1304" s="7" t="s">
        <v>353</v>
      </c>
      <c r="K1304" s="7" t="s">
        <v>2874</v>
      </c>
      <c r="L1304" s="7" t="s">
        <v>353</v>
      </c>
      <c r="M1304" s="31">
        <v>45672</v>
      </c>
      <c r="N1304" s="7" t="s">
        <v>2875</v>
      </c>
      <c r="O1304" s="8">
        <v>3775</v>
      </c>
      <c r="P1304" s="24">
        <v>5880</v>
      </c>
      <c r="Q1304" s="22">
        <f>IF(COUNTIFS(A$2:A1304,A1304,I$2:I1304,I1304)=1,1,0)</f>
        <v>0</v>
      </c>
      <c r="R1304" s="22">
        <f t="shared" si="20"/>
        <v>3</v>
      </c>
      <c r="S1304" s="33">
        <f>IF(COUNTIF(O$2:O1304,O1304)=1,R1304,0)/2.5</f>
        <v>0</v>
      </c>
    </row>
    <row r="1305" spans="1:19" ht="18" customHeight="1" x14ac:dyDescent="0.25">
      <c r="A1305" s="7" t="s">
        <v>43</v>
      </c>
      <c r="B1305" s="8">
        <v>1</v>
      </c>
      <c r="C1305" s="9">
        <v>395</v>
      </c>
      <c r="D1305" s="29">
        <f>C1305+IF(INDEX('Справочник по %'!B:B,(MATCH(A1305,'Справочник по %'!A:A,0)))="кол-во",B1305*INDEX('Справочник по %'!C:C,(MATCH(A1305,'Справочник по %'!A:A,0))),ОТЧЕТ!C1305*INDEX('Справочник по %'!C:C,(MATCH(A1305,'Справочник по %'!A:A,0))))/100</f>
        <v>434.5</v>
      </c>
      <c r="E1305" s="29">
        <f>IF(ОТЧЕТ!A1305="SKU3",C1305+ОТЧЕТ!C1305*0.2,C1305+ОТЧЕТ!C1305*0.15)</f>
        <v>454.25</v>
      </c>
      <c r="F1305" s="7" t="s">
        <v>2876</v>
      </c>
      <c r="G1305" s="7">
        <v>7702397455</v>
      </c>
      <c r="H1305" s="20" t="s">
        <v>167</v>
      </c>
      <c r="I1305" s="22">
        <f>INDEX('Справочник Сети'!B:B,(MATCH(G1305,'Справочник Сети'!C:C,0)))</f>
        <v>0</v>
      </c>
      <c r="J1305" s="7" t="s">
        <v>104</v>
      </c>
      <c r="K1305" s="7" t="s">
        <v>738</v>
      </c>
      <c r="L1305" s="7" t="s">
        <v>104</v>
      </c>
      <c r="M1305" s="31">
        <v>45693</v>
      </c>
      <c r="N1305" s="7" t="s">
        <v>2877</v>
      </c>
      <c r="O1305" s="8">
        <v>2158</v>
      </c>
      <c r="P1305" s="24">
        <v>5882</v>
      </c>
      <c r="Q1305" s="22">
        <f>IF(COUNTIFS(A$2:A1305,A1305,I$2:I1305,I1305)=1,1,0)</f>
        <v>0</v>
      </c>
      <c r="R1305" s="22">
        <f t="shared" si="20"/>
        <v>1</v>
      </c>
      <c r="S1305" s="33">
        <f>IF(COUNTIF(O$2:O1305,O1305)=1,R1305,0)/2.5</f>
        <v>0.4</v>
      </c>
    </row>
    <row r="1306" spans="1:19" ht="18" customHeight="1" x14ac:dyDescent="0.25">
      <c r="A1306" s="7" t="s">
        <v>43</v>
      </c>
      <c r="B1306" s="8">
        <v>1</v>
      </c>
      <c r="C1306" s="9">
        <v>510</v>
      </c>
      <c r="D1306" s="29">
        <f>C1306+IF(INDEX('Справочник по %'!B:B,(MATCH(A1306,'Справочник по %'!A:A,0)))="кол-во",B1306*INDEX('Справочник по %'!C:C,(MATCH(A1306,'Справочник по %'!A:A,0))),ОТЧЕТ!C1306*INDEX('Справочник по %'!C:C,(MATCH(A1306,'Справочник по %'!A:A,0))))/100</f>
        <v>561</v>
      </c>
      <c r="E1306" s="29">
        <f>IF(ОТЧЕТ!A1306="SKU3",C1306+ОТЧЕТ!C1306*0.2,C1306+ОТЧЕТ!C1306*0.15)</f>
        <v>586.5</v>
      </c>
      <c r="F1306" s="7" t="s">
        <v>2878</v>
      </c>
      <c r="G1306" s="7">
        <v>4205389561</v>
      </c>
      <c r="H1306" s="20" t="s">
        <v>2199</v>
      </c>
      <c r="I1306" s="22">
        <f>INDEX('Справочник Сети'!B:B,(MATCH(G1306,'Справочник Сети'!C:C,0)))</f>
        <v>0</v>
      </c>
      <c r="J1306" s="7" t="s">
        <v>155</v>
      </c>
      <c r="K1306" s="7" t="s">
        <v>1770</v>
      </c>
      <c r="L1306" s="7" t="s">
        <v>155</v>
      </c>
      <c r="M1306" s="31">
        <v>45716</v>
      </c>
      <c r="N1306" s="7" t="s">
        <v>2879</v>
      </c>
      <c r="O1306" s="8">
        <v>808</v>
      </c>
      <c r="P1306" s="24">
        <v>5885</v>
      </c>
      <c r="Q1306" s="22">
        <f>IF(COUNTIFS(A$2:A1306,A1306,I$2:I1306,I1306)=1,1,0)</f>
        <v>0</v>
      </c>
      <c r="R1306" s="22">
        <f t="shared" si="20"/>
        <v>2</v>
      </c>
      <c r="S1306" s="33">
        <f>IF(COUNTIF(O$2:O1306,O1306)=1,R1306,0)/2.5</f>
        <v>0</v>
      </c>
    </row>
    <row r="1307" spans="1:19" ht="18" customHeight="1" x14ac:dyDescent="0.25">
      <c r="A1307" s="7" t="s">
        <v>43</v>
      </c>
      <c r="B1307" s="8">
        <v>1</v>
      </c>
      <c r="C1307" s="9">
        <v>465</v>
      </c>
      <c r="D1307" s="29">
        <f>C1307+IF(INDEX('Справочник по %'!B:B,(MATCH(A1307,'Справочник по %'!A:A,0)))="кол-во",B1307*INDEX('Справочник по %'!C:C,(MATCH(A1307,'Справочник по %'!A:A,0))),ОТЧЕТ!C1307*INDEX('Справочник по %'!C:C,(MATCH(A1307,'Справочник по %'!A:A,0))))/100</f>
        <v>511.5</v>
      </c>
      <c r="E1307" s="29">
        <f>IF(ОТЧЕТ!A1307="SKU3",C1307+ОТЧЕТ!C1307*0.2,C1307+ОТЧЕТ!C1307*0.15)</f>
        <v>534.75</v>
      </c>
      <c r="F1307" s="7" t="s">
        <v>2880</v>
      </c>
      <c r="G1307" s="7">
        <v>7810468745</v>
      </c>
      <c r="H1307" s="20" t="s">
        <v>700</v>
      </c>
      <c r="I1307" s="22" t="str">
        <f>INDEX('Справочник Сети'!B:B,(MATCH(G1307,'Справочник Сети'!C:C,0)))</f>
        <v>Столички</v>
      </c>
      <c r="J1307" s="7" t="s">
        <v>121</v>
      </c>
      <c r="K1307" s="7" t="s">
        <v>2881</v>
      </c>
      <c r="L1307" s="7" t="s">
        <v>353</v>
      </c>
      <c r="M1307" s="31">
        <v>45672</v>
      </c>
      <c r="N1307" s="7" t="s">
        <v>2882</v>
      </c>
      <c r="O1307" s="8">
        <v>3124</v>
      </c>
      <c r="P1307" s="24">
        <v>5887</v>
      </c>
      <c r="Q1307" s="22">
        <f>IF(COUNTIFS(A$2:A1307,A1307,I$2:I1307,I1307)=1,1,0)</f>
        <v>0</v>
      </c>
      <c r="R1307" s="22">
        <f t="shared" si="20"/>
        <v>2</v>
      </c>
      <c r="S1307" s="33">
        <f>IF(COUNTIF(O$2:O1307,O1307)=1,R1307,0)/2.5</f>
        <v>0.8</v>
      </c>
    </row>
    <row r="1308" spans="1:19" ht="18" customHeight="1" x14ac:dyDescent="0.25">
      <c r="A1308" s="7" t="s">
        <v>43</v>
      </c>
      <c r="B1308" s="8">
        <v>1</v>
      </c>
      <c r="C1308" s="9">
        <v>527</v>
      </c>
      <c r="D1308" s="29">
        <f>C1308+IF(INDEX('Справочник по %'!B:B,(MATCH(A1308,'Справочник по %'!A:A,0)))="кол-во",B1308*INDEX('Справочник по %'!C:C,(MATCH(A1308,'Справочник по %'!A:A,0))),ОТЧЕТ!C1308*INDEX('Справочник по %'!C:C,(MATCH(A1308,'Справочник по %'!A:A,0))))/100</f>
        <v>579.70000000000005</v>
      </c>
      <c r="E1308" s="29">
        <f>IF(ОТЧЕТ!A1308="SKU3",C1308+ОТЧЕТ!C1308*0.2,C1308+ОТЧЕТ!C1308*0.15)</f>
        <v>606.04999999999995</v>
      </c>
      <c r="F1308" s="7" t="s">
        <v>2883</v>
      </c>
      <c r="G1308" s="7">
        <v>7705947629</v>
      </c>
      <c r="H1308" s="20" t="s">
        <v>50</v>
      </c>
      <c r="I1308" s="22" t="str">
        <f>INDEX('Справочник Сети'!B:B,(MATCH(G1308,'Справочник Сети'!C:C,0)))</f>
        <v>36,6</v>
      </c>
      <c r="J1308" s="7" t="s">
        <v>104</v>
      </c>
      <c r="K1308" s="7" t="s">
        <v>2178</v>
      </c>
      <c r="L1308" s="7" t="s">
        <v>104</v>
      </c>
      <c r="M1308" s="31">
        <v>45693</v>
      </c>
      <c r="N1308" s="7" t="s">
        <v>2884</v>
      </c>
      <c r="O1308" s="8">
        <v>2023</v>
      </c>
      <c r="P1308" s="24">
        <v>5890</v>
      </c>
      <c r="Q1308" s="22">
        <f>IF(COUNTIFS(A$2:A1308,A1308,I$2:I1308,I1308)=1,1,0)</f>
        <v>0</v>
      </c>
      <c r="R1308" s="22">
        <f t="shared" si="20"/>
        <v>1</v>
      </c>
      <c r="S1308" s="33">
        <f>IF(COUNTIF(O$2:O1308,O1308)=1,R1308,0)/2.5</f>
        <v>0.4</v>
      </c>
    </row>
    <row r="1309" spans="1:19" ht="18" customHeight="1" x14ac:dyDescent="0.25">
      <c r="A1309" s="7" t="s">
        <v>37</v>
      </c>
      <c r="B1309" s="8">
        <v>1</v>
      </c>
      <c r="C1309" s="9">
        <v>637.55999999999995</v>
      </c>
      <c r="D1309" s="29">
        <f>C1309+IF(INDEX('Справочник по %'!B:B,(MATCH(A1309,'Справочник по %'!A:A,0)))="кол-во",B1309*INDEX('Справочник по %'!C:C,(MATCH(A1309,'Справочник по %'!A:A,0))),ОТЧЕТ!C1309*INDEX('Справочник по %'!C:C,(MATCH(A1309,'Справочник по %'!A:A,0))))/100</f>
        <v>637.76</v>
      </c>
      <c r="E1309" s="29">
        <f>IF(ОТЧЕТ!A1309="SKU3",C1309+ОТЧЕТ!C1309*0.2,C1309+ОТЧЕТ!C1309*0.15)</f>
        <v>733.19399999999996</v>
      </c>
      <c r="F1309" s="7" t="s">
        <v>2883</v>
      </c>
      <c r="G1309" s="7">
        <v>6913000925</v>
      </c>
      <c r="H1309" s="20" t="s">
        <v>2885</v>
      </c>
      <c r="I1309" s="22" t="str">
        <f>INDEX('Справочник Сети'!B:B,(MATCH(G1309,'Справочник Сети'!C:C,0)))</f>
        <v>Ригла</v>
      </c>
      <c r="J1309" s="7" t="s">
        <v>106</v>
      </c>
      <c r="K1309" s="7" t="s">
        <v>701</v>
      </c>
      <c r="L1309" s="7" t="s">
        <v>106</v>
      </c>
      <c r="M1309" s="31">
        <v>45694</v>
      </c>
      <c r="N1309" s="7" t="s">
        <v>2886</v>
      </c>
      <c r="O1309" s="8">
        <v>488</v>
      </c>
      <c r="P1309" s="24">
        <v>5891</v>
      </c>
      <c r="Q1309" s="22">
        <f>IF(COUNTIFS(A$2:A1309,A1309,I$2:I1309,I1309)=1,1,0)</f>
        <v>0</v>
      </c>
      <c r="R1309" s="22">
        <f t="shared" si="20"/>
        <v>2</v>
      </c>
      <c r="S1309" s="33">
        <f>IF(COUNTIF(O$2:O1309,O1309)=1,R1309,0)/2.5</f>
        <v>0.8</v>
      </c>
    </row>
    <row r="1310" spans="1:19" ht="18" customHeight="1" x14ac:dyDescent="0.25">
      <c r="A1310" s="7" t="s">
        <v>146</v>
      </c>
      <c r="B1310" s="8">
        <v>1</v>
      </c>
      <c r="C1310" s="9">
        <v>650</v>
      </c>
      <c r="D1310" s="29">
        <f>C1310+IF(INDEX('Справочник по %'!B:B,(MATCH(A1310,'Справочник по %'!A:A,0)))="кол-во",B1310*INDEX('Справочник по %'!C:C,(MATCH(A1310,'Справочник по %'!A:A,0))),ОТЧЕТ!C1310*INDEX('Справочник по %'!C:C,(MATCH(A1310,'Справочник по %'!A:A,0))))/100</f>
        <v>747.5</v>
      </c>
      <c r="E1310" s="29">
        <f>IF(ОТЧЕТ!A1310="SKU3",C1310+ОТЧЕТ!C1310*0.2,C1310+ОТЧЕТ!C1310*0.15)</f>
        <v>780</v>
      </c>
      <c r="F1310" s="7" t="s">
        <v>2883</v>
      </c>
      <c r="G1310" s="7">
        <v>9705163561</v>
      </c>
      <c r="H1310" s="20" t="s">
        <v>1285</v>
      </c>
      <c r="I1310" s="22">
        <f>INDEX('Справочник Сети'!B:B,(MATCH(G1310,'Справочник Сети'!C:C,0)))</f>
        <v>0</v>
      </c>
      <c r="J1310" s="7" t="s">
        <v>239</v>
      </c>
      <c r="K1310" s="7" t="s">
        <v>744</v>
      </c>
      <c r="L1310" s="7" t="s">
        <v>239</v>
      </c>
      <c r="M1310" s="31">
        <v>45662</v>
      </c>
      <c r="N1310" s="7" t="s">
        <v>2887</v>
      </c>
      <c r="O1310" s="8">
        <v>1350</v>
      </c>
      <c r="P1310" s="24">
        <v>5892</v>
      </c>
      <c r="Q1310" s="22">
        <f>IF(COUNTIFS(A$2:A1310,A1310,I$2:I1310,I1310)=1,1,0)</f>
        <v>0</v>
      </c>
      <c r="R1310" s="22">
        <f t="shared" si="20"/>
        <v>2</v>
      </c>
      <c r="S1310" s="33">
        <f>IF(COUNTIF(O$2:O1310,O1310)=1,R1310,0)/2.5</f>
        <v>0</v>
      </c>
    </row>
    <row r="1311" spans="1:19" ht="18" customHeight="1" x14ac:dyDescent="0.25">
      <c r="A1311" s="7" t="s">
        <v>43</v>
      </c>
      <c r="B1311" s="8">
        <v>1</v>
      </c>
      <c r="C1311" s="9">
        <v>440</v>
      </c>
      <c r="D1311" s="29">
        <f>C1311+IF(INDEX('Справочник по %'!B:B,(MATCH(A1311,'Справочник по %'!A:A,0)))="кол-во",B1311*INDEX('Справочник по %'!C:C,(MATCH(A1311,'Справочник по %'!A:A,0))),ОТЧЕТ!C1311*INDEX('Справочник по %'!C:C,(MATCH(A1311,'Справочник по %'!A:A,0))))/100</f>
        <v>484</v>
      </c>
      <c r="E1311" s="29">
        <f>IF(ОТЧЕТ!A1311="SKU3",C1311+ОТЧЕТ!C1311*0.2,C1311+ОТЧЕТ!C1311*0.15)</f>
        <v>506</v>
      </c>
      <c r="F1311" s="7" t="s">
        <v>2883</v>
      </c>
      <c r="G1311" s="7">
        <v>3907029575</v>
      </c>
      <c r="H1311" s="20" t="s">
        <v>2842</v>
      </c>
      <c r="I1311" s="22" t="str">
        <f>INDEX('Справочник Сети'!B:B,(MATCH(G1311,'Справочник Сети'!C:C,0)))</f>
        <v>Столички</v>
      </c>
      <c r="J1311" s="7" t="s">
        <v>155</v>
      </c>
      <c r="K1311" s="7" t="s">
        <v>2613</v>
      </c>
      <c r="L1311" s="7" t="s">
        <v>155</v>
      </c>
      <c r="M1311" s="31">
        <v>45716</v>
      </c>
      <c r="N1311" s="7" t="s">
        <v>2888</v>
      </c>
      <c r="O1311" s="8">
        <v>3544</v>
      </c>
      <c r="P1311" s="24">
        <v>5895</v>
      </c>
      <c r="Q1311" s="22">
        <f>IF(COUNTIFS(A$2:A1311,A1311,I$2:I1311,I1311)=1,1,0)</f>
        <v>0</v>
      </c>
      <c r="R1311" s="22">
        <f t="shared" si="20"/>
        <v>2</v>
      </c>
      <c r="S1311" s="33">
        <f>IF(COUNTIF(O$2:O1311,O1311)=1,R1311,0)/2.5</f>
        <v>0</v>
      </c>
    </row>
    <row r="1312" spans="1:19" ht="18" customHeight="1" x14ac:dyDescent="0.25">
      <c r="A1312" s="7" t="s">
        <v>43</v>
      </c>
      <c r="B1312" s="8">
        <v>1</v>
      </c>
      <c r="C1312" s="9">
        <v>355</v>
      </c>
      <c r="D1312" s="29">
        <f>C1312+IF(INDEX('Справочник по %'!B:B,(MATCH(A1312,'Справочник по %'!A:A,0)))="кол-во",B1312*INDEX('Справочник по %'!C:C,(MATCH(A1312,'Справочник по %'!A:A,0))),ОТЧЕТ!C1312*INDEX('Справочник по %'!C:C,(MATCH(A1312,'Справочник по %'!A:A,0))))/100</f>
        <v>390.5</v>
      </c>
      <c r="E1312" s="29">
        <f>IF(ОТЧЕТ!A1312="SKU3",C1312+ОТЧЕТ!C1312*0.2,C1312+ОТЧЕТ!C1312*0.15)</f>
        <v>408.25</v>
      </c>
      <c r="F1312" s="7" t="s">
        <v>2883</v>
      </c>
      <c r="G1312" s="7">
        <v>4217178886</v>
      </c>
      <c r="H1312" s="20" t="s">
        <v>2889</v>
      </c>
      <c r="I1312" s="22" t="str">
        <f>INDEX('Справочник Сети'!B:B,(MATCH(G1312,'Справочник Сети'!C:C,0)))</f>
        <v>Нео-фарм</v>
      </c>
      <c r="J1312" s="7" t="s">
        <v>155</v>
      </c>
      <c r="K1312" s="7" t="s">
        <v>175</v>
      </c>
      <c r="L1312" s="7" t="s">
        <v>155</v>
      </c>
      <c r="M1312" s="31">
        <v>45716</v>
      </c>
      <c r="N1312" s="7" t="s">
        <v>2890</v>
      </c>
      <c r="O1312" s="8">
        <v>507</v>
      </c>
      <c r="P1312" s="24">
        <v>5900</v>
      </c>
      <c r="Q1312" s="22">
        <f>IF(COUNTIFS(A$2:A1312,A1312,I$2:I1312,I1312)=1,1,0)</f>
        <v>0</v>
      </c>
      <c r="R1312" s="22">
        <f t="shared" si="20"/>
        <v>1</v>
      </c>
      <c r="S1312" s="33">
        <f>IF(COUNTIF(O$2:O1312,O1312)=1,R1312,0)/2.5</f>
        <v>0.4</v>
      </c>
    </row>
    <row r="1313" spans="1:19" ht="18" customHeight="1" x14ac:dyDescent="0.25">
      <c r="A1313" s="7" t="s">
        <v>43</v>
      </c>
      <c r="B1313" s="8">
        <v>1</v>
      </c>
      <c r="C1313" s="9">
        <v>435.1</v>
      </c>
      <c r="D1313" s="29">
        <f>C1313+IF(INDEX('Справочник по %'!B:B,(MATCH(A1313,'Справочник по %'!A:A,0)))="кол-во",B1313*INDEX('Справочник по %'!C:C,(MATCH(A1313,'Справочник по %'!A:A,0))),ОТЧЕТ!C1313*INDEX('Справочник по %'!C:C,(MATCH(A1313,'Справочник по %'!A:A,0))))/100</f>
        <v>478.61</v>
      </c>
      <c r="E1313" s="29">
        <f>IF(ОТЧЕТ!A1313="SKU3",C1313+ОТЧЕТ!C1313*0.2,C1313+ОТЧЕТ!C1313*0.15)</f>
        <v>500.36500000000001</v>
      </c>
      <c r="F1313" s="7" t="s">
        <v>2891</v>
      </c>
      <c r="G1313" s="7">
        <v>390613814477</v>
      </c>
      <c r="H1313" s="20" t="s">
        <v>2892</v>
      </c>
      <c r="I1313" s="22">
        <f>INDEX('Справочник Сети'!B:B,(MATCH(G1313,'Справочник Сети'!C:C,0)))</f>
        <v>0</v>
      </c>
      <c r="J1313" s="7" t="s">
        <v>110</v>
      </c>
      <c r="K1313" s="7" t="s">
        <v>2893</v>
      </c>
      <c r="L1313" s="7" t="s">
        <v>110</v>
      </c>
      <c r="M1313" s="31">
        <v>45660</v>
      </c>
      <c r="N1313" s="7" t="s">
        <v>2894</v>
      </c>
      <c r="O1313" s="8">
        <v>2032</v>
      </c>
      <c r="P1313" s="24">
        <v>5902</v>
      </c>
      <c r="Q1313" s="22">
        <f>IF(COUNTIFS(A$2:A1313,A1313,I$2:I1313,I1313)=1,1,0)</f>
        <v>0</v>
      </c>
      <c r="R1313" s="22">
        <f t="shared" si="20"/>
        <v>1</v>
      </c>
      <c r="S1313" s="33">
        <f>IF(COUNTIF(O$2:O1313,O1313)=1,R1313,0)/2.5</f>
        <v>0.4</v>
      </c>
    </row>
    <row r="1314" spans="1:19" ht="18" customHeight="1" x14ac:dyDescent="0.25">
      <c r="A1314" s="7" t="s">
        <v>43</v>
      </c>
      <c r="B1314" s="8">
        <v>1</v>
      </c>
      <c r="C1314" s="9">
        <v>413</v>
      </c>
      <c r="D1314" s="29">
        <f>C1314+IF(INDEX('Справочник по %'!B:B,(MATCH(A1314,'Справочник по %'!A:A,0)))="кол-во",B1314*INDEX('Справочник по %'!C:C,(MATCH(A1314,'Справочник по %'!A:A,0))),ОТЧЕТ!C1314*INDEX('Справочник по %'!C:C,(MATCH(A1314,'Справочник по %'!A:A,0))))/100</f>
        <v>454.3</v>
      </c>
      <c r="E1314" s="29">
        <f>IF(ОТЧЕТ!A1314="SKU3",C1314+ОТЧЕТ!C1314*0.2,C1314+ОТЧЕТ!C1314*0.15)</f>
        <v>474.95</v>
      </c>
      <c r="F1314" s="7" t="s">
        <v>2895</v>
      </c>
      <c r="G1314" s="7">
        <v>5904279620</v>
      </c>
      <c r="H1314" s="20" t="s">
        <v>39</v>
      </c>
      <c r="I1314" s="22" t="str">
        <f>INDEX('Справочник Сети'!B:B,(MATCH(G1314,'Справочник Сети'!C:C,0)))</f>
        <v>Столички</v>
      </c>
      <c r="J1314" s="7" t="s">
        <v>40</v>
      </c>
      <c r="K1314" s="7" t="s">
        <v>115</v>
      </c>
      <c r="L1314" s="7" t="s">
        <v>40</v>
      </c>
      <c r="M1314" s="31">
        <v>45712</v>
      </c>
      <c r="N1314" s="7" t="s">
        <v>2896</v>
      </c>
      <c r="O1314" s="8">
        <v>2071</v>
      </c>
      <c r="P1314" s="24">
        <v>5904</v>
      </c>
      <c r="Q1314" s="22">
        <f>IF(COUNTIFS(A$2:A1314,A1314,I$2:I1314,I1314)=1,1,0)</f>
        <v>0</v>
      </c>
      <c r="R1314" s="22">
        <f t="shared" si="20"/>
        <v>2</v>
      </c>
      <c r="S1314" s="33">
        <f>IF(COUNTIF(O$2:O1314,O1314)=1,R1314,0)/2.5</f>
        <v>0.8</v>
      </c>
    </row>
    <row r="1315" spans="1:19" ht="18" customHeight="1" x14ac:dyDescent="0.25">
      <c r="A1315" s="7" t="s">
        <v>43</v>
      </c>
      <c r="B1315" s="8">
        <v>1</v>
      </c>
      <c r="C1315" s="9">
        <v>391</v>
      </c>
      <c r="D1315" s="29">
        <f>C1315+IF(INDEX('Справочник по %'!B:B,(MATCH(A1315,'Справочник по %'!A:A,0)))="кол-во",B1315*INDEX('Справочник по %'!C:C,(MATCH(A1315,'Справочник по %'!A:A,0))),ОТЧЕТ!C1315*INDEX('Справочник по %'!C:C,(MATCH(A1315,'Справочник по %'!A:A,0))))/100</f>
        <v>430.1</v>
      </c>
      <c r="E1315" s="29">
        <f>IF(ОТЧЕТ!A1315="SKU3",C1315+ОТЧЕТ!C1315*0.2,C1315+ОТЧЕТ!C1315*0.15)</f>
        <v>449.65</v>
      </c>
      <c r="F1315" s="7" t="s">
        <v>2897</v>
      </c>
      <c r="G1315" s="7">
        <v>7731334851</v>
      </c>
      <c r="H1315" s="20" t="s">
        <v>2898</v>
      </c>
      <c r="I1315" s="22" t="str">
        <f>INDEX('Справочник Сети'!B:B,(MATCH(G1315,'Справочник Сети'!C:C,0)))</f>
        <v>Планета здоровья</v>
      </c>
      <c r="J1315" s="7" t="s">
        <v>142</v>
      </c>
      <c r="K1315" s="7" t="s">
        <v>1005</v>
      </c>
      <c r="L1315" s="7" t="s">
        <v>142</v>
      </c>
      <c r="M1315" s="31">
        <v>45674</v>
      </c>
      <c r="N1315" s="7" t="s">
        <v>2899</v>
      </c>
      <c r="O1315" s="8">
        <v>3505</v>
      </c>
      <c r="P1315" s="24">
        <v>5905</v>
      </c>
      <c r="Q1315" s="22">
        <f>IF(COUNTIFS(A$2:A1315,A1315,I$2:I1315,I1315)=1,1,0)</f>
        <v>0</v>
      </c>
      <c r="R1315" s="22">
        <f t="shared" si="20"/>
        <v>1</v>
      </c>
      <c r="S1315" s="33">
        <f>IF(COUNTIF(O$2:O1315,O1315)=1,R1315,0)/2.5</f>
        <v>0.4</v>
      </c>
    </row>
    <row r="1316" spans="1:19" ht="18" customHeight="1" x14ac:dyDescent="0.25">
      <c r="A1316" s="7" t="s">
        <v>37</v>
      </c>
      <c r="B1316" s="8">
        <v>1</v>
      </c>
      <c r="C1316" s="9">
        <v>662</v>
      </c>
      <c r="D1316" s="29">
        <f>C1316+IF(INDEX('Справочник по %'!B:B,(MATCH(A1316,'Справочник по %'!A:A,0)))="кол-во",B1316*INDEX('Справочник по %'!C:C,(MATCH(A1316,'Справочник по %'!A:A,0))),ОТЧЕТ!C1316*INDEX('Справочник по %'!C:C,(MATCH(A1316,'Справочник по %'!A:A,0))))/100</f>
        <v>662.2</v>
      </c>
      <c r="E1316" s="29">
        <f>IF(ОТЧЕТ!A1316="SKU3",C1316+ОТЧЕТ!C1316*0.2,C1316+ОТЧЕТ!C1316*0.15)</f>
        <v>761.3</v>
      </c>
      <c r="F1316" s="7" t="s">
        <v>2897</v>
      </c>
      <c r="G1316" s="7">
        <v>3305719564</v>
      </c>
      <c r="H1316" s="20" t="s">
        <v>91</v>
      </c>
      <c r="I1316" s="22">
        <f>INDEX('Справочник Сети'!B:B,(MATCH(G1316,'Справочник Сети'!C:C,0)))</f>
        <v>0</v>
      </c>
      <c r="J1316" s="7" t="s">
        <v>193</v>
      </c>
      <c r="K1316" s="7" t="s">
        <v>691</v>
      </c>
      <c r="L1316" s="7" t="s">
        <v>193</v>
      </c>
      <c r="M1316" s="31">
        <v>45718</v>
      </c>
      <c r="N1316" s="7" t="s">
        <v>2900</v>
      </c>
      <c r="O1316" s="8">
        <v>2245</v>
      </c>
      <c r="P1316" s="24">
        <v>5912</v>
      </c>
      <c r="Q1316" s="22">
        <f>IF(COUNTIFS(A$2:A1316,A1316,I$2:I1316,I1316)=1,1,0)</f>
        <v>0</v>
      </c>
      <c r="R1316" s="22">
        <f t="shared" si="20"/>
        <v>3</v>
      </c>
      <c r="S1316" s="33">
        <f>IF(COUNTIF(O$2:O1316,O1316)=1,R1316,0)/2.5</f>
        <v>0</v>
      </c>
    </row>
    <row r="1317" spans="1:19" ht="18" customHeight="1" x14ac:dyDescent="0.25">
      <c r="A1317" s="7" t="s">
        <v>37</v>
      </c>
      <c r="B1317" s="8">
        <v>1</v>
      </c>
      <c r="C1317" s="9">
        <v>567</v>
      </c>
      <c r="D1317" s="29">
        <f>C1317+IF(INDEX('Справочник по %'!B:B,(MATCH(A1317,'Справочник по %'!A:A,0)))="кол-во",B1317*INDEX('Справочник по %'!C:C,(MATCH(A1317,'Справочник по %'!A:A,0))),ОТЧЕТ!C1317*INDEX('Справочник по %'!C:C,(MATCH(A1317,'Справочник по %'!A:A,0))))/100</f>
        <v>567.20000000000005</v>
      </c>
      <c r="E1317" s="29">
        <f>IF(ОТЧЕТ!A1317="SKU3",C1317+ОТЧЕТ!C1317*0.2,C1317+ОТЧЕТ!C1317*0.15)</f>
        <v>652.04999999999995</v>
      </c>
      <c r="F1317" s="7" t="s">
        <v>2901</v>
      </c>
      <c r="G1317" s="7">
        <v>7732121736</v>
      </c>
      <c r="H1317" s="20" t="s">
        <v>304</v>
      </c>
      <c r="I1317" s="22" t="str">
        <f>INDEX('Справочник Сети'!B:B,(MATCH(G1317,'Справочник Сети'!C:C,0)))</f>
        <v>Планета здоровья</v>
      </c>
      <c r="J1317" s="7" t="s">
        <v>149</v>
      </c>
      <c r="K1317" s="7" t="s">
        <v>2620</v>
      </c>
      <c r="L1317" s="7" t="s">
        <v>149</v>
      </c>
      <c r="M1317" s="31">
        <v>45673</v>
      </c>
      <c r="N1317" s="7" t="s">
        <v>2902</v>
      </c>
      <c r="O1317" s="8">
        <v>2322</v>
      </c>
      <c r="P1317" s="24">
        <v>5921</v>
      </c>
      <c r="Q1317" s="22">
        <f>IF(COUNTIFS(A$2:A1317,A1317,I$2:I1317,I1317)=1,1,0)</f>
        <v>0</v>
      </c>
      <c r="R1317" s="22">
        <f t="shared" si="20"/>
        <v>3</v>
      </c>
      <c r="S1317" s="33">
        <f>IF(COUNTIF(O$2:O1317,O1317)=1,R1317,0)/2.5</f>
        <v>0</v>
      </c>
    </row>
    <row r="1318" spans="1:19" ht="18" customHeight="1" x14ac:dyDescent="0.25">
      <c r="A1318" s="7" t="s">
        <v>43</v>
      </c>
      <c r="B1318" s="8">
        <v>1</v>
      </c>
      <c r="C1318" s="9">
        <v>500</v>
      </c>
      <c r="D1318" s="29">
        <f>C1318+IF(INDEX('Справочник по %'!B:B,(MATCH(A1318,'Справочник по %'!A:A,0)))="кол-во",B1318*INDEX('Справочник по %'!C:C,(MATCH(A1318,'Справочник по %'!A:A,0))),ОТЧЕТ!C1318*INDEX('Справочник по %'!C:C,(MATCH(A1318,'Справочник по %'!A:A,0))))/100</f>
        <v>550</v>
      </c>
      <c r="E1318" s="29">
        <f>IF(ОТЧЕТ!A1318="SKU3",C1318+ОТЧЕТ!C1318*0.2,C1318+ОТЧЕТ!C1318*0.15)</f>
        <v>575</v>
      </c>
      <c r="F1318" s="7" t="s">
        <v>2903</v>
      </c>
      <c r="G1318" s="7">
        <v>550700455672</v>
      </c>
      <c r="H1318" s="20" t="s">
        <v>50</v>
      </c>
      <c r="I1318" s="22">
        <f>INDEX('Справочник Сети'!B:B,(MATCH(G1318,'Справочник Сети'!C:C,0)))</f>
        <v>0</v>
      </c>
      <c r="J1318" s="7" t="s">
        <v>251</v>
      </c>
      <c r="K1318" s="7" t="s">
        <v>1316</v>
      </c>
      <c r="L1318" s="7" t="s">
        <v>251</v>
      </c>
      <c r="M1318" s="31">
        <v>45659</v>
      </c>
      <c r="N1318" s="7" t="s">
        <v>2904</v>
      </c>
      <c r="O1318" s="8">
        <v>2629</v>
      </c>
      <c r="P1318" s="24">
        <v>5924</v>
      </c>
      <c r="Q1318" s="22">
        <f>IF(COUNTIFS(A$2:A1318,A1318,I$2:I1318,I1318)=1,1,0)</f>
        <v>0</v>
      </c>
      <c r="R1318" s="22">
        <f t="shared" si="20"/>
        <v>1</v>
      </c>
      <c r="S1318" s="33">
        <f>IF(COUNTIF(O$2:O1318,O1318)=1,R1318,0)/2.5</f>
        <v>0.4</v>
      </c>
    </row>
    <row r="1319" spans="1:19" ht="18" customHeight="1" x14ac:dyDescent="0.25">
      <c r="A1319" s="7" t="s">
        <v>43</v>
      </c>
      <c r="B1319" s="8">
        <v>1</v>
      </c>
      <c r="C1319" s="9">
        <v>346</v>
      </c>
      <c r="D1319" s="29">
        <f>C1319+IF(INDEX('Справочник по %'!B:B,(MATCH(A1319,'Справочник по %'!A:A,0)))="кол-во",B1319*INDEX('Справочник по %'!C:C,(MATCH(A1319,'Справочник по %'!A:A,0))),ОТЧЕТ!C1319*INDEX('Справочник по %'!C:C,(MATCH(A1319,'Справочник по %'!A:A,0))))/100</f>
        <v>380.6</v>
      </c>
      <c r="E1319" s="29">
        <f>IF(ОТЧЕТ!A1319="SKU3",C1319+ОТЧЕТ!C1319*0.2,C1319+ОТЧЕТ!C1319*0.15)</f>
        <v>397.9</v>
      </c>
      <c r="F1319" s="7" t="s">
        <v>2905</v>
      </c>
      <c r="G1319" s="7">
        <v>5902058784</v>
      </c>
      <c r="H1319" s="20" t="s">
        <v>39</v>
      </c>
      <c r="I1319" s="22" t="str">
        <f>INDEX('Справочник Сети'!B:B,(MATCH(G1319,'Справочник Сети'!C:C,0)))</f>
        <v>Планета здоровья</v>
      </c>
      <c r="J1319" s="7" t="s">
        <v>40</v>
      </c>
      <c r="K1319" s="7" t="s">
        <v>175</v>
      </c>
      <c r="L1319" s="7" t="s">
        <v>40</v>
      </c>
      <c r="M1319" s="31">
        <v>45712</v>
      </c>
      <c r="N1319" s="7" t="s">
        <v>2906</v>
      </c>
      <c r="O1319" s="8">
        <v>906</v>
      </c>
      <c r="P1319" s="24">
        <v>5926</v>
      </c>
      <c r="Q1319" s="22">
        <f>IF(COUNTIFS(A$2:A1319,A1319,I$2:I1319,I1319)=1,1,0)</f>
        <v>0</v>
      </c>
      <c r="R1319" s="22">
        <f t="shared" si="20"/>
        <v>2</v>
      </c>
      <c r="S1319" s="33">
        <f>IF(COUNTIF(O$2:O1319,O1319)=1,R1319,0)/2.5</f>
        <v>0.8</v>
      </c>
    </row>
    <row r="1320" spans="1:19" ht="18" customHeight="1" x14ac:dyDescent="0.25">
      <c r="A1320" s="7" t="s">
        <v>43</v>
      </c>
      <c r="B1320" s="8">
        <v>1</v>
      </c>
      <c r="C1320" s="9">
        <v>520</v>
      </c>
      <c r="D1320" s="29">
        <f>C1320+IF(INDEX('Справочник по %'!B:B,(MATCH(A1320,'Справочник по %'!A:A,0)))="кол-во",B1320*INDEX('Справочник по %'!C:C,(MATCH(A1320,'Справочник по %'!A:A,0))),ОТЧЕТ!C1320*INDEX('Справочник по %'!C:C,(MATCH(A1320,'Справочник по %'!A:A,0))))/100</f>
        <v>572</v>
      </c>
      <c r="E1320" s="29">
        <f>IF(ОТЧЕТ!A1320="SKU3",C1320+ОТЧЕТ!C1320*0.2,C1320+ОТЧЕТ!C1320*0.15)</f>
        <v>598</v>
      </c>
      <c r="F1320" s="7" t="s">
        <v>2905</v>
      </c>
      <c r="G1320" s="7">
        <v>7736337422</v>
      </c>
      <c r="H1320" s="20" t="s">
        <v>50</v>
      </c>
      <c r="I1320" s="22">
        <f>INDEX('Справочник Сети'!B:B,(MATCH(G1320,'Справочник Сети'!C:C,0)))</f>
        <v>0</v>
      </c>
      <c r="J1320" s="7" t="s">
        <v>353</v>
      </c>
      <c r="K1320" s="7" t="s">
        <v>379</v>
      </c>
      <c r="L1320" s="7" t="s">
        <v>353</v>
      </c>
      <c r="M1320" s="31">
        <v>45672</v>
      </c>
      <c r="N1320" s="7" t="s">
        <v>2907</v>
      </c>
      <c r="O1320" s="8">
        <v>522</v>
      </c>
      <c r="P1320" s="24">
        <v>5928</v>
      </c>
      <c r="Q1320" s="22">
        <f>IF(COUNTIFS(A$2:A1320,A1320,I$2:I1320,I1320)=1,1,0)</f>
        <v>0</v>
      </c>
      <c r="R1320" s="22">
        <f t="shared" si="20"/>
        <v>2</v>
      </c>
      <c r="S1320" s="33">
        <f>IF(COUNTIF(O$2:O1320,O1320)=1,R1320,0)/2.5</f>
        <v>0</v>
      </c>
    </row>
    <row r="1321" spans="1:19" ht="18" customHeight="1" x14ac:dyDescent="0.25">
      <c r="A1321" s="7" t="s">
        <v>43</v>
      </c>
      <c r="B1321" s="8">
        <v>1</v>
      </c>
      <c r="C1321" s="9">
        <v>399</v>
      </c>
      <c r="D1321" s="29">
        <f>C1321+IF(INDEX('Справочник по %'!B:B,(MATCH(A1321,'Справочник по %'!A:A,0)))="кол-во",B1321*INDEX('Справочник по %'!C:C,(MATCH(A1321,'Справочник по %'!A:A,0))),ОТЧЕТ!C1321*INDEX('Справочник по %'!C:C,(MATCH(A1321,'Справочник по %'!A:A,0))))/100</f>
        <v>438.9</v>
      </c>
      <c r="E1321" s="29">
        <f>IF(ОТЧЕТ!A1321="SKU3",C1321+ОТЧЕТ!C1321*0.2,C1321+ОТЧЕТ!C1321*0.15)</f>
        <v>458.85</v>
      </c>
      <c r="F1321" s="7" t="s">
        <v>2905</v>
      </c>
      <c r="G1321" s="7">
        <v>2461029929</v>
      </c>
      <c r="H1321" s="20" t="s">
        <v>2908</v>
      </c>
      <c r="I1321" s="22">
        <f>INDEX('Справочник Сети'!B:B,(MATCH(G1321,'Справочник Сети'!C:C,0)))</f>
        <v>0</v>
      </c>
      <c r="J1321" s="7" t="s">
        <v>96</v>
      </c>
      <c r="K1321" s="7" t="s">
        <v>1810</v>
      </c>
      <c r="L1321" s="7" t="s">
        <v>96</v>
      </c>
      <c r="M1321" s="31">
        <v>45727</v>
      </c>
      <c r="N1321" s="7" t="s">
        <v>2909</v>
      </c>
      <c r="O1321" s="8">
        <v>2019</v>
      </c>
      <c r="P1321" s="24">
        <v>5931</v>
      </c>
      <c r="Q1321" s="22">
        <f>IF(COUNTIFS(A$2:A1321,A1321,I$2:I1321,I1321)=1,1,0)</f>
        <v>0</v>
      </c>
      <c r="R1321" s="22">
        <f t="shared" si="20"/>
        <v>3</v>
      </c>
      <c r="S1321" s="33">
        <f>IF(COUNTIF(O$2:O1321,O1321)=1,R1321,0)/2.5</f>
        <v>1.2</v>
      </c>
    </row>
    <row r="1322" spans="1:19" ht="18" customHeight="1" x14ac:dyDescent="0.25">
      <c r="A1322" s="7" t="s">
        <v>43</v>
      </c>
      <c r="B1322" s="8">
        <v>1</v>
      </c>
      <c r="C1322" s="9">
        <v>437.2</v>
      </c>
      <c r="D1322" s="29">
        <f>C1322+IF(INDEX('Справочник по %'!B:B,(MATCH(A1322,'Справочник по %'!A:A,0)))="кол-во",B1322*INDEX('Справочник по %'!C:C,(MATCH(A1322,'Справочник по %'!A:A,0))),ОТЧЕТ!C1322*INDEX('Справочник по %'!C:C,(MATCH(A1322,'Справочник по %'!A:A,0))))/100</f>
        <v>480.91999999999996</v>
      </c>
      <c r="E1322" s="29">
        <f>IF(ОТЧЕТ!A1322="SKU3",C1322+ОТЧЕТ!C1322*0.2,C1322+ОТЧЕТ!C1322*0.15)</f>
        <v>502.78</v>
      </c>
      <c r="F1322" s="7" t="s">
        <v>2910</v>
      </c>
      <c r="G1322" s="7">
        <v>5837066084</v>
      </c>
      <c r="H1322" s="20" t="s">
        <v>91</v>
      </c>
      <c r="I1322" s="22">
        <f>INDEX('Справочник Сети'!B:B,(MATCH(G1322,'Справочник Сети'!C:C,0)))</f>
        <v>0</v>
      </c>
      <c r="J1322" s="7" t="s">
        <v>40</v>
      </c>
      <c r="K1322" s="7" t="s">
        <v>1657</v>
      </c>
      <c r="L1322" s="7" t="s">
        <v>40</v>
      </c>
      <c r="M1322" s="31">
        <v>45712</v>
      </c>
      <c r="N1322" s="7" t="s">
        <v>1486</v>
      </c>
      <c r="O1322" s="8">
        <v>2949</v>
      </c>
      <c r="P1322" s="24">
        <v>5934</v>
      </c>
      <c r="Q1322" s="22">
        <f>IF(COUNTIFS(A$2:A1322,A1322,I$2:I1322,I1322)=1,1,0)</f>
        <v>0</v>
      </c>
      <c r="R1322" s="22">
        <f t="shared" si="20"/>
        <v>1</v>
      </c>
      <c r="S1322" s="33">
        <f>IF(COUNTIF(O$2:O1322,O1322)=1,R1322,0)/2.5</f>
        <v>0.4</v>
      </c>
    </row>
    <row r="1323" spans="1:19" ht="18" customHeight="1" x14ac:dyDescent="0.25">
      <c r="A1323" s="7" t="s">
        <v>43</v>
      </c>
      <c r="B1323" s="8">
        <v>1</v>
      </c>
      <c r="C1323" s="9">
        <v>385.68</v>
      </c>
      <c r="D1323" s="29">
        <f>C1323+IF(INDEX('Справочник по %'!B:B,(MATCH(A1323,'Справочник по %'!A:A,0)))="кол-во",B1323*INDEX('Справочник по %'!C:C,(MATCH(A1323,'Справочник по %'!A:A,0))),ОТЧЕТ!C1323*INDEX('Справочник по %'!C:C,(MATCH(A1323,'Справочник по %'!A:A,0))))/100</f>
        <v>424.24799999999999</v>
      </c>
      <c r="E1323" s="29">
        <f>IF(ОТЧЕТ!A1323="SKU3",C1323+ОТЧЕТ!C1323*0.2,C1323+ОТЧЕТ!C1323*0.15)</f>
        <v>443.53199999999998</v>
      </c>
      <c r="F1323" s="7" t="s">
        <v>2910</v>
      </c>
      <c r="G1323" s="7">
        <v>7820310299</v>
      </c>
      <c r="H1323" s="20" t="s">
        <v>50</v>
      </c>
      <c r="I1323" s="22">
        <f>INDEX('Справочник Сети'!B:B,(MATCH(G1323,'Справочник Сети'!C:C,0)))</f>
        <v>0</v>
      </c>
      <c r="J1323" s="7" t="s">
        <v>121</v>
      </c>
      <c r="K1323" s="7" t="s">
        <v>996</v>
      </c>
      <c r="L1323" s="7" t="s">
        <v>121</v>
      </c>
      <c r="M1323" s="31">
        <v>45671</v>
      </c>
      <c r="N1323" s="7" t="s">
        <v>2911</v>
      </c>
      <c r="O1323" s="8">
        <v>3385</v>
      </c>
      <c r="P1323" s="24">
        <v>5936</v>
      </c>
      <c r="Q1323" s="22">
        <f>IF(COUNTIFS(A$2:A1323,A1323,I$2:I1323,I1323)=1,1,0)</f>
        <v>0</v>
      </c>
      <c r="R1323" s="22">
        <f t="shared" si="20"/>
        <v>5</v>
      </c>
      <c r="S1323" s="33">
        <f>IF(COUNTIF(O$2:O1323,O1323)=1,R1323,0)/2.5</f>
        <v>0</v>
      </c>
    </row>
    <row r="1324" spans="1:19" ht="18" customHeight="1" x14ac:dyDescent="0.25">
      <c r="A1324" s="7" t="s">
        <v>43</v>
      </c>
      <c r="B1324" s="8">
        <v>1</v>
      </c>
      <c r="C1324" s="9">
        <v>456.04</v>
      </c>
      <c r="D1324" s="29">
        <f>C1324+IF(INDEX('Справочник по %'!B:B,(MATCH(A1324,'Справочник по %'!A:A,0)))="кол-во",B1324*INDEX('Справочник по %'!C:C,(MATCH(A1324,'Справочник по %'!A:A,0))),ОТЧЕТ!C1324*INDEX('Справочник по %'!C:C,(MATCH(A1324,'Справочник по %'!A:A,0))))/100</f>
        <v>501.64400000000001</v>
      </c>
      <c r="E1324" s="29">
        <f>IF(ОТЧЕТ!A1324="SKU3",C1324+ОТЧЕТ!C1324*0.2,C1324+ОТЧЕТ!C1324*0.15)</f>
        <v>524.44600000000003</v>
      </c>
      <c r="F1324" s="7" t="s">
        <v>2912</v>
      </c>
      <c r="G1324" s="7">
        <v>5501207372</v>
      </c>
      <c r="H1324" s="20" t="s">
        <v>50</v>
      </c>
      <c r="I1324" s="22" t="str">
        <f>INDEX('Справочник Сети'!B:B,(MATCH(G1324,'Справочник Сети'!C:C,0)))</f>
        <v>Ригла</v>
      </c>
      <c r="J1324" s="7" t="s">
        <v>255</v>
      </c>
      <c r="K1324" s="7" t="s">
        <v>2106</v>
      </c>
      <c r="L1324" s="7" t="s">
        <v>255</v>
      </c>
      <c r="M1324" s="31">
        <v>45713</v>
      </c>
      <c r="N1324" s="7" t="s">
        <v>2913</v>
      </c>
      <c r="O1324" s="8">
        <v>309</v>
      </c>
      <c r="P1324" s="24">
        <v>5940</v>
      </c>
      <c r="Q1324" s="22">
        <f>IF(COUNTIFS(A$2:A1324,A1324,I$2:I1324,I1324)=1,1,0)</f>
        <v>0</v>
      </c>
      <c r="R1324" s="22">
        <f t="shared" si="20"/>
        <v>2</v>
      </c>
      <c r="S1324" s="33">
        <f>IF(COUNTIF(O$2:O1324,O1324)=1,R1324,0)/2.5</f>
        <v>0</v>
      </c>
    </row>
    <row r="1325" spans="1:19" ht="18" customHeight="1" x14ac:dyDescent="0.25">
      <c r="A1325" s="7" t="s">
        <v>43</v>
      </c>
      <c r="B1325" s="8">
        <v>1</v>
      </c>
      <c r="C1325" s="9">
        <v>389</v>
      </c>
      <c r="D1325" s="29">
        <f>C1325+IF(INDEX('Справочник по %'!B:B,(MATCH(A1325,'Справочник по %'!A:A,0)))="кол-во",B1325*INDEX('Справочник по %'!C:C,(MATCH(A1325,'Справочник по %'!A:A,0))),ОТЧЕТ!C1325*INDEX('Справочник по %'!C:C,(MATCH(A1325,'Справочник по %'!A:A,0))))/100</f>
        <v>427.9</v>
      </c>
      <c r="E1325" s="29">
        <f>IF(ОТЧЕТ!A1325="SKU3",C1325+ОТЧЕТ!C1325*0.2,C1325+ОТЧЕТ!C1325*0.15)</f>
        <v>447.35</v>
      </c>
      <c r="F1325" s="7" t="s">
        <v>2912</v>
      </c>
      <c r="G1325" s="7">
        <v>7728339546</v>
      </c>
      <c r="H1325" s="20" t="s">
        <v>2914</v>
      </c>
      <c r="I1325" s="22" t="str">
        <f>INDEX('Справочник Сети'!B:B,(MATCH(G1325,'Справочник Сети'!C:C,0)))</f>
        <v>Планета здоровья</v>
      </c>
      <c r="J1325" s="7" t="s">
        <v>142</v>
      </c>
      <c r="K1325" s="7" t="s">
        <v>1003</v>
      </c>
      <c r="L1325" s="7" t="s">
        <v>142</v>
      </c>
      <c r="M1325" s="31">
        <v>45674</v>
      </c>
      <c r="N1325" s="7" t="s">
        <v>2915</v>
      </c>
      <c r="O1325" s="8">
        <v>2003</v>
      </c>
      <c r="P1325" s="24">
        <v>5943</v>
      </c>
      <c r="Q1325" s="22">
        <f>IF(COUNTIFS(A$2:A1325,A1325,I$2:I1325,I1325)=1,1,0)</f>
        <v>0</v>
      </c>
      <c r="R1325" s="22">
        <f t="shared" si="20"/>
        <v>2</v>
      </c>
      <c r="S1325" s="33">
        <f>IF(COUNTIF(O$2:O1325,O1325)=1,R1325,0)/2.5</f>
        <v>0</v>
      </c>
    </row>
    <row r="1326" spans="1:19" ht="18" customHeight="1" x14ac:dyDescent="0.25">
      <c r="A1326" s="7" t="s">
        <v>43</v>
      </c>
      <c r="B1326" s="8">
        <v>1</v>
      </c>
      <c r="C1326" s="9">
        <v>417</v>
      </c>
      <c r="D1326" s="29">
        <f>C1326+IF(INDEX('Справочник по %'!B:B,(MATCH(A1326,'Справочник по %'!A:A,0)))="кол-во",B1326*INDEX('Справочник по %'!C:C,(MATCH(A1326,'Справочник по %'!A:A,0))),ОТЧЕТ!C1326*INDEX('Справочник по %'!C:C,(MATCH(A1326,'Справочник по %'!A:A,0))))/100</f>
        <v>458.7</v>
      </c>
      <c r="E1326" s="29">
        <f>IF(ОТЧЕТ!A1326="SKU3",C1326+ОТЧЕТ!C1326*0.2,C1326+ОТЧЕТ!C1326*0.15)</f>
        <v>479.55</v>
      </c>
      <c r="F1326" s="7" t="s">
        <v>2912</v>
      </c>
      <c r="G1326" s="7">
        <v>1511019564</v>
      </c>
      <c r="H1326" s="20" t="s">
        <v>50</v>
      </c>
      <c r="I1326" s="22">
        <f>INDEX('Справочник Сети'!B:B,(MATCH(G1326,'Справочник Сети'!C:C,0)))</f>
        <v>0</v>
      </c>
      <c r="J1326" s="7" t="s">
        <v>335</v>
      </c>
      <c r="K1326" s="7" t="s">
        <v>1495</v>
      </c>
      <c r="L1326" s="7" t="s">
        <v>335</v>
      </c>
      <c r="M1326" s="31">
        <v>45731</v>
      </c>
      <c r="N1326" s="7" t="s">
        <v>2916</v>
      </c>
      <c r="O1326" s="8">
        <v>358</v>
      </c>
      <c r="P1326" s="24">
        <v>5944</v>
      </c>
      <c r="Q1326" s="22">
        <f>IF(COUNTIFS(A$2:A1326,A1326,I$2:I1326,I1326)=1,1,0)</f>
        <v>0</v>
      </c>
      <c r="R1326" s="22">
        <f t="shared" si="20"/>
        <v>4</v>
      </c>
      <c r="S1326" s="33">
        <f>IF(COUNTIF(O$2:O1326,O1326)=1,R1326,0)/2.5</f>
        <v>0</v>
      </c>
    </row>
    <row r="1327" spans="1:19" ht="18" customHeight="1" x14ac:dyDescent="0.25">
      <c r="A1327" s="7" t="s">
        <v>43</v>
      </c>
      <c r="B1327" s="8">
        <v>1</v>
      </c>
      <c r="C1327" s="9">
        <v>374</v>
      </c>
      <c r="D1327" s="29">
        <f>C1327+IF(INDEX('Справочник по %'!B:B,(MATCH(A1327,'Справочник по %'!A:A,0)))="кол-во",B1327*INDEX('Справочник по %'!C:C,(MATCH(A1327,'Справочник по %'!A:A,0))),ОТЧЕТ!C1327*INDEX('Справочник по %'!C:C,(MATCH(A1327,'Справочник по %'!A:A,0))))/100</f>
        <v>411.4</v>
      </c>
      <c r="E1327" s="29">
        <f>IF(ОТЧЕТ!A1327="SKU3",C1327+ОТЧЕТ!C1327*0.2,C1327+ОТЧЕТ!C1327*0.15)</f>
        <v>430.1</v>
      </c>
      <c r="F1327" s="7" t="s">
        <v>2917</v>
      </c>
      <c r="G1327" s="7">
        <v>4217178886</v>
      </c>
      <c r="H1327" s="20" t="s">
        <v>1143</v>
      </c>
      <c r="I1327" s="22" t="str">
        <f>INDEX('Справочник Сети'!B:B,(MATCH(G1327,'Справочник Сети'!C:C,0)))</f>
        <v>Нео-фарм</v>
      </c>
      <c r="J1327" s="7" t="s">
        <v>155</v>
      </c>
      <c r="K1327" s="7" t="s">
        <v>1823</v>
      </c>
      <c r="L1327" s="7" t="s">
        <v>155</v>
      </c>
      <c r="M1327" s="31">
        <v>45716</v>
      </c>
      <c r="N1327" s="7" t="s">
        <v>2918</v>
      </c>
      <c r="O1327" s="8">
        <v>457</v>
      </c>
      <c r="P1327" s="24">
        <v>5945</v>
      </c>
      <c r="Q1327" s="22">
        <f>IF(COUNTIFS(A$2:A1327,A1327,I$2:I1327,I1327)=1,1,0)</f>
        <v>0</v>
      </c>
      <c r="R1327" s="22">
        <f t="shared" si="20"/>
        <v>4</v>
      </c>
      <c r="S1327" s="33">
        <f>IF(COUNTIF(O$2:O1327,O1327)=1,R1327,0)/2.5</f>
        <v>0</v>
      </c>
    </row>
    <row r="1328" spans="1:19" ht="18" customHeight="1" x14ac:dyDescent="0.25">
      <c r="A1328" s="7" t="s">
        <v>37</v>
      </c>
      <c r="B1328" s="8">
        <v>1</v>
      </c>
      <c r="C1328" s="9">
        <v>634</v>
      </c>
      <c r="D1328" s="29">
        <f>C1328+IF(INDEX('Справочник по %'!B:B,(MATCH(A1328,'Справочник по %'!A:A,0)))="кол-во",B1328*INDEX('Справочник по %'!C:C,(MATCH(A1328,'Справочник по %'!A:A,0))),ОТЧЕТ!C1328*INDEX('Справочник по %'!C:C,(MATCH(A1328,'Справочник по %'!A:A,0))))/100</f>
        <v>634.20000000000005</v>
      </c>
      <c r="E1328" s="29">
        <f>IF(ОТЧЕТ!A1328="SKU3",C1328+ОТЧЕТ!C1328*0.2,C1328+ОТЧЕТ!C1328*0.15)</f>
        <v>729.1</v>
      </c>
      <c r="F1328" s="7" t="s">
        <v>2919</v>
      </c>
      <c r="G1328" s="7">
        <v>4632068829</v>
      </c>
      <c r="H1328" s="20" t="s">
        <v>91</v>
      </c>
      <c r="I1328" s="22" t="str">
        <f>INDEX('Справочник Сети'!B:B,(MATCH(G1328,'Справочник Сети'!C:C,0)))</f>
        <v>Ригла</v>
      </c>
      <c r="J1328" s="7" t="s">
        <v>83</v>
      </c>
      <c r="K1328" s="7" t="s">
        <v>1657</v>
      </c>
      <c r="L1328" s="7" t="s">
        <v>155</v>
      </c>
      <c r="M1328" s="31">
        <v>45716</v>
      </c>
      <c r="N1328" s="7" t="s">
        <v>2920</v>
      </c>
      <c r="O1328" s="8">
        <v>2992</v>
      </c>
      <c r="P1328" s="24">
        <v>5949</v>
      </c>
      <c r="Q1328" s="22">
        <f>IF(COUNTIFS(A$2:A1328,A1328,I$2:I1328,I1328)=1,1,0)</f>
        <v>0</v>
      </c>
      <c r="R1328" s="22">
        <f t="shared" si="20"/>
        <v>1</v>
      </c>
      <c r="S1328" s="33">
        <f>IF(COUNTIF(O$2:O1328,O1328)=1,R1328,0)/2.5</f>
        <v>0.4</v>
      </c>
    </row>
    <row r="1329" spans="1:19" ht="18" customHeight="1" x14ac:dyDescent="0.25">
      <c r="A1329" s="7" t="s">
        <v>37</v>
      </c>
      <c r="B1329" s="8">
        <v>1</v>
      </c>
      <c r="C1329" s="9">
        <v>581</v>
      </c>
      <c r="D1329" s="29">
        <f>C1329+IF(INDEX('Справочник по %'!B:B,(MATCH(A1329,'Справочник по %'!A:A,0)))="кол-во",B1329*INDEX('Справочник по %'!C:C,(MATCH(A1329,'Справочник по %'!A:A,0))),ОТЧЕТ!C1329*INDEX('Справочник по %'!C:C,(MATCH(A1329,'Справочник по %'!A:A,0))))/100</f>
        <v>581.20000000000005</v>
      </c>
      <c r="E1329" s="29">
        <f>IF(ОТЧЕТ!A1329="SKU3",C1329+ОТЧЕТ!C1329*0.2,C1329+ОТЧЕТ!C1329*0.15)</f>
        <v>668.15</v>
      </c>
      <c r="F1329" s="7" t="s">
        <v>2919</v>
      </c>
      <c r="G1329" s="7">
        <v>6673189463</v>
      </c>
      <c r="H1329" s="20" t="s">
        <v>132</v>
      </c>
      <c r="I1329" s="22" t="str">
        <f>INDEX('Справочник Сети'!B:B,(MATCH(G1329,'Справочник Сети'!C:C,0)))</f>
        <v>Нео-фарм</v>
      </c>
      <c r="J1329" s="7" t="s">
        <v>133</v>
      </c>
      <c r="K1329" s="7" t="s">
        <v>2353</v>
      </c>
      <c r="L1329" s="7" t="s">
        <v>133</v>
      </c>
      <c r="M1329" s="31">
        <v>45695</v>
      </c>
      <c r="N1329" s="7" t="s">
        <v>2921</v>
      </c>
      <c r="O1329" s="8">
        <v>1237</v>
      </c>
      <c r="P1329" s="24">
        <v>5950</v>
      </c>
      <c r="Q1329" s="22">
        <f>IF(COUNTIFS(A$2:A1329,A1329,I$2:I1329,I1329)=1,1,0)</f>
        <v>0</v>
      </c>
      <c r="R1329" s="22">
        <f t="shared" si="20"/>
        <v>1</v>
      </c>
      <c r="S1329" s="33">
        <f>IF(COUNTIF(O$2:O1329,O1329)=1,R1329,0)/2.5</f>
        <v>0.4</v>
      </c>
    </row>
    <row r="1330" spans="1:19" ht="18" customHeight="1" x14ac:dyDescent="0.25">
      <c r="A1330" s="7" t="s">
        <v>43</v>
      </c>
      <c r="B1330" s="8">
        <v>1</v>
      </c>
      <c r="C1330" s="9">
        <v>463</v>
      </c>
      <c r="D1330" s="29">
        <f>C1330+IF(INDEX('Справочник по %'!B:B,(MATCH(A1330,'Справочник по %'!A:A,0)))="кол-во",B1330*INDEX('Справочник по %'!C:C,(MATCH(A1330,'Справочник по %'!A:A,0))),ОТЧЕТ!C1330*INDEX('Справочник по %'!C:C,(MATCH(A1330,'Справочник по %'!A:A,0))))/100</f>
        <v>509.3</v>
      </c>
      <c r="E1330" s="29">
        <f>IF(ОТЧЕТ!A1330="SKU3",C1330+ОТЧЕТ!C1330*0.2,C1330+ОТЧЕТ!C1330*0.15)</f>
        <v>532.45000000000005</v>
      </c>
      <c r="F1330" s="7" t="s">
        <v>2922</v>
      </c>
      <c r="G1330" s="7">
        <v>7714844316</v>
      </c>
      <c r="H1330" s="20" t="s">
        <v>50</v>
      </c>
      <c r="I1330" s="22" t="str">
        <f>INDEX('Справочник Сети'!B:B,(MATCH(G1330,'Справочник Сети'!C:C,0)))</f>
        <v>Планета здоровья</v>
      </c>
      <c r="J1330" s="7" t="s">
        <v>504</v>
      </c>
      <c r="K1330" s="7" t="s">
        <v>710</v>
      </c>
      <c r="L1330" s="7" t="s">
        <v>504</v>
      </c>
      <c r="M1330" s="31">
        <v>45690</v>
      </c>
      <c r="N1330" s="7" t="s">
        <v>2923</v>
      </c>
      <c r="O1330" s="8">
        <v>1339</v>
      </c>
      <c r="P1330" s="24">
        <v>5951</v>
      </c>
      <c r="Q1330" s="22">
        <f>IF(COUNTIFS(A$2:A1330,A1330,I$2:I1330,I1330)=1,1,0)</f>
        <v>0</v>
      </c>
      <c r="R1330" s="22">
        <f t="shared" si="20"/>
        <v>1</v>
      </c>
      <c r="S1330" s="33">
        <f>IF(COUNTIF(O$2:O1330,O1330)=1,R1330,0)/2.5</f>
        <v>0.4</v>
      </c>
    </row>
    <row r="1331" spans="1:19" ht="18" customHeight="1" x14ac:dyDescent="0.25">
      <c r="A1331" s="7" t="s">
        <v>37</v>
      </c>
      <c r="B1331" s="8">
        <v>1</v>
      </c>
      <c r="C1331" s="9">
        <v>640</v>
      </c>
      <c r="D1331" s="29">
        <f>C1331+IF(INDEX('Справочник по %'!B:B,(MATCH(A1331,'Справочник по %'!A:A,0)))="кол-во",B1331*INDEX('Справочник по %'!C:C,(MATCH(A1331,'Справочник по %'!A:A,0))),ОТЧЕТ!C1331*INDEX('Справочник по %'!C:C,(MATCH(A1331,'Справочник по %'!A:A,0))))/100</f>
        <v>640.20000000000005</v>
      </c>
      <c r="E1331" s="29">
        <f>IF(ОТЧЕТ!A1331="SKU3",C1331+ОТЧЕТ!C1331*0.2,C1331+ОТЧЕТ!C1331*0.15)</f>
        <v>736</v>
      </c>
      <c r="F1331" s="7" t="s">
        <v>2924</v>
      </c>
      <c r="G1331" s="7">
        <v>231705666100</v>
      </c>
      <c r="H1331" s="20" t="s">
        <v>50</v>
      </c>
      <c r="I1331" s="22" t="str">
        <f>INDEX('Справочник Сети'!B:B,(MATCH(G1331,'Справочник Сети'!C:C,0)))</f>
        <v>Планета здоровья</v>
      </c>
      <c r="J1331" s="7" t="s">
        <v>74</v>
      </c>
      <c r="K1331" s="7" t="s">
        <v>2925</v>
      </c>
      <c r="L1331" s="7" t="s">
        <v>74</v>
      </c>
      <c r="M1331" s="31">
        <v>45661</v>
      </c>
      <c r="N1331" s="7" t="s">
        <v>2926</v>
      </c>
      <c r="O1331" s="8">
        <v>841</v>
      </c>
      <c r="P1331" s="24">
        <v>5953</v>
      </c>
      <c r="Q1331" s="22">
        <f>IF(COUNTIFS(A$2:A1331,A1331,I$2:I1331,I1331)=1,1,0)</f>
        <v>0</v>
      </c>
      <c r="R1331" s="22">
        <f t="shared" si="20"/>
        <v>4</v>
      </c>
      <c r="S1331" s="33">
        <f>IF(COUNTIF(O$2:O1331,O1331)=1,R1331,0)/2.5</f>
        <v>0</v>
      </c>
    </row>
    <row r="1332" spans="1:19" ht="18" customHeight="1" x14ac:dyDescent="0.25">
      <c r="A1332" s="7" t="s">
        <v>43</v>
      </c>
      <c r="B1332" s="8">
        <v>1</v>
      </c>
      <c r="C1332" s="9">
        <v>495</v>
      </c>
      <c r="D1332" s="29">
        <f>C1332+IF(INDEX('Справочник по %'!B:B,(MATCH(A1332,'Справочник по %'!A:A,0)))="кол-во",B1332*INDEX('Справочник по %'!C:C,(MATCH(A1332,'Справочник по %'!A:A,0))),ОТЧЕТ!C1332*INDEX('Справочник по %'!C:C,(MATCH(A1332,'Справочник по %'!A:A,0))))/100</f>
        <v>544.5</v>
      </c>
      <c r="E1332" s="29">
        <f>IF(ОТЧЕТ!A1332="SKU3",C1332+ОТЧЕТ!C1332*0.2,C1332+ОТЧЕТ!C1332*0.15)</f>
        <v>569.25</v>
      </c>
      <c r="F1332" s="7" t="s">
        <v>2927</v>
      </c>
      <c r="G1332" s="7">
        <v>2465354616</v>
      </c>
      <c r="H1332" s="20" t="s">
        <v>2928</v>
      </c>
      <c r="I1332" s="22">
        <f>INDEX('Справочник Сети'!B:B,(MATCH(G1332,'Справочник Сети'!C:C,0)))</f>
        <v>0</v>
      </c>
      <c r="J1332" s="7" t="s">
        <v>96</v>
      </c>
      <c r="K1332" s="7" t="s">
        <v>534</v>
      </c>
      <c r="L1332" s="7" t="s">
        <v>96</v>
      </c>
      <c r="M1332" s="31">
        <v>45727</v>
      </c>
      <c r="N1332" s="7" t="s">
        <v>2929</v>
      </c>
      <c r="O1332" s="8">
        <v>173</v>
      </c>
      <c r="P1332" s="24">
        <v>5954</v>
      </c>
      <c r="Q1332" s="22">
        <f>IF(COUNTIFS(A$2:A1332,A1332,I$2:I1332,I1332)=1,1,0)</f>
        <v>0</v>
      </c>
      <c r="R1332" s="22">
        <f t="shared" si="20"/>
        <v>3</v>
      </c>
      <c r="S1332" s="33">
        <f>IF(COUNTIF(O$2:O1332,O1332)=1,R1332,0)/2.5</f>
        <v>1.2</v>
      </c>
    </row>
    <row r="1333" spans="1:19" ht="18" customHeight="1" x14ac:dyDescent="0.25">
      <c r="A1333" s="7" t="s">
        <v>43</v>
      </c>
      <c r="B1333" s="8">
        <v>1</v>
      </c>
      <c r="C1333" s="9">
        <v>400</v>
      </c>
      <c r="D1333" s="29">
        <f>C1333+IF(INDEX('Справочник по %'!B:B,(MATCH(A1333,'Справочник по %'!A:A,0)))="кол-во",B1333*INDEX('Справочник по %'!C:C,(MATCH(A1333,'Справочник по %'!A:A,0))),ОТЧЕТ!C1333*INDEX('Справочник по %'!C:C,(MATCH(A1333,'Справочник по %'!A:A,0))))/100</f>
        <v>440</v>
      </c>
      <c r="E1333" s="29">
        <f>IF(ОТЧЕТ!A1333="SKU3",C1333+ОТЧЕТ!C1333*0.2,C1333+ОТЧЕТ!C1333*0.15)</f>
        <v>460</v>
      </c>
      <c r="F1333" s="7" t="s">
        <v>2927</v>
      </c>
      <c r="G1333" s="7">
        <v>2225105670</v>
      </c>
      <c r="H1333" s="20" t="s">
        <v>69</v>
      </c>
      <c r="I1333" s="22" t="str">
        <f>INDEX('Справочник Сети'!B:B,(MATCH(G1333,'Справочник Сети'!C:C,0)))</f>
        <v>Столички</v>
      </c>
      <c r="J1333" s="7" t="s">
        <v>372</v>
      </c>
      <c r="K1333" s="7" t="s">
        <v>181</v>
      </c>
      <c r="L1333" s="7" t="s">
        <v>372</v>
      </c>
      <c r="M1333" s="31">
        <v>45730</v>
      </c>
      <c r="N1333" s="7" t="s">
        <v>2930</v>
      </c>
      <c r="O1333" s="8">
        <v>1188</v>
      </c>
      <c r="P1333" s="24">
        <v>5955</v>
      </c>
      <c r="Q1333" s="22">
        <f>IF(COUNTIFS(A$2:A1333,A1333,I$2:I1333,I1333)=1,1,0)</f>
        <v>0</v>
      </c>
      <c r="R1333" s="22">
        <f t="shared" si="20"/>
        <v>14</v>
      </c>
      <c r="S1333" s="33">
        <f>IF(COUNTIF(O$2:O1333,O1333)=1,R1333,0)/2.5</f>
        <v>0</v>
      </c>
    </row>
    <row r="1334" spans="1:19" ht="18" customHeight="1" x14ac:dyDescent="0.25">
      <c r="A1334" s="7" t="s">
        <v>37</v>
      </c>
      <c r="B1334" s="8">
        <v>1</v>
      </c>
      <c r="C1334" s="9">
        <v>590</v>
      </c>
      <c r="D1334" s="29">
        <f>C1334+IF(INDEX('Справочник по %'!B:B,(MATCH(A1334,'Справочник по %'!A:A,0)))="кол-во",B1334*INDEX('Справочник по %'!C:C,(MATCH(A1334,'Справочник по %'!A:A,0))),ОТЧЕТ!C1334*INDEX('Справочник по %'!C:C,(MATCH(A1334,'Справочник по %'!A:A,0))))/100</f>
        <v>590.20000000000005</v>
      </c>
      <c r="E1334" s="29">
        <f>IF(ОТЧЕТ!A1334="SKU3",C1334+ОТЧЕТ!C1334*0.2,C1334+ОТЧЕТ!C1334*0.15)</f>
        <v>678.5</v>
      </c>
      <c r="F1334" s="7" t="s">
        <v>2927</v>
      </c>
      <c r="G1334" s="7">
        <v>2225105670</v>
      </c>
      <c r="H1334" s="20" t="s">
        <v>69</v>
      </c>
      <c r="I1334" s="22" t="str">
        <f>INDEX('Справочник Сети'!B:B,(MATCH(G1334,'Справочник Сети'!C:C,0)))</f>
        <v>Столички</v>
      </c>
      <c r="J1334" s="7" t="s">
        <v>372</v>
      </c>
      <c r="K1334" s="7" t="s">
        <v>2931</v>
      </c>
      <c r="L1334" s="7" t="s">
        <v>372</v>
      </c>
      <c r="M1334" s="31">
        <v>45730</v>
      </c>
      <c r="N1334" s="7" t="s">
        <v>2932</v>
      </c>
      <c r="O1334" s="8">
        <v>1188</v>
      </c>
      <c r="P1334" s="24">
        <v>5956</v>
      </c>
      <c r="Q1334" s="22">
        <f>IF(COUNTIFS(A$2:A1334,A1334,I$2:I1334,I1334)=1,1,0)</f>
        <v>0</v>
      </c>
      <c r="R1334" s="22">
        <f t="shared" si="20"/>
        <v>14</v>
      </c>
      <c r="S1334" s="33">
        <f>IF(COUNTIF(O$2:O1334,O1334)=1,R1334,0)/2.5</f>
        <v>0</v>
      </c>
    </row>
    <row r="1335" spans="1:19" ht="18" customHeight="1" x14ac:dyDescent="0.25">
      <c r="A1335" s="7" t="s">
        <v>43</v>
      </c>
      <c r="B1335" s="8">
        <v>1</v>
      </c>
      <c r="C1335" s="9">
        <v>400</v>
      </c>
      <c r="D1335" s="29">
        <f>C1335+IF(INDEX('Справочник по %'!B:B,(MATCH(A1335,'Справочник по %'!A:A,0)))="кол-во",B1335*INDEX('Справочник по %'!C:C,(MATCH(A1335,'Справочник по %'!A:A,0))),ОТЧЕТ!C1335*INDEX('Справочник по %'!C:C,(MATCH(A1335,'Справочник по %'!A:A,0))))/100</f>
        <v>440</v>
      </c>
      <c r="E1335" s="29">
        <f>IF(ОТЧЕТ!A1335="SKU3",C1335+ОТЧЕТ!C1335*0.2,C1335+ОТЧЕТ!C1335*0.15)</f>
        <v>460</v>
      </c>
      <c r="F1335" s="7" t="s">
        <v>2927</v>
      </c>
      <c r="G1335" s="7">
        <v>2225105670</v>
      </c>
      <c r="H1335" s="20" t="s">
        <v>69</v>
      </c>
      <c r="I1335" s="22" t="str">
        <f>INDEX('Справочник Сети'!B:B,(MATCH(G1335,'Справочник Сети'!C:C,0)))</f>
        <v>Столички</v>
      </c>
      <c r="J1335" s="7" t="s">
        <v>372</v>
      </c>
      <c r="K1335" s="7" t="s">
        <v>2456</v>
      </c>
      <c r="L1335" s="7" t="s">
        <v>372</v>
      </c>
      <c r="M1335" s="31">
        <v>45730</v>
      </c>
      <c r="N1335" s="7" t="s">
        <v>2933</v>
      </c>
      <c r="O1335" s="8">
        <v>1188</v>
      </c>
      <c r="P1335" s="24">
        <v>5957</v>
      </c>
      <c r="Q1335" s="22">
        <f>IF(COUNTIFS(A$2:A1335,A1335,I$2:I1335,I1335)=1,1,0)</f>
        <v>0</v>
      </c>
      <c r="R1335" s="22">
        <f t="shared" si="20"/>
        <v>14</v>
      </c>
      <c r="S1335" s="33">
        <f>IF(COUNTIF(O$2:O1335,O1335)=1,R1335,0)/2.5</f>
        <v>0</v>
      </c>
    </row>
    <row r="1336" spans="1:19" ht="18" customHeight="1" x14ac:dyDescent="0.25">
      <c r="A1336" s="7" t="s">
        <v>43</v>
      </c>
      <c r="B1336" s="8">
        <v>1</v>
      </c>
      <c r="C1336" s="9">
        <v>455</v>
      </c>
      <c r="D1336" s="29">
        <f>C1336+IF(INDEX('Справочник по %'!B:B,(MATCH(A1336,'Справочник по %'!A:A,0)))="кол-во",B1336*INDEX('Справочник по %'!C:C,(MATCH(A1336,'Справочник по %'!A:A,0))),ОТЧЕТ!C1336*INDEX('Справочник по %'!C:C,(MATCH(A1336,'Справочник по %'!A:A,0))))/100</f>
        <v>500.5</v>
      </c>
      <c r="E1336" s="29">
        <f>IF(ОТЧЕТ!A1336="SKU3",C1336+ОТЧЕТ!C1336*0.2,C1336+ОТЧЕТ!C1336*0.15)</f>
        <v>523.25</v>
      </c>
      <c r="F1336" s="7" t="s">
        <v>2934</v>
      </c>
      <c r="G1336" s="7">
        <v>323374846</v>
      </c>
      <c r="H1336" s="20" t="s">
        <v>2356</v>
      </c>
      <c r="I1336" s="22">
        <f>INDEX('Справочник Сети'!B:B,(MATCH(G1336,'Справочник Сети'!C:C,0)))</f>
        <v>0</v>
      </c>
      <c r="J1336" s="7" t="s">
        <v>362</v>
      </c>
      <c r="K1336" s="7" t="s">
        <v>264</v>
      </c>
      <c r="L1336" s="7" t="s">
        <v>362</v>
      </c>
      <c r="M1336" s="31">
        <v>45732</v>
      </c>
      <c r="N1336" s="7" t="s">
        <v>2935</v>
      </c>
      <c r="O1336" s="8">
        <v>3259</v>
      </c>
      <c r="P1336" s="24">
        <v>5958</v>
      </c>
      <c r="Q1336" s="22">
        <f>IF(COUNTIFS(A$2:A1336,A1336,I$2:I1336,I1336)=1,1,0)</f>
        <v>0</v>
      </c>
      <c r="R1336" s="22">
        <f t="shared" si="20"/>
        <v>3</v>
      </c>
      <c r="S1336" s="33">
        <f>IF(COUNTIF(O$2:O1336,O1336)=1,R1336,0)/2.5</f>
        <v>0</v>
      </c>
    </row>
    <row r="1337" spans="1:19" ht="18" customHeight="1" x14ac:dyDescent="0.25">
      <c r="A1337" s="7" t="s">
        <v>37</v>
      </c>
      <c r="B1337" s="8">
        <v>1</v>
      </c>
      <c r="C1337" s="9">
        <v>594</v>
      </c>
      <c r="D1337" s="29">
        <f>C1337+IF(INDEX('Справочник по %'!B:B,(MATCH(A1337,'Справочник по %'!A:A,0)))="кол-во",B1337*INDEX('Справочник по %'!C:C,(MATCH(A1337,'Справочник по %'!A:A,0))),ОТЧЕТ!C1337*INDEX('Справочник по %'!C:C,(MATCH(A1337,'Справочник по %'!A:A,0))))/100</f>
        <v>594.20000000000005</v>
      </c>
      <c r="E1337" s="29">
        <f>IF(ОТЧЕТ!A1337="SKU3",C1337+ОТЧЕТ!C1337*0.2,C1337+ОТЧЕТ!C1337*0.15)</f>
        <v>683.1</v>
      </c>
      <c r="F1337" s="7" t="s">
        <v>2936</v>
      </c>
      <c r="G1337" s="7">
        <v>7204146152</v>
      </c>
      <c r="H1337" s="20" t="s">
        <v>103</v>
      </c>
      <c r="I1337" s="22" t="str">
        <f>INDEX('Справочник Сети'!B:B,(MATCH(G1337,'Справочник Сети'!C:C,0)))</f>
        <v>36,6</v>
      </c>
      <c r="J1337" s="7" t="s">
        <v>104</v>
      </c>
      <c r="K1337" s="7" t="s">
        <v>2256</v>
      </c>
      <c r="L1337" s="7" t="s">
        <v>106</v>
      </c>
      <c r="M1337" s="31">
        <v>45694</v>
      </c>
      <c r="N1337" s="7" t="s">
        <v>1281</v>
      </c>
      <c r="O1337" s="8">
        <v>1369</v>
      </c>
      <c r="P1337" s="24">
        <v>5960</v>
      </c>
      <c r="Q1337" s="22">
        <f>IF(COUNTIFS(A$2:A1337,A1337,I$2:I1337,I1337)=1,1,0)</f>
        <v>0</v>
      </c>
      <c r="R1337" s="22">
        <f t="shared" si="20"/>
        <v>6</v>
      </c>
      <c r="S1337" s="33">
        <f>IF(COUNTIF(O$2:O1337,O1337)=1,R1337,0)/2.5</f>
        <v>0</v>
      </c>
    </row>
    <row r="1338" spans="1:19" ht="18" customHeight="1" x14ac:dyDescent="0.25">
      <c r="A1338" s="7" t="s">
        <v>37</v>
      </c>
      <c r="B1338" s="8">
        <v>1</v>
      </c>
      <c r="C1338" s="9">
        <v>682</v>
      </c>
      <c r="D1338" s="29">
        <f>C1338+IF(INDEX('Справочник по %'!B:B,(MATCH(A1338,'Справочник по %'!A:A,0)))="кол-во",B1338*INDEX('Справочник по %'!C:C,(MATCH(A1338,'Справочник по %'!A:A,0))),ОТЧЕТ!C1338*INDEX('Справочник по %'!C:C,(MATCH(A1338,'Справочник по %'!A:A,0))))/100</f>
        <v>682.2</v>
      </c>
      <c r="E1338" s="29">
        <f>IF(ОТЧЕТ!A1338="SKU3",C1338+ОТЧЕТ!C1338*0.2,C1338+ОТЧЕТ!C1338*0.15)</f>
        <v>784.3</v>
      </c>
      <c r="F1338" s="7" t="s">
        <v>2936</v>
      </c>
      <c r="G1338" s="7">
        <v>7816221906</v>
      </c>
      <c r="H1338" s="20" t="s">
        <v>50</v>
      </c>
      <c r="I1338" s="22" t="str">
        <f>INDEX('Справочник Сети'!B:B,(MATCH(G1338,'Справочник Сети'!C:C,0)))</f>
        <v>Ригла</v>
      </c>
      <c r="J1338" s="7" t="s">
        <v>121</v>
      </c>
      <c r="K1338" s="7" t="s">
        <v>661</v>
      </c>
      <c r="L1338" s="7" t="s">
        <v>121</v>
      </c>
      <c r="M1338" s="31">
        <v>45671</v>
      </c>
      <c r="N1338" s="7" t="s">
        <v>1672</v>
      </c>
      <c r="O1338" s="8">
        <v>3039</v>
      </c>
      <c r="P1338" s="24">
        <v>5961</v>
      </c>
      <c r="Q1338" s="22">
        <f>IF(COUNTIFS(A$2:A1338,A1338,I$2:I1338,I1338)=1,1,0)</f>
        <v>0</v>
      </c>
      <c r="R1338" s="22">
        <f t="shared" si="20"/>
        <v>2</v>
      </c>
      <c r="S1338" s="33">
        <f>IF(COUNTIF(O$2:O1338,O1338)=1,R1338,0)/2.5</f>
        <v>0</v>
      </c>
    </row>
    <row r="1339" spans="1:19" ht="18" customHeight="1" x14ac:dyDescent="0.25">
      <c r="A1339" s="7" t="s">
        <v>37</v>
      </c>
      <c r="B1339" s="8">
        <v>1</v>
      </c>
      <c r="C1339" s="9">
        <v>592</v>
      </c>
      <c r="D1339" s="29">
        <f>C1339+IF(INDEX('Справочник по %'!B:B,(MATCH(A1339,'Справочник по %'!A:A,0)))="кол-во",B1339*INDEX('Справочник по %'!C:C,(MATCH(A1339,'Справочник по %'!A:A,0))),ОТЧЕТ!C1339*INDEX('Справочник по %'!C:C,(MATCH(A1339,'Справочник по %'!A:A,0))))/100</f>
        <v>592.20000000000005</v>
      </c>
      <c r="E1339" s="29">
        <f>IF(ОТЧЕТ!A1339="SKU3",C1339+ОТЧЕТ!C1339*0.2,C1339+ОТЧЕТ!C1339*0.15)</f>
        <v>680.8</v>
      </c>
      <c r="F1339" s="7" t="s">
        <v>2936</v>
      </c>
      <c r="G1339" s="7">
        <v>421101282999</v>
      </c>
      <c r="H1339" s="20" t="s">
        <v>2937</v>
      </c>
      <c r="I1339" s="22">
        <f>INDEX('Справочник Сети'!B:B,(MATCH(G1339,'Справочник Сети'!C:C,0)))</f>
        <v>0</v>
      </c>
      <c r="J1339" s="7" t="s">
        <v>110</v>
      </c>
      <c r="K1339" s="7" t="s">
        <v>2938</v>
      </c>
      <c r="L1339" s="7" t="s">
        <v>110</v>
      </c>
      <c r="M1339" s="31">
        <v>45660</v>
      </c>
      <c r="N1339" s="7" t="s">
        <v>2939</v>
      </c>
      <c r="O1339" s="8">
        <v>3517</v>
      </c>
      <c r="P1339" s="24">
        <v>5962</v>
      </c>
      <c r="Q1339" s="22">
        <f>IF(COUNTIFS(A$2:A1339,A1339,I$2:I1339,I1339)=1,1,0)</f>
        <v>0</v>
      </c>
      <c r="R1339" s="22">
        <f t="shared" si="20"/>
        <v>1</v>
      </c>
      <c r="S1339" s="33">
        <f>IF(COUNTIF(O$2:O1339,O1339)=1,R1339,0)/2.5</f>
        <v>0.4</v>
      </c>
    </row>
    <row r="1340" spans="1:19" ht="18" customHeight="1" x14ac:dyDescent="0.25">
      <c r="A1340" s="7" t="s">
        <v>43</v>
      </c>
      <c r="B1340" s="8">
        <v>1</v>
      </c>
      <c r="C1340" s="9">
        <v>454</v>
      </c>
      <c r="D1340" s="29">
        <f>C1340+IF(INDEX('Справочник по %'!B:B,(MATCH(A1340,'Справочник по %'!A:A,0)))="кол-во",B1340*INDEX('Справочник по %'!C:C,(MATCH(A1340,'Справочник по %'!A:A,0))),ОТЧЕТ!C1340*INDEX('Справочник по %'!C:C,(MATCH(A1340,'Справочник по %'!A:A,0))))/100</f>
        <v>499.4</v>
      </c>
      <c r="E1340" s="29">
        <f>IF(ОТЧЕТ!A1340="SKU3",C1340+ОТЧЕТ!C1340*0.2,C1340+ОТЧЕТ!C1340*0.15)</f>
        <v>522.1</v>
      </c>
      <c r="F1340" s="7" t="s">
        <v>2936</v>
      </c>
      <c r="G1340" s="7">
        <v>326537584</v>
      </c>
      <c r="H1340" s="20" t="s">
        <v>2940</v>
      </c>
      <c r="I1340" s="22" t="str">
        <f>INDEX('Справочник Сети'!B:B,(MATCH(G1340,'Справочник Сети'!C:C,0)))</f>
        <v>Планета здоровья</v>
      </c>
      <c r="J1340" s="7" t="s">
        <v>362</v>
      </c>
      <c r="K1340" s="7" t="s">
        <v>1339</v>
      </c>
      <c r="L1340" s="7" t="s">
        <v>362</v>
      </c>
      <c r="M1340" s="31">
        <v>45732</v>
      </c>
      <c r="N1340" s="7" t="s">
        <v>805</v>
      </c>
      <c r="O1340" s="8">
        <v>2943</v>
      </c>
      <c r="P1340" s="24">
        <v>5967</v>
      </c>
      <c r="Q1340" s="22">
        <f>IF(COUNTIFS(A$2:A1340,A1340,I$2:I1340,I1340)=1,1,0)</f>
        <v>0</v>
      </c>
      <c r="R1340" s="22">
        <f t="shared" si="20"/>
        <v>4</v>
      </c>
      <c r="S1340" s="33">
        <f>IF(COUNTIF(O$2:O1340,O1340)=1,R1340,0)/2.5</f>
        <v>1.6</v>
      </c>
    </row>
    <row r="1341" spans="1:19" ht="18" customHeight="1" x14ac:dyDescent="0.25">
      <c r="A1341" s="7" t="s">
        <v>43</v>
      </c>
      <c r="B1341" s="8">
        <v>1</v>
      </c>
      <c r="C1341" s="9">
        <v>530</v>
      </c>
      <c r="D1341" s="29">
        <f>C1341+IF(INDEX('Справочник по %'!B:B,(MATCH(A1341,'Справочник по %'!A:A,0)))="кол-во",B1341*INDEX('Справочник по %'!C:C,(MATCH(A1341,'Справочник по %'!A:A,0))),ОТЧЕТ!C1341*INDEX('Справочник по %'!C:C,(MATCH(A1341,'Справочник по %'!A:A,0))))/100</f>
        <v>583</v>
      </c>
      <c r="E1341" s="29">
        <f>IF(ОТЧЕТ!A1341="SKU3",C1341+ОТЧЕТ!C1341*0.2,C1341+ОТЧЕТ!C1341*0.15)</f>
        <v>609.5</v>
      </c>
      <c r="F1341" s="7" t="s">
        <v>2941</v>
      </c>
      <c r="G1341" s="7">
        <v>7732121736</v>
      </c>
      <c r="H1341" s="20" t="s">
        <v>1089</v>
      </c>
      <c r="I1341" s="22" t="str">
        <f>INDEX('Справочник Сети'!B:B,(MATCH(G1341,'Справочник Сети'!C:C,0)))</f>
        <v>Планета здоровья</v>
      </c>
      <c r="J1341" s="7" t="s">
        <v>149</v>
      </c>
      <c r="K1341" s="7" t="s">
        <v>373</v>
      </c>
      <c r="L1341" s="7" t="s">
        <v>149</v>
      </c>
      <c r="M1341" s="31">
        <v>45673</v>
      </c>
      <c r="N1341" s="7" t="s">
        <v>2942</v>
      </c>
      <c r="O1341" s="8">
        <v>2482</v>
      </c>
      <c r="P1341" s="24">
        <v>5973</v>
      </c>
      <c r="Q1341" s="22">
        <f>IF(COUNTIFS(A$2:A1341,A1341,I$2:I1341,I1341)=1,1,0)</f>
        <v>0</v>
      </c>
      <c r="R1341" s="22">
        <f t="shared" si="20"/>
        <v>9</v>
      </c>
      <c r="S1341" s="33">
        <f>IF(COUNTIF(O$2:O1341,O1341)=1,R1341,0)/2.5</f>
        <v>0</v>
      </c>
    </row>
    <row r="1342" spans="1:19" ht="18" customHeight="1" x14ac:dyDescent="0.25">
      <c r="A1342" s="7" t="s">
        <v>43</v>
      </c>
      <c r="B1342" s="8">
        <v>1</v>
      </c>
      <c r="C1342" s="9">
        <v>454</v>
      </c>
      <c r="D1342" s="29">
        <f>C1342+IF(INDEX('Справочник по %'!B:B,(MATCH(A1342,'Справочник по %'!A:A,0)))="кол-во",B1342*INDEX('Справочник по %'!C:C,(MATCH(A1342,'Справочник по %'!A:A,0))),ОТЧЕТ!C1342*INDEX('Справочник по %'!C:C,(MATCH(A1342,'Справочник по %'!A:A,0))))/100</f>
        <v>499.4</v>
      </c>
      <c r="E1342" s="29">
        <f>IF(ОТЧЕТ!A1342="SKU3",C1342+ОТЧЕТ!C1342*0.2,C1342+ОТЧЕТ!C1342*0.15)</f>
        <v>522.1</v>
      </c>
      <c r="F1342" s="7" t="s">
        <v>2943</v>
      </c>
      <c r="G1342" s="7">
        <v>7704729709</v>
      </c>
      <c r="H1342" s="20" t="s">
        <v>64</v>
      </c>
      <c r="I1342" s="22">
        <f>INDEX('Справочник Сети'!B:B,(MATCH(G1342,'Справочник Сети'!C:C,0)))</f>
        <v>0</v>
      </c>
      <c r="J1342" s="7" t="s">
        <v>104</v>
      </c>
      <c r="K1342" s="7" t="s">
        <v>808</v>
      </c>
      <c r="L1342" s="7" t="s">
        <v>104</v>
      </c>
      <c r="M1342" s="31">
        <v>45693</v>
      </c>
      <c r="N1342" s="7" t="s">
        <v>2944</v>
      </c>
      <c r="O1342" s="8">
        <v>833</v>
      </c>
      <c r="P1342" s="24">
        <v>5977</v>
      </c>
      <c r="Q1342" s="22">
        <f>IF(COUNTIFS(A$2:A1342,A1342,I$2:I1342,I1342)=1,1,0)</f>
        <v>0</v>
      </c>
      <c r="R1342" s="22">
        <f t="shared" si="20"/>
        <v>6</v>
      </c>
      <c r="S1342" s="33">
        <f>IF(COUNTIF(O$2:O1342,O1342)=1,R1342,0)/2.5</f>
        <v>0</v>
      </c>
    </row>
    <row r="1343" spans="1:19" ht="18" customHeight="1" x14ac:dyDescent="0.25">
      <c r="A1343" s="7" t="s">
        <v>43</v>
      </c>
      <c r="B1343" s="8">
        <v>1</v>
      </c>
      <c r="C1343" s="9">
        <v>462.9</v>
      </c>
      <c r="D1343" s="29">
        <f>C1343+IF(INDEX('Справочник по %'!B:B,(MATCH(A1343,'Справочник по %'!A:A,0)))="кол-во",B1343*INDEX('Справочник по %'!C:C,(MATCH(A1343,'Справочник по %'!A:A,0))),ОТЧЕТ!C1343*INDEX('Справочник по %'!C:C,(MATCH(A1343,'Справочник по %'!A:A,0))))/100</f>
        <v>509.19</v>
      </c>
      <c r="E1343" s="29">
        <f>IF(ОТЧЕТ!A1343="SKU3",C1343+ОТЧЕТ!C1343*0.2,C1343+ОТЧЕТ!C1343*0.15)</f>
        <v>532.33499999999992</v>
      </c>
      <c r="F1343" s="7" t="s">
        <v>2945</v>
      </c>
      <c r="G1343" s="7">
        <v>2466233830</v>
      </c>
      <c r="H1343" s="20" t="s">
        <v>50</v>
      </c>
      <c r="I1343" s="22">
        <f>INDEX('Справочник Сети'!B:B,(MATCH(G1343,'Справочник Сети'!C:C,0)))</f>
        <v>0</v>
      </c>
      <c r="J1343" s="7" t="s">
        <v>96</v>
      </c>
      <c r="K1343" s="7" t="s">
        <v>206</v>
      </c>
      <c r="L1343" s="7" t="s">
        <v>96</v>
      </c>
      <c r="M1343" s="31">
        <v>45727</v>
      </c>
      <c r="N1343" s="7" t="s">
        <v>2946</v>
      </c>
      <c r="O1343" s="8">
        <v>1266</v>
      </c>
      <c r="P1343" s="24">
        <v>5979</v>
      </c>
      <c r="Q1343" s="22">
        <f>IF(COUNTIFS(A$2:A1343,A1343,I$2:I1343,I1343)=1,1,0)</f>
        <v>0</v>
      </c>
      <c r="R1343" s="22">
        <f t="shared" si="20"/>
        <v>2</v>
      </c>
      <c r="S1343" s="33">
        <f>IF(COUNTIF(O$2:O1343,O1343)=1,R1343,0)/2.5</f>
        <v>0</v>
      </c>
    </row>
    <row r="1344" spans="1:19" ht="18" customHeight="1" x14ac:dyDescent="0.25">
      <c r="A1344" s="7" t="s">
        <v>37</v>
      </c>
      <c r="B1344" s="8">
        <v>1</v>
      </c>
      <c r="C1344" s="9">
        <v>660</v>
      </c>
      <c r="D1344" s="29">
        <f>C1344+IF(INDEX('Справочник по %'!B:B,(MATCH(A1344,'Справочник по %'!A:A,0)))="кол-во",B1344*INDEX('Справочник по %'!C:C,(MATCH(A1344,'Справочник по %'!A:A,0))),ОТЧЕТ!C1344*INDEX('Справочник по %'!C:C,(MATCH(A1344,'Справочник по %'!A:A,0))))/100</f>
        <v>660.2</v>
      </c>
      <c r="E1344" s="29">
        <f>IF(ОТЧЕТ!A1344="SKU3",C1344+ОТЧЕТ!C1344*0.2,C1344+ОТЧЕТ!C1344*0.15)</f>
        <v>759</v>
      </c>
      <c r="F1344" s="7" t="s">
        <v>2945</v>
      </c>
      <c r="G1344" s="7">
        <v>2310031475</v>
      </c>
      <c r="H1344" s="20" t="s">
        <v>2947</v>
      </c>
      <c r="I1344" s="22" t="str">
        <f>INDEX('Справочник Сети'!B:B,(MATCH(G1344,'Справочник Сети'!C:C,0)))</f>
        <v>Ригла</v>
      </c>
      <c r="J1344" s="7" t="s">
        <v>57</v>
      </c>
      <c r="K1344" s="7" t="s">
        <v>562</v>
      </c>
      <c r="L1344" s="7" t="s">
        <v>57</v>
      </c>
      <c r="M1344" s="31">
        <v>45729</v>
      </c>
      <c r="N1344" s="7" t="s">
        <v>2948</v>
      </c>
      <c r="O1344" s="8">
        <v>2428</v>
      </c>
      <c r="P1344" s="24">
        <v>5980</v>
      </c>
      <c r="Q1344" s="22">
        <f>IF(COUNTIFS(A$2:A1344,A1344,I$2:I1344,I1344)=1,1,0)</f>
        <v>0</v>
      </c>
      <c r="R1344" s="22">
        <f t="shared" si="20"/>
        <v>1</v>
      </c>
      <c r="S1344" s="33">
        <f>IF(COUNTIF(O$2:O1344,O1344)=1,R1344,0)/2.5</f>
        <v>0.4</v>
      </c>
    </row>
    <row r="1345" spans="1:19" ht="18" customHeight="1" x14ac:dyDescent="0.25">
      <c r="A1345" s="7" t="s">
        <v>37</v>
      </c>
      <c r="B1345" s="8">
        <v>1</v>
      </c>
      <c r="C1345" s="9">
        <v>698</v>
      </c>
      <c r="D1345" s="29">
        <f>C1345+IF(INDEX('Справочник по %'!B:B,(MATCH(A1345,'Справочник по %'!A:A,0)))="кол-во",B1345*INDEX('Справочник по %'!C:C,(MATCH(A1345,'Справочник по %'!A:A,0))),ОТЧЕТ!C1345*INDEX('Справочник по %'!C:C,(MATCH(A1345,'Справочник по %'!A:A,0))))/100</f>
        <v>698.2</v>
      </c>
      <c r="E1345" s="29">
        <f>IF(ОТЧЕТ!A1345="SKU3",C1345+ОТЧЕТ!C1345*0.2,C1345+ОТЧЕТ!C1345*0.15)</f>
        <v>802.7</v>
      </c>
      <c r="F1345" s="7" t="s">
        <v>2949</v>
      </c>
      <c r="G1345" s="7">
        <v>6673189463</v>
      </c>
      <c r="H1345" s="20" t="s">
        <v>132</v>
      </c>
      <c r="I1345" s="22" t="str">
        <f>INDEX('Справочник Сети'!B:B,(MATCH(G1345,'Справочник Сети'!C:C,0)))</f>
        <v>Нео-фарм</v>
      </c>
      <c r="J1345" s="7" t="s">
        <v>133</v>
      </c>
      <c r="K1345" s="7" t="s">
        <v>118</v>
      </c>
      <c r="L1345" s="7" t="s">
        <v>133</v>
      </c>
      <c r="M1345" s="31">
        <v>45695</v>
      </c>
      <c r="N1345" s="7" t="s">
        <v>2950</v>
      </c>
      <c r="O1345" s="8">
        <v>1248</v>
      </c>
      <c r="P1345" s="24">
        <v>5982</v>
      </c>
      <c r="Q1345" s="22">
        <f>IF(COUNTIFS(A$2:A1345,A1345,I$2:I1345,I1345)=1,1,0)</f>
        <v>0</v>
      </c>
      <c r="R1345" s="22">
        <f t="shared" si="20"/>
        <v>2</v>
      </c>
      <c r="S1345" s="33">
        <f>IF(COUNTIF(O$2:O1345,O1345)=1,R1345,0)/2.5</f>
        <v>0.8</v>
      </c>
    </row>
    <row r="1346" spans="1:19" ht="18" customHeight="1" x14ac:dyDescent="0.25">
      <c r="A1346" s="7" t="s">
        <v>37</v>
      </c>
      <c r="B1346" s="8">
        <v>1</v>
      </c>
      <c r="C1346" s="9">
        <v>654</v>
      </c>
      <c r="D1346" s="29">
        <f>C1346+IF(INDEX('Справочник по %'!B:B,(MATCH(A1346,'Справочник по %'!A:A,0)))="кол-во",B1346*INDEX('Справочник по %'!C:C,(MATCH(A1346,'Справочник по %'!A:A,0))),ОТЧЕТ!C1346*INDEX('Справочник по %'!C:C,(MATCH(A1346,'Справочник по %'!A:A,0))))/100</f>
        <v>654.20000000000005</v>
      </c>
      <c r="E1346" s="29">
        <f>IF(ОТЧЕТ!A1346="SKU3",C1346+ОТЧЕТ!C1346*0.2,C1346+ОТЧЕТ!C1346*0.15)</f>
        <v>752.1</v>
      </c>
      <c r="F1346" s="7" t="s">
        <v>2949</v>
      </c>
      <c r="G1346" s="7">
        <v>6673189463</v>
      </c>
      <c r="H1346" s="20" t="s">
        <v>132</v>
      </c>
      <c r="I1346" s="22" t="str">
        <f>INDEX('Справочник Сети'!B:B,(MATCH(G1346,'Справочник Сети'!C:C,0)))</f>
        <v>Нео-фарм</v>
      </c>
      <c r="J1346" s="7" t="s">
        <v>133</v>
      </c>
      <c r="K1346" s="7" t="s">
        <v>118</v>
      </c>
      <c r="L1346" s="7" t="s">
        <v>133</v>
      </c>
      <c r="M1346" s="31">
        <v>45695</v>
      </c>
      <c r="N1346" s="7" t="s">
        <v>2950</v>
      </c>
      <c r="O1346" s="8">
        <v>1248</v>
      </c>
      <c r="P1346" s="24">
        <v>5982</v>
      </c>
      <c r="Q1346" s="22">
        <f>IF(COUNTIFS(A$2:A1346,A1346,I$2:I1346,I1346)=1,1,0)</f>
        <v>0</v>
      </c>
      <c r="R1346" s="22">
        <f t="shared" si="20"/>
        <v>2</v>
      </c>
      <c r="S1346" s="33">
        <f>IF(COUNTIF(O$2:O1346,O1346)=1,R1346,0)/2.5</f>
        <v>0</v>
      </c>
    </row>
    <row r="1347" spans="1:19" ht="18" customHeight="1" x14ac:dyDescent="0.25">
      <c r="A1347" s="7" t="s">
        <v>37</v>
      </c>
      <c r="B1347" s="8">
        <v>1</v>
      </c>
      <c r="C1347" s="9">
        <v>470</v>
      </c>
      <c r="D1347" s="29">
        <f>C1347+IF(INDEX('Справочник по %'!B:B,(MATCH(A1347,'Справочник по %'!A:A,0)))="кол-во",B1347*INDEX('Справочник по %'!C:C,(MATCH(A1347,'Справочник по %'!A:A,0))),ОТЧЕТ!C1347*INDEX('Справочник по %'!C:C,(MATCH(A1347,'Справочник по %'!A:A,0))))/100</f>
        <v>470.2</v>
      </c>
      <c r="E1347" s="29">
        <f>IF(ОТЧЕТ!A1347="SKU3",C1347+ОТЧЕТ!C1347*0.2,C1347+ОТЧЕТ!C1347*0.15)</f>
        <v>540.5</v>
      </c>
      <c r="F1347" s="7" t="s">
        <v>2951</v>
      </c>
      <c r="G1347" s="7">
        <v>2543023195</v>
      </c>
      <c r="H1347" s="20" t="s">
        <v>69</v>
      </c>
      <c r="I1347" s="22" t="str">
        <f>INDEX('Справочник Сети'!B:B,(MATCH(G1347,'Справочник Сети'!C:C,0)))</f>
        <v>36,6</v>
      </c>
      <c r="J1347" s="7" t="s">
        <v>46</v>
      </c>
      <c r="K1347" s="7" t="s">
        <v>1875</v>
      </c>
      <c r="L1347" s="7" t="s">
        <v>46</v>
      </c>
      <c r="M1347" s="31">
        <v>45726</v>
      </c>
      <c r="N1347" s="7" t="s">
        <v>2952</v>
      </c>
      <c r="O1347" s="8">
        <v>951</v>
      </c>
      <c r="P1347" s="24">
        <v>5985</v>
      </c>
      <c r="Q1347" s="22">
        <f>IF(COUNTIFS(A$2:A1347,A1347,I$2:I1347,I1347)=1,1,0)</f>
        <v>0</v>
      </c>
      <c r="R1347" s="22">
        <f t="shared" ref="R1347:R1410" si="21">COUNTIF(O:O,O1347)</f>
        <v>3</v>
      </c>
      <c r="S1347" s="33">
        <f>IF(COUNTIF(O$2:O1347,O1347)=1,R1347,0)/2.5</f>
        <v>0</v>
      </c>
    </row>
    <row r="1348" spans="1:19" ht="18" customHeight="1" x14ac:dyDescent="0.25">
      <c r="A1348" s="7" t="s">
        <v>43</v>
      </c>
      <c r="B1348" s="8">
        <v>1</v>
      </c>
      <c r="C1348" s="9">
        <v>471</v>
      </c>
      <c r="D1348" s="29">
        <f>C1348+IF(INDEX('Справочник по %'!B:B,(MATCH(A1348,'Справочник по %'!A:A,0)))="кол-во",B1348*INDEX('Справочник по %'!C:C,(MATCH(A1348,'Справочник по %'!A:A,0))),ОТЧЕТ!C1348*INDEX('Справочник по %'!C:C,(MATCH(A1348,'Справочник по %'!A:A,0))))/100</f>
        <v>518.1</v>
      </c>
      <c r="E1348" s="29">
        <f>IF(ОТЧЕТ!A1348="SKU3",C1348+ОТЧЕТ!C1348*0.2,C1348+ОТЧЕТ!C1348*0.15)</f>
        <v>541.65</v>
      </c>
      <c r="F1348" s="7" t="s">
        <v>2953</v>
      </c>
      <c r="G1348" s="7">
        <v>3123207226</v>
      </c>
      <c r="H1348" s="20" t="s">
        <v>2954</v>
      </c>
      <c r="I1348" s="22">
        <f>INDEX('Справочник Сети'!B:B,(MATCH(G1348,'Справочник Сети'!C:C,0)))</f>
        <v>0</v>
      </c>
      <c r="J1348" s="7" t="s">
        <v>193</v>
      </c>
      <c r="K1348" s="7" t="s">
        <v>925</v>
      </c>
      <c r="L1348" s="7" t="s">
        <v>193</v>
      </c>
      <c r="M1348" s="31">
        <v>45718</v>
      </c>
      <c r="N1348" s="7" t="s">
        <v>2955</v>
      </c>
      <c r="O1348" s="8">
        <v>234</v>
      </c>
      <c r="P1348" s="24">
        <v>5990</v>
      </c>
      <c r="Q1348" s="22">
        <f>IF(COUNTIFS(A$2:A1348,A1348,I$2:I1348,I1348)=1,1,0)</f>
        <v>0</v>
      </c>
      <c r="R1348" s="22">
        <f t="shared" si="21"/>
        <v>1</v>
      </c>
      <c r="S1348" s="33">
        <f>IF(COUNTIF(O$2:O1348,O1348)=1,R1348,0)/2.5</f>
        <v>0.4</v>
      </c>
    </row>
    <row r="1349" spans="1:19" ht="18" customHeight="1" x14ac:dyDescent="0.25">
      <c r="A1349" s="7" t="s">
        <v>43</v>
      </c>
      <c r="B1349" s="8">
        <v>1</v>
      </c>
      <c r="C1349" s="9">
        <v>399</v>
      </c>
      <c r="D1349" s="29">
        <f>C1349+IF(INDEX('Справочник по %'!B:B,(MATCH(A1349,'Справочник по %'!A:A,0)))="кол-во",B1349*INDEX('Справочник по %'!C:C,(MATCH(A1349,'Справочник по %'!A:A,0))),ОТЧЕТ!C1349*INDEX('Справочник по %'!C:C,(MATCH(A1349,'Справочник по %'!A:A,0))))/100</f>
        <v>438.9</v>
      </c>
      <c r="E1349" s="29">
        <f>IF(ОТЧЕТ!A1349="SKU3",C1349+ОТЧЕТ!C1349*0.2,C1349+ОТЧЕТ!C1349*0.15)</f>
        <v>458.85</v>
      </c>
      <c r="F1349" s="7" t="s">
        <v>2956</v>
      </c>
      <c r="G1349" s="7">
        <v>2310212231</v>
      </c>
      <c r="H1349" s="20" t="s">
        <v>69</v>
      </c>
      <c r="I1349" s="22" t="str">
        <f>INDEX('Справочник Сети'!B:B,(MATCH(G1349,'Справочник Сети'!C:C,0)))</f>
        <v>Нео-фарм</v>
      </c>
      <c r="J1349" s="7" t="s">
        <v>70</v>
      </c>
      <c r="K1349" s="7" t="s">
        <v>2957</v>
      </c>
      <c r="L1349" s="7" t="s">
        <v>70</v>
      </c>
      <c r="M1349" s="31">
        <v>45728</v>
      </c>
      <c r="N1349" s="7" t="s">
        <v>2958</v>
      </c>
      <c r="O1349" s="8">
        <v>1622</v>
      </c>
      <c r="P1349" s="24">
        <v>5992</v>
      </c>
      <c r="Q1349" s="22">
        <f>IF(COUNTIFS(A$2:A1349,A1349,I$2:I1349,I1349)=1,1,0)</f>
        <v>0</v>
      </c>
      <c r="R1349" s="22">
        <f t="shared" si="21"/>
        <v>2</v>
      </c>
      <c r="S1349" s="33">
        <f>IF(COUNTIF(O$2:O1349,O1349)=1,R1349,0)/2.5</f>
        <v>0</v>
      </c>
    </row>
    <row r="1350" spans="1:19" ht="18" customHeight="1" x14ac:dyDescent="0.25">
      <c r="A1350" s="7" t="s">
        <v>43</v>
      </c>
      <c r="B1350" s="8">
        <v>1</v>
      </c>
      <c r="C1350" s="9">
        <v>407</v>
      </c>
      <c r="D1350" s="29">
        <f>C1350+IF(INDEX('Справочник по %'!B:B,(MATCH(A1350,'Справочник по %'!A:A,0)))="кол-во",B1350*INDEX('Справочник по %'!C:C,(MATCH(A1350,'Справочник по %'!A:A,0))),ОТЧЕТ!C1350*INDEX('Справочник по %'!C:C,(MATCH(A1350,'Справочник по %'!A:A,0))))/100</f>
        <v>447.7</v>
      </c>
      <c r="E1350" s="29">
        <f>IF(ОТЧЕТ!A1350="SKU3",C1350+ОТЧЕТ!C1350*0.2,C1350+ОТЧЕТ!C1350*0.15)</f>
        <v>468.05</v>
      </c>
      <c r="F1350" s="7" t="s">
        <v>2956</v>
      </c>
      <c r="G1350" s="7">
        <v>6166045261</v>
      </c>
      <c r="H1350" s="20" t="s">
        <v>729</v>
      </c>
      <c r="I1350" s="22" t="str">
        <f>INDEX('Справочник Сети'!B:B,(MATCH(G1350,'Справочник Сети'!C:C,0)))</f>
        <v>Столички</v>
      </c>
      <c r="J1350" s="7" t="s">
        <v>203</v>
      </c>
      <c r="K1350" s="7" t="s">
        <v>2957</v>
      </c>
      <c r="L1350" s="7" t="s">
        <v>520</v>
      </c>
      <c r="M1350" s="31">
        <v>45697</v>
      </c>
      <c r="N1350" s="7" t="s">
        <v>2959</v>
      </c>
      <c r="O1350" s="8">
        <v>3800</v>
      </c>
      <c r="P1350" s="24">
        <v>5994</v>
      </c>
      <c r="Q1350" s="22">
        <f>IF(COUNTIFS(A$2:A1350,A1350,I$2:I1350,I1350)=1,1,0)</f>
        <v>0</v>
      </c>
      <c r="R1350" s="22">
        <f t="shared" si="21"/>
        <v>2</v>
      </c>
      <c r="S1350" s="33">
        <f>IF(COUNTIF(O$2:O1350,O1350)=1,R1350,0)/2.5</f>
        <v>0</v>
      </c>
    </row>
    <row r="1351" spans="1:19" ht="18" customHeight="1" x14ac:dyDescent="0.25">
      <c r="A1351" s="7" t="s">
        <v>43</v>
      </c>
      <c r="B1351" s="8">
        <v>1</v>
      </c>
      <c r="C1351" s="9">
        <v>379</v>
      </c>
      <c r="D1351" s="29">
        <f>C1351+IF(INDEX('Справочник по %'!B:B,(MATCH(A1351,'Справочник по %'!A:A,0)))="кол-во",B1351*INDEX('Справочник по %'!C:C,(MATCH(A1351,'Справочник по %'!A:A,0))),ОТЧЕТ!C1351*INDEX('Справочник по %'!C:C,(MATCH(A1351,'Справочник по %'!A:A,0))))/100</f>
        <v>416.9</v>
      </c>
      <c r="E1351" s="29">
        <f>IF(ОТЧЕТ!A1351="SKU3",C1351+ОТЧЕТ!C1351*0.2,C1351+ОТЧЕТ!C1351*0.15)</f>
        <v>435.85</v>
      </c>
      <c r="F1351" s="7" t="s">
        <v>2956</v>
      </c>
      <c r="G1351" s="7">
        <v>7728339546</v>
      </c>
      <c r="H1351" s="20" t="s">
        <v>2960</v>
      </c>
      <c r="I1351" s="22" t="str">
        <f>INDEX('Справочник Сети'!B:B,(MATCH(G1351,'Справочник Сети'!C:C,0)))</f>
        <v>Планета здоровья</v>
      </c>
      <c r="J1351" s="7" t="s">
        <v>142</v>
      </c>
      <c r="K1351" s="7" t="s">
        <v>825</v>
      </c>
      <c r="L1351" s="7" t="s">
        <v>142</v>
      </c>
      <c r="M1351" s="31">
        <v>45674</v>
      </c>
      <c r="N1351" s="7" t="s">
        <v>2961</v>
      </c>
      <c r="O1351" s="8">
        <v>3271</v>
      </c>
      <c r="P1351" s="24">
        <v>5997</v>
      </c>
      <c r="Q1351" s="22">
        <f>IF(COUNTIFS(A$2:A1351,A1351,I$2:I1351,I1351)=1,1,0)</f>
        <v>0</v>
      </c>
      <c r="R1351" s="22">
        <f t="shared" si="21"/>
        <v>4</v>
      </c>
      <c r="S1351" s="33">
        <f>IF(COUNTIF(O$2:O1351,O1351)=1,R1351,0)/2.5</f>
        <v>0</v>
      </c>
    </row>
    <row r="1352" spans="1:19" ht="18" customHeight="1" x14ac:dyDescent="0.25">
      <c r="A1352" s="7" t="s">
        <v>43</v>
      </c>
      <c r="B1352" s="8">
        <v>1</v>
      </c>
      <c r="C1352" s="9">
        <v>452</v>
      </c>
      <c r="D1352" s="29">
        <f>C1352+IF(INDEX('Справочник по %'!B:B,(MATCH(A1352,'Справочник по %'!A:A,0)))="кол-во",B1352*INDEX('Справочник по %'!C:C,(MATCH(A1352,'Справочник по %'!A:A,0))),ОТЧЕТ!C1352*INDEX('Справочник по %'!C:C,(MATCH(A1352,'Справочник по %'!A:A,0))))/100</f>
        <v>497.2</v>
      </c>
      <c r="E1352" s="29">
        <f>IF(ОТЧЕТ!A1352="SKU3",C1352+ОТЧЕТ!C1352*0.2,C1352+ОТЧЕТ!C1352*0.15)</f>
        <v>519.79999999999995</v>
      </c>
      <c r="F1352" s="7" t="s">
        <v>2956</v>
      </c>
      <c r="G1352" s="7">
        <v>326537584</v>
      </c>
      <c r="H1352" s="20" t="s">
        <v>2962</v>
      </c>
      <c r="I1352" s="22" t="str">
        <f>INDEX('Справочник Сети'!B:B,(MATCH(G1352,'Справочник Сети'!C:C,0)))</f>
        <v>Планета здоровья</v>
      </c>
      <c r="J1352" s="7" t="s">
        <v>362</v>
      </c>
      <c r="K1352" s="7" t="s">
        <v>2254</v>
      </c>
      <c r="L1352" s="7" t="s">
        <v>362</v>
      </c>
      <c r="M1352" s="31">
        <v>45732</v>
      </c>
      <c r="N1352" s="7" t="s">
        <v>2963</v>
      </c>
      <c r="O1352" s="8">
        <v>3078</v>
      </c>
      <c r="P1352" s="24">
        <v>5999</v>
      </c>
      <c r="Q1352" s="22">
        <f>IF(COUNTIFS(A$2:A1352,A1352,I$2:I1352,I1352)=1,1,0)</f>
        <v>0</v>
      </c>
      <c r="R1352" s="22">
        <f t="shared" si="21"/>
        <v>2</v>
      </c>
      <c r="S1352" s="33">
        <f>IF(COUNTIF(O$2:O1352,O1352)=1,R1352,0)/2.5</f>
        <v>0.8</v>
      </c>
    </row>
    <row r="1353" spans="1:19" ht="18" customHeight="1" x14ac:dyDescent="0.25">
      <c r="A1353" s="7" t="s">
        <v>37</v>
      </c>
      <c r="B1353" s="8">
        <v>1</v>
      </c>
      <c r="C1353" s="9">
        <v>543.89</v>
      </c>
      <c r="D1353" s="29">
        <f>C1353+IF(INDEX('Справочник по %'!B:B,(MATCH(A1353,'Справочник по %'!A:A,0)))="кол-во",B1353*INDEX('Справочник по %'!C:C,(MATCH(A1353,'Справочник по %'!A:A,0))),ОТЧЕТ!C1353*INDEX('Справочник по %'!C:C,(MATCH(A1353,'Справочник по %'!A:A,0))))/100</f>
        <v>544.09</v>
      </c>
      <c r="E1353" s="29">
        <f>IF(ОТЧЕТ!A1353="SKU3",C1353+ОТЧЕТ!C1353*0.2,C1353+ОТЧЕТ!C1353*0.15)</f>
        <v>625.47349999999994</v>
      </c>
      <c r="F1353" s="7" t="s">
        <v>2964</v>
      </c>
      <c r="G1353" s="7">
        <v>7731334851</v>
      </c>
      <c r="H1353" s="20" t="s">
        <v>1019</v>
      </c>
      <c r="I1353" s="22" t="str">
        <f>INDEX('Справочник Сети'!B:B,(MATCH(G1353,'Справочник Сети'!C:C,0)))</f>
        <v>Планета здоровья</v>
      </c>
      <c r="J1353" s="7" t="s">
        <v>142</v>
      </c>
      <c r="K1353" s="7" t="s">
        <v>788</v>
      </c>
      <c r="L1353" s="7" t="s">
        <v>142</v>
      </c>
      <c r="M1353" s="31">
        <v>45674</v>
      </c>
      <c r="N1353" s="7" t="s">
        <v>2965</v>
      </c>
      <c r="O1353" s="8">
        <v>2442</v>
      </c>
      <c r="P1353" s="24">
        <v>6001</v>
      </c>
      <c r="Q1353" s="22">
        <f>IF(COUNTIFS(A$2:A1353,A1353,I$2:I1353,I1353)=1,1,0)</f>
        <v>0</v>
      </c>
      <c r="R1353" s="22">
        <f t="shared" si="21"/>
        <v>2</v>
      </c>
      <c r="S1353" s="33">
        <f>IF(COUNTIF(O$2:O1353,O1353)=1,R1353,0)/2.5</f>
        <v>0</v>
      </c>
    </row>
    <row r="1354" spans="1:19" ht="18" customHeight="1" x14ac:dyDescent="0.25">
      <c r="A1354" s="7" t="s">
        <v>43</v>
      </c>
      <c r="B1354" s="8">
        <v>1</v>
      </c>
      <c r="C1354" s="9">
        <v>404</v>
      </c>
      <c r="D1354" s="29">
        <f>C1354+IF(INDEX('Справочник по %'!B:B,(MATCH(A1354,'Справочник по %'!A:A,0)))="кол-во",B1354*INDEX('Справочник по %'!C:C,(MATCH(A1354,'Справочник по %'!A:A,0))),ОТЧЕТ!C1354*INDEX('Справочник по %'!C:C,(MATCH(A1354,'Справочник по %'!A:A,0))))/100</f>
        <v>444.4</v>
      </c>
      <c r="E1354" s="29">
        <f>IF(ОТЧЕТ!A1354="SKU3",C1354+ОТЧЕТ!C1354*0.2,C1354+ОТЧЕТ!C1354*0.15)</f>
        <v>464.6</v>
      </c>
      <c r="F1354" s="7" t="s">
        <v>2966</v>
      </c>
      <c r="G1354" s="7">
        <v>2466189073</v>
      </c>
      <c r="H1354" s="20" t="s">
        <v>2967</v>
      </c>
      <c r="I1354" s="22" t="str">
        <f>INDEX('Справочник Сети'!B:B,(MATCH(G1354,'Справочник Сети'!C:C,0)))</f>
        <v>Нео-фарм</v>
      </c>
      <c r="J1354" s="7" t="s">
        <v>96</v>
      </c>
      <c r="K1354" s="7" t="s">
        <v>244</v>
      </c>
      <c r="L1354" s="7" t="s">
        <v>96</v>
      </c>
      <c r="M1354" s="31">
        <v>45727</v>
      </c>
      <c r="N1354" s="7" t="s">
        <v>2968</v>
      </c>
      <c r="O1354" s="8">
        <v>3316</v>
      </c>
      <c r="P1354" s="24">
        <v>6003</v>
      </c>
      <c r="Q1354" s="22">
        <f>IF(COUNTIFS(A$2:A1354,A1354,I$2:I1354,I1354)=1,1,0)</f>
        <v>0</v>
      </c>
      <c r="R1354" s="22">
        <f t="shared" si="21"/>
        <v>1</v>
      </c>
      <c r="S1354" s="33">
        <f>IF(COUNTIF(O$2:O1354,O1354)=1,R1354,0)/2.5</f>
        <v>0.4</v>
      </c>
    </row>
    <row r="1355" spans="1:19" ht="18" customHeight="1" x14ac:dyDescent="0.25">
      <c r="A1355" s="7" t="s">
        <v>37</v>
      </c>
      <c r="B1355" s="8">
        <v>1</v>
      </c>
      <c r="C1355" s="9">
        <v>629.9</v>
      </c>
      <c r="D1355" s="29">
        <f>C1355+IF(INDEX('Справочник по %'!B:B,(MATCH(A1355,'Справочник по %'!A:A,0)))="кол-во",B1355*INDEX('Справочник по %'!C:C,(MATCH(A1355,'Справочник по %'!A:A,0))),ОТЧЕТ!C1355*INDEX('Справочник по %'!C:C,(MATCH(A1355,'Справочник по %'!A:A,0))))/100</f>
        <v>630.1</v>
      </c>
      <c r="E1355" s="29">
        <f>IF(ОТЧЕТ!A1355="SKU3",C1355+ОТЧЕТ!C1355*0.2,C1355+ОТЧЕТ!C1355*0.15)</f>
        <v>724.38499999999999</v>
      </c>
      <c r="F1355" s="7" t="s">
        <v>2966</v>
      </c>
      <c r="G1355" s="7">
        <v>5406712079</v>
      </c>
      <c r="H1355" s="20" t="s">
        <v>1250</v>
      </c>
      <c r="I1355" s="22" t="str">
        <f>INDEX('Справочник Сети'!B:B,(MATCH(G1355,'Справочник Сети'!C:C,0)))</f>
        <v>Ригла</v>
      </c>
      <c r="J1355" s="7" t="s">
        <v>255</v>
      </c>
      <c r="K1355" s="7" t="s">
        <v>1388</v>
      </c>
      <c r="L1355" s="7" t="s">
        <v>92</v>
      </c>
      <c r="M1355" s="31">
        <v>45714</v>
      </c>
      <c r="N1355" s="7" t="s">
        <v>2969</v>
      </c>
      <c r="O1355" s="8">
        <v>2694</v>
      </c>
      <c r="P1355" s="24">
        <v>6004</v>
      </c>
      <c r="Q1355" s="22">
        <f>IF(COUNTIFS(A$2:A1355,A1355,I$2:I1355,I1355)=1,1,0)</f>
        <v>0</v>
      </c>
      <c r="R1355" s="22">
        <f t="shared" si="21"/>
        <v>3</v>
      </c>
      <c r="S1355" s="33">
        <f>IF(COUNTIF(O$2:O1355,O1355)=1,R1355,0)/2.5</f>
        <v>0</v>
      </c>
    </row>
    <row r="1356" spans="1:19" ht="18" customHeight="1" x14ac:dyDescent="0.25">
      <c r="A1356" s="7" t="s">
        <v>43</v>
      </c>
      <c r="B1356" s="8">
        <v>1</v>
      </c>
      <c r="C1356" s="9">
        <v>400</v>
      </c>
      <c r="D1356" s="29">
        <f>C1356+IF(INDEX('Справочник по %'!B:B,(MATCH(A1356,'Справочник по %'!A:A,0)))="кол-во",B1356*INDEX('Справочник по %'!C:C,(MATCH(A1356,'Справочник по %'!A:A,0))),ОТЧЕТ!C1356*INDEX('Справочник по %'!C:C,(MATCH(A1356,'Справочник по %'!A:A,0))))/100</f>
        <v>440</v>
      </c>
      <c r="E1356" s="29">
        <f>IF(ОТЧЕТ!A1356="SKU3",C1356+ОТЧЕТ!C1356*0.2,C1356+ОТЧЕТ!C1356*0.15)</f>
        <v>460</v>
      </c>
      <c r="F1356" s="7" t="s">
        <v>2966</v>
      </c>
      <c r="G1356" s="7">
        <v>5504206024</v>
      </c>
      <c r="H1356" s="20" t="s">
        <v>50</v>
      </c>
      <c r="I1356" s="22">
        <f>INDEX('Справочник Сети'!B:B,(MATCH(G1356,'Справочник Сети'!C:C,0)))</f>
        <v>0</v>
      </c>
      <c r="J1356" s="7" t="s">
        <v>255</v>
      </c>
      <c r="K1356" s="7" t="s">
        <v>1864</v>
      </c>
      <c r="L1356" s="7" t="s">
        <v>255</v>
      </c>
      <c r="M1356" s="31">
        <v>45713</v>
      </c>
      <c r="N1356" s="7" t="s">
        <v>2970</v>
      </c>
      <c r="O1356" s="8">
        <v>1974</v>
      </c>
      <c r="P1356" s="24">
        <v>6006</v>
      </c>
      <c r="Q1356" s="22">
        <f>IF(COUNTIFS(A$2:A1356,A1356,I$2:I1356,I1356)=1,1,0)</f>
        <v>0</v>
      </c>
      <c r="R1356" s="22">
        <f t="shared" si="21"/>
        <v>1</v>
      </c>
      <c r="S1356" s="33">
        <f>IF(COUNTIF(O$2:O1356,O1356)=1,R1356,0)/2.5</f>
        <v>0.4</v>
      </c>
    </row>
    <row r="1357" spans="1:19" ht="18" customHeight="1" x14ac:dyDescent="0.25">
      <c r="A1357" s="7" t="s">
        <v>43</v>
      </c>
      <c r="B1357" s="8">
        <v>1</v>
      </c>
      <c r="C1357" s="9">
        <v>360</v>
      </c>
      <c r="D1357" s="29">
        <f>C1357+IF(INDEX('Справочник по %'!B:B,(MATCH(A1357,'Справочник по %'!A:A,0)))="кол-во",B1357*INDEX('Справочник по %'!C:C,(MATCH(A1357,'Справочник по %'!A:A,0))),ОТЧЕТ!C1357*INDEX('Справочник по %'!C:C,(MATCH(A1357,'Справочник по %'!A:A,0))))/100</f>
        <v>396</v>
      </c>
      <c r="E1357" s="29">
        <f>IF(ОТЧЕТ!A1357="SKU3",C1357+ОТЧЕТ!C1357*0.2,C1357+ОТЧЕТ!C1357*0.15)</f>
        <v>414</v>
      </c>
      <c r="F1357" s="7" t="s">
        <v>2971</v>
      </c>
      <c r="G1357" s="7">
        <v>7020028423</v>
      </c>
      <c r="H1357" s="20" t="s">
        <v>2972</v>
      </c>
      <c r="I1357" s="22" t="str">
        <f>INDEX('Справочник Сети'!B:B,(MATCH(G1357,'Справочник Сети'!C:C,0)))</f>
        <v>36,6</v>
      </c>
      <c r="J1357" s="7" t="s">
        <v>106</v>
      </c>
      <c r="K1357" s="7" t="s">
        <v>647</v>
      </c>
      <c r="L1357" s="7" t="s">
        <v>106</v>
      </c>
      <c r="M1357" s="31">
        <v>45694</v>
      </c>
      <c r="N1357" s="7" t="s">
        <v>2973</v>
      </c>
      <c r="O1357" s="8">
        <v>2239</v>
      </c>
      <c r="P1357" s="24">
        <v>6013</v>
      </c>
      <c r="Q1357" s="22">
        <f>IF(COUNTIFS(A$2:A1357,A1357,I$2:I1357,I1357)=1,1,0)</f>
        <v>0</v>
      </c>
      <c r="R1357" s="22">
        <f t="shared" si="21"/>
        <v>1</v>
      </c>
      <c r="S1357" s="33">
        <f>IF(COUNTIF(O$2:O1357,O1357)=1,R1357,0)/2.5</f>
        <v>0.4</v>
      </c>
    </row>
    <row r="1358" spans="1:19" ht="18" customHeight="1" x14ac:dyDescent="0.25">
      <c r="A1358" s="7" t="s">
        <v>43</v>
      </c>
      <c r="B1358" s="8">
        <v>1</v>
      </c>
      <c r="C1358" s="9">
        <v>420</v>
      </c>
      <c r="D1358" s="29">
        <f>C1358+IF(INDEX('Справочник по %'!B:B,(MATCH(A1358,'Справочник по %'!A:A,0)))="кол-во",B1358*INDEX('Справочник по %'!C:C,(MATCH(A1358,'Справочник по %'!A:A,0))),ОТЧЕТ!C1358*INDEX('Справочник по %'!C:C,(MATCH(A1358,'Справочник по %'!A:A,0))))/100</f>
        <v>462</v>
      </c>
      <c r="E1358" s="29">
        <f>IF(ОТЧЕТ!A1358="SKU3",C1358+ОТЧЕТ!C1358*0.2,C1358+ОТЧЕТ!C1358*0.15)</f>
        <v>483</v>
      </c>
      <c r="F1358" s="7" t="s">
        <v>2971</v>
      </c>
      <c r="G1358" s="7">
        <v>4632054054</v>
      </c>
      <c r="H1358" s="20" t="s">
        <v>1847</v>
      </c>
      <c r="I1358" s="22" t="str">
        <f>INDEX('Справочник Сети'!B:B,(MATCH(G1358,'Справочник Сети'!C:C,0)))</f>
        <v>Ригла</v>
      </c>
      <c r="J1358" s="7" t="s">
        <v>155</v>
      </c>
      <c r="K1358" s="7" t="s">
        <v>62</v>
      </c>
      <c r="L1358" s="7" t="s">
        <v>155</v>
      </c>
      <c r="M1358" s="31">
        <v>45716</v>
      </c>
      <c r="N1358" s="7" t="s">
        <v>2974</v>
      </c>
      <c r="O1358" s="8">
        <v>1064</v>
      </c>
      <c r="P1358" s="24">
        <v>6015</v>
      </c>
      <c r="Q1358" s="22">
        <f>IF(COUNTIFS(A$2:A1358,A1358,I$2:I1358,I1358)=1,1,0)</f>
        <v>0</v>
      </c>
      <c r="R1358" s="22">
        <f t="shared" si="21"/>
        <v>4</v>
      </c>
      <c r="S1358" s="33">
        <f>IF(COUNTIF(O$2:O1358,O1358)=1,R1358,0)/2.5</f>
        <v>0</v>
      </c>
    </row>
    <row r="1359" spans="1:19" ht="18" customHeight="1" x14ac:dyDescent="0.25">
      <c r="A1359" s="7" t="s">
        <v>43</v>
      </c>
      <c r="B1359" s="8">
        <v>1</v>
      </c>
      <c r="C1359" s="9">
        <v>416.66</v>
      </c>
      <c r="D1359" s="29">
        <f>C1359+IF(INDEX('Справочник по %'!B:B,(MATCH(A1359,'Справочник по %'!A:A,0)))="кол-во",B1359*INDEX('Справочник по %'!C:C,(MATCH(A1359,'Справочник по %'!A:A,0))),ОТЧЕТ!C1359*INDEX('Справочник по %'!C:C,(MATCH(A1359,'Справочник по %'!A:A,0))))/100</f>
        <v>458.32600000000002</v>
      </c>
      <c r="E1359" s="29">
        <f>IF(ОТЧЕТ!A1359="SKU3",C1359+ОТЧЕТ!C1359*0.2,C1359+ОТЧЕТ!C1359*0.15)</f>
        <v>479.15900000000005</v>
      </c>
      <c r="F1359" s="7" t="s">
        <v>2975</v>
      </c>
      <c r="G1359" s="7">
        <v>5504242840</v>
      </c>
      <c r="H1359" s="20" t="s">
        <v>1920</v>
      </c>
      <c r="I1359" s="22">
        <f>INDEX('Справочник Сети'!B:B,(MATCH(G1359,'Справочник Сети'!C:C,0)))</f>
        <v>0</v>
      </c>
      <c r="J1359" s="7" t="s">
        <v>255</v>
      </c>
      <c r="K1359" s="7" t="s">
        <v>678</v>
      </c>
      <c r="L1359" s="7" t="s">
        <v>255</v>
      </c>
      <c r="M1359" s="31">
        <v>45713</v>
      </c>
      <c r="N1359" s="7" t="s">
        <v>2976</v>
      </c>
      <c r="O1359" s="8">
        <v>1930</v>
      </c>
      <c r="P1359" s="24">
        <v>6017</v>
      </c>
      <c r="Q1359" s="22">
        <f>IF(COUNTIFS(A$2:A1359,A1359,I$2:I1359,I1359)=1,1,0)</f>
        <v>0</v>
      </c>
      <c r="R1359" s="22">
        <f t="shared" si="21"/>
        <v>3</v>
      </c>
      <c r="S1359" s="33">
        <f>IF(COUNTIF(O$2:O1359,O1359)=1,R1359,0)/2.5</f>
        <v>0</v>
      </c>
    </row>
    <row r="1360" spans="1:19" ht="18" customHeight="1" x14ac:dyDescent="0.25">
      <c r="A1360" s="7" t="s">
        <v>43</v>
      </c>
      <c r="B1360" s="8">
        <v>1</v>
      </c>
      <c r="C1360" s="9">
        <v>385.9</v>
      </c>
      <c r="D1360" s="29">
        <f>C1360+IF(INDEX('Справочник по %'!B:B,(MATCH(A1360,'Справочник по %'!A:A,0)))="кол-во",B1360*INDEX('Справочник по %'!C:C,(MATCH(A1360,'Справочник по %'!A:A,0))),ОТЧЕТ!C1360*INDEX('Справочник по %'!C:C,(MATCH(A1360,'Справочник по %'!A:A,0))))/100</f>
        <v>424.49</v>
      </c>
      <c r="E1360" s="29">
        <f>IF(ОТЧЕТ!A1360="SKU3",C1360+ОТЧЕТ!C1360*0.2,C1360+ОТЧЕТ!C1360*0.15)</f>
        <v>443.78499999999997</v>
      </c>
      <c r="F1360" s="7" t="s">
        <v>2977</v>
      </c>
      <c r="G1360" s="7">
        <v>3801042576</v>
      </c>
      <c r="H1360" s="20" t="s">
        <v>64</v>
      </c>
      <c r="I1360" s="22" t="str">
        <f>INDEX('Справочник Сети'!B:B,(MATCH(G1360,'Справочник Сети'!C:C,0)))</f>
        <v>Планета здоровья</v>
      </c>
      <c r="J1360" s="7" t="s">
        <v>65</v>
      </c>
      <c r="K1360" s="7" t="s">
        <v>2519</v>
      </c>
      <c r="L1360" s="7" t="s">
        <v>65</v>
      </c>
      <c r="M1360" s="31">
        <v>45717</v>
      </c>
      <c r="N1360" s="7" t="s">
        <v>2978</v>
      </c>
      <c r="O1360" s="8">
        <v>2531</v>
      </c>
      <c r="P1360" s="24">
        <v>6020</v>
      </c>
      <c r="Q1360" s="22">
        <f>IF(COUNTIFS(A$2:A1360,A1360,I$2:I1360,I1360)=1,1,0)</f>
        <v>0</v>
      </c>
      <c r="R1360" s="22">
        <f t="shared" si="21"/>
        <v>5</v>
      </c>
      <c r="S1360" s="33">
        <f>IF(COUNTIF(O$2:O1360,O1360)=1,R1360,0)/2.5</f>
        <v>0</v>
      </c>
    </row>
    <row r="1361" spans="1:19" ht="18" customHeight="1" x14ac:dyDescent="0.25">
      <c r="A1361" s="7" t="s">
        <v>37</v>
      </c>
      <c r="B1361" s="8">
        <v>1</v>
      </c>
      <c r="C1361" s="9">
        <v>658</v>
      </c>
      <c r="D1361" s="29">
        <f>C1361+IF(INDEX('Справочник по %'!B:B,(MATCH(A1361,'Справочник по %'!A:A,0)))="кол-во",B1361*INDEX('Справочник по %'!C:C,(MATCH(A1361,'Справочник по %'!A:A,0))),ОТЧЕТ!C1361*INDEX('Справочник по %'!C:C,(MATCH(A1361,'Справочник по %'!A:A,0))))/100</f>
        <v>658.2</v>
      </c>
      <c r="E1361" s="29">
        <f>IF(ОТЧЕТ!A1361="SKU3",C1361+ОТЧЕТ!C1361*0.2,C1361+ОТЧЕТ!C1361*0.15)</f>
        <v>756.7</v>
      </c>
      <c r="F1361" s="7" t="s">
        <v>2977</v>
      </c>
      <c r="G1361" s="7">
        <v>5610219642</v>
      </c>
      <c r="H1361" s="20" t="s">
        <v>50</v>
      </c>
      <c r="I1361" s="22">
        <f>INDEX('Справочник Сети'!B:B,(MATCH(G1361,'Справочник Сети'!C:C,0)))</f>
        <v>0</v>
      </c>
      <c r="J1361" s="7" t="s">
        <v>255</v>
      </c>
      <c r="K1361" s="7" t="s">
        <v>115</v>
      </c>
      <c r="L1361" s="7" t="s">
        <v>255</v>
      </c>
      <c r="M1361" s="31">
        <v>45713</v>
      </c>
      <c r="N1361" s="7" t="s">
        <v>2979</v>
      </c>
      <c r="O1361" s="8">
        <v>3795</v>
      </c>
      <c r="P1361" s="24">
        <v>6024</v>
      </c>
      <c r="Q1361" s="22">
        <f>IF(COUNTIFS(A$2:A1361,A1361,I$2:I1361,I1361)=1,1,0)</f>
        <v>0</v>
      </c>
      <c r="R1361" s="22">
        <f t="shared" si="21"/>
        <v>2</v>
      </c>
      <c r="S1361" s="33">
        <f>IF(COUNTIF(O$2:O1361,O1361)=1,R1361,0)/2.5</f>
        <v>0</v>
      </c>
    </row>
    <row r="1362" spans="1:19" ht="18" customHeight="1" x14ac:dyDescent="0.25">
      <c r="A1362" s="7" t="s">
        <v>37</v>
      </c>
      <c r="B1362" s="8">
        <v>1</v>
      </c>
      <c r="C1362" s="9">
        <v>550.99</v>
      </c>
      <c r="D1362" s="29">
        <f>C1362+IF(INDEX('Справочник по %'!B:B,(MATCH(A1362,'Справочник по %'!A:A,0)))="кол-во",B1362*INDEX('Справочник по %'!C:C,(MATCH(A1362,'Справочник по %'!A:A,0))),ОТЧЕТ!C1362*INDEX('Справочник по %'!C:C,(MATCH(A1362,'Справочник по %'!A:A,0))))/100</f>
        <v>551.19000000000005</v>
      </c>
      <c r="E1362" s="29">
        <f>IF(ОТЧЕТ!A1362="SKU3",C1362+ОТЧЕТ!C1362*0.2,C1362+ОТЧЕТ!C1362*0.15)</f>
        <v>633.63850000000002</v>
      </c>
      <c r="F1362" s="7" t="s">
        <v>2977</v>
      </c>
      <c r="G1362" s="7">
        <v>5902058784</v>
      </c>
      <c r="H1362" s="20" t="s">
        <v>39</v>
      </c>
      <c r="I1362" s="22" t="str">
        <f>INDEX('Справочник Сети'!B:B,(MATCH(G1362,'Справочник Сети'!C:C,0)))</f>
        <v>Планета здоровья</v>
      </c>
      <c r="J1362" s="7" t="s">
        <v>40</v>
      </c>
      <c r="K1362" s="7" t="s">
        <v>1861</v>
      </c>
      <c r="L1362" s="7" t="s">
        <v>40</v>
      </c>
      <c r="M1362" s="31">
        <v>45712</v>
      </c>
      <c r="N1362" s="7" t="s">
        <v>2980</v>
      </c>
      <c r="O1362" s="8">
        <v>906</v>
      </c>
      <c r="P1362" s="24">
        <v>6025</v>
      </c>
      <c r="Q1362" s="22">
        <f>IF(COUNTIFS(A$2:A1362,A1362,I$2:I1362,I1362)=1,1,0)</f>
        <v>0</v>
      </c>
      <c r="R1362" s="22">
        <f t="shared" si="21"/>
        <v>2</v>
      </c>
      <c r="S1362" s="33">
        <f>IF(COUNTIF(O$2:O1362,O1362)=1,R1362,0)/2.5</f>
        <v>0</v>
      </c>
    </row>
    <row r="1363" spans="1:19" ht="18" customHeight="1" x14ac:dyDescent="0.25">
      <c r="A1363" s="7" t="s">
        <v>43</v>
      </c>
      <c r="B1363" s="8">
        <v>1</v>
      </c>
      <c r="C1363" s="9">
        <v>498</v>
      </c>
      <c r="D1363" s="29">
        <f>C1363+IF(INDEX('Справочник по %'!B:B,(MATCH(A1363,'Справочник по %'!A:A,0)))="кол-во",B1363*INDEX('Справочник по %'!C:C,(MATCH(A1363,'Справочник по %'!A:A,0))),ОТЧЕТ!C1363*INDEX('Справочник по %'!C:C,(MATCH(A1363,'Справочник по %'!A:A,0))))/100</f>
        <v>547.79999999999995</v>
      </c>
      <c r="E1363" s="29">
        <f>IF(ОТЧЕТ!A1363="SKU3",C1363+ОТЧЕТ!C1363*0.2,C1363+ОТЧЕТ!C1363*0.15)</f>
        <v>572.70000000000005</v>
      </c>
      <c r="F1363" s="7" t="s">
        <v>2977</v>
      </c>
      <c r="G1363" s="7">
        <v>2465354616</v>
      </c>
      <c r="H1363" s="20" t="s">
        <v>2928</v>
      </c>
      <c r="I1363" s="22">
        <f>INDEX('Справочник Сети'!B:B,(MATCH(G1363,'Справочник Сети'!C:C,0)))</f>
        <v>0</v>
      </c>
      <c r="J1363" s="7" t="s">
        <v>96</v>
      </c>
      <c r="K1363" s="7" t="s">
        <v>781</v>
      </c>
      <c r="L1363" s="7" t="s">
        <v>96</v>
      </c>
      <c r="M1363" s="31">
        <v>45727</v>
      </c>
      <c r="N1363" s="7" t="s">
        <v>2981</v>
      </c>
      <c r="O1363" s="8">
        <v>173</v>
      </c>
      <c r="P1363" s="24">
        <v>6026</v>
      </c>
      <c r="Q1363" s="22">
        <f>IF(COUNTIFS(A$2:A1363,A1363,I$2:I1363,I1363)=1,1,0)</f>
        <v>0</v>
      </c>
      <c r="R1363" s="22">
        <f t="shared" si="21"/>
        <v>3</v>
      </c>
      <c r="S1363" s="33">
        <f>IF(COUNTIF(O$2:O1363,O1363)=1,R1363,0)/2.5</f>
        <v>0</v>
      </c>
    </row>
    <row r="1364" spans="1:19" ht="18" customHeight="1" x14ac:dyDescent="0.25">
      <c r="A1364" s="7" t="s">
        <v>43</v>
      </c>
      <c r="B1364" s="8">
        <v>1</v>
      </c>
      <c r="C1364" s="9">
        <v>375</v>
      </c>
      <c r="D1364" s="29">
        <f>C1364+IF(INDEX('Справочник по %'!B:B,(MATCH(A1364,'Справочник по %'!A:A,0)))="кол-во",B1364*INDEX('Справочник по %'!C:C,(MATCH(A1364,'Справочник по %'!A:A,0))),ОТЧЕТ!C1364*INDEX('Справочник по %'!C:C,(MATCH(A1364,'Справочник по %'!A:A,0))))/100</f>
        <v>412.5</v>
      </c>
      <c r="E1364" s="29">
        <f>IF(ОТЧЕТ!A1364="SKU3",C1364+ОТЧЕТ!C1364*0.2,C1364+ОТЧЕТ!C1364*0.15)</f>
        <v>431.25</v>
      </c>
      <c r="F1364" s="7" t="s">
        <v>2982</v>
      </c>
      <c r="G1364" s="7">
        <v>2310219170</v>
      </c>
      <c r="H1364" s="20" t="s">
        <v>69</v>
      </c>
      <c r="I1364" s="22" t="str">
        <f>INDEX('Справочник Сети'!B:B,(MATCH(G1364,'Справочник Сети'!C:C,0)))</f>
        <v>Столички</v>
      </c>
      <c r="J1364" s="7" t="s">
        <v>70</v>
      </c>
      <c r="K1364" s="7" t="s">
        <v>1782</v>
      </c>
      <c r="L1364" s="7" t="s">
        <v>70</v>
      </c>
      <c r="M1364" s="31">
        <v>45728</v>
      </c>
      <c r="N1364" s="7" t="s">
        <v>2983</v>
      </c>
      <c r="O1364" s="8">
        <v>1878</v>
      </c>
      <c r="P1364" s="24">
        <v>6036</v>
      </c>
      <c r="Q1364" s="22">
        <f>IF(COUNTIFS(A$2:A1364,A1364,I$2:I1364,I1364)=1,1,0)</f>
        <v>0</v>
      </c>
      <c r="R1364" s="22">
        <f t="shared" si="21"/>
        <v>1</v>
      </c>
      <c r="S1364" s="33">
        <f>IF(COUNTIF(O$2:O1364,O1364)=1,R1364,0)/2.5</f>
        <v>0.4</v>
      </c>
    </row>
    <row r="1365" spans="1:19" ht="18" customHeight="1" x14ac:dyDescent="0.25">
      <c r="A1365" s="7" t="s">
        <v>43</v>
      </c>
      <c r="B1365" s="8">
        <v>1</v>
      </c>
      <c r="C1365" s="9">
        <v>397</v>
      </c>
      <c r="D1365" s="29">
        <f>C1365+IF(INDEX('Справочник по %'!B:B,(MATCH(A1365,'Справочник по %'!A:A,0)))="кол-во",B1365*INDEX('Справочник по %'!C:C,(MATCH(A1365,'Справочник по %'!A:A,0))),ОТЧЕТ!C1365*INDEX('Справочник по %'!C:C,(MATCH(A1365,'Справочник по %'!A:A,0))))/100</f>
        <v>436.7</v>
      </c>
      <c r="E1365" s="29">
        <f>IF(ОТЧЕТ!A1365="SKU3",C1365+ОТЧЕТ!C1365*0.2,C1365+ОТЧЕТ!C1365*0.15)</f>
        <v>456.55</v>
      </c>
      <c r="F1365" s="7" t="s">
        <v>2984</v>
      </c>
      <c r="G1365" s="7">
        <v>7728339546</v>
      </c>
      <c r="H1365" s="20" t="s">
        <v>141</v>
      </c>
      <c r="I1365" s="22" t="str">
        <f>INDEX('Справочник Сети'!B:B,(MATCH(G1365,'Справочник Сети'!C:C,0)))</f>
        <v>Планета здоровья</v>
      </c>
      <c r="J1365" s="7" t="s">
        <v>142</v>
      </c>
      <c r="K1365" s="7" t="s">
        <v>71</v>
      </c>
      <c r="L1365" s="7" t="s">
        <v>142</v>
      </c>
      <c r="M1365" s="31">
        <v>45674</v>
      </c>
      <c r="N1365" s="7" t="s">
        <v>2985</v>
      </c>
      <c r="O1365" s="8">
        <v>1353</v>
      </c>
      <c r="P1365" s="24">
        <v>6039</v>
      </c>
      <c r="Q1365" s="22">
        <f>IF(COUNTIFS(A$2:A1365,A1365,I$2:I1365,I1365)=1,1,0)</f>
        <v>0</v>
      </c>
      <c r="R1365" s="22">
        <f t="shared" si="21"/>
        <v>5</v>
      </c>
      <c r="S1365" s="33">
        <f>IF(COUNTIF(O$2:O1365,O1365)=1,R1365,0)/2.5</f>
        <v>0</v>
      </c>
    </row>
    <row r="1366" spans="1:19" ht="18" customHeight="1" x14ac:dyDescent="0.25">
      <c r="A1366" s="7" t="s">
        <v>43</v>
      </c>
      <c r="B1366" s="8">
        <v>1</v>
      </c>
      <c r="C1366" s="9">
        <v>377</v>
      </c>
      <c r="D1366" s="29">
        <f>C1366+IF(INDEX('Справочник по %'!B:B,(MATCH(A1366,'Справочник по %'!A:A,0)))="кол-во",B1366*INDEX('Справочник по %'!C:C,(MATCH(A1366,'Справочник по %'!A:A,0))),ОТЧЕТ!C1366*INDEX('Справочник по %'!C:C,(MATCH(A1366,'Справочник по %'!A:A,0))))/100</f>
        <v>414.7</v>
      </c>
      <c r="E1366" s="29">
        <f>IF(ОТЧЕТ!A1366="SKU3",C1366+ОТЧЕТ!C1366*0.2,C1366+ОТЧЕТ!C1366*0.15)</f>
        <v>433.55</v>
      </c>
      <c r="F1366" s="7" t="s">
        <v>2986</v>
      </c>
      <c r="G1366" s="7">
        <v>7706795062</v>
      </c>
      <c r="H1366" s="20" t="s">
        <v>405</v>
      </c>
      <c r="I1366" s="22" t="str">
        <f>INDEX('Справочник Сети'!B:B,(MATCH(G1366,'Справочник Сети'!C:C,0)))</f>
        <v>Планета здоровья</v>
      </c>
      <c r="J1366" s="7" t="s">
        <v>87</v>
      </c>
      <c r="K1366" s="7" t="s">
        <v>2130</v>
      </c>
      <c r="L1366" s="7" t="s">
        <v>116</v>
      </c>
      <c r="M1366" s="31">
        <v>45692</v>
      </c>
      <c r="N1366" s="7" t="s">
        <v>2987</v>
      </c>
      <c r="O1366" s="8">
        <v>1071</v>
      </c>
      <c r="P1366" s="24">
        <v>6041</v>
      </c>
      <c r="Q1366" s="22">
        <f>IF(COUNTIFS(A$2:A1366,A1366,I$2:I1366,I1366)=1,1,0)</f>
        <v>0</v>
      </c>
      <c r="R1366" s="22">
        <f t="shared" si="21"/>
        <v>1</v>
      </c>
      <c r="S1366" s="33">
        <f>IF(COUNTIF(O$2:O1366,O1366)=1,R1366,0)/2.5</f>
        <v>0.4</v>
      </c>
    </row>
    <row r="1367" spans="1:19" ht="18" customHeight="1" x14ac:dyDescent="0.25">
      <c r="A1367" s="7" t="s">
        <v>43</v>
      </c>
      <c r="B1367" s="8">
        <v>1</v>
      </c>
      <c r="C1367" s="9">
        <v>440</v>
      </c>
      <c r="D1367" s="29">
        <f>C1367+IF(INDEX('Справочник по %'!B:B,(MATCH(A1367,'Справочник по %'!A:A,0)))="кол-во",B1367*INDEX('Справочник по %'!C:C,(MATCH(A1367,'Справочник по %'!A:A,0))),ОТЧЕТ!C1367*INDEX('Справочник по %'!C:C,(MATCH(A1367,'Справочник по %'!A:A,0))))/100</f>
        <v>484</v>
      </c>
      <c r="E1367" s="29">
        <f>IF(ОТЧЕТ!A1367="SKU3",C1367+ОТЧЕТ!C1367*0.2,C1367+ОТЧЕТ!C1367*0.15)</f>
        <v>506</v>
      </c>
      <c r="F1367" s="7" t="s">
        <v>2988</v>
      </c>
      <c r="G1367" s="7">
        <v>231705666100</v>
      </c>
      <c r="H1367" s="20" t="s">
        <v>50</v>
      </c>
      <c r="I1367" s="22" t="str">
        <f>INDEX('Справочник Сети'!B:B,(MATCH(G1367,'Справочник Сети'!C:C,0)))</f>
        <v>Планета здоровья</v>
      </c>
      <c r="J1367" s="7" t="s">
        <v>74</v>
      </c>
      <c r="K1367" s="7" t="s">
        <v>2989</v>
      </c>
      <c r="L1367" s="7" t="s">
        <v>74</v>
      </c>
      <c r="M1367" s="31">
        <v>45661</v>
      </c>
      <c r="N1367" s="7" t="s">
        <v>2990</v>
      </c>
      <c r="O1367" s="8">
        <v>841</v>
      </c>
      <c r="P1367" s="24">
        <v>6046</v>
      </c>
      <c r="Q1367" s="22">
        <f>IF(COUNTIFS(A$2:A1367,A1367,I$2:I1367,I1367)=1,1,0)</f>
        <v>0</v>
      </c>
      <c r="R1367" s="22">
        <f t="shared" si="21"/>
        <v>4</v>
      </c>
      <c r="S1367" s="33">
        <f>IF(COUNTIF(O$2:O1367,O1367)=1,R1367,0)/2.5</f>
        <v>0</v>
      </c>
    </row>
    <row r="1368" spans="1:19" ht="18" customHeight="1" x14ac:dyDescent="0.25">
      <c r="A1368" s="7" t="s">
        <v>43</v>
      </c>
      <c r="B1368" s="8">
        <v>1</v>
      </c>
      <c r="C1368" s="9">
        <v>398</v>
      </c>
      <c r="D1368" s="29">
        <f>C1368+IF(INDEX('Справочник по %'!B:B,(MATCH(A1368,'Справочник по %'!A:A,0)))="кол-во",B1368*INDEX('Справочник по %'!C:C,(MATCH(A1368,'Справочник по %'!A:A,0))),ОТЧЕТ!C1368*INDEX('Справочник по %'!C:C,(MATCH(A1368,'Справочник по %'!A:A,0))))/100</f>
        <v>437.8</v>
      </c>
      <c r="E1368" s="29">
        <f>IF(ОТЧЕТ!A1368="SKU3",C1368+ОТЧЕТ!C1368*0.2,C1368+ОТЧЕТ!C1368*0.15)</f>
        <v>457.7</v>
      </c>
      <c r="F1368" s="7" t="s">
        <v>2988</v>
      </c>
      <c r="G1368" s="7">
        <v>2461029929</v>
      </c>
      <c r="H1368" s="20" t="s">
        <v>2908</v>
      </c>
      <c r="I1368" s="22">
        <f>INDEX('Справочник Сети'!B:B,(MATCH(G1368,'Справочник Сети'!C:C,0)))</f>
        <v>0</v>
      </c>
      <c r="J1368" s="7" t="s">
        <v>96</v>
      </c>
      <c r="K1368" s="7" t="s">
        <v>1151</v>
      </c>
      <c r="L1368" s="7" t="s">
        <v>96</v>
      </c>
      <c r="M1368" s="31">
        <v>45727</v>
      </c>
      <c r="N1368" s="7" t="s">
        <v>2991</v>
      </c>
      <c r="O1368" s="8">
        <v>2019</v>
      </c>
      <c r="P1368" s="24">
        <v>6047</v>
      </c>
      <c r="Q1368" s="22">
        <f>IF(COUNTIFS(A$2:A1368,A1368,I$2:I1368,I1368)=1,1,0)</f>
        <v>0</v>
      </c>
      <c r="R1368" s="22">
        <f t="shared" si="21"/>
        <v>3</v>
      </c>
      <c r="S1368" s="33">
        <f>IF(COUNTIF(O$2:O1368,O1368)=1,R1368,0)/2.5</f>
        <v>0</v>
      </c>
    </row>
    <row r="1369" spans="1:19" ht="18" customHeight="1" x14ac:dyDescent="0.25">
      <c r="A1369" s="7" t="s">
        <v>43</v>
      </c>
      <c r="B1369" s="8">
        <v>1</v>
      </c>
      <c r="C1369" s="9">
        <v>399</v>
      </c>
      <c r="D1369" s="29">
        <f>C1369+IF(INDEX('Справочник по %'!B:B,(MATCH(A1369,'Справочник по %'!A:A,0)))="кол-во",B1369*INDEX('Справочник по %'!C:C,(MATCH(A1369,'Справочник по %'!A:A,0))),ОТЧЕТ!C1369*INDEX('Справочник по %'!C:C,(MATCH(A1369,'Справочник по %'!A:A,0))))/100</f>
        <v>438.9</v>
      </c>
      <c r="E1369" s="29">
        <f>IF(ОТЧЕТ!A1369="SKU3",C1369+ОТЧЕТ!C1369*0.2,C1369+ОТЧЕТ!C1369*0.15)</f>
        <v>458.85</v>
      </c>
      <c r="F1369" s="7" t="s">
        <v>2988</v>
      </c>
      <c r="G1369" s="7">
        <v>2461029929</v>
      </c>
      <c r="H1369" s="20" t="s">
        <v>2908</v>
      </c>
      <c r="I1369" s="22">
        <f>INDEX('Справочник Сети'!B:B,(MATCH(G1369,'Справочник Сети'!C:C,0)))</f>
        <v>0</v>
      </c>
      <c r="J1369" s="7" t="s">
        <v>96</v>
      </c>
      <c r="K1369" s="7" t="s">
        <v>1151</v>
      </c>
      <c r="L1369" s="7" t="s">
        <v>96</v>
      </c>
      <c r="M1369" s="31">
        <v>45727</v>
      </c>
      <c r="N1369" s="7" t="s">
        <v>2991</v>
      </c>
      <c r="O1369" s="8">
        <v>2019</v>
      </c>
      <c r="P1369" s="24">
        <v>6047</v>
      </c>
      <c r="Q1369" s="22">
        <f>IF(COUNTIFS(A$2:A1369,A1369,I$2:I1369,I1369)=1,1,0)</f>
        <v>0</v>
      </c>
      <c r="R1369" s="22">
        <f t="shared" si="21"/>
        <v>3</v>
      </c>
      <c r="S1369" s="33">
        <f>IF(COUNTIF(O$2:O1369,O1369)=1,R1369,0)/2.5</f>
        <v>0</v>
      </c>
    </row>
    <row r="1370" spans="1:19" ht="18" customHeight="1" x14ac:dyDescent="0.25">
      <c r="A1370" s="7" t="s">
        <v>43</v>
      </c>
      <c r="B1370" s="8">
        <v>1</v>
      </c>
      <c r="C1370" s="9">
        <v>387.9</v>
      </c>
      <c r="D1370" s="29">
        <f>C1370+IF(INDEX('Справочник по %'!B:B,(MATCH(A1370,'Справочник по %'!A:A,0)))="кол-во",B1370*INDEX('Справочник по %'!C:C,(MATCH(A1370,'Справочник по %'!A:A,0))),ОТЧЕТ!C1370*INDEX('Справочник по %'!C:C,(MATCH(A1370,'Справочник по %'!A:A,0))))/100</f>
        <v>426.69</v>
      </c>
      <c r="E1370" s="29">
        <f>IF(ОТЧЕТ!A1370="SKU3",C1370+ОТЧЕТ!C1370*0.2,C1370+ОТЧЕТ!C1370*0.15)</f>
        <v>446.08499999999998</v>
      </c>
      <c r="F1370" s="7" t="s">
        <v>2992</v>
      </c>
      <c r="G1370" s="7">
        <v>2466189073</v>
      </c>
      <c r="H1370" s="20" t="s">
        <v>2993</v>
      </c>
      <c r="I1370" s="22" t="str">
        <f>INDEX('Справочник Сети'!B:B,(MATCH(G1370,'Справочник Сети'!C:C,0)))</f>
        <v>Нео-фарм</v>
      </c>
      <c r="J1370" s="7" t="s">
        <v>96</v>
      </c>
      <c r="K1370" s="7" t="s">
        <v>2261</v>
      </c>
      <c r="L1370" s="7" t="s">
        <v>96</v>
      </c>
      <c r="M1370" s="31">
        <v>45727</v>
      </c>
      <c r="N1370" s="7" t="s">
        <v>2994</v>
      </c>
      <c r="O1370" s="8">
        <v>169</v>
      </c>
      <c r="P1370" s="24">
        <v>6054</v>
      </c>
      <c r="Q1370" s="22">
        <f>IF(COUNTIFS(A$2:A1370,A1370,I$2:I1370,I1370)=1,1,0)</f>
        <v>0</v>
      </c>
      <c r="R1370" s="22">
        <f t="shared" si="21"/>
        <v>1</v>
      </c>
      <c r="S1370" s="33">
        <f>IF(COUNTIF(O$2:O1370,O1370)=1,R1370,0)/2.5</f>
        <v>0.4</v>
      </c>
    </row>
    <row r="1371" spans="1:19" ht="18" customHeight="1" x14ac:dyDescent="0.25">
      <c r="A1371" s="7" t="s">
        <v>37</v>
      </c>
      <c r="B1371" s="8">
        <v>1</v>
      </c>
      <c r="C1371" s="9">
        <v>610</v>
      </c>
      <c r="D1371" s="29">
        <f>C1371+IF(INDEX('Справочник по %'!B:B,(MATCH(A1371,'Справочник по %'!A:A,0)))="кол-во",B1371*INDEX('Справочник по %'!C:C,(MATCH(A1371,'Справочник по %'!A:A,0))),ОТЧЕТ!C1371*INDEX('Справочник по %'!C:C,(MATCH(A1371,'Справочник по %'!A:A,0))))/100</f>
        <v>610.20000000000005</v>
      </c>
      <c r="E1371" s="29">
        <f>IF(ОТЧЕТ!A1371="SKU3",C1371+ОТЧЕТ!C1371*0.2,C1371+ОТЧЕТ!C1371*0.15)</f>
        <v>701.5</v>
      </c>
      <c r="F1371" s="7" t="s">
        <v>2992</v>
      </c>
      <c r="G1371" s="7">
        <v>3628008712</v>
      </c>
      <c r="H1371" s="20" t="s">
        <v>2995</v>
      </c>
      <c r="I1371" s="22">
        <f>INDEX('Справочник Сети'!B:B,(MATCH(G1371,'Справочник Сети'!C:C,0)))</f>
        <v>0</v>
      </c>
      <c r="J1371" s="7" t="s">
        <v>65</v>
      </c>
      <c r="K1371" s="7" t="s">
        <v>55</v>
      </c>
      <c r="L1371" s="7" t="s">
        <v>65</v>
      </c>
      <c r="M1371" s="31">
        <v>45717</v>
      </c>
      <c r="N1371" s="7" t="s">
        <v>2996</v>
      </c>
      <c r="O1371" s="8">
        <v>2207</v>
      </c>
      <c r="P1371" s="24">
        <v>6056</v>
      </c>
      <c r="Q1371" s="22">
        <f>IF(COUNTIFS(A$2:A1371,A1371,I$2:I1371,I1371)=1,1,0)</f>
        <v>0</v>
      </c>
      <c r="R1371" s="22">
        <f t="shared" si="21"/>
        <v>1</v>
      </c>
      <c r="S1371" s="33">
        <f>IF(COUNTIF(O$2:O1371,O1371)=1,R1371,0)/2.5</f>
        <v>0.4</v>
      </c>
    </row>
    <row r="1372" spans="1:19" ht="18" customHeight="1" x14ac:dyDescent="0.25">
      <c r="A1372" s="7" t="s">
        <v>43</v>
      </c>
      <c r="B1372" s="8">
        <v>1</v>
      </c>
      <c r="C1372" s="9">
        <v>451</v>
      </c>
      <c r="D1372" s="29">
        <f>C1372+IF(INDEX('Справочник по %'!B:B,(MATCH(A1372,'Справочник по %'!A:A,0)))="кол-во",B1372*INDEX('Справочник по %'!C:C,(MATCH(A1372,'Справочник по %'!A:A,0))),ОТЧЕТ!C1372*INDEX('Справочник по %'!C:C,(MATCH(A1372,'Справочник по %'!A:A,0))))/100</f>
        <v>496.1</v>
      </c>
      <c r="E1372" s="29">
        <f>IF(ОТЧЕТ!A1372="SKU3",C1372+ОТЧЕТ!C1372*0.2,C1372+ОТЧЕТ!C1372*0.15)</f>
        <v>518.65</v>
      </c>
      <c r="F1372" s="7" t="s">
        <v>2992</v>
      </c>
      <c r="G1372" s="7">
        <v>326537584</v>
      </c>
      <c r="H1372" s="20" t="s">
        <v>50</v>
      </c>
      <c r="I1372" s="22" t="str">
        <f>INDEX('Справочник Сети'!B:B,(MATCH(G1372,'Справочник Сети'!C:C,0)))</f>
        <v>Планета здоровья</v>
      </c>
      <c r="J1372" s="7" t="s">
        <v>362</v>
      </c>
      <c r="K1372" s="7" t="s">
        <v>2997</v>
      </c>
      <c r="L1372" s="7" t="s">
        <v>362</v>
      </c>
      <c r="M1372" s="31">
        <v>45732</v>
      </c>
      <c r="N1372" s="7" t="s">
        <v>2998</v>
      </c>
      <c r="O1372" s="8">
        <v>1702</v>
      </c>
      <c r="P1372" s="24">
        <v>6057</v>
      </c>
      <c r="Q1372" s="22">
        <f>IF(COUNTIFS(A$2:A1372,A1372,I$2:I1372,I1372)=1,1,0)</f>
        <v>0</v>
      </c>
      <c r="R1372" s="22">
        <f t="shared" si="21"/>
        <v>9</v>
      </c>
      <c r="S1372" s="33">
        <f>IF(COUNTIF(O$2:O1372,O1372)=1,R1372,0)/2.5</f>
        <v>0</v>
      </c>
    </row>
    <row r="1373" spans="1:19" ht="18" customHeight="1" x14ac:dyDescent="0.25">
      <c r="A1373" s="7" t="s">
        <v>43</v>
      </c>
      <c r="B1373" s="8">
        <v>1</v>
      </c>
      <c r="C1373" s="9">
        <v>383</v>
      </c>
      <c r="D1373" s="29">
        <f>C1373+IF(INDEX('Справочник по %'!B:B,(MATCH(A1373,'Справочник по %'!A:A,0)))="кол-во",B1373*INDEX('Справочник по %'!C:C,(MATCH(A1373,'Справочник по %'!A:A,0))),ОТЧЕТ!C1373*INDEX('Справочник по %'!C:C,(MATCH(A1373,'Справочник по %'!A:A,0))))/100</f>
        <v>421.3</v>
      </c>
      <c r="E1373" s="29">
        <f>IF(ОТЧЕТ!A1373="SKU3",C1373+ОТЧЕТ!C1373*0.2,C1373+ОТЧЕТ!C1373*0.15)</f>
        <v>440.45</v>
      </c>
      <c r="F1373" s="7" t="s">
        <v>2992</v>
      </c>
      <c r="G1373" s="7">
        <v>7706795062</v>
      </c>
      <c r="H1373" s="20" t="s">
        <v>880</v>
      </c>
      <c r="I1373" s="22" t="str">
        <f>INDEX('Справочник Сети'!B:B,(MATCH(G1373,'Справочник Сети'!C:C,0)))</f>
        <v>Планета здоровья</v>
      </c>
      <c r="J1373" s="7" t="s">
        <v>87</v>
      </c>
      <c r="K1373" s="7" t="s">
        <v>2999</v>
      </c>
      <c r="L1373" s="7" t="s">
        <v>87</v>
      </c>
      <c r="M1373" s="31">
        <v>45691</v>
      </c>
      <c r="N1373" s="7" t="s">
        <v>3000</v>
      </c>
      <c r="O1373" s="8">
        <v>1991</v>
      </c>
      <c r="P1373" s="24">
        <v>6058</v>
      </c>
      <c r="Q1373" s="22">
        <f>IF(COUNTIFS(A$2:A1373,A1373,I$2:I1373,I1373)=1,1,0)</f>
        <v>0</v>
      </c>
      <c r="R1373" s="22">
        <f t="shared" si="21"/>
        <v>2</v>
      </c>
      <c r="S1373" s="33">
        <f>IF(COUNTIF(O$2:O1373,O1373)=1,R1373,0)/2.5</f>
        <v>0.8</v>
      </c>
    </row>
    <row r="1374" spans="1:19" ht="18" customHeight="1" x14ac:dyDescent="0.25">
      <c r="A1374" s="7" t="s">
        <v>43</v>
      </c>
      <c r="B1374" s="8">
        <v>1</v>
      </c>
      <c r="C1374" s="9">
        <v>371</v>
      </c>
      <c r="D1374" s="29">
        <f>C1374+IF(INDEX('Справочник по %'!B:B,(MATCH(A1374,'Справочник по %'!A:A,0)))="кол-во",B1374*INDEX('Справочник по %'!C:C,(MATCH(A1374,'Справочник по %'!A:A,0))),ОТЧЕТ!C1374*INDEX('Справочник по %'!C:C,(MATCH(A1374,'Справочник по %'!A:A,0))))/100</f>
        <v>408.1</v>
      </c>
      <c r="E1374" s="29">
        <f>IF(ОТЧЕТ!A1374="SKU3",C1374+ОТЧЕТ!C1374*0.2,C1374+ОТЧЕТ!C1374*0.15)</f>
        <v>426.65</v>
      </c>
      <c r="F1374" s="7" t="s">
        <v>3001</v>
      </c>
      <c r="G1374" s="7">
        <v>7706795062</v>
      </c>
      <c r="H1374" s="20" t="s">
        <v>880</v>
      </c>
      <c r="I1374" s="22" t="str">
        <f>INDEX('Справочник Сети'!B:B,(MATCH(G1374,'Справочник Сети'!C:C,0)))</f>
        <v>Планета здоровья</v>
      </c>
      <c r="J1374" s="7" t="s">
        <v>87</v>
      </c>
      <c r="K1374" s="7" t="s">
        <v>2999</v>
      </c>
      <c r="L1374" s="7" t="s">
        <v>87</v>
      </c>
      <c r="M1374" s="31">
        <v>45691</v>
      </c>
      <c r="N1374" s="7" t="s">
        <v>3000</v>
      </c>
      <c r="O1374" s="8">
        <v>1991</v>
      </c>
      <c r="P1374" s="24">
        <v>6058</v>
      </c>
      <c r="Q1374" s="22">
        <f>IF(COUNTIFS(A$2:A1374,A1374,I$2:I1374,I1374)=1,1,0)</f>
        <v>0</v>
      </c>
      <c r="R1374" s="22">
        <f t="shared" si="21"/>
        <v>2</v>
      </c>
      <c r="S1374" s="33">
        <f>IF(COUNTIF(O$2:O1374,O1374)=1,R1374,0)/2.5</f>
        <v>0</v>
      </c>
    </row>
    <row r="1375" spans="1:19" ht="18" customHeight="1" x14ac:dyDescent="0.25">
      <c r="A1375" s="7" t="s">
        <v>43</v>
      </c>
      <c r="B1375" s="8">
        <v>1</v>
      </c>
      <c r="C1375" s="9">
        <v>434</v>
      </c>
      <c r="D1375" s="29">
        <f>C1375+IF(INDEX('Справочник по %'!B:B,(MATCH(A1375,'Справочник по %'!A:A,0)))="кол-во",B1375*INDEX('Справочник по %'!C:C,(MATCH(A1375,'Справочник по %'!A:A,0))),ОТЧЕТ!C1375*INDEX('Справочник по %'!C:C,(MATCH(A1375,'Справочник по %'!A:A,0))))/100</f>
        <v>477.4</v>
      </c>
      <c r="E1375" s="29">
        <f>IF(ОТЧЕТ!A1375="SKU3",C1375+ОТЧЕТ!C1375*0.2,C1375+ОТЧЕТ!C1375*0.15)</f>
        <v>499.1</v>
      </c>
      <c r="F1375" s="7" t="s">
        <v>3001</v>
      </c>
      <c r="G1375" s="7">
        <v>7810068296</v>
      </c>
      <c r="H1375" s="20" t="s">
        <v>3002</v>
      </c>
      <c r="I1375" s="22">
        <f>INDEX('Справочник Сети'!B:B,(MATCH(G1375,'Справочник Сети'!C:C,0)))</f>
        <v>0</v>
      </c>
      <c r="J1375" s="7" t="s">
        <v>121</v>
      </c>
      <c r="K1375" s="7" t="s">
        <v>398</v>
      </c>
      <c r="L1375" s="7" t="s">
        <v>353</v>
      </c>
      <c r="M1375" s="31">
        <v>45672</v>
      </c>
      <c r="N1375" s="7" t="s">
        <v>3003</v>
      </c>
      <c r="O1375" s="8">
        <v>3134</v>
      </c>
      <c r="P1375" s="24">
        <v>6059</v>
      </c>
      <c r="Q1375" s="22">
        <f>IF(COUNTIFS(A$2:A1375,A1375,I$2:I1375,I1375)=1,1,0)</f>
        <v>0</v>
      </c>
      <c r="R1375" s="22">
        <f t="shared" si="21"/>
        <v>1</v>
      </c>
      <c r="S1375" s="33">
        <f>IF(COUNTIF(O$2:O1375,O1375)=1,R1375,0)/2.5</f>
        <v>0.4</v>
      </c>
    </row>
    <row r="1376" spans="1:19" ht="18" customHeight="1" x14ac:dyDescent="0.25">
      <c r="A1376" s="7" t="s">
        <v>43</v>
      </c>
      <c r="B1376" s="8">
        <v>1</v>
      </c>
      <c r="C1376" s="9">
        <v>427</v>
      </c>
      <c r="D1376" s="29">
        <f>C1376+IF(INDEX('Справочник по %'!B:B,(MATCH(A1376,'Справочник по %'!A:A,0)))="кол-во",B1376*INDEX('Справочник по %'!C:C,(MATCH(A1376,'Справочник по %'!A:A,0))),ОТЧЕТ!C1376*INDEX('Справочник по %'!C:C,(MATCH(A1376,'Справочник по %'!A:A,0))))/100</f>
        <v>469.7</v>
      </c>
      <c r="E1376" s="29">
        <f>IF(ОТЧЕТ!A1376="SKU3",C1376+ОТЧЕТ!C1376*0.2,C1376+ОТЧЕТ!C1376*0.15)</f>
        <v>491.05</v>
      </c>
      <c r="F1376" s="7" t="s">
        <v>3004</v>
      </c>
      <c r="G1376" s="7">
        <v>6684008694</v>
      </c>
      <c r="H1376" s="20" t="s">
        <v>3005</v>
      </c>
      <c r="I1376" s="22" t="str">
        <f>INDEX('Справочник Сети'!B:B,(MATCH(G1376,'Справочник Сети'!C:C,0)))</f>
        <v>Ригла</v>
      </c>
      <c r="J1376" s="7" t="s">
        <v>106</v>
      </c>
      <c r="K1376" s="7" t="s">
        <v>184</v>
      </c>
      <c r="L1376" s="7" t="s">
        <v>133</v>
      </c>
      <c r="M1376" s="31">
        <v>45695</v>
      </c>
      <c r="N1376" s="7" t="s">
        <v>3006</v>
      </c>
      <c r="O1376" s="8">
        <v>399</v>
      </c>
      <c r="P1376" s="24">
        <v>6065</v>
      </c>
      <c r="Q1376" s="22">
        <f>IF(COUNTIFS(A$2:A1376,A1376,I$2:I1376,I1376)=1,1,0)</f>
        <v>0</v>
      </c>
      <c r="R1376" s="22">
        <f t="shared" si="21"/>
        <v>1</v>
      </c>
      <c r="S1376" s="33">
        <f>IF(COUNTIF(O$2:O1376,O1376)=1,R1376,0)/2.5</f>
        <v>0.4</v>
      </c>
    </row>
    <row r="1377" spans="1:19" ht="18" customHeight="1" x14ac:dyDescent="0.25">
      <c r="A1377" s="7" t="s">
        <v>37</v>
      </c>
      <c r="B1377" s="8">
        <v>1</v>
      </c>
      <c r="C1377" s="9">
        <v>592</v>
      </c>
      <c r="D1377" s="29">
        <f>C1377+IF(INDEX('Справочник по %'!B:B,(MATCH(A1377,'Справочник по %'!A:A,0)))="кол-во",B1377*INDEX('Справочник по %'!C:C,(MATCH(A1377,'Справочник по %'!A:A,0))),ОТЧЕТ!C1377*INDEX('Справочник по %'!C:C,(MATCH(A1377,'Справочник по %'!A:A,0))))/100</f>
        <v>592.20000000000005</v>
      </c>
      <c r="E1377" s="29">
        <f>IF(ОТЧЕТ!A1377="SKU3",C1377+ОТЧЕТ!C1377*0.2,C1377+ОТЧЕТ!C1377*0.15)</f>
        <v>680.8</v>
      </c>
      <c r="F1377" s="7" t="s">
        <v>3007</v>
      </c>
      <c r="G1377" s="7">
        <v>7204146152</v>
      </c>
      <c r="H1377" s="20" t="s">
        <v>103</v>
      </c>
      <c r="I1377" s="22" t="str">
        <f>INDEX('Справочник Сети'!B:B,(MATCH(G1377,'Справочник Сети'!C:C,0)))</f>
        <v>36,6</v>
      </c>
      <c r="J1377" s="7" t="s">
        <v>104</v>
      </c>
      <c r="K1377" s="7" t="s">
        <v>2881</v>
      </c>
      <c r="L1377" s="7" t="s">
        <v>106</v>
      </c>
      <c r="M1377" s="31">
        <v>45694</v>
      </c>
      <c r="N1377" s="7" t="s">
        <v>3008</v>
      </c>
      <c r="O1377" s="8">
        <v>1369</v>
      </c>
      <c r="P1377" s="24">
        <v>6067</v>
      </c>
      <c r="Q1377" s="22">
        <f>IF(COUNTIFS(A$2:A1377,A1377,I$2:I1377,I1377)=1,1,0)</f>
        <v>0</v>
      </c>
      <c r="R1377" s="22">
        <f t="shared" si="21"/>
        <v>6</v>
      </c>
      <c r="S1377" s="33">
        <f>IF(COUNTIF(O$2:O1377,O1377)=1,R1377,0)/2.5</f>
        <v>0</v>
      </c>
    </row>
    <row r="1378" spans="1:19" ht="18" customHeight="1" x14ac:dyDescent="0.25">
      <c r="A1378" s="7" t="s">
        <v>37</v>
      </c>
      <c r="B1378" s="8">
        <v>1</v>
      </c>
      <c r="C1378" s="9">
        <v>595</v>
      </c>
      <c r="D1378" s="29">
        <f>C1378+IF(INDEX('Справочник по %'!B:B,(MATCH(A1378,'Справочник по %'!A:A,0)))="кол-во",B1378*INDEX('Справочник по %'!C:C,(MATCH(A1378,'Справочник по %'!A:A,0))),ОТЧЕТ!C1378*INDEX('Справочник по %'!C:C,(MATCH(A1378,'Справочник по %'!A:A,0))))/100</f>
        <v>595.20000000000005</v>
      </c>
      <c r="E1378" s="29">
        <f>IF(ОТЧЕТ!A1378="SKU3",C1378+ОТЧЕТ!C1378*0.2,C1378+ОТЧЕТ!C1378*0.15)</f>
        <v>684.25</v>
      </c>
      <c r="F1378" s="7" t="s">
        <v>3009</v>
      </c>
      <c r="G1378" s="7">
        <v>5504206024</v>
      </c>
      <c r="H1378" s="20" t="s">
        <v>50</v>
      </c>
      <c r="I1378" s="22">
        <f>INDEX('Справочник Сети'!B:B,(MATCH(G1378,'Справочник Сети'!C:C,0)))</f>
        <v>0</v>
      </c>
      <c r="J1378" s="7" t="s">
        <v>255</v>
      </c>
      <c r="K1378" s="7" t="s">
        <v>3010</v>
      </c>
      <c r="L1378" s="7" t="s">
        <v>255</v>
      </c>
      <c r="M1378" s="31">
        <v>45713</v>
      </c>
      <c r="N1378" s="7" t="s">
        <v>3011</v>
      </c>
      <c r="O1378" s="8">
        <v>1082</v>
      </c>
      <c r="P1378" s="24">
        <v>6073</v>
      </c>
      <c r="Q1378" s="22">
        <f>IF(COUNTIFS(A$2:A1378,A1378,I$2:I1378,I1378)=1,1,0)</f>
        <v>0</v>
      </c>
      <c r="R1378" s="22">
        <f t="shared" si="21"/>
        <v>1</v>
      </c>
      <c r="S1378" s="33">
        <f>IF(COUNTIF(O$2:O1378,O1378)=1,R1378,0)/2.5</f>
        <v>0.4</v>
      </c>
    </row>
    <row r="1379" spans="1:19" ht="18" customHeight="1" x14ac:dyDescent="0.25">
      <c r="A1379" s="7" t="s">
        <v>37</v>
      </c>
      <c r="B1379" s="8">
        <v>1</v>
      </c>
      <c r="C1379" s="9">
        <v>549</v>
      </c>
      <c r="D1379" s="29">
        <f>C1379+IF(INDEX('Справочник по %'!B:B,(MATCH(A1379,'Справочник по %'!A:A,0)))="кол-во",B1379*INDEX('Справочник по %'!C:C,(MATCH(A1379,'Справочник по %'!A:A,0))),ОТЧЕТ!C1379*INDEX('Справочник по %'!C:C,(MATCH(A1379,'Справочник по %'!A:A,0))))/100</f>
        <v>549.20000000000005</v>
      </c>
      <c r="E1379" s="29">
        <f>IF(ОТЧЕТ!A1379="SKU3",C1379+ОТЧЕТ!C1379*0.2,C1379+ОТЧЕТ!C1379*0.15)</f>
        <v>631.35</v>
      </c>
      <c r="F1379" s="7" t="s">
        <v>3009</v>
      </c>
      <c r="G1379" s="7">
        <v>275912643</v>
      </c>
      <c r="H1379" s="20" t="s">
        <v>2290</v>
      </c>
      <c r="I1379" s="22">
        <f>INDEX('Справочник Сети'!B:B,(MATCH(G1379,'Справочник Сети'!C:C,0)))</f>
        <v>0</v>
      </c>
      <c r="J1379" s="7" t="s">
        <v>362</v>
      </c>
      <c r="K1379" s="7" t="s">
        <v>1267</v>
      </c>
      <c r="L1379" s="7" t="s">
        <v>362</v>
      </c>
      <c r="M1379" s="31">
        <v>45732</v>
      </c>
      <c r="N1379" s="7" t="s">
        <v>3012</v>
      </c>
      <c r="O1379" s="8">
        <v>1077</v>
      </c>
      <c r="P1379" s="24">
        <v>6077</v>
      </c>
      <c r="Q1379" s="22">
        <f>IF(COUNTIFS(A$2:A1379,A1379,I$2:I1379,I1379)=1,1,0)</f>
        <v>0</v>
      </c>
      <c r="R1379" s="22">
        <f t="shared" si="21"/>
        <v>6</v>
      </c>
      <c r="S1379" s="33">
        <f>IF(COUNTIF(O$2:O1379,O1379)=1,R1379,0)/2.5</f>
        <v>0</v>
      </c>
    </row>
    <row r="1380" spans="1:19" ht="18" customHeight="1" x14ac:dyDescent="0.25">
      <c r="A1380" s="7" t="s">
        <v>43</v>
      </c>
      <c r="B1380" s="8">
        <v>1</v>
      </c>
      <c r="C1380" s="9">
        <v>377</v>
      </c>
      <c r="D1380" s="29">
        <f>C1380+IF(INDEX('Справочник по %'!B:B,(MATCH(A1380,'Справочник по %'!A:A,0)))="кол-во",B1380*INDEX('Справочник по %'!C:C,(MATCH(A1380,'Справочник по %'!A:A,0))),ОТЧЕТ!C1380*INDEX('Справочник по %'!C:C,(MATCH(A1380,'Справочник по %'!A:A,0))))/100</f>
        <v>414.7</v>
      </c>
      <c r="E1380" s="29">
        <f>IF(ОТЧЕТ!A1380="SKU3",C1380+ОТЧЕТ!C1380*0.2,C1380+ОТЧЕТ!C1380*0.15)</f>
        <v>433.55</v>
      </c>
      <c r="F1380" s="7" t="s">
        <v>3009</v>
      </c>
      <c r="G1380" s="7">
        <v>7706795062</v>
      </c>
      <c r="H1380" s="20" t="s">
        <v>405</v>
      </c>
      <c r="I1380" s="22" t="str">
        <f>INDEX('Справочник Сети'!B:B,(MATCH(G1380,'Справочник Сети'!C:C,0)))</f>
        <v>Планета здоровья</v>
      </c>
      <c r="J1380" s="7" t="s">
        <v>87</v>
      </c>
      <c r="K1380" s="7" t="s">
        <v>122</v>
      </c>
      <c r="L1380" s="7" t="s">
        <v>87</v>
      </c>
      <c r="M1380" s="31">
        <v>45691</v>
      </c>
      <c r="N1380" s="7" t="s">
        <v>3013</v>
      </c>
      <c r="O1380" s="8">
        <v>3488</v>
      </c>
      <c r="P1380" s="24">
        <v>6080</v>
      </c>
      <c r="Q1380" s="22">
        <f>IF(COUNTIFS(A$2:A1380,A1380,I$2:I1380,I1380)=1,1,0)</f>
        <v>0</v>
      </c>
      <c r="R1380" s="22">
        <f t="shared" si="21"/>
        <v>3</v>
      </c>
      <c r="S1380" s="33">
        <f>IF(COUNTIF(O$2:O1380,O1380)=1,R1380,0)/2.5</f>
        <v>0</v>
      </c>
    </row>
    <row r="1381" spans="1:19" ht="18" customHeight="1" x14ac:dyDescent="0.25">
      <c r="A1381" s="7" t="s">
        <v>43</v>
      </c>
      <c r="B1381" s="8">
        <v>1</v>
      </c>
      <c r="C1381" s="9">
        <v>500</v>
      </c>
      <c r="D1381" s="29">
        <f>C1381+IF(INDEX('Справочник по %'!B:B,(MATCH(A1381,'Справочник по %'!A:A,0)))="кол-во",B1381*INDEX('Справочник по %'!C:C,(MATCH(A1381,'Справочник по %'!A:A,0))),ОТЧЕТ!C1381*INDEX('Справочник по %'!C:C,(MATCH(A1381,'Справочник по %'!A:A,0))))/100</f>
        <v>550</v>
      </c>
      <c r="E1381" s="29">
        <f>IF(ОТЧЕТ!A1381="SKU3",C1381+ОТЧЕТ!C1381*0.2,C1381+ОТЧЕТ!C1381*0.15)</f>
        <v>575</v>
      </c>
      <c r="F1381" s="7" t="s">
        <v>3014</v>
      </c>
      <c r="G1381" s="7">
        <v>9204508110</v>
      </c>
      <c r="H1381" s="20" t="s">
        <v>1780</v>
      </c>
      <c r="I1381" s="22">
        <f>INDEX('Справочник Сети'!B:B,(MATCH(G1381,'Справочник Сети'!C:C,0)))</f>
        <v>0</v>
      </c>
      <c r="J1381" s="7" t="s">
        <v>239</v>
      </c>
      <c r="K1381" s="7" t="s">
        <v>3015</v>
      </c>
      <c r="L1381" s="7" t="s">
        <v>239</v>
      </c>
      <c r="M1381" s="31">
        <v>45662</v>
      </c>
      <c r="N1381" s="7" t="s">
        <v>3016</v>
      </c>
      <c r="O1381" s="8">
        <v>1620</v>
      </c>
      <c r="P1381" s="24">
        <v>6086</v>
      </c>
      <c r="Q1381" s="22">
        <f>IF(COUNTIFS(A$2:A1381,A1381,I$2:I1381,I1381)=1,1,0)</f>
        <v>0</v>
      </c>
      <c r="R1381" s="22">
        <f t="shared" si="21"/>
        <v>3</v>
      </c>
      <c r="S1381" s="33">
        <f>IF(COUNTIF(O$2:O1381,O1381)=1,R1381,0)/2.5</f>
        <v>0</v>
      </c>
    </row>
    <row r="1382" spans="1:19" ht="18" customHeight="1" x14ac:dyDescent="0.25">
      <c r="A1382" s="7" t="s">
        <v>43</v>
      </c>
      <c r="B1382" s="8">
        <v>1</v>
      </c>
      <c r="C1382" s="9">
        <v>391.5</v>
      </c>
      <c r="D1382" s="29">
        <f>C1382+IF(INDEX('Справочник по %'!B:B,(MATCH(A1382,'Справочник по %'!A:A,0)))="кол-во",B1382*INDEX('Справочник по %'!C:C,(MATCH(A1382,'Справочник по %'!A:A,0))),ОТЧЕТ!C1382*INDEX('Справочник по %'!C:C,(MATCH(A1382,'Справочник по %'!A:A,0))))/100</f>
        <v>430.65</v>
      </c>
      <c r="E1382" s="29">
        <f>IF(ОТЧЕТ!A1382="SKU3",C1382+ОТЧЕТ!C1382*0.2,C1382+ОТЧЕТ!C1382*0.15)</f>
        <v>450.22500000000002</v>
      </c>
      <c r="F1382" s="7" t="s">
        <v>3017</v>
      </c>
      <c r="G1382" s="7">
        <v>5507102175</v>
      </c>
      <c r="H1382" s="20" t="s">
        <v>50</v>
      </c>
      <c r="I1382" s="22" t="str">
        <f>INDEX('Справочник Сети'!B:B,(MATCH(G1382,'Справочник Сети'!C:C,0)))</f>
        <v>Столички</v>
      </c>
      <c r="J1382" s="7" t="s">
        <v>255</v>
      </c>
      <c r="K1382" s="7" t="s">
        <v>3018</v>
      </c>
      <c r="L1382" s="7" t="s">
        <v>255</v>
      </c>
      <c r="M1382" s="31">
        <v>45713</v>
      </c>
      <c r="N1382" s="7" t="s">
        <v>3019</v>
      </c>
      <c r="O1382" s="8">
        <v>435</v>
      </c>
      <c r="P1382" s="24">
        <v>6091</v>
      </c>
      <c r="Q1382" s="22">
        <f>IF(COUNTIFS(A$2:A1382,A1382,I$2:I1382,I1382)=1,1,0)</f>
        <v>0</v>
      </c>
      <c r="R1382" s="22">
        <f t="shared" si="21"/>
        <v>6</v>
      </c>
      <c r="S1382" s="33">
        <f>IF(COUNTIF(O$2:O1382,O1382)=1,R1382,0)/2.5</f>
        <v>0</v>
      </c>
    </row>
    <row r="1383" spans="1:19" ht="18" customHeight="1" x14ac:dyDescent="0.25">
      <c r="A1383" s="7" t="s">
        <v>43</v>
      </c>
      <c r="B1383" s="8">
        <v>1</v>
      </c>
      <c r="C1383" s="9">
        <v>506</v>
      </c>
      <c r="D1383" s="29">
        <f>C1383+IF(INDEX('Справочник по %'!B:B,(MATCH(A1383,'Справочник по %'!A:A,0)))="кол-во",B1383*INDEX('Справочник по %'!C:C,(MATCH(A1383,'Справочник по %'!A:A,0))),ОТЧЕТ!C1383*INDEX('Справочник по %'!C:C,(MATCH(A1383,'Справочник по %'!A:A,0))))/100</f>
        <v>556.6</v>
      </c>
      <c r="E1383" s="29">
        <f>IF(ОТЧЕТ!A1383="SKU3",C1383+ОТЧЕТ!C1383*0.2,C1383+ОТЧЕТ!C1383*0.15)</f>
        <v>581.9</v>
      </c>
      <c r="F1383" s="7" t="s">
        <v>3020</v>
      </c>
      <c r="G1383" s="7">
        <v>1001054160</v>
      </c>
      <c r="H1383" s="20" t="s">
        <v>50</v>
      </c>
      <c r="I1383" s="22" t="str">
        <f>INDEX('Справочник Сети'!B:B,(MATCH(G1383,'Справочник Сети'!C:C,0)))</f>
        <v>Ригла</v>
      </c>
      <c r="J1383" s="7" t="s">
        <v>362</v>
      </c>
      <c r="K1383" s="7" t="s">
        <v>3021</v>
      </c>
      <c r="L1383" s="7" t="s">
        <v>362</v>
      </c>
      <c r="M1383" s="31">
        <v>45732</v>
      </c>
      <c r="N1383" s="7" t="s">
        <v>3022</v>
      </c>
      <c r="O1383" s="8">
        <v>1499</v>
      </c>
      <c r="P1383" s="24">
        <v>6098</v>
      </c>
      <c r="Q1383" s="22">
        <f>IF(COUNTIFS(A$2:A1383,A1383,I$2:I1383,I1383)=1,1,0)</f>
        <v>0</v>
      </c>
      <c r="R1383" s="22">
        <f t="shared" si="21"/>
        <v>14</v>
      </c>
      <c r="S1383" s="33">
        <f>IF(COUNTIF(O$2:O1383,O1383)=1,R1383,0)/2.5</f>
        <v>0</v>
      </c>
    </row>
    <row r="1384" spans="1:19" ht="18" customHeight="1" x14ac:dyDescent="0.25">
      <c r="A1384" s="7" t="s">
        <v>43</v>
      </c>
      <c r="B1384" s="8">
        <v>1</v>
      </c>
      <c r="C1384" s="9">
        <v>399.5</v>
      </c>
      <c r="D1384" s="29">
        <f>C1384+IF(INDEX('Справочник по %'!B:B,(MATCH(A1384,'Справочник по %'!A:A,0)))="кол-во",B1384*INDEX('Справочник по %'!C:C,(MATCH(A1384,'Справочник по %'!A:A,0))),ОТЧЕТ!C1384*INDEX('Справочник по %'!C:C,(MATCH(A1384,'Справочник по %'!A:A,0))))/100</f>
        <v>439.45</v>
      </c>
      <c r="E1384" s="29">
        <f>IF(ОТЧЕТ!A1384="SKU3",C1384+ОТЧЕТ!C1384*0.2,C1384+ОТЧЕТ!C1384*0.15)</f>
        <v>459.42500000000001</v>
      </c>
      <c r="F1384" s="7" t="s">
        <v>3020</v>
      </c>
      <c r="G1384" s="7">
        <v>3801042576</v>
      </c>
      <c r="H1384" s="20" t="s">
        <v>64</v>
      </c>
      <c r="I1384" s="22" t="str">
        <f>INDEX('Справочник Сети'!B:B,(MATCH(G1384,'Справочник Сети'!C:C,0)))</f>
        <v>Планета здоровья</v>
      </c>
      <c r="J1384" s="7" t="s">
        <v>65</v>
      </c>
      <c r="K1384" s="7" t="s">
        <v>1302</v>
      </c>
      <c r="L1384" s="7" t="s">
        <v>65</v>
      </c>
      <c r="M1384" s="31">
        <v>45717</v>
      </c>
      <c r="N1384" s="7" t="s">
        <v>3023</v>
      </c>
      <c r="O1384" s="8">
        <v>3037</v>
      </c>
      <c r="P1384" s="24">
        <v>6099</v>
      </c>
      <c r="Q1384" s="22">
        <f>IF(COUNTIFS(A$2:A1384,A1384,I$2:I1384,I1384)=1,1,0)</f>
        <v>0</v>
      </c>
      <c r="R1384" s="22">
        <f t="shared" si="21"/>
        <v>3</v>
      </c>
      <c r="S1384" s="33">
        <f>IF(COUNTIF(O$2:O1384,O1384)=1,R1384,0)/2.5</f>
        <v>1.2</v>
      </c>
    </row>
    <row r="1385" spans="1:19" ht="18" customHeight="1" x14ac:dyDescent="0.25">
      <c r="A1385" s="7" t="s">
        <v>43</v>
      </c>
      <c r="B1385" s="8">
        <v>1</v>
      </c>
      <c r="C1385" s="9">
        <v>506</v>
      </c>
      <c r="D1385" s="29">
        <f>C1385+IF(INDEX('Справочник по %'!B:B,(MATCH(A1385,'Справочник по %'!A:A,0)))="кол-во",B1385*INDEX('Справочник по %'!C:C,(MATCH(A1385,'Справочник по %'!A:A,0))),ОТЧЕТ!C1385*INDEX('Справочник по %'!C:C,(MATCH(A1385,'Справочник по %'!A:A,0))))/100</f>
        <v>556.6</v>
      </c>
      <c r="E1385" s="29">
        <f>IF(ОТЧЕТ!A1385="SKU3",C1385+ОТЧЕТ!C1385*0.2,C1385+ОТЧЕТ!C1385*0.15)</f>
        <v>581.9</v>
      </c>
      <c r="F1385" s="7" t="s">
        <v>3020</v>
      </c>
      <c r="G1385" s="7">
        <v>1001054160</v>
      </c>
      <c r="H1385" s="20" t="s">
        <v>50</v>
      </c>
      <c r="I1385" s="22" t="str">
        <f>INDEX('Справочник Сети'!B:B,(MATCH(G1385,'Справочник Сети'!C:C,0)))</f>
        <v>Ригла</v>
      </c>
      <c r="J1385" s="7" t="s">
        <v>362</v>
      </c>
      <c r="K1385" s="7" t="s">
        <v>1745</v>
      </c>
      <c r="L1385" s="7" t="s">
        <v>362</v>
      </c>
      <c r="M1385" s="31">
        <v>45732</v>
      </c>
      <c r="N1385" s="7" t="s">
        <v>3024</v>
      </c>
      <c r="O1385" s="8">
        <v>1499</v>
      </c>
      <c r="P1385" s="24">
        <v>6101</v>
      </c>
      <c r="Q1385" s="22">
        <f>IF(COUNTIFS(A$2:A1385,A1385,I$2:I1385,I1385)=1,1,0)</f>
        <v>0</v>
      </c>
      <c r="R1385" s="22">
        <f t="shared" si="21"/>
        <v>14</v>
      </c>
      <c r="S1385" s="33">
        <f>IF(COUNTIF(O$2:O1385,O1385)=1,R1385,0)/2.5</f>
        <v>0</v>
      </c>
    </row>
    <row r="1386" spans="1:19" ht="18" customHeight="1" x14ac:dyDescent="0.25">
      <c r="A1386" s="7" t="s">
        <v>37</v>
      </c>
      <c r="B1386" s="8">
        <v>1</v>
      </c>
      <c r="C1386" s="9">
        <v>705</v>
      </c>
      <c r="D1386" s="29">
        <f>C1386+IF(INDEX('Справочник по %'!B:B,(MATCH(A1386,'Справочник по %'!A:A,0)))="кол-во",B1386*INDEX('Справочник по %'!C:C,(MATCH(A1386,'Справочник по %'!A:A,0))),ОТЧЕТ!C1386*INDEX('Справочник по %'!C:C,(MATCH(A1386,'Справочник по %'!A:A,0))))/100</f>
        <v>705.2</v>
      </c>
      <c r="E1386" s="29">
        <f>IF(ОТЧЕТ!A1386="SKU3",C1386+ОТЧЕТ!C1386*0.2,C1386+ОТЧЕТ!C1386*0.15)</f>
        <v>810.75</v>
      </c>
      <c r="F1386" s="7" t="s">
        <v>3025</v>
      </c>
      <c r="G1386" s="7">
        <v>7814139847</v>
      </c>
      <c r="H1386" s="20" t="s">
        <v>50</v>
      </c>
      <c r="I1386" s="22" t="str">
        <f>INDEX('Справочник Сети'!B:B,(MATCH(G1386,'Справочник Сети'!C:C,0)))</f>
        <v>Планета здоровья</v>
      </c>
      <c r="J1386" s="7" t="s">
        <v>121</v>
      </c>
      <c r="K1386" s="7" t="s">
        <v>115</v>
      </c>
      <c r="L1386" s="7" t="s">
        <v>121</v>
      </c>
      <c r="M1386" s="31">
        <v>45671</v>
      </c>
      <c r="N1386" s="7" t="s">
        <v>3026</v>
      </c>
      <c r="O1386" s="8">
        <v>2855</v>
      </c>
      <c r="P1386" s="24">
        <v>6106</v>
      </c>
      <c r="Q1386" s="22">
        <f>IF(COUNTIFS(A$2:A1386,A1386,I$2:I1386,I1386)=1,1,0)</f>
        <v>0</v>
      </c>
      <c r="R1386" s="22">
        <f t="shared" si="21"/>
        <v>5</v>
      </c>
      <c r="S1386" s="33">
        <f>IF(COUNTIF(O$2:O1386,O1386)=1,R1386,0)/2.5</f>
        <v>0</v>
      </c>
    </row>
    <row r="1387" spans="1:19" ht="18" customHeight="1" x14ac:dyDescent="0.25">
      <c r="A1387" s="7" t="s">
        <v>43</v>
      </c>
      <c r="B1387" s="8">
        <v>1</v>
      </c>
      <c r="C1387" s="9">
        <v>486</v>
      </c>
      <c r="D1387" s="29">
        <f>C1387+IF(INDEX('Справочник по %'!B:B,(MATCH(A1387,'Справочник по %'!A:A,0)))="кол-во",B1387*INDEX('Справочник по %'!C:C,(MATCH(A1387,'Справочник по %'!A:A,0))),ОТЧЕТ!C1387*INDEX('Справочник по %'!C:C,(MATCH(A1387,'Справочник по %'!A:A,0))))/100</f>
        <v>534.6</v>
      </c>
      <c r="E1387" s="29">
        <f>IF(ОТЧЕТ!A1387="SKU3",C1387+ОТЧЕТ!C1387*0.2,C1387+ОТЧЕТ!C1387*0.15)</f>
        <v>558.9</v>
      </c>
      <c r="F1387" s="7" t="s">
        <v>3025</v>
      </c>
      <c r="G1387" s="7">
        <v>5903110437</v>
      </c>
      <c r="H1387" s="20" t="s">
        <v>39</v>
      </c>
      <c r="I1387" s="22">
        <f>INDEX('Справочник Сети'!B:B,(MATCH(G1387,'Справочник Сети'!C:C,0)))</f>
        <v>0</v>
      </c>
      <c r="J1387" s="7" t="s">
        <v>40</v>
      </c>
      <c r="K1387" s="7" t="s">
        <v>2412</v>
      </c>
      <c r="L1387" s="7" t="s">
        <v>40</v>
      </c>
      <c r="M1387" s="31">
        <v>45712</v>
      </c>
      <c r="N1387" s="7" t="s">
        <v>3027</v>
      </c>
      <c r="O1387" s="8">
        <v>1440</v>
      </c>
      <c r="P1387" s="24">
        <v>6107</v>
      </c>
      <c r="Q1387" s="22">
        <f>IF(COUNTIFS(A$2:A1387,A1387,I$2:I1387,I1387)=1,1,0)</f>
        <v>0</v>
      </c>
      <c r="R1387" s="22">
        <f t="shared" si="21"/>
        <v>1</v>
      </c>
      <c r="S1387" s="33">
        <f>IF(COUNTIF(O$2:O1387,O1387)=1,R1387,0)/2.5</f>
        <v>0.4</v>
      </c>
    </row>
    <row r="1388" spans="1:19" ht="18" customHeight="1" x14ac:dyDescent="0.25">
      <c r="A1388" s="7" t="s">
        <v>37</v>
      </c>
      <c r="B1388" s="8">
        <v>1</v>
      </c>
      <c r="C1388" s="9">
        <v>715</v>
      </c>
      <c r="D1388" s="29">
        <f>C1388+IF(INDEX('Справочник по %'!B:B,(MATCH(A1388,'Справочник по %'!A:A,0)))="кол-во",B1388*INDEX('Справочник по %'!C:C,(MATCH(A1388,'Справочник по %'!A:A,0))),ОТЧЕТ!C1388*INDEX('Справочник по %'!C:C,(MATCH(A1388,'Справочник по %'!A:A,0))))/100</f>
        <v>715.2</v>
      </c>
      <c r="E1388" s="29">
        <f>IF(ОТЧЕТ!A1388="SKU3",C1388+ОТЧЕТ!C1388*0.2,C1388+ОТЧЕТ!C1388*0.15)</f>
        <v>822.25</v>
      </c>
      <c r="F1388" s="7" t="s">
        <v>3025</v>
      </c>
      <c r="G1388" s="7">
        <v>7814139847</v>
      </c>
      <c r="H1388" s="20" t="s">
        <v>50</v>
      </c>
      <c r="I1388" s="22" t="str">
        <f>INDEX('Справочник Сети'!B:B,(MATCH(G1388,'Справочник Сети'!C:C,0)))</f>
        <v>Планета здоровья</v>
      </c>
      <c r="J1388" s="7" t="s">
        <v>121</v>
      </c>
      <c r="K1388" s="7" t="s">
        <v>1678</v>
      </c>
      <c r="L1388" s="7" t="s">
        <v>121</v>
      </c>
      <c r="M1388" s="31">
        <v>45671</v>
      </c>
      <c r="N1388" s="7" t="s">
        <v>3028</v>
      </c>
      <c r="O1388" s="8">
        <v>477</v>
      </c>
      <c r="P1388" s="24">
        <v>6108</v>
      </c>
      <c r="Q1388" s="22">
        <f>IF(COUNTIFS(A$2:A1388,A1388,I$2:I1388,I1388)=1,1,0)</f>
        <v>0</v>
      </c>
      <c r="R1388" s="22">
        <f t="shared" si="21"/>
        <v>1</v>
      </c>
      <c r="S1388" s="33">
        <f>IF(COUNTIF(O$2:O1388,O1388)=1,R1388,0)/2.5</f>
        <v>0.4</v>
      </c>
    </row>
    <row r="1389" spans="1:19" ht="18" customHeight="1" x14ac:dyDescent="0.25">
      <c r="A1389" s="7" t="s">
        <v>43</v>
      </c>
      <c r="B1389" s="8">
        <v>1</v>
      </c>
      <c r="C1389" s="9">
        <v>422</v>
      </c>
      <c r="D1389" s="29">
        <f>C1389+IF(INDEX('Справочник по %'!B:B,(MATCH(A1389,'Справочник по %'!A:A,0)))="кол-во",B1389*INDEX('Справочник по %'!C:C,(MATCH(A1389,'Справочник по %'!A:A,0))),ОТЧЕТ!C1389*INDEX('Справочник по %'!C:C,(MATCH(A1389,'Справочник по %'!A:A,0))))/100</f>
        <v>464.2</v>
      </c>
      <c r="E1389" s="29">
        <f>IF(ОТЧЕТ!A1389="SKU3",C1389+ОТЧЕТ!C1389*0.2,C1389+ОТЧЕТ!C1389*0.15)</f>
        <v>485.3</v>
      </c>
      <c r="F1389" s="7" t="s">
        <v>3029</v>
      </c>
      <c r="G1389" s="7">
        <v>3128009179</v>
      </c>
      <c r="H1389" s="20" t="s">
        <v>50</v>
      </c>
      <c r="I1389" s="22">
        <f>INDEX('Справочник Сети'!B:B,(MATCH(G1389,'Справочник Сети'!C:C,0)))</f>
        <v>0</v>
      </c>
      <c r="J1389" s="7" t="s">
        <v>193</v>
      </c>
      <c r="K1389" s="7" t="s">
        <v>3030</v>
      </c>
      <c r="L1389" s="7" t="s">
        <v>193</v>
      </c>
      <c r="M1389" s="31">
        <v>45718</v>
      </c>
      <c r="N1389" s="7" t="s">
        <v>3031</v>
      </c>
      <c r="O1389" s="8">
        <v>1502</v>
      </c>
      <c r="P1389" s="24">
        <v>6114</v>
      </c>
      <c r="Q1389" s="22">
        <f>IF(COUNTIFS(A$2:A1389,A1389,I$2:I1389,I1389)=1,1,0)</f>
        <v>0</v>
      </c>
      <c r="R1389" s="22">
        <f t="shared" si="21"/>
        <v>1</v>
      </c>
      <c r="S1389" s="33">
        <f>IF(COUNTIF(O$2:O1389,O1389)=1,R1389,0)/2.5</f>
        <v>0.4</v>
      </c>
    </row>
    <row r="1390" spans="1:19" ht="18" customHeight="1" x14ac:dyDescent="0.25">
      <c r="A1390" s="7" t="s">
        <v>37</v>
      </c>
      <c r="B1390" s="8">
        <v>1</v>
      </c>
      <c r="C1390" s="9">
        <v>698</v>
      </c>
      <c r="D1390" s="29">
        <f>C1390+IF(INDEX('Справочник по %'!B:B,(MATCH(A1390,'Справочник по %'!A:A,0)))="кол-во",B1390*INDEX('Справочник по %'!C:C,(MATCH(A1390,'Справочник по %'!A:A,0))),ОТЧЕТ!C1390*INDEX('Справочник по %'!C:C,(MATCH(A1390,'Справочник по %'!A:A,0))))/100</f>
        <v>698.2</v>
      </c>
      <c r="E1390" s="29">
        <f>IF(ОТЧЕТ!A1390="SKU3",C1390+ОТЧЕТ!C1390*0.2,C1390+ОТЧЕТ!C1390*0.15)</f>
        <v>802.7</v>
      </c>
      <c r="F1390" s="7" t="s">
        <v>3032</v>
      </c>
      <c r="G1390" s="7">
        <v>4205048353</v>
      </c>
      <c r="H1390" s="20" t="s">
        <v>634</v>
      </c>
      <c r="I1390" s="22" t="str">
        <f>INDEX('Справочник Сети'!B:B,(MATCH(G1390,'Справочник Сети'!C:C,0)))</f>
        <v>Планета здоровья</v>
      </c>
      <c r="J1390" s="7" t="s">
        <v>155</v>
      </c>
      <c r="K1390" s="7" t="s">
        <v>3033</v>
      </c>
      <c r="L1390" s="7" t="s">
        <v>155</v>
      </c>
      <c r="M1390" s="31">
        <v>45716</v>
      </c>
      <c r="N1390" s="7" t="s">
        <v>3034</v>
      </c>
      <c r="O1390" s="8">
        <v>2316</v>
      </c>
      <c r="P1390" s="24">
        <v>6118</v>
      </c>
      <c r="Q1390" s="22">
        <f>IF(COUNTIFS(A$2:A1390,A1390,I$2:I1390,I1390)=1,1,0)</f>
        <v>0</v>
      </c>
      <c r="R1390" s="22">
        <f t="shared" si="21"/>
        <v>2</v>
      </c>
      <c r="S1390" s="33">
        <f>IF(COUNTIF(O$2:O1390,O1390)=1,R1390,0)/2.5</f>
        <v>0.8</v>
      </c>
    </row>
    <row r="1391" spans="1:19" ht="18" customHeight="1" x14ac:dyDescent="0.25">
      <c r="A1391" s="7" t="s">
        <v>43</v>
      </c>
      <c r="B1391" s="8">
        <v>1</v>
      </c>
      <c r="C1391" s="9">
        <v>461.75</v>
      </c>
      <c r="D1391" s="29">
        <f>C1391+IF(INDEX('Справочник по %'!B:B,(MATCH(A1391,'Справочник по %'!A:A,0)))="кол-во",B1391*INDEX('Справочник по %'!C:C,(MATCH(A1391,'Справочник по %'!A:A,0))),ОТЧЕТ!C1391*INDEX('Справочник по %'!C:C,(MATCH(A1391,'Справочник по %'!A:A,0))))/100</f>
        <v>507.92500000000001</v>
      </c>
      <c r="E1391" s="29">
        <f>IF(ОТЧЕТ!A1391="SKU3",C1391+ОТЧЕТ!C1391*0.2,C1391+ОТЧЕТ!C1391*0.15)</f>
        <v>531.01250000000005</v>
      </c>
      <c r="F1391" s="7" t="s">
        <v>3035</v>
      </c>
      <c r="G1391" s="7">
        <v>7705947629</v>
      </c>
      <c r="H1391" s="20" t="s">
        <v>50</v>
      </c>
      <c r="I1391" s="22" t="str">
        <f>INDEX('Справочник Сети'!B:B,(MATCH(G1391,'Справочник Сети'!C:C,0)))</f>
        <v>36,6</v>
      </c>
      <c r="J1391" s="7" t="s">
        <v>116</v>
      </c>
      <c r="K1391" s="7" t="s">
        <v>1552</v>
      </c>
      <c r="L1391" s="7" t="s">
        <v>116</v>
      </c>
      <c r="M1391" s="31">
        <v>45692</v>
      </c>
      <c r="N1391" s="7" t="s">
        <v>3036</v>
      </c>
      <c r="O1391" s="8">
        <v>3788</v>
      </c>
      <c r="P1391" s="24">
        <v>6119</v>
      </c>
      <c r="Q1391" s="22">
        <f>IF(COUNTIFS(A$2:A1391,A1391,I$2:I1391,I1391)=1,1,0)</f>
        <v>0</v>
      </c>
      <c r="R1391" s="22">
        <f t="shared" si="21"/>
        <v>2</v>
      </c>
      <c r="S1391" s="33">
        <f>IF(COUNTIF(O$2:O1391,O1391)=1,R1391,0)/2.5</f>
        <v>0.8</v>
      </c>
    </row>
    <row r="1392" spans="1:19" ht="18" customHeight="1" x14ac:dyDescent="0.25">
      <c r="A1392" s="7" t="s">
        <v>43</v>
      </c>
      <c r="B1392" s="8">
        <v>1</v>
      </c>
      <c r="C1392" s="9">
        <v>430</v>
      </c>
      <c r="D1392" s="29">
        <f>C1392+IF(INDEX('Справочник по %'!B:B,(MATCH(A1392,'Справочник по %'!A:A,0)))="кол-во",B1392*INDEX('Справочник по %'!C:C,(MATCH(A1392,'Справочник по %'!A:A,0))),ОТЧЕТ!C1392*INDEX('Справочник по %'!C:C,(MATCH(A1392,'Справочник по %'!A:A,0))))/100</f>
        <v>473</v>
      </c>
      <c r="E1392" s="29">
        <f>IF(ОТЧЕТ!A1392="SKU3",C1392+ОТЧЕТ!C1392*0.2,C1392+ОТЧЕТ!C1392*0.15)</f>
        <v>494.5</v>
      </c>
      <c r="F1392" s="7" t="s">
        <v>3037</v>
      </c>
      <c r="G1392" s="7">
        <v>6164224554</v>
      </c>
      <c r="H1392" s="20" t="s">
        <v>69</v>
      </c>
      <c r="I1392" s="22">
        <f>INDEX('Справочник Сети'!B:B,(MATCH(G1392,'Справочник Сети'!C:C,0)))</f>
        <v>0</v>
      </c>
      <c r="J1392" s="7" t="s">
        <v>520</v>
      </c>
      <c r="K1392" s="7" t="s">
        <v>456</v>
      </c>
      <c r="L1392" s="7" t="s">
        <v>520</v>
      </c>
      <c r="M1392" s="31">
        <v>45697</v>
      </c>
      <c r="N1392" s="7" t="s">
        <v>3038</v>
      </c>
      <c r="O1392" s="8">
        <v>2292</v>
      </c>
      <c r="P1392" s="24">
        <v>6125</v>
      </c>
      <c r="Q1392" s="22">
        <f>IF(COUNTIFS(A$2:A1392,A1392,I$2:I1392,I1392)=1,1,0)</f>
        <v>0</v>
      </c>
      <c r="R1392" s="22">
        <f t="shared" si="21"/>
        <v>1</v>
      </c>
      <c r="S1392" s="33">
        <f>IF(COUNTIF(O$2:O1392,O1392)=1,R1392,0)/2.5</f>
        <v>0.4</v>
      </c>
    </row>
    <row r="1393" spans="1:19" ht="18" customHeight="1" x14ac:dyDescent="0.25">
      <c r="A1393" s="7" t="s">
        <v>43</v>
      </c>
      <c r="B1393" s="8">
        <v>1</v>
      </c>
      <c r="C1393" s="9">
        <v>404</v>
      </c>
      <c r="D1393" s="29">
        <f>C1393+IF(INDEX('Справочник по %'!B:B,(MATCH(A1393,'Справочник по %'!A:A,0)))="кол-во",B1393*INDEX('Справочник по %'!C:C,(MATCH(A1393,'Справочник по %'!A:A,0))),ОТЧЕТ!C1393*INDEX('Справочник по %'!C:C,(MATCH(A1393,'Справочник по %'!A:A,0))))/100</f>
        <v>444.4</v>
      </c>
      <c r="E1393" s="29">
        <f>IF(ОТЧЕТ!A1393="SKU3",C1393+ОТЧЕТ!C1393*0.2,C1393+ОТЧЕТ!C1393*0.15)</f>
        <v>464.6</v>
      </c>
      <c r="F1393" s="7" t="s">
        <v>3039</v>
      </c>
      <c r="G1393" s="7">
        <v>7732121736</v>
      </c>
      <c r="H1393" s="20" t="s">
        <v>1965</v>
      </c>
      <c r="I1393" s="22" t="str">
        <f>INDEX('Справочник Сети'!B:B,(MATCH(G1393,'Справочник Сети'!C:C,0)))</f>
        <v>Планета здоровья</v>
      </c>
      <c r="J1393" s="7" t="s">
        <v>149</v>
      </c>
      <c r="K1393" s="7" t="s">
        <v>1181</v>
      </c>
      <c r="L1393" s="7" t="s">
        <v>149</v>
      </c>
      <c r="M1393" s="31">
        <v>45673</v>
      </c>
      <c r="N1393" s="7" t="s">
        <v>3040</v>
      </c>
      <c r="O1393" s="8">
        <v>2923</v>
      </c>
      <c r="P1393" s="24">
        <v>6126</v>
      </c>
      <c r="Q1393" s="22">
        <f>IF(COUNTIFS(A$2:A1393,A1393,I$2:I1393,I1393)=1,1,0)</f>
        <v>0</v>
      </c>
      <c r="R1393" s="22">
        <f t="shared" si="21"/>
        <v>3</v>
      </c>
      <c r="S1393" s="33">
        <f>IF(COUNTIF(O$2:O1393,O1393)=1,R1393,0)/2.5</f>
        <v>0</v>
      </c>
    </row>
    <row r="1394" spans="1:19" ht="18" customHeight="1" x14ac:dyDescent="0.25">
      <c r="A1394" s="7" t="s">
        <v>43</v>
      </c>
      <c r="B1394" s="8">
        <v>1</v>
      </c>
      <c r="C1394" s="9">
        <v>495</v>
      </c>
      <c r="D1394" s="29">
        <f>C1394+IF(INDEX('Справочник по %'!B:B,(MATCH(A1394,'Справочник по %'!A:A,0)))="кол-во",B1394*INDEX('Справочник по %'!C:C,(MATCH(A1394,'Справочник по %'!A:A,0))),ОТЧЕТ!C1394*INDEX('Справочник по %'!C:C,(MATCH(A1394,'Справочник по %'!A:A,0))))/100</f>
        <v>544.5</v>
      </c>
      <c r="E1394" s="29">
        <f>IF(ОТЧЕТ!A1394="SKU3",C1394+ОТЧЕТ!C1394*0.2,C1394+ОТЧЕТ!C1394*0.15)</f>
        <v>569.25</v>
      </c>
      <c r="F1394" s="7" t="s">
        <v>3041</v>
      </c>
      <c r="G1394" s="7">
        <v>3665820714</v>
      </c>
      <c r="H1394" s="20" t="s">
        <v>91</v>
      </c>
      <c r="I1394" s="22" t="str">
        <f>INDEX('Справочник Сети'!B:B,(MATCH(G1394,'Справочник Сети'!C:C,0)))</f>
        <v>Нео-фарм</v>
      </c>
      <c r="J1394" s="7" t="s">
        <v>65</v>
      </c>
      <c r="K1394" s="7" t="s">
        <v>2633</v>
      </c>
      <c r="L1394" s="7" t="s">
        <v>65</v>
      </c>
      <c r="M1394" s="31">
        <v>45717</v>
      </c>
      <c r="N1394" s="7" t="s">
        <v>3042</v>
      </c>
      <c r="O1394" s="8">
        <v>2165</v>
      </c>
      <c r="P1394" s="24">
        <v>6130</v>
      </c>
      <c r="Q1394" s="22">
        <f>IF(COUNTIFS(A$2:A1394,A1394,I$2:I1394,I1394)=1,1,0)</f>
        <v>0</v>
      </c>
      <c r="R1394" s="22">
        <f t="shared" si="21"/>
        <v>4</v>
      </c>
      <c r="S1394" s="33">
        <f>IF(COUNTIF(O$2:O1394,O1394)=1,R1394,0)/2.5</f>
        <v>1.6</v>
      </c>
    </row>
    <row r="1395" spans="1:19" ht="18" customHeight="1" x14ac:dyDescent="0.25">
      <c r="A1395" s="7" t="s">
        <v>43</v>
      </c>
      <c r="B1395" s="8">
        <v>1</v>
      </c>
      <c r="C1395" s="9">
        <v>534</v>
      </c>
      <c r="D1395" s="29">
        <f>C1395+IF(INDEX('Справочник по %'!B:B,(MATCH(A1395,'Справочник по %'!A:A,0)))="кол-во",B1395*INDEX('Справочник по %'!C:C,(MATCH(A1395,'Справочник по %'!A:A,0))),ОТЧЕТ!C1395*INDEX('Справочник по %'!C:C,(MATCH(A1395,'Справочник по %'!A:A,0))))/100</f>
        <v>587.4</v>
      </c>
      <c r="E1395" s="29">
        <f>IF(ОТЧЕТ!A1395="SKU3",C1395+ОТЧЕТ!C1395*0.2,C1395+ОТЧЕТ!C1395*0.15)</f>
        <v>614.1</v>
      </c>
      <c r="F1395" s="7" t="s">
        <v>3043</v>
      </c>
      <c r="G1395" s="7">
        <v>7705947629</v>
      </c>
      <c r="H1395" s="20" t="s">
        <v>50</v>
      </c>
      <c r="I1395" s="22" t="str">
        <f>INDEX('Справочник Сети'!B:B,(MATCH(G1395,'Справочник Сети'!C:C,0)))</f>
        <v>36,6</v>
      </c>
      <c r="J1395" s="7" t="s">
        <v>116</v>
      </c>
      <c r="K1395" s="7" t="s">
        <v>1774</v>
      </c>
      <c r="L1395" s="7" t="s">
        <v>104</v>
      </c>
      <c r="M1395" s="31">
        <v>45693</v>
      </c>
      <c r="N1395" s="7" t="s">
        <v>3044</v>
      </c>
      <c r="O1395" s="8">
        <v>2678</v>
      </c>
      <c r="P1395" s="24">
        <v>6131</v>
      </c>
      <c r="Q1395" s="22">
        <f>IF(COUNTIFS(A$2:A1395,A1395,I$2:I1395,I1395)=1,1,0)</f>
        <v>0</v>
      </c>
      <c r="R1395" s="22">
        <f t="shared" si="21"/>
        <v>2</v>
      </c>
      <c r="S1395" s="33">
        <f>IF(COUNTIF(O$2:O1395,O1395)=1,R1395,0)/2.5</f>
        <v>0</v>
      </c>
    </row>
    <row r="1396" spans="1:19" ht="18" customHeight="1" x14ac:dyDescent="0.25">
      <c r="A1396" s="7" t="s">
        <v>43</v>
      </c>
      <c r="B1396" s="8">
        <v>1</v>
      </c>
      <c r="C1396" s="9">
        <v>607</v>
      </c>
      <c r="D1396" s="29">
        <f>C1396+IF(INDEX('Справочник по %'!B:B,(MATCH(A1396,'Справочник по %'!A:A,0)))="кол-во",B1396*INDEX('Справочник по %'!C:C,(MATCH(A1396,'Справочник по %'!A:A,0))),ОТЧЕТ!C1396*INDEX('Справочник по %'!C:C,(MATCH(A1396,'Справочник по %'!A:A,0))))/100</f>
        <v>667.7</v>
      </c>
      <c r="E1396" s="29">
        <f>IF(ОТЧЕТ!A1396="SKU3",C1396+ОТЧЕТ!C1396*0.2,C1396+ОТЧЕТ!C1396*0.15)</f>
        <v>698.05</v>
      </c>
      <c r="F1396" s="7" t="s">
        <v>3043</v>
      </c>
      <c r="G1396" s="7">
        <v>7705947629</v>
      </c>
      <c r="H1396" s="20" t="s">
        <v>50</v>
      </c>
      <c r="I1396" s="22" t="str">
        <f>INDEX('Справочник Сети'!B:B,(MATCH(G1396,'Справочник Сети'!C:C,0)))</f>
        <v>36,6</v>
      </c>
      <c r="J1396" s="7" t="s">
        <v>104</v>
      </c>
      <c r="K1396" s="7" t="s">
        <v>2158</v>
      </c>
      <c r="L1396" s="7" t="s">
        <v>104</v>
      </c>
      <c r="M1396" s="31">
        <v>45693</v>
      </c>
      <c r="N1396" s="7" t="s">
        <v>3045</v>
      </c>
      <c r="O1396" s="8">
        <v>2126</v>
      </c>
      <c r="P1396" s="24">
        <v>6135</v>
      </c>
      <c r="Q1396" s="22">
        <f>IF(COUNTIFS(A$2:A1396,A1396,I$2:I1396,I1396)=1,1,0)</f>
        <v>0</v>
      </c>
      <c r="R1396" s="22">
        <f t="shared" si="21"/>
        <v>2</v>
      </c>
      <c r="S1396" s="33">
        <f>IF(COUNTIF(O$2:O1396,O1396)=1,R1396,0)/2.5</f>
        <v>0</v>
      </c>
    </row>
    <row r="1397" spans="1:19" ht="18" customHeight="1" x14ac:dyDescent="0.25">
      <c r="A1397" s="7" t="s">
        <v>43</v>
      </c>
      <c r="B1397" s="8">
        <v>1</v>
      </c>
      <c r="C1397" s="9">
        <v>500</v>
      </c>
      <c r="D1397" s="29">
        <f>C1397+IF(INDEX('Справочник по %'!B:B,(MATCH(A1397,'Справочник по %'!A:A,0)))="кол-во",B1397*INDEX('Справочник по %'!C:C,(MATCH(A1397,'Справочник по %'!A:A,0))),ОТЧЕТ!C1397*INDEX('Справочник по %'!C:C,(MATCH(A1397,'Справочник по %'!A:A,0))))/100</f>
        <v>550</v>
      </c>
      <c r="E1397" s="29">
        <f>IF(ОТЧЕТ!A1397="SKU3",C1397+ОТЧЕТ!C1397*0.2,C1397+ОТЧЕТ!C1397*0.15)</f>
        <v>575</v>
      </c>
      <c r="F1397" s="7" t="s">
        <v>3043</v>
      </c>
      <c r="G1397" s="7">
        <v>9204508110</v>
      </c>
      <c r="H1397" s="20" t="s">
        <v>1780</v>
      </c>
      <c r="I1397" s="22">
        <f>INDEX('Справочник Сети'!B:B,(MATCH(G1397,'Справочник Сети'!C:C,0)))</f>
        <v>0</v>
      </c>
      <c r="J1397" s="7" t="s">
        <v>239</v>
      </c>
      <c r="K1397" s="7" t="s">
        <v>337</v>
      </c>
      <c r="L1397" s="7" t="s">
        <v>239</v>
      </c>
      <c r="M1397" s="31">
        <v>45662</v>
      </c>
      <c r="N1397" s="7" t="s">
        <v>3046</v>
      </c>
      <c r="O1397" s="8">
        <v>1620</v>
      </c>
      <c r="P1397" s="24">
        <v>6139</v>
      </c>
      <c r="Q1397" s="22">
        <f>IF(COUNTIFS(A$2:A1397,A1397,I$2:I1397,I1397)=1,1,0)</f>
        <v>0</v>
      </c>
      <c r="R1397" s="22">
        <f t="shared" si="21"/>
        <v>3</v>
      </c>
      <c r="S1397" s="33">
        <f>IF(COUNTIF(O$2:O1397,O1397)=1,R1397,0)/2.5</f>
        <v>0</v>
      </c>
    </row>
    <row r="1398" spans="1:19" ht="18" customHeight="1" x14ac:dyDescent="0.25">
      <c r="A1398" s="7" t="s">
        <v>43</v>
      </c>
      <c r="B1398" s="8">
        <v>1</v>
      </c>
      <c r="C1398" s="9">
        <v>434</v>
      </c>
      <c r="D1398" s="29">
        <f>C1398+IF(INDEX('Справочник по %'!B:B,(MATCH(A1398,'Справочник по %'!A:A,0)))="кол-во",B1398*INDEX('Справочник по %'!C:C,(MATCH(A1398,'Справочник по %'!A:A,0))),ОТЧЕТ!C1398*INDEX('Справочник по %'!C:C,(MATCH(A1398,'Справочник по %'!A:A,0))))/100</f>
        <v>477.4</v>
      </c>
      <c r="E1398" s="29">
        <f>IF(ОТЧЕТ!A1398="SKU3",C1398+ОТЧЕТ!C1398*0.2,C1398+ОТЧЕТ!C1398*0.15)</f>
        <v>499.1</v>
      </c>
      <c r="F1398" s="7" t="s">
        <v>3043</v>
      </c>
      <c r="G1398" s="7">
        <v>6673189463</v>
      </c>
      <c r="H1398" s="20" t="s">
        <v>2638</v>
      </c>
      <c r="I1398" s="22" t="str">
        <f>INDEX('Справочник Сети'!B:B,(MATCH(G1398,'Справочник Сети'!C:C,0)))</f>
        <v>Нео-фарм</v>
      </c>
      <c r="J1398" s="7" t="s">
        <v>133</v>
      </c>
      <c r="K1398" s="7" t="s">
        <v>1838</v>
      </c>
      <c r="L1398" s="7" t="s">
        <v>133</v>
      </c>
      <c r="M1398" s="31">
        <v>45695</v>
      </c>
      <c r="N1398" s="7" t="s">
        <v>3047</v>
      </c>
      <c r="O1398" s="8">
        <v>3252</v>
      </c>
      <c r="P1398" s="24">
        <v>6140</v>
      </c>
      <c r="Q1398" s="22">
        <f>IF(COUNTIFS(A$2:A1398,A1398,I$2:I1398,I1398)=1,1,0)</f>
        <v>0</v>
      </c>
      <c r="R1398" s="22">
        <f t="shared" si="21"/>
        <v>1</v>
      </c>
      <c r="S1398" s="33">
        <f>IF(COUNTIF(O$2:O1398,O1398)=1,R1398,0)/2.5</f>
        <v>0.4</v>
      </c>
    </row>
    <row r="1399" spans="1:19" ht="18" customHeight="1" x14ac:dyDescent="0.25">
      <c r="A1399" s="7" t="s">
        <v>43</v>
      </c>
      <c r="B1399" s="8">
        <v>1</v>
      </c>
      <c r="C1399" s="9">
        <v>398.7</v>
      </c>
      <c r="D1399" s="29">
        <f>C1399+IF(INDEX('Справочник по %'!B:B,(MATCH(A1399,'Справочник по %'!A:A,0)))="кол-во",B1399*INDEX('Справочник по %'!C:C,(MATCH(A1399,'Справочник по %'!A:A,0))),ОТЧЕТ!C1399*INDEX('Справочник по %'!C:C,(MATCH(A1399,'Справочник по %'!A:A,0))))/100</f>
        <v>438.57</v>
      </c>
      <c r="E1399" s="29">
        <f>IF(ОТЧЕТ!A1399="SKU3",C1399+ОТЧЕТ!C1399*0.2,C1399+ОТЧЕТ!C1399*0.15)</f>
        <v>458.505</v>
      </c>
      <c r="F1399" s="7" t="s">
        <v>3048</v>
      </c>
      <c r="G1399" s="7">
        <v>5321137817</v>
      </c>
      <c r="H1399" s="20" t="s">
        <v>50</v>
      </c>
      <c r="I1399" s="22" t="str">
        <f>INDEX('Справочник Сети'!B:B,(MATCH(G1399,'Справочник Сети'!C:C,0)))</f>
        <v>Ригла</v>
      </c>
      <c r="J1399" s="7" t="s">
        <v>92</v>
      </c>
      <c r="K1399" s="7" t="s">
        <v>2337</v>
      </c>
      <c r="L1399" s="7" t="s">
        <v>92</v>
      </c>
      <c r="M1399" s="31">
        <v>45714</v>
      </c>
      <c r="N1399" s="7" t="s">
        <v>3049</v>
      </c>
      <c r="O1399" s="8">
        <v>2881</v>
      </c>
      <c r="P1399" s="24">
        <v>6144</v>
      </c>
      <c r="Q1399" s="22">
        <f>IF(COUNTIFS(A$2:A1399,A1399,I$2:I1399,I1399)=1,1,0)</f>
        <v>0</v>
      </c>
      <c r="R1399" s="22">
        <f t="shared" si="21"/>
        <v>4</v>
      </c>
      <c r="S1399" s="33">
        <f>IF(COUNTIF(O$2:O1399,O1399)=1,R1399,0)/2.5</f>
        <v>1.6</v>
      </c>
    </row>
    <row r="1400" spans="1:19" ht="18" customHeight="1" x14ac:dyDescent="0.25">
      <c r="A1400" s="7" t="s">
        <v>43</v>
      </c>
      <c r="B1400" s="8">
        <v>1</v>
      </c>
      <c r="C1400" s="9">
        <v>444.5</v>
      </c>
      <c r="D1400" s="29">
        <f>C1400+IF(INDEX('Справочник по %'!B:B,(MATCH(A1400,'Справочник по %'!A:A,0)))="кол-во",B1400*INDEX('Справочник по %'!C:C,(MATCH(A1400,'Справочник по %'!A:A,0))),ОТЧЕТ!C1400*INDEX('Справочник по %'!C:C,(MATCH(A1400,'Справочник по %'!A:A,0))))/100</f>
        <v>488.95</v>
      </c>
      <c r="E1400" s="29">
        <f>IF(ОТЧЕТ!A1400="SKU3",C1400+ОТЧЕТ!C1400*0.2,C1400+ОТЧЕТ!C1400*0.15)</f>
        <v>511.17500000000001</v>
      </c>
      <c r="F1400" s="7" t="s">
        <v>3048</v>
      </c>
      <c r="G1400" s="7">
        <v>402800810760</v>
      </c>
      <c r="H1400" s="20" t="s">
        <v>1285</v>
      </c>
      <c r="I1400" s="22">
        <f>INDEX('Справочник Сети'!B:B,(MATCH(G1400,'Справочник Сети'!C:C,0)))</f>
        <v>0</v>
      </c>
      <c r="J1400" s="7" t="s">
        <v>110</v>
      </c>
      <c r="K1400" s="7" t="s">
        <v>3050</v>
      </c>
      <c r="L1400" s="7" t="s">
        <v>110</v>
      </c>
      <c r="M1400" s="31">
        <v>45660</v>
      </c>
      <c r="N1400" s="7" t="s">
        <v>3051</v>
      </c>
      <c r="O1400" s="8">
        <v>3372</v>
      </c>
      <c r="P1400" s="24">
        <v>6146</v>
      </c>
      <c r="Q1400" s="22">
        <f>IF(COUNTIFS(A$2:A1400,A1400,I$2:I1400,I1400)=1,1,0)</f>
        <v>0</v>
      </c>
      <c r="R1400" s="22">
        <f t="shared" si="21"/>
        <v>1</v>
      </c>
      <c r="S1400" s="33">
        <f>IF(COUNTIF(O$2:O1400,O1400)=1,R1400,0)/2.5</f>
        <v>0.4</v>
      </c>
    </row>
    <row r="1401" spans="1:19" ht="18" customHeight="1" x14ac:dyDescent="0.25">
      <c r="A1401" s="7" t="s">
        <v>43</v>
      </c>
      <c r="B1401" s="8">
        <v>1</v>
      </c>
      <c r="C1401" s="9">
        <v>489.87</v>
      </c>
      <c r="D1401" s="29">
        <f>C1401+IF(INDEX('Справочник по %'!B:B,(MATCH(A1401,'Справочник по %'!A:A,0)))="кол-во",B1401*INDEX('Справочник по %'!C:C,(MATCH(A1401,'Справочник по %'!A:A,0))),ОТЧЕТ!C1401*INDEX('Справочник по %'!C:C,(MATCH(A1401,'Справочник по %'!A:A,0))))/100</f>
        <v>538.85699999999997</v>
      </c>
      <c r="E1401" s="29">
        <f>IF(ОТЧЕТ!A1401="SKU3",C1401+ОТЧЕТ!C1401*0.2,C1401+ОТЧЕТ!C1401*0.15)</f>
        <v>563.35050000000001</v>
      </c>
      <c r="F1401" s="7" t="s">
        <v>3048</v>
      </c>
      <c r="G1401" s="7">
        <v>4632047297</v>
      </c>
      <c r="H1401" s="20" t="s">
        <v>3052</v>
      </c>
      <c r="I1401" s="22">
        <f>INDEX('Справочник Сети'!B:B,(MATCH(G1401,'Справочник Сети'!C:C,0)))</f>
        <v>0</v>
      </c>
      <c r="J1401" s="7" t="s">
        <v>155</v>
      </c>
      <c r="K1401" s="7" t="s">
        <v>3053</v>
      </c>
      <c r="L1401" s="7" t="s">
        <v>155</v>
      </c>
      <c r="M1401" s="31">
        <v>45716</v>
      </c>
      <c r="N1401" s="7" t="s">
        <v>3054</v>
      </c>
      <c r="O1401" s="8">
        <v>1047</v>
      </c>
      <c r="P1401" s="24">
        <v>6149</v>
      </c>
      <c r="Q1401" s="22">
        <f>IF(COUNTIFS(A$2:A1401,A1401,I$2:I1401,I1401)=1,1,0)</f>
        <v>0</v>
      </c>
      <c r="R1401" s="22">
        <f t="shared" si="21"/>
        <v>6</v>
      </c>
      <c r="S1401" s="33">
        <f>IF(COUNTIF(O$2:O1401,O1401)=1,R1401,0)/2.5</f>
        <v>2.4</v>
      </c>
    </row>
    <row r="1402" spans="1:19" ht="18" customHeight="1" x14ac:dyDescent="0.25">
      <c r="A1402" s="7" t="s">
        <v>43</v>
      </c>
      <c r="B1402" s="8">
        <v>1</v>
      </c>
      <c r="C1402" s="9">
        <v>479.88</v>
      </c>
      <c r="D1402" s="29">
        <f>C1402+IF(INDEX('Справочник по %'!B:B,(MATCH(A1402,'Справочник по %'!A:A,0)))="кол-во",B1402*INDEX('Справочник по %'!C:C,(MATCH(A1402,'Справочник по %'!A:A,0))),ОТЧЕТ!C1402*INDEX('Справочник по %'!C:C,(MATCH(A1402,'Справочник по %'!A:A,0))))/100</f>
        <v>527.86799999999994</v>
      </c>
      <c r="E1402" s="29">
        <f>IF(ОТЧЕТ!A1402="SKU3",C1402+ОТЧЕТ!C1402*0.2,C1402+ОТЧЕТ!C1402*0.15)</f>
        <v>551.86199999999997</v>
      </c>
      <c r="F1402" s="7" t="s">
        <v>3048</v>
      </c>
      <c r="G1402" s="7">
        <v>4632047297</v>
      </c>
      <c r="H1402" s="20" t="s">
        <v>3052</v>
      </c>
      <c r="I1402" s="22">
        <f>INDEX('Справочник Сети'!B:B,(MATCH(G1402,'Справочник Сети'!C:C,0)))</f>
        <v>0</v>
      </c>
      <c r="J1402" s="7" t="s">
        <v>155</v>
      </c>
      <c r="K1402" s="7" t="s">
        <v>3053</v>
      </c>
      <c r="L1402" s="7" t="s">
        <v>155</v>
      </c>
      <c r="M1402" s="31">
        <v>45716</v>
      </c>
      <c r="N1402" s="7" t="s">
        <v>3054</v>
      </c>
      <c r="O1402" s="8">
        <v>1047</v>
      </c>
      <c r="P1402" s="24">
        <v>6149</v>
      </c>
      <c r="Q1402" s="22">
        <f>IF(COUNTIFS(A$2:A1402,A1402,I$2:I1402,I1402)=1,1,0)</f>
        <v>0</v>
      </c>
      <c r="R1402" s="22">
        <f t="shared" si="21"/>
        <v>6</v>
      </c>
      <c r="S1402" s="33">
        <f>IF(COUNTIF(O$2:O1402,O1402)=1,R1402,0)/2.5</f>
        <v>0</v>
      </c>
    </row>
    <row r="1403" spans="1:19" ht="18" customHeight="1" x14ac:dyDescent="0.25">
      <c r="A1403" s="7" t="s">
        <v>37</v>
      </c>
      <c r="B1403" s="8">
        <v>1</v>
      </c>
      <c r="C1403" s="9">
        <v>549</v>
      </c>
      <c r="D1403" s="29">
        <f>C1403+IF(INDEX('Справочник по %'!B:B,(MATCH(A1403,'Справочник по %'!A:A,0)))="кол-во",B1403*INDEX('Справочник по %'!C:C,(MATCH(A1403,'Справочник по %'!A:A,0))),ОТЧЕТ!C1403*INDEX('Справочник по %'!C:C,(MATCH(A1403,'Справочник по %'!A:A,0))))/100</f>
        <v>549.20000000000005</v>
      </c>
      <c r="E1403" s="29">
        <f>IF(ОТЧЕТ!A1403="SKU3",C1403+ОТЧЕТ!C1403*0.2,C1403+ОТЧЕТ!C1403*0.15)</f>
        <v>631.35</v>
      </c>
      <c r="F1403" s="7" t="s">
        <v>3048</v>
      </c>
      <c r="G1403" s="7">
        <v>275912643</v>
      </c>
      <c r="H1403" s="20" t="s">
        <v>2290</v>
      </c>
      <c r="I1403" s="22">
        <f>INDEX('Справочник Сети'!B:B,(MATCH(G1403,'Справочник Сети'!C:C,0)))</f>
        <v>0</v>
      </c>
      <c r="J1403" s="7" t="s">
        <v>362</v>
      </c>
      <c r="K1403" s="7" t="s">
        <v>3018</v>
      </c>
      <c r="L1403" s="7" t="s">
        <v>362</v>
      </c>
      <c r="M1403" s="31">
        <v>45732</v>
      </c>
      <c r="N1403" s="7" t="s">
        <v>3055</v>
      </c>
      <c r="O1403" s="8">
        <v>1077</v>
      </c>
      <c r="P1403" s="24">
        <v>6154</v>
      </c>
      <c r="Q1403" s="22">
        <f>IF(COUNTIFS(A$2:A1403,A1403,I$2:I1403,I1403)=1,1,0)</f>
        <v>0</v>
      </c>
      <c r="R1403" s="22">
        <f t="shared" si="21"/>
        <v>6</v>
      </c>
      <c r="S1403" s="33">
        <f>IF(COUNTIF(O$2:O1403,O1403)=1,R1403,0)/2.5</f>
        <v>0</v>
      </c>
    </row>
    <row r="1404" spans="1:19" ht="18" customHeight="1" x14ac:dyDescent="0.25">
      <c r="A1404" s="7" t="s">
        <v>43</v>
      </c>
      <c r="B1404" s="8">
        <v>1</v>
      </c>
      <c r="C1404" s="9">
        <v>469.9</v>
      </c>
      <c r="D1404" s="29">
        <f>C1404+IF(INDEX('Справочник по %'!B:B,(MATCH(A1404,'Справочник по %'!A:A,0)))="кол-во",B1404*INDEX('Справочник по %'!C:C,(MATCH(A1404,'Справочник по %'!A:A,0))),ОТЧЕТ!C1404*INDEX('Справочник по %'!C:C,(MATCH(A1404,'Справочник по %'!A:A,0))))/100</f>
        <v>516.89</v>
      </c>
      <c r="E1404" s="29">
        <f>IF(ОТЧЕТ!A1404="SKU3",C1404+ОТЧЕТ!C1404*0.2,C1404+ОТЧЕТ!C1404*0.15)</f>
        <v>540.38499999999999</v>
      </c>
      <c r="F1404" s="7" t="s">
        <v>3048</v>
      </c>
      <c r="G1404" s="7">
        <v>4632047297</v>
      </c>
      <c r="H1404" s="20" t="s">
        <v>3052</v>
      </c>
      <c r="I1404" s="22">
        <f>INDEX('Справочник Сети'!B:B,(MATCH(G1404,'Справочник Сети'!C:C,0)))</f>
        <v>0</v>
      </c>
      <c r="J1404" s="7" t="s">
        <v>155</v>
      </c>
      <c r="K1404" s="7" t="s">
        <v>342</v>
      </c>
      <c r="L1404" s="7" t="s">
        <v>155</v>
      </c>
      <c r="M1404" s="31">
        <v>45716</v>
      </c>
      <c r="N1404" s="7" t="s">
        <v>3056</v>
      </c>
      <c r="O1404" s="8">
        <v>1047</v>
      </c>
      <c r="P1404" s="24">
        <v>6156</v>
      </c>
      <c r="Q1404" s="22">
        <f>IF(COUNTIFS(A$2:A1404,A1404,I$2:I1404,I1404)=1,1,0)</f>
        <v>0</v>
      </c>
      <c r="R1404" s="22">
        <f t="shared" si="21"/>
        <v>6</v>
      </c>
      <c r="S1404" s="33">
        <f>IF(COUNTIF(O$2:O1404,O1404)=1,R1404,0)/2.5</f>
        <v>0</v>
      </c>
    </row>
    <row r="1405" spans="1:19" ht="18" customHeight="1" x14ac:dyDescent="0.25">
      <c r="A1405" s="7" t="s">
        <v>37</v>
      </c>
      <c r="B1405" s="8">
        <v>1</v>
      </c>
      <c r="C1405" s="9">
        <v>566.25</v>
      </c>
      <c r="D1405" s="29">
        <f>C1405+IF(INDEX('Справочник по %'!B:B,(MATCH(A1405,'Справочник по %'!A:A,0)))="кол-во",B1405*INDEX('Справочник по %'!C:C,(MATCH(A1405,'Справочник по %'!A:A,0))),ОТЧЕТ!C1405*INDEX('Справочник по %'!C:C,(MATCH(A1405,'Справочник по %'!A:A,0))))/100</f>
        <v>566.45000000000005</v>
      </c>
      <c r="E1405" s="29">
        <f>IF(ОТЧЕТ!A1405="SKU3",C1405+ОТЧЕТ!C1405*0.2,C1405+ОТЧЕТ!C1405*0.15)</f>
        <v>651.1875</v>
      </c>
      <c r="F1405" s="7" t="s">
        <v>3048</v>
      </c>
      <c r="G1405" s="7">
        <v>5902003880</v>
      </c>
      <c r="H1405" s="20" t="s">
        <v>39</v>
      </c>
      <c r="I1405" s="22" t="str">
        <f>INDEX('Справочник Сети'!B:B,(MATCH(G1405,'Справочник Сети'!C:C,0)))</f>
        <v>Ригла</v>
      </c>
      <c r="J1405" s="7" t="s">
        <v>40</v>
      </c>
      <c r="K1405" s="7" t="s">
        <v>1555</v>
      </c>
      <c r="L1405" s="7" t="s">
        <v>40</v>
      </c>
      <c r="M1405" s="31">
        <v>45712</v>
      </c>
      <c r="N1405" s="7" t="s">
        <v>3057</v>
      </c>
      <c r="O1405" s="8">
        <v>1680</v>
      </c>
      <c r="P1405" s="24">
        <v>6157</v>
      </c>
      <c r="Q1405" s="22">
        <f>IF(COUNTIFS(A$2:A1405,A1405,I$2:I1405,I1405)=1,1,0)</f>
        <v>0</v>
      </c>
      <c r="R1405" s="22">
        <f t="shared" si="21"/>
        <v>1</v>
      </c>
      <c r="S1405" s="33">
        <f>IF(COUNTIF(O$2:O1405,O1405)=1,R1405,0)/2.5</f>
        <v>0.4</v>
      </c>
    </row>
    <row r="1406" spans="1:19" ht="18" customHeight="1" x14ac:dyDescent="0.25">
      <c r="A1406" s="7" t="s">
        <v>43</v>
      </c>
      <c r="B1406" s="8">
        <v>1</v>
      </c>
      <c r="C1406" s="9">
        <v>460.54</v>
      </c>
      <c r="D1406" s="29">
        <f>C1406+IF(INDEX('Справочник по %'!B:B,(MATCH(A1406,'Справочник по %'!A:A,0)))="кол-во",B1406*INDEX('Справочник по %'!C:C,(MATCH(A1406,'Справочник по %'!A:A,0))),ОТЧЕТ!C1406*INDEX('Справочник по %'!C:C,(MATCH(A1406,'Справочник по %'!A:A,0))))/100</f>
        <v>506.59400000000005</v>
      </c>
      <c r="E1406" s="29">
        <f>IF(ОТЧЕТ!A1406="SKU3",C1406+ОТЧЕТ!C1406*0.2,C1406+ОТЧЕТ!C1406*0.15)</f>
        <v>529.62099999999998</v>
      </c>
      <c r="F1406" s="7" t="s">
        <v>3048</v>
      </c>
      <c r="G1406" s="7">
        <v>7810468745</v>
      </c>
      <c r="H1406" s="20" t="s">
        <v>700</v>
      </c>
      <c r="I1406" s="22" t="str">
        <f>INDEX('Справочник Сети'!B:B,(MATCH(G1406,'Справочник Сети'!C:C,0)))</f>
        <v>Столички</v>
      </c>
      <c r="J1406" s="7" t="s">
        <v>121</v>
      </c>
      <c r="K1406" s="7" t="s">
        <v>3058</v>
      </c>
      <c r="L1406" s="7" t="s">
        <v>353</v>
      </c>
      <c r="M1406" s="31">
        <v>45672</v>
      </c>
      <c r="N1406" s="7" t="s">
        <v>3059</v>
      </c>
      <c r="O1406" s="8">
        <v>3124</v>
      </c>
      <c r="P1406" s="24">
        <v>6160</v>
      </c>
      <c r="Q1406" s="22">
        <f>IF(COUNTIFS(A$2:A1406,A1406,I$2:I1406,I1406)=1,1,0)</f>
        <v>0</v>
      </c>
      <c r="R1406" s="22">
        <f t="shared" si="21"/>
        <v>2</v>
      </c>
      <c r="S1406" s="33">
        <f>IF(COUNTIF(O$2:O1406,O1406)=1,R1406,0)/2.5</f>
        <v>0</v>
      </c>
    </row>
    <row r="1407" spans="1:19" ht="18" customHeight="1" x14ac:dyDescent="0.25">
      <c r="A1407" s="7" t="s">
        <v>43</v>
      </c>
      <c r="B1407" s="8">
        <v>1</v>
      </c>
      <c r="C1407" s="9">
        <v>514</v>
      </c>
      <c r="D1407" s="29">
        <f>C1407+IF(INDEX('Справочник по %'!B:B,(MATCH(A1407,'Справочник по %'!A:A,0)))="кол-во",B1407*INDEX('Справочник по %'!C:C,(MATCH(A1407,'Справочник по %'!A:A,0))),ОТЧЕТ!C1407*INDEX('Справочник по %'!C:C,(MATCH(A1407,'Справочник по %'!A:A,0))))/100</f>
        <v>565.4</v>
      </c>
      <c r="E1407" s="29">
        <f>IF(ОТЧЕТ!A1407="SKU3",C1407+ОТЧЕТ!C1407*0.2,C1407+ОТЧЕТ!C1407*0.15)</f>
        <v>591.1</v>
      </c>
      <c r="F1407" s="7" t="s">
        <v>3048</v>
      </c>
      <c r="G1407" s="7">
        <v>220300048989</v>
      </c>
      <c r="H1407" s="20" t="s">
        <v>50</v>
      </c>
      <c r="I1407" s="22">
        <f>INDEX('Справочник Сети'!B:B,(MATCH(G1407,'Справочник Сети'!C:C,0)))</f>
        <v>0</v>
      </c>
      <c r="J1407" s="7" t="s">
        <v>74</v>
      </c>
      <c r="K1407" s="7" t="s">
        <v>1793</v>
      </c>
      <c r="L1407" s="7" t="s">
        <v>74</v>
      </c>
      <c r="M1407" s="31">
        <v>45661</v>
      </c>
      <c r="N1407" s="7" t="s">
        <v>1788</v>
      </c>
      <c r="O1407" s="8">
        <v>2</v>
      </c>
      <c r="P1407" s="24">
        <v>6163</v>
      </c>
      <c r="Q1407" s="22">
        <f>IF(COUNTIFS(A$2:A1407,A1407,I$2:I1407,I1407)=1,1,0)</f>
        <v>0</v>
      </c>
      <c r="R1407" s="22">
        <f t="shared" si="21"/>
        <v>5</v>
      </c>
      <c r="S1407" s="33">
        <f>IF(COUNTIF(O$2:O1407,O1407)=1,R1407,0)/2.5</f>
        <v>0</v>
      </c>
    </row>
    <row r="1408" spans="1:19" ht="18" customHeight="1" x14ac:dyDescent="0.25">
      <c r="A1408" s="7" t="s">
        <v>43</v>
      </c>
      <c r="B1408" s="8">
        <v>1</v>
      </c>
      <c r="C1408" s="9">
        <v>464</v>
      </c>
      <c r="D1408" s="29">
        <f>C1408+IF(INDEX('Справочник по %'!B:B,(MATCH(A1408,'Справочник по %'!A:A,0)))="кол-во",B1408*INDEX('Справочник по %'!C:C,(MATCH(A1408,'Справочник по %'!A:A,0))),ОТЧЕТ!C1408*INDEX('Справочник по %'!C:C,(MATCH(A1408,'Справочник по %'!A:A,0))))/100</f>
        <v>510.4</v>
      </c>
      <c r="E1408" s="29">
        <f>IF(ОТЧЕТ!A1408="SKU3",C1408+ОТЧЕТ!C1408*0.2,C1408+ОТЧЕТ!C1408*0.15)</f>
        <v>533.6</v>
      </c>
      <c r="F1408" s="7" t="s">
        <v>3048</v>
      </c>
      <c r="G1408" s="7">
        <v>6321303671</v>
      </c>
      <c r="H1408" s="20" t="s">
        <v>50</v>
      </c>
      <c r="I1408" s="22">
        <f>INDEX('Справочник Сети'!B:B,(MATCH(G1408,'Справочник Сети'!C:C,0)))</f>
        <v>0</v>
      </c>
      <c r="J1408" s="7" t="s">
        <v>133</v>
      </c>
      <c r="K1408" s="7" t="s">
        <v>1832</v>
      </c>
      <c r="L1408" s="7" t="s">
        <v>133</v>
      </c>
      <c r="M1408" s="31">
        <v>45695</v>
      </c>
      <c r="N1408" s="7" t="s">
        <v>3060</v>
      </c>
      <c r="O1408" s="8">
        <v>3521</v>
      </c>
      <c r="P1408" s="24">
        <v>6168</v>
      </c>
      <c r="Q1408" s="22">
        <f>IF(COUNTIFS(A$2:A1408,A1408,I$2:I1408,I1408)=1,1,0)</f>
        <v>0</v>
      </c>
      <c r="R1408" s="22">
        <f t="shared" si="21"/>
        <v>1</v>
      </c>
      <c r="S1408" s="33">
        <f>IF(COUNTIF(O$2:O1408,O1408)=1,R1408,0)/2.5</f>
        <v>0.4</v>
      </c>
    </row>
    <row r="1409" spans="1:19" ht="18" customHeight="1" x14ac:dyDescent="0.25">
      <c r="A1409" s="7" t="s">
        <v>37</v>
      </c>
      <c r="B1409" s="8">
        <v>1</v>
      </c>
      <c r="C1409" s="9">
        <v>548</v>
      </c>
      <c r="D1409" s="29">
        <f>C1409+IF(INDEX('Справочник по %'!B:B,(MATCH(A1409,'Справочник по %'!A:A,0)))="кол-во",B1409*INDEX('Справочник по %'!C:C,(MATCH(A1409,'Справочник по %'!A:A,0))),ОТЧЕТ!C1409*INDEX('Справочник по %'!C:C,(MATCH(A1409,'Справочник по %'!A:A,0))))/100</f>
        <v>548.20000000000005</v>
      </c>
      <c r="E1409" s="29">
        <f>IF(ОТЧЕТ!A1409="SKU3",C1409+ОТЧЕТ!C1409*0.2,C1409+ОТЧЕТ!C1409*0.15)</f>
        <v>630.20000000000005</v>
      </c>
      <c r="F1409" s="7" t="s">
        <v>3048</v>
      </c>
      <c r="G1409" s="7">
        <v>7706795062</v>
      </c>
      <c r="H1409" s="20" t="s">
        <v>3061</v>
      </c>
      <c r="I1409" s="22" t="str">
        <f>INDEX('Справочник Сети'!B:B,(MATCH(G1409,'Справочник Сети'!C:C,0)))</f>
        <v>Планета здоровья</v>
      </c>
      <c r="J1409" s="7" t="s">
        <v>87</v>
      </c>
      <c r="K1409" s="7" t="s">
        <v>189</v>
      </c>
      <c r="L1409" s="7" t="s">
        <v>87</v>
      </c>
      <c r="M1409" s="31">
        <v>45691</v>
      </c>
      <c r="N1409" s="7" t="s">
        <v>3062</v>
      </c>
      <c r="O1409" s="8">
        <v>2608</v>
      </c>
      <c r="P1409" s="24">
        <v>6175</v>
      </c>
      <c r="Q1409" s="22">
        <f>IF(COUNTIFS(A$2:A1409,A1409,I$2:I1409,I1409)=1,1,0)</f>
        <v>0</v>
      </c>
      <c r="R1409" s="22">
        <f t="shared" si="21"/>
        <v>3</v>
      </c>
      <c r="S1409" s="33">
        <f>IF(COUNTIF(O$2:O1409,O1409)=1,R1409,0)/2.5</f>
        <v>1.2</v>
      </c>
    </row>
    <row r="1410" spans="1:19" ht="18" customHeight="1" x14ac:dyDescent="0.25">
      <c r="A1410" s="7" t="s">
        <v>43</v>
      </c>
      <c r="B1410" s="8">
        <v>1</v>
      </c>
      <c r="C1410" s="9">
        <v>480.5</v>
      </c>
      <c r="D1410" s="29">
        <f>C1410+IF(INDEX('Справочник по %'!B:B,(MATCH(A1410,'Справочник по %'!A:A,0)))="кол-во",B1410*INDEX('Справочник по %'!C:C,(MATCH(A1410,'Справочник по %'!A:A,0))),ОТЧЕТ!C1410*INDEX('Справочник по %'!C:C,(MATCH(A1410,'Справочник по %'!A:A,0))))/100</f>
        <v>528.54999999999995</v>
      </c>
      <c r="E1410" s="29">
        <f>IF(ОТЧЕТ!A1410="SKU3",C1410+ОТЧЕТ!C1410*0.2,C1410+ОТЧЕТ!C1410*0.15)</f>
        <v>552.57500000000005</v>
      </c>
      <c r="F1410" s="7" t="s">
        <v>3048</v>
      </c>
      <c r="G1410" s="7">
        <v>7839481347</v>
      </c>
      <c r="H1410" s="20" t="s">
        <v>50</v>
      </c>
      <c r="I1410" s="22" t="str">
        <f>INDEX('Справочник Сети'!B:B,(MATCH(G1410,'Справочник Сети'!C:C,0)))</f>
        <v>Ригла</v>
      </c>
      <c r="J1410" s="7" t="s">
        <v>315</v>
      </c>
      <c r="K1410" s="7" t="s">
        <v>3063</v>
      </c>
      <c r="L1410" s="7" t="s">
        <v>121</v>
      </c>
      <c r="M1410" s="31">
        <v>45671</v>
      </c>
      <c r="N1410" s="7" t="s">
        <v>3064</v>
      </c>
      <c r="O1410" s="8">
        <v>3143</v>
      </c>
      <c r="P1410" s="24">
        <v>6177</v>
      </c>
      <c r="Q1410" s="22">
        <f>IF(COUNTIFS(A$2:A1410,A1410,I$2:I1410,I1410)=1,1,0)</f>
        <v>0</v>
      </c>
      <c r="R1410" s="22">
        <f t="shared" si="21"/>
        <v>2</v>
      </c>
      <c r="S1410" s="33">
        <f>IF(COUNTIF(O$2:O1410,O1410)=1,R1410,0)/2.5</f>
        <v>0.8</v>
      </c>
    </row>
    <row r="1411" spans="1:19" ht="18" customHeight="1" x14ac:dyDescent="0.25">
      <c r="A1411" s="7" t="s">
        <v>43</v>
      </c>
      <c r="B1411" s="8">
        <v>1</v>
      </c>
      <c r="C1411" s="9">
        <v>412</v>
      </c>
      <c r="D1411" s="29">
        <f>C1411+IF(INDEX('Справочник по %'!B:B,(MATCH(A1411,'Справочник по %'!A:A,0)))="кол-во",B1411*INDEX('Справочник по %'!C:C,(MATCH(A1411,'Справочник по %'!A:A,0))),ОТЧЕТ!C1411*INDEX('Справочник по %'!C:C,(MATCH(A1411,'Справочник по %'!A:A,0))))/100</f>
        <v>453.2</v>
      </c>
      <c r="E1411" s="29">
        <f>IF(ОТЧЕТ!A1411="SKU3",C1411+ОТЧЕТ!C1411*0.2,C1411+ОТЧЕТ!C1411*0.15)</f>
        <v>473.8</v>
      </c>
      <c r="F1411" s="7" t="s">
        <v>3065</v>
      </c>
      <c r="G1411" s="7">
        <v>2310200444</v>
      </c>
      <c r="H1411" s="20" t="s">
        <v>69</v>
      </c>
      <c r="I1411" s="22" t="str">
        <f>INDEX('Справочник Сети'!B:B,(MATCH(G1411,'Справочник Сети'!C:C,0)))</f>
        <v>Планета здоровья</v>
      </c>
      <c r="J1411" s="7" t="s">
        <v>70</v>
      </c>
      <c r="K1411" s="7" t="s">
        <v>663</v>
      </c>
      <c r="L1411" s="7" t="s">
        <v>57</v>
      </c>
      <c r="M1411" s="31">
        <v>45729</v>
      </c>
      <c r="N1411" s="7" t="s">
        <v>3066</v>
      </c>
      <c r="O1411" s="8">
        <v>278</v>
      </c>
      <c r="P1411" s="24">
        <v>6178</v>
      </c>
      <c r="Q1411" s="22">
        <f>IF(COUNTIFS(A$2:A1411,A1411,I$2:I1411,I1411)=1,1,0)</f>
        <v>0</v>
      </c>
      <c r="R1411" s="22">
        <f t="shared" ref="R1411:R1474" si="22">COUNTIF(O:O,O1411)</f>
        <v>1</v>
      </c>
      <c r="S1411" s="33">
        <f>IF(COUNTIF(O$2:O1411,O1411)=1,R1411,0)/2.5</f>
        <v>0.4</v>
      </c>
    </row>
    <row r="1412" spans="1:19" ht="18" customHeight="1" x14ac:dyDescent="0.25">
      <c r="A1412" s="7" t="s">
        <v>43</v>
      </c>
      <c r="B1412" s="8">
        <v>1</v>
      </c>
      <c r="C1412" s="9">
        <v>419</v>
      </c>
      <c r="D1412" s="29">
        <f>C1412+IF(INDEX('Справочник по %'!B:B,(MATCH(A1412,'Справочник по %'!A:A,0)))="кол-во",B1412*INDEX('Справочник по %'!C:C,(MATCH(A1412,'Справочник по %'!A:A,0))),ОТЧЕТ!C1412*INDEX('Справочник по %'!C:C,(MATCH(A1412,'Справочник по %'!A:A,0))))/100</f>
        <v>460.9</v>
      </c>
      <c r="E1412" s="29">
        <f>IF(ОТЧЕТ!A1412="SKU3",C1412+ОТЧЕТ!C1412*0.2,C1412+ОТЧЕТ!C1412*0.15)</f>
        <v>481.85</v>
      </c>
      <c r="F1412" s="7" t="s">
        <v>3065</v>
      </c>
      <c r="G1412" s="7">
        <v>5902862610</v>
      </c>
      <c r="H1412" s="20" t="s">
        <v>39</v>
      </c>
      <c r="I1412" s="22">
        <f>INDEX('Справочник Сети'!B:B,(MATCH(G1412,'Справочник Сети'!C:C,0)))</f>
        <v>0</v>
      </c>
      <c r="J1412" s="7" t="s">
        <v>40</v>
      </c>
      <c r="K1412" s="7" t="s">
        <v>325</v>
      </c>
      <c r="L1412" s="7" t="s">
        <v>40</v>
      </c>
      <c r="M1412" s="31">
        <v>45712</v>
      </c>
      <c r="N1412" s="7" t="s">
        <v>3067</v>
      </c>
      <c r="O1412" s="8">
        <v>1432</v>
      </c>
      <c r="P1412" s="24">
        <v>6179</v>
      </c>
      <c r="Q1412" s="22">
        <f>IF(COUNTIFS(A$2:A1412,A1412,I$2:I1412,I1412)=1,1,0)</f>
        <v>0</v>
      </c>
      <c r="R1412" s="22">
        <f t="shared" si="22"/>
        <v>1</v>
      </c>
      <c r="S1412" s="33">
        <f>IF(COUNTIF(O$2:O1412,O1412)=1,R1412,0)/2.5</f>
        <v>0.4</v>
      </c>
    </row>
    <row r="1413" spans="1:19" ht="18" customHeight="1" x14ac:dyDescent="0.25">
      <c r="A1413" s="7" t="s">
        <v>43</v>
      </c>
      <c r="B1413" s="8">
        <v>1</v>
      </c>
      <c r="C1413" s="9">
        <v>434.96</v>
      </c>
      <c r="D1413" s="29">
        <f>C1413+IF(INDEX('Справочник по %'!B:B,(MATCH(A1413,'Справочник по %'!A:A,0)))="кол-во",B1413*INDEX('Справочник по %'!C:C,(MATCH(A1413,'Справочник по %'!A:A,0))),ОТЧЕТ!C1413*INDEX('Справочник по %'!C:C,(MATCH(A1413,'Справочник по %'!A:A,0))))/100</f>
        <v>478.45599999999996</v>
      </c>
      <c r="E1413" s="29">
        <f>IF(ОТЧЕТ!A1413="SKU3",C1413+ОТЧЕТ!C1413*0.2,C1413+ОТЧЕТ!C1413*0.15)</f>
        <v>500.20399999999995</v>
      </c>
      <c r="F1413" s="7" t="s">
        <v>3065</v>
      </c>
      <c r="G1413" s="7">
        <v>235100187194</v>
      </c>
      <c r="H1413" s="20" t="s">
        <v>91</v>
      </c>
      <c r="I1413" s="22" t="str">
        <f>INDEX('Справочник Сети'!B:B,(MATCH(G1413,'Справочник Сети'!C:C,0)))</f>
        <v>Нео-фарм</v>
      </c>
      <c r="J1413" s="7" t="s">
        <v>74</v>
      </c>
      <c r="K1413" s="7" t="s">
        <v>1124</v>
      </c>
      <c r="L1413" s="7" t="s">
        <v>74</v>
      </c>
      <c r="M1413" s="31">
        <v>45661</v>
      </c>
      <c r="N1413" s="7" t="s">
        <v>3068</v>
      </c>
      <c r="O1413" s="8">
        <v>1092</v>
      </c>
      <c r="P1413" s="24">
        <v>6181</v>
      </c>
      <c r="Q1413" s="22">
        <f>IF(COUNTIFS(A$2:A1413,A1413,I$2:I1413,I1413)=1,1,0)</f>
        <v>0</v>
      </c>
      <c r="R1413" s="22">
        <f t="shared" si="22"/>
        <v>5</v>
      </c>
      <c r="S1413" s="33">
        <f>IF(COUNTIF(O$2:O1413,O1413)=1,R1413,0)/2.5</f>
        <v>0</v>
      </c>
    </row>
    <row r="1414" spans="1:19" ht="18" customHeight="1" x14ac:dyDescent="0.25">
      <c r="A1414" s="7" t="s">
        <v>43</v>
      </c>
      <c r="B1414" s="8">
        <v>1</v>
      </c>
      <c r="C1414" s="9">
        <v>485</v>
      </c>
      <c r="D1414" s="29">
        <f>C1414+IF(INDEX('Справочник по %'!B:B,(MATCH(A1414,'Справочник по %'!A:A,0)))="кол-во",B1414*INDEX('Справочник по %'!C:C,(MATCH(A1414,'Справочник по %'!A:A,0))),ОТЧЕТ!C1414*INDEX('Справочник по %'!C:C,(MATCH(A1414,'Справочник по %'!A:A,0))))/100</f>
        <v>533.5</v>
      </c>
      <c r="E1414" s="29">
        <f>IF(ОТЧЕТ!A1414="SKU3",C1414+ОТЧЕТ!C1414*0.2,C1414+ОТЧЕТ!C1414*0.15)</f>
        <v>557.75</v>
      </c>
      <c r="F1414" s="7" t="s">
        <v>3069</v>
      </c>
      <c r="G1414" s="7">
        <v>6162056110</v>
      </c>
      <c r="H1414" s="20" t="s">
        <v>965</v>
      </c>
      <c r="I1414" s="22">
        <f>INDEX('Справочник Сети'!B:B,(MATCH(G1414,'Справочник Сети'!C:C,0)))</f>
        <v>0</v>
      </c>
      <c r="J1414" s="7" t="s">
        <v>520</v>
      </c>
      <c r="K1414" s="7" t="s">
        <v>1805</v>
      </c>
      <c r="L1414" s="7" t="s">
        <v>520</v>
      </c>
      <c r="M1414" s="31">
        <v>45697</v>
      </c>
      <c r="N1414" s="7" t="s">
        <v>3070</v>
      </c>
      <c r="O1414" s="8">
        <v>1572</v>
      </c>
      <c r="P1414" s="24">
        <v>6182</v>
      </c>
      <c r="Q1414" s="22">
        <f>IF(COUNTIFS(A$2:A1414,A1414,I$2:I1414,I1414)=1,1,0)</f>
        <v>0</v>
      </c>
      <c r="R1414" s="22">
        <f t="shared" si="22"/>
        <v>4</v>
      </c>
      <c r="S1414" s="33">
        <f>IF(COUNTIF(O$2:O1414,O1414)=1,R1414,0)/2.5</f>
        <v>0</v>
      </c>
    </row>
    <row r="1415" spans="1:19" ht="18" customHeight="1" x14ac:dyDescent="0.25">
      <c r="A1415" s="7" t="s">
        <v>43</v>
      </c>
      <c r="B1415" s="8">
        <v>1</v>
      </c>
      <c r="C1415" s="9">
        <v>440.68</v>
      </c>
      <c r="D1415" s="29">
        <f>C1415+IF(INDEX('Справочник по %'!B:B,(MATCH(A1415,'Справочник по %'!A:A,0)))="кол-во",B1415*INDEX('Справочник по %'!C:C,(MATCH(A1415,'Справочник по %'!A:A,0))),ОТЧЕТ!C1415*INDEX('Справочник по %'!C:C,(MATCH(A1415,'Справочник по %'!A:A,0))))/100</f>
        <v>484.74799999999999</v>
      </c>
      <c r="E1415" s="29">
        <f>IF(ОТЧЕТ!A1415="SKU3",C1415+ОТЧЕТ!C1415*0.2,C1415+ОТЧЕТ!C1415*0.15)</f>
        <v>506.78200000000004</v>
      </c>
      <c r="F1415" s="7" t="s">
        <v>3071</v>
      </c>
      <c r="G1415" s="7">
        <v>7840368240</v>
      </c>
      <c r="H1415" s="20" t="s">
        <v>3072</v>
      </c>
      <c r="I1415" s="22" t="str">
        <f>INDEX('Справочник Сети'!B:B,(MATCH(G1415,'Справочник Сети'!C:C,0)))</f>
        <v>Ригла</v>
      </c>
      <c r="J1415" s="7" t="s">
        <v>315</v>
      </c>
      <c r="K1415" s="7" t="s">
        <v>1717</v>
      </c>
      <c r="L1415" s="7" t="s">
        <v>121</v>
      </c>
      <c r="M1415" s="31">
        <v>45671</v>
      </c>
      <c r="N1415" s="7" t="s">
        <v>3073</v>
      </c>
      <c r="O1415" s="8">
        <v>942</v>
      </c>
      <c r="P1415" s="24">
        <v>6186</v>
      </c>
      <c r="Q1415" s="22">
        <f>IF(COUNTIFS(A$2:A1415,A1415,I$2:I1415,I1415)=1,1,0)</f>
        <v>0</v>
      </c>
      <c r="R1415" s="22">
        <f t="shared" si="22"/>
        <v>2</v>
      </c>
      <c r="S1415" s="33">
        <f>IF(COUNTIF(O$2:O1415,O1415)=1,R1415,0)/2.5</f>
        <v>0.8</v>
      </c>
    </row>
    <row r="1416" spans="1:19" ht="18" customHeight="1" x14ac:dyDescent="0.25">
      <c r="A1416" s="7" t="s">
        <v>37</v>
      </c>
      <c r="B1416" s="8">
        <v>1</v>
      </c>
      <c r="C1416" s="9">
        <v>589</v>
      </c>
      <c r="D1416" s="29">
        <f>C1416+IF(INDEX('Справочник по %'!B:B,(MATCH(A1416,'Справочник по %'!A:A,0)))="кол-во",B1416*INDEX('Справочник по %'!C:C,(MATCH(A1416,'Справочник по %'!A:A,0))),ОТЧЕТ!C1416*INDEX('Справочник по %'!C:C,(MATCH(A1416,'Справочник по %'!A:A,0))))/100</f>
        <v>589.20000000000005</v>
      </c>
      <c r="E1416" s="29">
        <f>IF(ОТЧЕТ!A1416="SKU3",C1416+ОТЧЕТ!C1416*0.2,C1416+ОТЧЕТ!C1416*0.15)</f>
        <v>677.35</v>
      </c>
      <c r="F1416" s="7" t="s">
        <v>3071</v>
      </c>
      <c r="G1416" s="7">
        <v>7732121736</v>
      </c>
      <c r="H1416" s="20" t="s">
        <v>1984</v>
      </c>
      <c r="I1416" s="22" t="str">
        <f>INDEX('Справочник Сети'!B:B,(MATCH(G1416,'Справочник Сети'!C:C,0)))</f>
        <v>Планета здоровья</v>
      </c>
      <c r="J1416" s="7" t="s">
        <v>149</v>
      </c>
      <c r="K1416" s="7" t="s">
        <v>172</v>
      </c>
      <c r="L1416" s="7" t="s">
        <v>149</v>
      </c>
      <c r="M1416" s="31">
        <v>45673</v>
      </c>
      <c r="N1416" s="7" t="s">
        <v>3074</v>
      </c>
      <c r="O1416" s="8">
        <v>1794</v>
      </c>
      <c r="P1416" s="24">
        <v>6189</v>
      </c>
      <c r="Q1416" s="22">
        <f>IF(COUNTIFS(A$2:A1416,A1416,I$2:I1416,I1416)=1,1,0)</f>
        <v>0</v>
      </c>
      <c r="R1416" s="22">
        <f t="shared" si="22"/>
        <v>4</v>
      </c>
      <c r="S1416" s="33">
        <f>IF(COUNTIF(O$2:O1416,O1416)=1,R1416,0)/2.5</f>
        <v>0</v>
      </c>
    </row>
    <row r="1417" spans="1:19" ht="18" customHeight="1" x14ac:dyDescent="0.25">
      <c r="A1417" s="7" t="s">
        <v>43</v>
      </c>
      <c r="B1417" s="8">
        <v>1</v>
      </c>
      <c r="C1417" s="9">
        <v>435</v>
      </c>
      <c r="D1417" s="29">
        <f>C1417+IF(INDEX('Справочник по %'!B:B,(MATCH(A1417,'Справочник по %'!A:A,0)))="кол-во",B1417*INDEX('Справочник по %'!C:C,(MATCH(A1417,'Справочник по %'!A:A,0))),ОТЧЕТ!C1417*INDEX('Справочник по %'!C:C,(MATCH(A1417,'Справочник по %'!A:A,0))))/100</f>
        <v>478.5</v>
      </c>
      <c r="E1417" s="29">
        <f>IF(ОТЧЕТ!A1417="SKU3",C1417+ОТЧЕТ!C1417*0.2,C1417+ОТЧЕТ!C1417*0.15)</f>
        <v>500.25</v>
      </c>
      <c r="F1417" s="7" t="s">
        <v>3071</v>
      </c>
      <c r="G1417" s="7">
        <v>2302061194</v>
      </c>
      <c r="H1417" s="20" t="s">
        <v>3075</v>
      </c>
      <c r="I1417" s="22">
        <f>INDEX('Справочник Сети'!B:B,(MATCH(G1417,'Справочник Сети'!C:C,0)))</f>
        <v>0</v>
      </c>
      <c r="J1417" s="7" t="s">
        <v>372</v>
      </c>
      <c r="K1417" s="7" t="s">
        <v>748</v>
      </c>
      <c r="L1417" s="7" t="s">
        <v>372</v>
      </c>
      <c r="M1417" s="31">
        <v>45730</v>
      </c>
      <c r="N1417" s="7" t="s">
        <v>3076</v>
      </c>
      <c r="O1417" s="8">
        <v>2936</v>
      </c>
      <c r="P1417" s="24">
        <v>6195</v>
      </c>
      <c r="Q1417" s="22">
        <f>IF(COUNTIFS(A$2:A1417,A1417,I$2:I1417,I1417)=1,1,0)</f>
        <v>0</v>
      </c>
      <c r="R1417" s="22">
        <f t="shared" si="22"/>
        <v>1</v>
      </c>
      <c r="S1417" s="33">
        <f>IF(COUNTIF(O$2:O1417,O1417)=1,R1417,0)/2.5</f>
        <v>0.4</v>
      </c>
    </row>
    <row r="1418" spans="1:19" ht="18" customHeight="1" x14ac:dyDescent="0.25">
      <c r="A1418" s="7" t="s">
        <v>43</v>
      </c>
      <c r="B1418" s="8">
        <v>1</v>
      </c>
      <c r="C1418" s="9">
        <v>433</v>
      </c>
      <c r="D1418" s="29">
        <f>C1418+IF(INDEX('Справочник по %'!B:B,(MATCH(A1418,'Справочник по %'!A:A,0)))="кол-во",B1418*INDEX('Справочник по %'!C:C,(MATCH(A1418,'Справочник по %'!A:A,0))),ОТЧЕТ!C1418*INDEX('Справочник по %'!C:C,(MATCH(A1418,'Справочник по %'!A:A,0))))/100</f>
        <v>476.3</v>
      </c>
      <c r="E1418" s="29">
        <f>IF(ОТЧЕТ!A1418="SKU3",C1418+ОТЧЕТ!C1418*0.2,C1418+ОТЧЕТ!C1418*0.15)</f>
        <v>497.95</v>
      </c>
      <c r="F1418" s="7" t="s">
        <v>3071</v>
      </c>
      <c r="G1418" s="7">
        <v>6673189463</v>
      </c>
      <c r="H1418" s="20" t="s">
        <v>2638</v>
      </c>
      <c r="I1418" s="22" t="str">
        <f>INDEX('Справочник Сети'!B:B,(MATCH(G1418,'Справочник Сети'!C:C,0)))</f>
        <v>Нео-фарм</v>
      </c>
      <c r="J1418" s="7" t="s">
        <v>133</v>
      </c>
      <c r="K1418" s="7" t="s">
        <v>1631</v>
      </c>
      <c r="L1418" s="7" t="s">
        <v>133</v>
      </c>
      <c r="M1418" s="31">
        <v>45695</v>
      </c>
      <c r="N1418" s="7" t="s">
        <v>3077</v>
      </c>
      <c r="O1418" s="8">
        <v>1964</v>
      </c>
      <c r="P1418" s="24">
        <v>6196</v>
      </c>
      <c r="Q1418" s="22">
        <f>IF(COUNTIFS(A$2:A1418,A1418,I$2:I1418,I1418)=1,1,0)</f>
        <v>0</v>
      </c>
      <c r="R1418" s="22">
        <f t="shared" si="22"/>
        <v>2</v>
      </c>
      <c r="S1418" s="33">
        <f>IF(COUNTIF(O$2:O1418,O1418)=1,R1418,0)/2.5</f>
        <v>0.8</v>
      </c>
    </row>
    <row r="1419" spans="1:19" ht="18" customHeight="1" x14ac:dyDescent="0.25">
      <c r="A1419" s="7" t="s">
        <v>37</v>
      </c>
      <c r="B1419" s="8">
        <v>1</v>
      </c>
      <c r="C1419" s="9">
        <v>514</v>
      </c>
      <c r="D1419" s="29">
        <f>C1419+IF(INDEX('Справочник по %'!B:B,(MATCH(A1419,'Справочник по %'!A:A,0)))="кол-во",B1419*INDEX('Справочник по %'!C:C,(MATCH(A1419,'Справочник по %'!A:A,0))),ОТЧЕТ!C1419*INDEX('Справочник по %'!C:C,(MATCH(A1419,'Справочник по %'!A:A,0))))/100</f>
        <v>514.20000000000005</v>
      </c>
      <c r="E1419" s="29">
        <f>IF(ОТЧЕТ!A1419="SKU3",C1419+ОТЧЕТ!C1419*0.2,C1419+ОТЧЕТ!C1419*0.15)</f>
        <v>591.1</v>
      </c>
      <c r="F1419" s="7" t="s">
        <v>3071</v>
      </c>
      <c r="G1419" s="7">
        <v>7706795062</v>
      </c>
      <c r="H1419" s="20" t="s">
        <v>69</v>
      </c>
      <c r="I1419" s="22" t="str">
        <f>INDEX('Справочник Сети'!B:B,(MATCH(G1419,'Справочник Сети'!C:C,0)))</f>
        <v>Планета здоровья</v>
      </c>
      <c r="J1419" s="7" t="s">
        <v>87</v>
      </c>
      <c r="K1419" s="7" t="s">
        <v>200</v>
      </c>
      <c r="L1419" s="7" t="s">
        <v>116</v>
      </c>
      <c r="M1419" s="31">
        <v>45692</v>
      </c>
      <c r="N1419" s="7" t="s">
        <v>3078</v>
      </c>
      <c r="O1419" s="8">
        <v>1003</v>
      </c>
      <c r="P1419" s="24">
        <v>6198</v>
      </c>
      <c r="Q1419" s="22">
        <f>IF(COUNTIFS(A$2:A1419,A1419,I$2:I1419,I1419)=1,1,0)</f>
        <v>0</v>
      </c>
      <c r="R1419" s="22">
        <f t="shared" si="22"/>
        <v>1</v>
      </c>
      <c r="S1419" s="33">
        <f>IF(COUNTIF(O$2:O1419,O1419)=1,R1419,0)/2.5</f>
        <v>0.4</v>
      </c>
    </row>
    <row r="1420" spans="1:19" ht="18" customHeight="1" x14ac:dyDescent="0.25">
      <c r="A1420" s="7" t="s">
        <v>43</v>
      </c>
      <c r="B1420" s="8">
        <v>1</v>
      </c>
      <c r="C1420" s="9">
        <v>379</v>
      </c>
      <c r="D1420" s="29">
        <f>C1420+IF(INDEX('Справочник по %'!B:B,(MATCH(A1420,'Справочник по %'!A:A,0)))="кол-во",B1420*INDEX('Справочник по %'!C:C,(MATCH(A1420,'Справочник по %'!A:A,0))),ОТЧЕТ!C1420*INDEX('Справочник по %'!C:C,(MATCH(A1420,'Справочник по %'!A:A,0))))/100</f>
        <v>416.9</v>
      </c>
      <c r="E1420" s="29">
        <f>IF(ОТЧЕТ!A1420="SKU3",C1420+ОТЧЕТ!C1420*0.2,C1420+ОТЧЕТ!C1420*0.15)</f>
        <v>435.85</v>
      </c>
      <c r="F1420" s="7" t="s">
        <v>3071</v>
      </c>
      <c r="G1420" s="7">
        <v>7732121736</v>
      </c>
      <c r="H1420" s="20" t="s">
        <v>3079</v>
      </c>
      <c r="I1420" s="22" t="str">
        <f>INDEX('Справочник Сети'!B:B,(MATCH(G1420,'Справочник Сети'!C:C,0)))</f>
        <v>Планета здоровья</v>
      </c>
      <c r="J1420" s="7" t="s">
        <v>149</v>
      </c>
      <c r="K1420" s="7" t="s">
        <v>2459</v>
      </c>
      <c r="L1420" s="7" t="s">
        <v>142</v>
      </c>
      <c r="M1420" s="31">
        <v>45674</v>
      </c>
      <c r="N1420" s="7" t="s">
        <v>3080</v>
      </c>
      <c r="O1420" s="8">
        <v>465</v>
      </c>
      <c r="P1420" s="24">
        <v>6201</v>
      </c>
      <c r="Q1420" s="22">
        <f>IF(COUNTIFS(A$2:A1420,A1420,I$2:I1420,I1420)=1,1,0)</f>
        <v>0</v>
      </c>
      <c r="R1420" s="22">
        <f t="shared" si="22"/>
        <v>1</v>
      </c>
      <c r="S1420" s="33">
        <f>IF(COUNTIF(O$2:O1420,O1420)=1,R1420,0)/2.5</f>
        <v>0.4</v>
      </c>
    </row>
    <row r="1421" spans="1:19" ht="18" customHeight="1" x14ac:dyDescent="0.25">
      <c r="A1421" s="7" t="s">
        <v>43</v>
      </c>
      <c r="B1421" s="8">
        <v>1</v>
      </c>
      <c r="C1421" s="9">
        <v>409</v>
      </c>
      <c r="D1421" s="29">
        <f>C1421+IF(INDEX('Справочник по %'!B:B,(MATCH(A1421,'Справочник по %'!A:A,0)))="кол-во",B1421*INDEX('Справочник по %'!C:C,(MATCH(A1421,'Справочник по %'!A:A,0))),ОТЧЕТ!C1421*INDEX('Справочник по %'!C:C,(MATCH(A1421,'Справочник по %'!A:A,0))))/100</f>
        <v>449.9</v>
      </c>
      <c r="E1421" s="29">
        <f>IF(ОТЧЕТ!A1421="SKU3",C1421+ОТЧЕТ!C1421*0.2,C1421+ОТЧЕТ!C1421*0.15)</f>
        <v>470.35</v>
      </c>
      <c r="F1421" s="7" t="s">
        <v>3071</v>
      </c>
      <c r="G1421" s="7">
        <v>2310200444</v>
      </c>
      <c r="H1421" s="20" t="s">
        <v>69</v>
      </c>
      <c r="I1421" s="22" t="str">
        <f>INDEX('Справочник Сети'!B:B,(MATCH(G1421,'Справочник Сети'!C:C,0)))</f>
        <v>Планета здоровья</v>
      </c>
      <c r="J1421" s="7" t="s">
        <v>70</v>
      </c>
      <c r="K1421" s="7" t="s">
        <v>3081</v>
      </c>
      <c r="L1421" s="7" t="s">
        <v>57</v>
      </c>
      <c r="M1421" s="31">
        <v>45729</v>
      </c>
      <c r="N1421" s="7" t="s">
        <v>3082</v>
      </c>
      <c r="O1421" s="8">
        <v>548</v>
      </c>
      <c r="P1421" s="24">
        <v>6204</v>
      </c>
      <c r="Q1421" s="22">
        <f>IF(COUNTIFS(A$2:A1421,A1421,I$2:I1421,I1421)=1,1,0)</f>
        <v>0</v>
      </c>
      <c r="R1421" s="22">
        <f t="shared" si="22"/>
        <v>4</v>
      </c>
      <c r="S1421" s="33">
        <f>IF(COUNTIF(O$2:O1421,O1421)=1,R1421,0)/2.5</f>
        <v>0</v>
      </c>
    </row>
    <row r="1422" spans="1:19" ht="18" customHeight="1" x14ac:dyDescent="0.25">
      <c r="A1422" s="7" t="s">
        <v>37</v>
      </c>
      <c r="B1422" s="8">
        <v>1</v>
      </c>
      <c r="C1422" s="9">
        <v>528</v>
      </c>
      <c r="D1422" s="29">
        <f>C1422+IF(INDEX('Справочник по %'!B:B,(MATCH(A1422,'Справочник по %'!A:A,0)))="кол-во",B1422*INDEX('Справочник по %'!C:C,(MATCH(A1422,'Справочник по %'!A:A,0))),ОТЧЕТ!C1422*INDEX('Справочник по %'!C:C,(MATCH(A1422,'Справочник по %'!A:A,0))))/100</f>
        <v>528.20000000000005</v>
      </c>
      <c r="E1422" s="29">
        <f>IF(ОТЧЕТ!A1422="SKU3",C1422+ОТЧЕТ!C1422*0.2,C1422+ОТЧЕТ!C1422*0.15)</f>
        <v>607.20000000000005</v>
      </c>
      <c r="F1422" s="7" t="s">
        <v>3071</v>
      </c>
      <c r="G1422" s="7">
        <v>7732121736</v>
      </c>
      <c r="H1422" s="20" t="s">
        <v>1769</v>
      </c>
      <c r="I1422" s="22" t="str">
        <f>INDEX('Справочник Сети'!B:B,(MATCH(G1422,'Справочник Сети'!C:C,0)))</f>
        <v>Планета здоровья</v>
      </c>
      <c r="J1422" s="7" t="s">
        <v>149</v>
      </c>
      <c r="K1422" s="7" t="s">
        <v>639</v>
      </c>
      <c r="L1422" s="7" t="s">
        <v>149</v>
      </c>
      <c r="M1422" s="31">
        <v>45673</v>
      </c>
      <c r="N1422" s="7" t="s">
        <v>3083</v>
      </c>
      <c r="O1422" s="8">
        <v>2372</v>
      </c>
      <c r="P1422" s="24">
        <v>6206</v>
      </c>
      <c r="Q1422" s="22">
        <f>IF(COUNTIFS(A$2:A1422,A1422,I$2:I1422,I1422)=1,1,0)</f>
        <v>0</v>
      </c>
      <c r="R1422" s="22">
        <f t="shared" si="22"/>
        <v>1</v>
      </c>
      <c r="S1422" s="33">
        <f>IF(COUNTIF(O$2:O1422,O1422)=1,R1422,0)/2.5</f>
        <v>0.4</v>
      </c>
    </row>
    <row r="1423" spans="1:19" ht="18" customHeight="1" x14ac:dyDescent="0.25">
      <c r="A1423" s="7" t="s">
        <v>37</v>
      </c>
      <c r="B1423" s="8">
        <v>1</v>
      </c>
      <c r="C1423" s="9">
        <v>690</v>
      </c>
      <c r="D1423" s="29">
        <f>C1423+IF(INDEX('Справочник по %'!B:B,(MATCH(A1423,'Справочник по %'!A:A,0)))="кол-во",B1423*INDEX('Справочник по %'!C:C,(MATCH(A1423,'Справочник по %'!A:A,0))),ОТЧЕТ!C1423*INDEX('Справочник по %'!C:C,(MATCH(A1423,'Справочник по %'!A:A,0))))/100</f>
        <v>690.2</v>
      </c>
      <c r="E1423" s="29">
        <f>IF(ОТЧЕТ!A1423="SKU3",C1423+ОТЧЕТ!C1423*0.2,C1423+ОТЧЕТ!C1423*0.15)</f>
        <v>793.5</v>
      </c>
      <c r="F1423" s="7" t="s">
        <v>3084</v>
      </c>
      <c r="G1423" s="7">
        <v>7839481347</v>
      </c>
      <c r="H1423" s="20" t="s">
        <v>50</v>
      </c>
      <c r="I1423" s="22" t="str">
        <f>INDEX('Справочник Сети'!B:B,(MATCH(G1423,'Справочник Сети'!C:C,0)))</f>
        <v>Ригла</v>
      </c>
      <c r="J1423" s="7" t="s">
        <v>315</v>
      </c>
      <c r="K1423" s="7" t="s">
        <v>3085</v>
      </c>
      <c r="L1423" s="7" t="s">
        <v>121</v>
      </c>
      <c r="M1423" s="31">
        <v>45671</v>
      </c>
      <c r="N1423" s="7" t="s">
        <v>3086</v>
      </c>
      <c r="O1423" s="8">
        <v>3257</v>
      </c>
      <c r="P1423" s="24">
        <v>6207</v>
      </c>
      <c r="Q1423" s="22">
        <f>IF(COUNTIFS(A$2:A1423,A1423,I$2:I1423,I1423)=1,1,0)</f>
        <v>0</v>
      </c>
      <c r="R1423" s="22">
        <f t="shared" si="22"/>
        <v>1</v>
      </c>
      <c r="S1423" s="33">
        <f>IF(COUNTIF(O$2:O1423,O1423)=1,R1423,0)/2.5</f>
        <v>0.4</v>
      </c>
    </row>
    <row r="1424" spans="1:19" ht="18" customHeight="1" x14ac:dyDescent="0.25">
      <c r="A1424" s="7" t="s">
        <v>43</v>
      </c>
      <c r="B1424" s="8">
        <v>1</v>
      </c>
      <c r="C1424" s="9">
        <v>400</v>
      </c>
      <c r="D1424" s="29">
        <f>C1424+IF(INDEX('Справочник по %'!B:B,(MATCH(A1424,'Справочник по %'!A:A,0)))="кол-во",B1424*INDEX('Справочник по %'!C:C,(MATCH(A1424,'Справочник по %'!A:A,0))),ОТЧЕТ!C1424*INDEX('Справочник по %'!C:C,(MATCH(A1424,'Справочник по %'!A:A,0))))/100</f>
        <v>440</v>
      </c>
      <c r="E1424" s="29">
        <f>IF(ОТЧЕТ!A1424="SKU3",C1424+ОТЧЕТ!C1424*0.2,C1424+ОТЧЕТ!C1424*0.15)</f>
        <v>460</v>
      </c>
      <c r="F1424" s="7" t="s">
        <v>3084</v>
      </c>
      <c r="G1424" s="7">
        <v>150402161852</v>
      </c>
      <c r="H1424" s="20" t="s">
        <v>725</v>
      </c>
      <c r="I1424" s="22">
        <f>INDEX('Справочник Сети'!B:B,(MATCH(G1424,'Справочник Сети'!C:C,0)))</f>
        <v>0</v>
      </c>
      <c r="J1424" s="7" t="s">
        <v>74</v>
      </c>
      <c r="K1424" s="7" t="s">
        <v>1805</v>
      </c>
      <c r="L1424" s="7" t="s">
        <v>74</v>
      </c>
      <c r="M1424" s="31">
        <v>45661</v>
      </c>
      <c r="N1424" s="7" t="s">
        <v>3087</v>
      </c>
      <c r="O1424" s="8">
        <v>682</v>
      </c>
      <c r="P1424" s="24">
        <v>6208</v>
      </c>
      <c r="Q1424" s="22">
        <f>IF(COUNTIFS(A$2:A1424,A1424,I$2:I1424,I1424)=1,1,0)</f>
        <v>0</v>
      </c>
      <c r="R1424" s="22">
        <f t="shared" si="22"/>
        <v>3</v>
      </c>
      <c r="S1424" s="33">
        <f>IF(COUNTIF(O$2:O1424,O1424)=1,R1424,0)/2.5</f>
        <v>0</v>
      </c>
    </row>
    <row r="1425" spans="1:19" ht="18" customHeight="1" x14ac:dyDescent="0.25">
      <c r="A1425" s="7" t="s">
        <v>43</v>
      </c>
      <c r="B1425" s="8">
        <v>1</v>
      </c>
      <c r="C1425" s="9">
        <v>469</v>
      </c>
      <c r="D1425" s="29">
        <f>C1425+IF(INDEX('Справочник по %'!B:B,(MATCH(A1425,'Справочник по %'!A:A,0)))="кол-во",B1425*INDEX('Справочник по %'!C:C,(MATCH(A1425,'Справочник по %'!A:A,0))),ОТЧЕТ!C1425*INDEX('Справочник по %'!C:C,(MATCH(A1425,'Справочник по %'!A:A,0))))/100</f>
        <v>515.9</v>
      </c>
      <c r="E1425" s="29">
        <f>IF(ОТЧЕТ!A1425="SKU3",C1425+ОТЧЕТ!C1425*0.2,C1425+ОТЧЕТ!C1425*0.15)</f>
        <v>539.35</v>
      </c>
      <c r="F1425" s="7" t="s">
        <v>3084</v>
      </c>
      <c r="G1425" s="7">
        <v>9203545775</v>
      </c>
      <c r="H1425" s="20" t="s">
        <v>2842</v>
      </c>
      <c r="I1425" s="22">
        <f>INDEX('Справочник Сети'!B:B,(MATCH(G1425,'Справочник Сети'!C:C,0)))</f>
        <v>0</v>
      </c>
      <c r="J1425" s="7" t="s">
        <v>239</v>
      </c>
      <c r="K1425" s="7" t="s">
        <v>3088</v>
      </c>
      <c r="L1425" s="7" t="s">
        <v>239</v>
      </c>
      <c r="M1425" s="31">
        <v>45662</v>
      </c>
      <c r="N1425" s="7" t="s">
        <v>3089</v>
      </c>
      <c r="O1425" s="8">
        <v>3240</v>
      </c>
      <c r="P1425" s="24">
        <v>6210</v>
      </c>
      <c r="Q1425" s="22">
        <f>IF(COUNTIFS(A$2:A1425,A1425,I$2:I1425,I1425)=1,1,0)</f>
        <v>0</v>
      </c>
      <c r="R1425" s="22">
        <f t="shared" si="22"/>
        <v>1</v>
      </c>
      <c r="S1425" s="33">
        <f>IF(COUNTIF(O$2:O1425,O1425)=1,R1425,0)/2.5</f>
        <v>0.4</v>
      </c>
    </row>
    <row r="1426" spans="1:19" ht="18" customHeight="1" x14ac:dyDescent="0.25">
      <c r="A1426" s="7" t="s">
        <v>43</v>
      </c>
      <c r="B1426" s="8">
        <v>1</v>
      </c>
      <c r="C1426" s="9">
        <v>369</v>
      </c>
      <c r="D1426" s="29">
        <f>C1426+IF(INDEX('Справочник по %'!B:B,(MATCH(A1426,'Справочник по %'!A:A,0)))="кол-во",B1426*INDEX('Справочник по %'!C:C,(MATCH(A1426,'Справочник по %'!A:A,0))),ОТЧЕТ!C1426*INDEX('Справочник по %'!C:C,(MATCH(A1426,'Справочник по %'!A:A,0))))/100</f>
        <v>405.9</v>
      </c>
      <c r="E1426" s="29">
        <f>IF(ОТЧЕТ!A1426="SKU3",C1426+ОТЧЕТ!C1426*0.2,C1426+ОТЧЕТ!C1426*0.15)</f>
        <v>424.35</v>
      </c>
      <c r="F1426" s="7" t="s">
        <v>3084</v>
      </c>
      <c r="G1426" s="7">
        <v>7706795062</v>
      </c>
      <c r="H1426" s="20" t="s">
        <v>2422</v>
      </c>
      <c r="I1426" s="22" t="str">
        <f>INDEX('Справочник Сети'!B:B,(MATCH(G1426,'Справочник Сети'!C:C,0)))</f>
        <v>Планета здоровья</v>
      </c>
      <c r="J1426" s="7" t="s">
        <v>87</v>
      </c>
      <c r="K1426" s="7" t="s">
        <v>396</v>
      </c>
      <c r="L1426" s="7" t="s">
        <v>87</v>
      </c>
      <c r="M1426" s="31">
        <v>45691</v>
      </c>
      <c r="N1426" s="7" t="s">
        <v>3090</v>
      </c>
      <c r="O1426" s="8">
        <v>3828</v>
      </c>
      <c r="P1426" s="24">
        <v>6215</v>
      </c>
      <c r="Q1426" s="22">
        <f>IF(COUNTIFS(A$2:A1426,A1426,I$2:I1426,I1426)=1,1,0)</f>
        <v>0</v>
      </c>
      <c r="R1426" s="22">
        <f t="shared" si="22"/>
        <v>4</v>
      </c>
      <c r="S1426" s="33">
        <f>IF(COUNTIF(O$2:O1426,O1426)=1,R1426,0)/2.5</f>
        <v>0</v>
      </c>
    </row>
    <row r="1427" spans="1:19" ht="18" customHeight="1" x14ac:dyDescent="0.25">
      <c r="A1427" s="7" t="s">
        <v>43</v>
      </c>
      <c r="B1427" s="8">
        <v>1</v>
      </c>
      <c r="C1427" s="9">
        <v>369</v>
      </c>
      <c r="D1427" s="29">
        <f>C1427+IF(INDEX('Справочник по %'!B:B,(MATCH(A1427,'Справочник по %'!A:A,0)))="кол-во",B1427*INDEX('Справочник по %'!C:C,(MATCH(A1427,'Справочник по %'!A:A,0))),ОТЧЕТ!C1427*INDEX('Справочник по %'!C:C,(MATCH(A1427,'Справочник по %'!A:A,0))))/100</f>
        <v>405.9</v>
      </c>
      <c r="E1427" s="29">
        <f>IF(ОТЧЕТ!A1427="SKU3",C1427+ОТЧЕТ!C1427*0.2,C1427+ОТЧЕТ!C1427*0.15)</f>
        <v>424.35</v>
      </c>
      <c r="F1427" s="7" t="s">
        <v>3084</v>
      </c>
      <c r="G1427" s="7">
        <v>7706795062</v>
      </c>
      <c r="H1427" s="20" t="s">
        <v>2422</v>
      </c>
      <c r="I1427" s="22" t="str">
        <f>INDEX('Справочник Сети'!B:B,(MATCH(G1427,'Справочник Сети'!C:C,0)))</f>
        <v>Планета здоровья</v>
      </c>
      <c r="J1427" s="7" t="s">
        <v>87</v>
      </c>
      <c r="K1427" s="7" t="s">
        <v>396</v>
      </c>
      <c r="L1427" s="7" t="s">
        <v>87</v>
      </c>
      <c r="M1427" s="31">
        <v>45691</v>
      </c>
      <c r="N1427" s="7" t="s">
        <v>3090</v>
      </c>
      <c r="O1427" s="8">
        <v>3828</v>
      </c>
      <c r="P1427" s="24">
        <v>6215</v>
      </c>
      <c r="Q1427" s="22">
        <f>IF(COUNTIFS(A$2:A1427,A1427,I$2:I1427,I1427)=1,1,0)</f>
        <v>0</v>
      </c>
      <c r="R1427" s="22">
        <f t="shared" si="22"/>
        <v>4</v>
      </c>
      <c r="S1427" s="33">
        <f>IF(COUNTIF(O$2:O1427,O1427)=1,R1427,0)/2.5</f>
        <v>0</v>
      </c>
    </row>
    <row r="1428" spans="1:19" ht="18" customHeight="1" x14ac:dyDescent="0.25">
      <c r="A1428" s="7" t="s">
        <v>43</v>
      </c>
      <c r="B1428" s="8">
        <v>1</v>
      </c>
      <c r="C1428" s="9">
        <v>419.9</v>
      </c>
      <c r="D1428" s="29">
        <f>C1428+IF(INDEX('Справочник по %'!B:B,(MATCH(A1428,'Справочник по %'!A:A,0)))="кол-во",B1428*INDEX('Справочник по %'!C:C,(MATCH(A1428,'Справочник по %'!A:A,0))),ОТЧЕТ!C1428*INDEX('Справочник по %'!C:C,(MATCH(A1428,'Справочник по %'!A:A,0))))/100</f>
        <v>461.89</v>
      </c>
      <c r="E1428" s="29">
        <f>IF(ОТЧЕТ!A1428="SKU3",C1428+ОТЧЕТ!C1428*0.2,C1428+ОТЧЕТ!C1428*0.15)</f>
        <v>482.88499999999999</v>
      </c>
      <c r="F1428" s="7" t="s">
        <v>3091</v>
      </c>
      <c r="G1428" s="7">
        <v>7840411560</v>
      </c>
      <c r="H1428" s="20" t="s">
        <v>776</v>
      </c>
      <c r="I1428" s="22" t="str">
        <f>INDEX('Справочник Сети'!B:B,(MATCH(G1428,'Справочник Сети'!C:C,0)))</f>
        <v>Столички</v>
      </c>
      <c r="J1428" s="7" t="s">
        <v>315</v>
      </c>
      <c r="K1428" s="7" t="s">
        <v>2456</v>
      </c>
      <c r="L1428" s="7" t="s">
        <v>315</v>
      </c>
      <c r="M1428" s="31">
        <v>45670</v>
      </c>
      <c r="N1428" s="7" t="s">
        <v>3092</v>
      </c>
      <c r="O1428" s="8">
        <v>3280</v>
      </c>
      <c r="P1428" s="24">
        <v>6222</v>
      </c>
      <c r="Q1428" s="22">
        <f>IF(COUNTIFS(A$2:A1428,A1428,I$2:I1428,I1428)=1,1,0)</f>
        <v>0</v>
      </c>
      <c r="R1428" s="22">
        <f t="shared" si="22"/>
        <v>2</v>
      </c>
      <c r="S1428" s="33">
        <f>IF(COUNTIF(O$2:O1428,O1428)=1,R1428,0)/2.5</f>
        <v>0</v>
      </c>
    </row>
    <row r="1429" spans="1:19" ht="18" customHeight="1" x14ac:dyDescent="0.25">
      <c r="A1429" s="7" t="s">
        <v>43</v>
      </c>
      <c r="B1429" s="8">
        <v>1</v>
      </c>
      <c r="C1429" s="9">
        <v>470</v>
      </c>
      <c r="D1429" s="29">
        <f>C1429+IF(INDEX('Справочник по %'!B:B,(MATCH(A1429,'Справочник по %'!A:A,0)))="кол-во",B1429*INDEX('Справочник по %'!C:C,(MATCH(A1429,'Справочник по %'!A:A,0))),ОТЧЕТ!C1429*INDEX('Справочник по %'!C:C,(MATCH(A1429,'Справочник по %'!A:A,0))))/100</f>
        <v>517</v>
      </c>
      <c r="E1429" s="29">
        <f>IF(ОТЧЕТ!A1429="SKU3",C1429+ОТЧЕТ!C1429*0.2,C1429+ОТЧЕТ!C1429*0.15)</f>
        <v>540.5</v>
      </c>
      <c r="F1429" s="7" t="s">
        <v>3091</v>
      </c>
      <c r="G1429" s="7">
        <v>4632170357</v>
      </c>
      <c r="H1429" s="20" t="s">
        <v>153</v>
      </c>
      <c r="I1429" s="22" t="str">
        <f>INDEX('Справочник Сети'!B:B,(MATCH(G1429,'Справочник Сети'!C:C,0)))</f>
        <v>Столички</v>
      </c>
      <c r="J1429" s="7" t="s">
        <v>83</v>
      </c>
      <c r="K1429" s="7" t="s">
        <v>2441</v>
      </c>
      <c r="L1429" s="7" t="s">
        <v>155</v>
      </c>
      <c r="M1429" s="31">
        <v>45716</v>
      </c>
      <c r="N1429" s="7" t="s">
        <v>3093</v>
      </c>
      <c r="O1429" s="8">
        <v>3028</v>
      </c>
      <c r="P1429" s="24">
        <v>6224</v>
      </c>
      <c r="Q1429" s="22">
        <f>IF(COUNTIFS(A$2:A1429,A1429,I$2:I1429,I1429)=1,1,0)</f>
        <v>0</v>
      </c>
      <c r="R1429" s="22">
        <f t="shared" si="22"/>
        <v>1</v>
      </c>
      <c r="S1429" s="33">
        <f>IF(COUNTIF(O$2:O1429,O1429)=1,R1429,0)/2.5</f>
        <v>0.4</v>
      </c>
    </row>
    <row r="1430" spans="1:19" ht="18" customHeight="1" x14ac:dyDescent="0.25">
      <c r="A1430" s="7" t="s">
        <v>37</v>
      </c>
      <c r="B1430" s="8">
        <v>1</v>
      </c>
      <c r="C1430" s="9">
        <v>583</v>
      </c>
      <c r="D1430" s="29">
        <f>C1430+IF(INDEX('Справочник по %'!B:B,(MATCH(A1430,'Справочник по %'!A:A,0)))="кол-во",B1430*INDEX('Справочник по %'!C:C,(MATCH(A1430,'Справочник по %'!A:A,0))),ОТЧЕТ!C1430*INDEX('Справочник по %'!C:C,(MATCH(A1430,'Справочник по %'!A:A,0))))/100</f>
        <v>583.20000000000005</v>
      </c>
      <c r="E1430" s="29">
        <f>IF(ОТЧЕТ!A1430="SKU3",C1430+ОТЧЕТ!C1430*0.2,C1430+ОТЧЕТ!C1430*0.15)</f>
        <v>670.45</v>
      </c>
      <c r="F1430" s="7" t="s">
        <v>3091</v>
      </c>
      <c r="G1430" s="7">
        <v>9705190974</v>
      </c>
      <c r="H1430" s="20" t="s">
        <v>3094</v>
      </c>
      <c r="I1430" s="22">
        <f>INDEX('Справочник Сети'!B:B,(MATCH(G1430,'Справочник Сети'!C:C,0)))</f>
        <v>0</v>
      </c>
      <c r="J1430" s="7" t="s">
        <v>239</v>
      </c>
      <c r="K1430" s="7" t="s">
        <v>1810</v>
      </c>
      <c r="L1430" s="7" t="s">
        <v>239</v>
      </c>
      <c r="M1430" s="31">
        <v>45662</v>
      </c>
      <c r="N1430" s="7" t="s">
        <v>3095</v>
      </c>
      <c r="O1430" s="8">
        <v>363</v>
      </c>
      <c r="P1430" s="24">
        <v>6225</v>
      </c>
      <c r="Q1430" s="22">
        <f>IF(COUNTIFS(A$2:A1430,A1430,I$2:I1430,I1430)=1,1,0)</f>
        <v>0</v>
      </c>
      <c r="R1430" s="22">
        <f t="shared" si="22"/>
        <v>5</v>
      </c>
      <c r="S1430" s="33">
        <f>IF(COUNTIF(O$2:O1430,O1430)=1,R1430,0)/2.5</f>
        <v>2</v>
      </c>
    </row>
    <row r="1431" spans="1:19" ht="18" customHeight="1" x14ac:dyDescent="0.25">
      <c r="A1431" s="7" t="s">
        <v>43</v>
      </c>
      <c r="B1431" s="8">
        <v>1</v>
      </c>
      <c r="C1431" s="9">
        <v>440</v>
      </c>
      <c r="D1431" s="29">
        <f>C1431+IF(INDEX('Справочник по %'!B:B,(MATCH(A1431,'Справочник по %'!A:A,0)))="кол-во",B1431*INDEX('Справочник по %'!C:C,(MATCH(A1431,'Справочник по %'!A:A,0))),ОТЧЕТ!C1431*INDEX('Справочник по %'!C:C,(MATCH(A1431,'Справочник по %'!A:A,0))))/100</f>
        <v>484</v>
      </c>
      <c r="E1431" s="29">
        <f>IF(ОТЧЕТ!A1431="SKU3",C1431+ОТЧЕТ!C1431*0.2,C1431+ОТЧЕТ!C1431*0.15)</f>
        <v>506</v>
      </c>
      <c r="F1431" s="7" t="s">
        <v>3091</v>
      </c>
      <c r="G1431" s="7">
        <v>6673189463</v>
      </c>
      <c r="H1431" s="20" t="s">
        <v>2638</v>
      </c>
      <c r="I1431" s="22" t="str">
        <f>INDEX('Справочник Сети'!B:B,(MATCH(G1431,'Справочник Сети'!C:C,0)))</f>
        <v>Нео-фарм</v>
      </c>
      <c r="J1431" s="7" t="s">
        <v>133</v>
      </c>
      <c r="K1431" s="7" t="s">
        <v>3096</v>
      </c>
      <c r="L1431" s="7" t="s">
        <v>133</v>
      </c>
      <c r="M1431" s="31">
        <v>45695</v>
      </c>
      <c r="N1431" s="7" t="s">
        <v>3097</v>
      </c>
      <c r="O1431" s="8">
        <v>1964</v>
      </c>
      <c r="P1431" s="24">
        <v>6226</v>
      </c>
      <c r="Q1431" s="22">
        <f>IF(COUNTIFS(A$2:A1431,A1431,I$2:I1431,I1431)=1,1,0)</f>
        <v>0</v>
      </c>
      <c r="R1431" s="22">
        <f t="shared" si="22"/>
        <v>2</v>
      </c>
      <c r="S1431" s="33">
        <f>IF(COUNTIF(O$2:O1431,O1431)=1,R1431,0)/2.5</f>
        <v>0</v>
      </c>
    </row>
    <row r="1432" spans="1:19" ht="18" customHeight="1" x14ac:dyDescent="0.25">
      <c r="A1432" s="7" t="s">
        <v>37</v>
      </c>
      <c r="B1432" s="8">
        <v>1</v>
      </c>
      <c r="C1432" s="9">
        <v>689.27</v>
      </c>
      <c r="D1432" s="29">
        <f>C1432+IF(INDEX('Справочник по %'!B:B,(MATCH(A1432,'Справочник по %'!A:A,0)))="кол-во",B1432*INDEX('Справочник по %'!C:C,(MATCH(A1432,'Справочник по %'!A:A,0))),ОТЧЕТ!C1432*INDEX('Справочник по %'!C:C,(MATCH(A1432,'Справочник по %'!A:A,0))))/100</f>
        <v>689.47</v>
      </c>
      <c r="E1432" s="29">
        <f>IF(ОТЧЕТ!A1432="SKU3",C1432+ОТЧЕТ!C1432*0.2,C1432+ОТЧЕТ!C1432*0.15)</f>
        <v>792.66049999999996</v>
      </c>
      <c r="F1432" s="7" t="s">
        <v>3091</v>
      </c>
      <c r="G1432" s="7">
        <v>7732121736</v>
      </c>
      <c r="H1432" s="20" t="s">
        <v>3098</v>
      </c>
      <c r="I1432" s="22" t="str">
        <f>INDEX('Справочник Сети'!B:B,(MATCH(G1432,'Справочник Сети'!C:C,0)))</f>
        <v>Планета здоровья</v>
      </c>
      <c r="J1432" s="7" t="s">
        <v>149</v>
      </c>
      <c r="K1432" s="7" t="s">
        <v>2241</v>
      </c>
      <c r="L1432" s="7" t="s">
        <v>142</v>
      </c>
      <c r="M1432" s="31">
        <v>45674</v>
      </c>
      <c r="N1432" s="7" t="s">
        <v>3099</v>
      </c>
      <c r="O1432" s="8">
        <v>409</v>
      </c>
      <c r="P1432" s="24">
        <v>6227</v>
      </c>
      <c r="Q1432" s="22">
        <f>IF(COUNTIFS(A$2:A1432,A1432,I$2:I1432,I1432)=1,1,0)</f>
        <v>0</v>
      </c>
      <c r="R1432" s="22">
        <f t="shared" si="22"/>
        <v>1</v>
      </c>
      <c r="S1432" s="33">
        <f>IF(COUNTIF(O$2:O1432,O1432)=1,R1432,0)/2.5</f>
        <v>0.4</v>
      </c>
    </row>
    <row r="1433" spans="1:19" ht="18" customHeight="1" x14ac:dyDescent="0.25">
      <c r="A1433" s="7" t="s">
        <v>37</v>
      </c>
      <c r="B1433" s="8">
        <v>1</v>
      </c>
      <c r="C1433" s="9">
        <v>745</v>
      </c>
      <c r="D1433" s="29">
        <f>C1433+IF(INDEX('Справочник по %'!B:B,(MATCH(A1433,'Справочник по %'!A:A,0)))="кол-во",B1433*INDEX('Справочник по %'!C:C,(MATCH(A1433,'Справочник по %'!A:A,0))),ОТЧЕТ!C1433*INDEX('Справочник по %'!C:C,(MATCH(A1433,'Справочник по %'!A:A,0))))/100</f>
        <v>745.2</v>
      </c>
      <c r="E1433" s="29">
        <f>IF(ОТЧЕТ!A1433="SKU3",C1433+ОТЧЕТ!C1433*0.2,C1433+ОТЧЕТ!C1433*0.15)</f>
        <v>856.75</v>
      </c>
      <c r="F1433" s="7" t="s">
        <v>3091</v>
      </c>
      <c r="G1433" s="7">
        <v>7710641442</v>
      </c>
      <c r="H1433" s="20" t="s">
        <v>3100</v>
      </c>
      <c r="I1433" s="22">
        <f>INDEX('Справочник Сети'!B:B,(MATCH(G1433,'Справочник Сети'!C:C,0)))</f>
        <v>0</v>
      </c>
      <c r="J1433" s="7" t="s">
        <v>504</v>
      </c>
      <c r="K1433" s="7" t="s">
        <v>206</v>
      </c>
      <c r="L1433" s="7" t="s">
        <v>504</v>
      </c>
      <c r="M1433" s="31">
        <v>45690</v>
      </c>
      <c r="N1433" s="7" t="s">
        <v>3101</v>
      </c>
      <c r="O1433" s="8">
        <v>3274</v>
      </c>
      <c r="P1433" s="24">
        <v>6230</v>
      </c>
      <c r="Q1433" s="22">
        <f>IF(COUNTIFS(A$2:A1433,A1433,I$2:I1433,I1433)=1,1,0)</f>
        <v>0</v>
      </c>
      <c r="R1433" s="22">
        <f t="shared" si="22"/>
        <v>1</v>
      </c>
      <c r="S1433" s="33">
        <f>IF(COUNTIF(O$2:O1433,O1433)=1,R1433,0)/2.5</f>
        <v>0.4</v>
      </c>
    </row>
    <row r="1434" spans="1:19" ht="18" customHeight="1" x14ac:dyDescent="0.25">
      <c r="A1434" s="7" t="s">
        <v>43</v>
      </c>
      <c r="B1434" s="8">
        <v>1</v>
      </c>
      <c r="C1434" s="9">
        <v>397</v>
      </c>
      <c r="D1434" s="29">
        <f>C1434+IF(INDEX('Справочник по %'!B:B,(MATCH(A1434,'Справочник по %'!A:A,0)))="кол-во",B1434*INDEX('Справочник по %'!C:C,(MATCH(A1434,'Справочник по %'!A:A,0))),ОТЧЕТ!C1434*INDEX('Справочник по %'!C:C,(MATCH(A1434,'Справочник по %'!A:A,0))))/100</f>
        <v>436.7</v>
      </c>
      <c r="E1434" s="29">
        <f>IF(ОТЧЕТ!A1434="SKU3",C1434+ОТЧЕТ!C1434*0.2,C1434+ОТЧЕТ!C1434*0.15)</f>
        <v>456.55</v>
      </c>
      <c r="F1434" s="7" t="s">
        <v>3091</v>
      </c>
      <c r="G1434" s="7">
        <v>7732121736</v>
      </c>
      <c r="H1434" s="20" t="s">
        <v>1984</v>
      </c>
      <c r="I1434" s="22" t="str">
        <f>INDEX('Справочник Сети'!B:B,(MATCH(G1434,'Справочник Сети'!C:C,0)))</f>
        <v>Планета здоровья</v>
      </c>
      <c r="J1434" s="7" t="s">
        <v>149</v>
      </c>
      <c r="K1434" s="7" t="s">
        <v>3102</v>
      </c>
      <c r="L1434" s="7" t="s">
        <v>149</v>
      </c>
      <c r="M1434" s="31">
        <v>45673</v>
      </c>
      <c r="N1434" s="7" t="s">
        <v>3103</v>
      </c>
      <c r="O1434" s="8">
        <v>1794</v>
      </c>
      <c r="P1434" s="24">
        <v>6231</v>
      </c>
      <c r="Q1434" s="22">
        <f>IF(COUNTIFS(A$2:A1434,A1434,I$2:I1434,I1434)=1,1,0)</f>
        <v>0</v>
      </c>
      <c r="R1434" s="22">
        <f t="shared" si="22"/>
        <v>4</v>
      </c>
      <c r="S1434" s="33">
        <f>IF(COUNTIF(O$2:O1434,O1434)=1,R1434,0)/2.5</f>
        <v>0</v>
      </c>
    </row>
    <row r="1435" spans="1:19" ht="18" customHeight="1" x14ac:dyDescent="0.25">
      <c r="A1435" s="7" t="s">
        <v>43</v>
      </c>
      <c r="B1435" s="8">
        <v>1</v>
      </c>
      <c r="C1435" s="9">
        <v>377.1</v>
      </c>
      <c r="D1435" s="29">
        <f>C1435+IF(INDEX('Справочник по %'!B:B,(MATCH(A1435,'Справочник по %'!A:A,0)))="кол-во",B1435*INDEX('Справочник по %'!C:C,(MATCH(A1435,'Справочник по %'!A:A,0))),ОТЧЕТ!C1435*INDEX('Справочник по %'!C:C,(MATCH(A1435,'Справочник по %'!A:A,0))))/100</f>
        <v>414.81</v>
      </c>
      <c r="E1435" s="29">
        <f>IF(ОТЧЕТ!A1435="SKU3",C1435+ОТЧЕТ!C1435*0.2,C1435+ОТЧЕТ!C1435*0.15)</f>
        <v>433.66500000000002</v>
      </c>
      <c r="F1435" s="7" t="s">
        <v>3091</v>
      </c>
      <c r="G1435" s="7">
        <v>5321137817</v>
      </c>
      <c r="H1435" s="20" t="s">
        <v>50</v>
      </c>
      <c r="I1435" s="22" t="str">
        <f>INDEX('Справочник Сети'!B:B,(MATCH(G1435,'Справочник Сети'!C:C,0)))</f>
        <v>Ригла</v>
      </c>
      <c r="J1435" s="7" t="s">
        <v>92</v>
      </c>
      <c r="K1435" s="7" t="s">
        <v>1832</v>
      </c>
      <c r="L1435" s="7" t="s">
        <v>92</v>
      </c>
      <c r="M1435" s="31">
        <v>45714</v>
      </c>
      <c r="N1435" s="7" t="s">
        <v>3104</v>
      </c>
      <c r="O1435" s="8">
        <v>2881</v>
      </c>
      <c r="P1435" s="24">
        <v>6232</v>
      </c>
      <c r="Q1435" s="22">
        <f>IF(COUNTIFS(A$2:A1435,A1435,I$2:I1435,I1435)=1,1,0)</f>
        <v>0</v>
      </c>
      <c r="R1435" s="22">
        <f t="shared" si="22"/>
        <v>4</v>
      </c>
      <c r="S1435" s="33">
        <f>IF(COUNTIF(O$2:O1435,O1435)=1,R1435,0)/2.5</f>
        <v>0</v>
      </c>
    </row>
    <row r="1436" spans="1:19" ht="18" customHeight="1" x14ac:dyDescent="0.25">
      <c r="A1436" s="7" t="s">
        <v>37</v>
      </c>
      <c r="B1436" s="8">
        <v>1</v>
      </c>
      <c r="C1436" s="9">
        <v>550</v>
      </c>
      <c r="D1436" s="29">
        <f>C1436+IF(INDEX('Справочник по %'!B:B,(MATCH(A1436,'Справочник по %'!A:A,0)))="кол-во",B1436*INDEX('Справочник по %'!C:C,(MATCH(A1436,'Справочник по %'!A:A,0))),ОТЧЕТ!C1436*INDEX('Справочник по %'!C:C,(MATCH(A1436,'Справочник по %'!A:A,0))))/100</f>
        <v>550.20000000000005</v>
      </c>
      <c r="E1436" s="29">
        <f>IF(ОТЧЕТ!A1436="SKU3",C1436+ОТЧЕТ!C1436*0.2,C1436+ОТЧЕТ!C1436*0.15)</f>
        <v>632.5</v>
      </c>
      <c r="F1436" s="7" t="s">
        <v>3091</v>
      </c>
      <c r="G1436" s="7">
        <v>2310212231</v>
      </c>
      <c r="H1436" s="20" t="s">
        <v>69</v>
      </c>
      <c r="I1436" s="22" t="str">
        <f>INDEX('Справочник Сети'!B:B,(MATCH(G1436,'Справочник Сети'!C:C,0)))</f>
        <v>Нео-фарм</v>
      </c>
      <c r="J1436" s="7" t="s">
        <v>70</v>
      </c>
      <c r="K1436" s="7" t="s">
        <v>2241</v>
      </c>
      <c r="L1436" s="7" t="s">
        <v>70</v>
      </c>
      <c r="M1436" s="31">
        <v>45728</v>
      </c>
      <c r="N1436" s="7" t="s">
        <v>3105</v>
      </c>
      <c r="O1436" s="8">
        <v>1612</v>
      </c>
      <c r="P1436" s="24">
        <v>6234</v>
      </c>
      <c r="Q1436" s="22">
        <f>IF(COUNTIFS(A$2:A1436,A1436,I$2:I1436,I1436)=1,1,0)</f>
        <v>0</v>
      </c>
      <c r="R1436" s="22">
        <f t="shared" si="22"/>
        <v>1</v>
      </c>
      <c r="S1436" s="33">
        <f>IF(COUNTIF(O$2:O1436,O1436)=1,R1436,0)/2.5</f>
        <v>0.4</v>
      </c>
    </row>
    <row r="1437" spans="1:19" ht="18" customHeight="1" x14ac:dyDescent="0.25">
      <c r="A1437" s="7" t="s">
        <v>43</v>
      </c>
      <c r="B1437" s="8">
        <v>1</v>
      </c>
      <c r="C1437" s="9">
        <v>436</v>
      </c>
      <c r="D1437" s="29">
        <f>C1437+IF(INDEX('Справочник по %'!B:B,(MATCH(A1437,'Справочник по %'!A:A,0)))="кол-во",B1437*INDEX('Справочник по %'!C:C,(MATCH(A1437,'Справочник по %'!A:A,0))),ОТЧЕТ!C1437*INDEX('Справочник по %'!C:C,(MATCH(A1437,'Справочник по %'!A:A,0))))/100</f>
        <v>479.6</v>
      </c>
      <c r="E1437" s="29">
        <f>IF(ОТЧЕТ!A1437="SKU3",C1437+ОТЧЕТ!C1437*0.2,C1437+ОТЧЕТ!C1437*0.15)</f>
        <v>501.4</v>
      </c>
      <c r="F1437" s="7" t="s">
        <v>3091</v>
      </c>
      <c r="G1437" s="7">
        <v>5409113098</v>
      </c>
      <c r="H1437" s="20" t="s">
        <v>50</v>
      </c>
      <c r="I1437" s="22">
        <f>INDEX('Справочник Сети'!B:B,(MATCH(G1437,'Справочник Сети'!C:C,0)))</f>
        <v>0</v>
      </c>
      <c r="J1437" s="7" t="s">
        <v>255</v>
      </c>
      <c r="K1437" s="7" t="s">
        <v>3106</v>
      </c>
      <c r="L1437" s="7" t="s">
        <v>255</v>
      </c>
      <c r="M1437" s="31">
        <v>45713</v>
      </c>
      <c r="N1437" s="7" t="s">
        <v>3107</v>
      </c>
      <c r="O1437" s="8">
        <v>2851</v>
      </c>
      <c r="P1437" s="24">
        <v>6238</v>
      </c>
      <c r="Q1437" s="22">
        <f>IF(COUNTIFS(A$2:A1437,A1437,I$2:I1437,I1437)=1,1,0)</f>
        <v>0</v>
      </c>
      <c r="R1437" s="22">
        <f t="shared" si="22"/>
        <v>1</v>
      </c>
      <c r="S1437" s="33">
        <f>IF(COUNTIF(O$2:O1437,O1437)=1,R1437,0)/2.5</f>
        <v>0.4</v>
      </c>
    </row>
    <row r="1438" spans="1:19" ht="18" customHeight="1" x14ac:dyDescent="0.25">
      <c r="A1438" s="7" t="s">
        <v>43</v>
      </c>
      <c r="B1438" s="8">
        <v>1</v>
      </c>
      <c r="C1438" s="9">
        <v>364</v>
      </c>
      <c r="D1438" s="29">
        <f>C1438+IF(INDEX('Справочник по %'!B:B,(MATCH(A1438,'Справочник по %'!A:A,0)))="кол-во",B1438*INDEX('Справочник по %'!C:C,(MATCH(A1438,'Справочник по %'!A:A,0))),ОТЧЕТ!C1438*INDEX('Справочник по %'!C:C,(MATCH(A1438,'Справочник по %'!A:A,0))))/100</f>
        <v>400.4</v>
      </c>
      <c r="E1438" s="29">
        <f>IF(ОТЧЕТ!A1438="SKU3",C1438+ОТЧЕТ!C1438*0.2,C1438+ОТЧЕТ!C1438*0.15)</f>
        <v>418.6</v>
      </c>
      <c r="F1438" s="7" t="s">
        <v>3091</v>
      </c>
      <c r="G1438" s="7">
        <v>7706795062</v>
      </c>
      <c r="H1438" s="20" t="s">
        <v>3108</v>
      </c>
      <c r="I1438" s="22" t="str">
        <f>INDEX('Справочник Сети'!B:B,(MATCH(G1438,'Справочник Сети'!C:C,0)))</f>
        <v>Планета здоровья</v>
      </c>
      <c r="J1438" s="7" t="s">
        <v>87</v>
      </c>
      <c r="K1438" s="7" t="s">
        <v>1838</v>
      </c>
      <c r="L1438" s="7" t="s">
        <v>87</v>
      </c>
      <c r="M1438" s="31">
        <v>45691</v>
      </c>
      <c r="N1438" s="7" t="s">
        <v>3109</v>
      </c>
      <c r="O1438" s="8">
        <v>2924</v>
      </c>
      <c r="P1438" s="24">
        <v>6243</v>
      </c>
      <c r="Q1438" s="22">
        <f>IF(COUNTIFS(A$2:A1438,A1438,I$2:I1438,I1438)=1,1,0)</f>
        <v>0</v>
      </c>
      <c r="R1438" s="22">
        <f t="shared" si="22"/>
        <v>2</v>
      </c>
      <c r="S1438" s="33">
        <f>IF(COUNTIF(O$2:O1438,O1438)=1,R1438,0)/2.5</f>
        <v>0.8</v>
      </c>
    </row>
    <row r="1439" spans="1:19" ht="18" customHeight="1" x14ac:dyDescent="0.25">
      <c r="A1439" s="7" t="s">
        <v>43</v>
      </c>
      <c r="B1439" s="8">
        <v>1</v>
      </c>
      <c r="C1439" s="9">
        <v>495</v>
      </c>
      <c r="D1439" s="29">
        <f>C1439+IF(INDEX('Справочник по %'!B:B,(MATCH(A1439,'Справочник по %'!A:A,0)))="кол-во",B1439*INDEX('Справочник по %'!C:C,(MATCH(A1439,'Справочник по %'!A:A,0))),ОТЧЕТ!C1439*INDEX('Справочник по %'!C:C,(MATCH(A1439,'Справочник по %'!A:A,0))))/100</f>
        <v>544.5</v>
      </c>
      <c r="E1439" s="29">
        <f>IF(ОТЧЕТ!A1439="SKU3",C1439+ОТЧЕТ!C1439*0.2,C1439+ОТЧЕТ!C1439*0.15)</f>
        <v>569.25</v>
      </c>
      <c r="F1439" s="7" t="s">
        <v>3091</v>
      </c>
      <c r="G1439" s="7">
        <v>7805180253</v>
      </c>
      <c r="H1439" s="20" t="s">
        <v>50</v>
      </c>
      <c r="I1439" s="22">
        <f>INDEX('Справочник Сети'!B:B,(MATCH(G1439,'Справочник Сети'!C:C,0)))</f>
        <v>0</v>
      </c>
      <c r="J1439" s="7" t="s">
        <v>353</v>
      </c>
      <c r="K1439" s="7" t="s">
        <v>1838</v>
      </c>
      <c r="L1439" s="7" t="s">
        <v>353</v>
      </c>
      <c r="M1439" s="31">
        <v>45672</v>
      </c>
      <c r="N1439" s="7" t="s">
        <v>3110</v>
      </c>
      <c r="O1439" s="8">
        <v>3717</v>
      </c>
      <c r="P1439" s="24">
        <v>6246</v>
      </c>
      <c r="Q1439" s="22">
        <f>IF(COUNTIFS(A$2:A1439,A1439,I$2:I1439,I1439)=1,1,0)</f>
        <v>0</v>
      </c>
      <c r="R1439" s="22">
        <f t="shared" si="22"/>
        <v>2</v>
      </c>
      <c r="S1439" s="33">
        <f>IF(COUNTIF(O$2:O1439,O1439)=1,R1439,0)/2.5</f>
        <v>0.8</v>
      </c>
    </row>
    <row r="1440" spans="1:19" ht="18" customHeight="1" x14ac:dyDescent="0.25">
      <c r="A1440" s="7" t="s">
        <v>37</v>
      </c>
      <c r="B1440" s="8">
        <v>1</v>
      </c>
      <c r="C1440" s="9">
        <v>874</v>
      </c>
      <c r="D1440" s="29">
        <f>C1440+IF(INDEX('Справочник по %'!B:B,(MATCH(A1440,'Справочник по %'!A:A,0)))="кол-во",B1440*INDEX('Справочник по %'!C:C,(MATCH(A1440,'Справочник по %'!A:A,0))),ОТЧЕТ!C1440*INDEX('Справочник по %'!C:C,(MATCH(A1440,'Справочник по %'!A:A,0))))/100</f>
        <v>874.2</v>
      </c>
      <c r="E1440" s="29">
        <f>IF(ОТЧЕТ!A1440="SKU3",C1440+ОТЧЕТ!C1440*0.2,C1440+ОТЧЕТ!C1440*0.15)</f>
        <v>1005.1</v>
      </c>
      <c r="F1440" s="7" t="s">
        <v>3091</v>
      </c>
      <c r="G1440" s="7">
        <v>7705947629</v>
      </c>
      <c r="H1440" s="20" t="s">
        <v>50</v>
      </c>
      <c r="I1440" s="22" t="str">
        <f>INDEX('Справочник Сети'!B:B,(MATCH(G1440,'Справочник Сети'!C:C,0)))</f>
        <v>36,6</v>
      </c>
      <c r="J1440" s="7" t="s">
        <v>104</v>
      </c>
      <c r="K1440" s="7" t="s">
        <v>1535</v>
      </c>
      <c r="L1440" s="7" t="s">
        <v>104</v>
      </c>
      <c r="M1440" s="31">
        <v>45693</v>
      </c>
      <c r="N1440" s="7" t="s">
        <v>3111</v>
      </c>
      <c r="O1440" s="8">
        <v>438</v>
      </c>
      <c r="P1440" s="24">
        <v>6251</v>
      </c>
      <c r="Q1440" s="22">
        <f>IF(COUNTIFS(A$2:A1440,A1440,I$2:I1440,I1440)=1,1,0)</f>
        <v>0</v>
      </c>
      <c r="R1440" s="22">
        <f t="shared" si="22"/>
        <v>3</v>
      </c>
      <c r="S1440" s="33">
        <f>IF(COUNTIF(O$2:O1440,O1440)=1,R1440,0)/2.5</f>
        <v>0</v>
      </c>
    </row>
    <row r="1441" spans="1:19" ht="18" customHeight="1" x14ac:dyDescent="0.25">
      <c r="A1441" s="7" t="s">
        <v>37</v>
      </c>
      <c r="B1441" s="8">
        <v>1</v>
      </c>
      <c r="C1441" s="9">
        <v>551</v>
      </c>
      <c r="D1441" s="29">
        <f>C1441+IF(INDEX('Справочник по %'!B:B,(MATCH(A1441,'Справочник по %'!A:A,0)))="кол-во",B1441*INDEX('Справочник по %'!C:C,(MATCH(A1441,'Справочник по %'!A:A,0))),ОТЧЕТ!C1441*INDEX('Справочник по %'!C:C,(MATCH(A1441,'Справочник по %'!A:A,0))))/100</f>
        <v>551.20000000000005</v>
      </c>
      <c r="E1441" s="29">
        <f>IF(ОТЧЕТ!A1441="SKU3",C1441+ОТЧЕТ!C1441*0.2,C1441+ОТЧЕТ!C1441*0.15)</f>
        <v>633.65</v>
      </c>
      <c r="F1441" s="7" t="s">
        <v>3091</v>
      </c>
      <c r="G1441" s="7">
        <v>7732121736</v>
      </c>
      <c r="H1441" s="20" t="s">
        <v>2516</v>
      </c>
      <c r="I1441" s="22" t="str">
        <f>INDEX('Справочник Сети'!B:B,(MATCH(G1441,'Справочник Сети'!C:C,0)))</f>
        <v>Планета здоровья</v>
      </c>
      <c r="J1441" s="7" t="s">
        <v>149</v>
      </c>
      <c r="K1441" s="7" t="s">
        <v>244</v>
      </c>
      <c r="L1441" s="7" t="s">
        <v>142</v>
      </c>
      <c r="M1441" s="31">
        <v>45674</v>
      </c>
      <c r="N1441" s="7" t="s">
        <v>3112</v>
      </c>
      <c r="O1441" s="8">
        <v>741</v>
      </c>
      <c r="P1441" s="24">
        <v>6254</v>
      </c>
      <c r="Q1441" s="22">
        <f>IF(COUNTIFS(A$2:A1441,A1441,I$2:I1441,I1441)=1,1,0)</f>
        <v>0</v>
      </c>
      <c r="R1441" s="22">
        <f t="shared" si="22"/>
        <v>3</v>
      </c>
      <c r="S1441" s="33">
        <f>IF(COUNTIF(O$2:O1441,O1441)=1,R1441,0)/2.5</f>
        <v>0</v>
      </c>
    </row>
    <row r="1442" spans="1:19" ht="18" customHeight="1" x14ac:dyDescent="0.25">
      <c r="A1442" s="7" t="s">
        <v>43</v>
      </c>
      <c r="B1442" s="8">
        <v>1</v>
      </c>
      <c r="C1442" s="9">
        <v>514</v>
      </c>
      <c r="D1442" s="29">
        <f>C1442+IF(INDEX('Справочник по %'!B:B,(MATCH(A1442,'Справочник по %'!A:A,0)))="кол-во",B1442*INDEX('Справочник по %'!C:C,(MATCH(A1442,'Справочник по %'!A:A,0))),ОТЧЕТ!C1442*INDEX('Справочник по %'!C:C,(MATCH(A1442,'Справочник по %'!A:A,0))))/100</f>
        <v>565.4</v>
      </c>
      <c r="E1442" s="29">
        <f>IF(ОТЧЕТ!A1442="SKU3",C1442+ОТЧЕТ!C1442*0.2,C1442+ОТЧЕТ!C1442*0.15)</f>
        <v>591.1</v>
      </c>
      <c r="F1442" s="7" t="s">
        <v>3113</v>
      </c>
      <c r="G1442" s="7">
        <v>220300048989</v>
      </c>
      <c r="H1442" s="20" t="s">
        <v>50</v>
      </c>
      <c r="I1442" s="22">
        <f>INDEX('Справочник Сети'!B:B,(MATCH(G1442,'Справочник Сети'!C:C,0)))</f>
        <v>0</v>
      </c>
      <c r="J1442" s="7" t="s">
        <v>74</v>
      </c>
      <c r="K1442" s="7" t="s">
        <v>3114</v>
      </c>
      <c r="L1442" s="7" t="s">
        <v>74</v>
      </c>
      <c r="M1442" s="31">
        <v>45661</v>
      </c>
      <c r="N1442" s="7" t="s">
        <v>3115</v>
      </c>
      <c r="O1442" s="8">
        <v>2</v>
      </c>
      <c r="P1442" s="24">
        <v>6258</v>
      </c>
      <c r="Q1442" s="22">
        <f>IF(COUNTIFS(A$2:A1442,A1442,I$2:I1442,I1442)=1,1,0)</f>
        <v>0</v>
      </c>
      <c r="R1442" s="22">
        <f t="shared" si="22"/>
        <v>5</v>
      </c>
      <c r="S1442" s="33">
        <f>IF(COUNTIF(O$2:O1442,O1442)=1,R1442,0)/2.5</f>
        <v>0</v>
      </c>
    </row>
    <row r="1443" spans="1:19" ht="18" customHeight="1" x14ac:dyDescent="0.25">
      <c r="A1443" s="7" t="s">
        <v>37</v>
      </c>
      <c r="B1443" s="8">
        <v>1</v>
      </c>
      <c r="C1443" s="9">
        <v>677</v>
      </c>
      <c r="D1443" s="29">
        <f>C1443+IF(INDEX('Справочник по %'!B:B,(MATCH(A1443,'Справочник по %'!A:A,0)))="кол-во",B1443*INDEX('Справочник по %'!C:C,(MATCH(A1443,'Справочник по %'!A:A,0))),ОТЧЕТ!C1443*INDEX('Справочник по %'!C:C,(MATCH(A1443,'Справочник по %'!A:A,0))))/100</f>
        <v>677.2</v>
      </c>
      <c r="E1443" s="29">
        <f>IF(ОТЧЕТ!A1443="SKU3",C1443+ОТЧЕТ!C1443*0.2,C1443+ОТЧЕТ!C1443*0.15)</f>
        <v>778.55</v>
      </c>
      <c r="F1443" s="7" t="s">
        <v>3113</v>
      </c>
      <c r="G1443" s="7">
        <v>7840411560</v>
      </c>
      <c r="H1443" s="20" t="s">
        <v>595</v>
      </c>
      <c r="I1443" s="22" t="str">
        <f>INDEX('Справочник Сети'!B:B,(MATCH(G1443,'Справочник Сети'!C:C,0)))</f>
        <v>Столички</v>
      </c>
      <c r="J1443" s="7" t="s">
        <v>315</v>
      </c>
      <c r="K1443" s="7" t="s">
        <v>3116</v>
      </c>
      <c r="L1443" s="7" t="s">
        <v>315</v>
      </c>
      <c r="M1443" s="31">
        <v>45670</v>
      </c>
      <c r="N1443" s="7" t="s">
        <v>3117</v>
      </c>
      <c r="O1443" s="8">
        <v>141</v>
      </c>
      <c r="P1443" s="24">
        <v>6260</v>
      </c>
      <c r="Q1443" s="22">
        <f>IF(COUNTIFS(A$2:A1443,A1443,I$2:I1443,I1443)=1,1,0)</f>
        <v>0</v>
      </c>
      <c r="R1443" s="22">
        <f t="shared" si="22"/>
        <v>2</v>
      </c>
      <c r="S1443" s="33">
        <f>IF(COUNTIF(O$2:O1443,O1443)=1,R1443,0)/2.5</f>
        <v>0</v>
      </c>
    </row>
    <row r="1444" spans="1:19" ht="18" customHeight="1" x14ac:dyDescent="0.25">
      <c r="A1444" s="7" t="s">
        <v>43</v>
      </c>
      <c r="B1444" s="8">
        <v>1</v>
      </c>
      <c r="C1444" s="9">
        <v>484</v>
      </c>
      <c r="D1444" s="29">
        <f>C1444+IF(INDEX('Справочник по %'!B:B,(MATCH(A1444,'Справочник по %'!A:A,0)))="кол-во",B1444*INDEX('Справочник по %'!C:C,(MATCH(A1444,'Справочник по %'!A:A,0))),ОТЧЕТ!C1444*INDEX('Справочник по %'!C:C,(MATCH(A1444,'Справочник по %'!A:A,0))))/100</f>
        <v>532.4</v>
      </c>
      <c r="E1444" s="29">
        <f>IF(ОТЧЕТ!A1444="SKU3",C1444+ОТЧЕТ!C1444*0.2,C1444+ОТЧЕТ!C1444*0.15)</f>
        <v>556.6</v>
      </c>
      <c r="F1444" s="7" t="s">
        <v>3113</v>
      </c>
      <c r="G1444" s="7">
        <v>4632170357</v>
      </c>
      <c r="H1444" s="20" t="s">
        <v>153</v>
      </c>
      <c r="I1444" s="22" t="str">
        <f>INDEX('Справочник Сети'!B:B,(MATCH(G1444,'Справочник Сети'!C:C,0)))</f>
        <v>Столички</v>
      </c>
      <c r="J1444" s="7" t="s">
        <v>83</v>
      </c>
      <c r="K1444" s="7" t="s">
        <v>3118</v>
      </c>
      <c r="L1444" s="7" t="s">
        <v>155</v>
      </c>
      <c r="M1444" s="31">
        <v>45716</v>
      </c>
      <c r="N1444" s="7" t="s">
        <v>3119</v>
      </c>
      <c r="O1444" s="8">
        <v>964</v>
      </c>
      <c r="P1444" s="24">
        <v>6261</v>
      </c>
      <c r="Q1444" s="22">
        <f>IF(COUNTIFS(A$2:A1444,A1444,I$2:I1444,I1444)=1,1,0)</f>
        <v>0</v>
      </c>
      <c r="R1444" s="22">
        <f t="shared" si="22"/>
        <v>2</v>
      </c>
      <c r="S1444" s="33">
        <f>IF(COUNTIF(O$2:O1444,O1444)=1,R1444,0)/2.5</f>
        <v>0.8</v>
      </c>
    </row>
    <row r="1445" spans="1:19" ht="18" customHeight="1" x14ac:dyDescent="0.25">
      <c r="A1445" s="7" t="s">
        <v>37</v>
      </c>
      <c r="B1445" s="8">
        <v>1</v>
      </c>
      <c r="C1445" s="9">
        <v>693</v>
      </c>
      <c r="D1445" s="29">
        <f>C1445+IF(INDEX('Справочник по %'!B:B,(MATCH(A1445,'Справочник по %'!A:A,0)))="кол-во",B1445*INDEX('Справочник по %'!C:C,(MATCH(A1445,'Справочник по %'!A:A,0))),ОТЧЕТ!C1445*INDEX('Справочник по %'!C:C,(MATCH(A1445,'Справочник по %'!A:A,0))))/100</f>
        <v>693.2</v>
      </c>
      <c r="E1445" s="29">
        <f>IF(ОТЧЕТ!A1445="SKU3",C1445+ОТЧЕТ!C1445*0.2,C1445+ОТЧЕТ!C1445*0.15)</f>
        <v>796.95</v>
      </c>
      <c r="F1445" s="7" t="s">
        <v>3113</v>
      </c>
      <c r="G1445" s="7">
        <v>7839300921</v>
      </c>
      <c r="H1445" s="20" t="s">
        <v>50</v>
      </c>
      <c r="I1445" s="22" t="str">
        <f>INDEX('Справочник Сети'!B:B,(MATCH(G1445,'Справочник Сети'!C:C,0)))</f>
        <v>Планета здоровья</v>
      </c>
      <c r="J1445" s="7" t="s">
        <v>121</v>
      </c>
      <c r="K1445" s="7" t="s">
        <v>1861</v>
      </c>
      <c r="L1445" s="7" t="s">
        <v>121</v>
      </c>
      <c r="M1445" s="31">
        <v>45671</v>
      </c>
      <c r="N1445" s="7" t="s">
        <v>3120</v>
      </c>
      <c r="O1445" s="8">
        <v>2844</v>
      </c>
      <c r="P1445" s="24">
        <v>6263</v>
      </c>
      <c r="Q1445" s="22">
        <f>IF(COUNTIFS(A$2:A1445,A1445,I$2:I1445,I1445)=1,1,0)</f>
        <v>0</v>
      </c>
      <c r="R1445" s="22">
        <f t="shared" si="22"/>
        <v>2</v>
      </c>
      <c r="S1445" s="33">
        <f>IF(COUNTIF(O$2:O1445,O1445)=1,R1445,0)/2.5</f>
        <v>0</v>
      </c>
    </row>
    <row r="1446" spans="1:19" ht="18" customHeight="1" x14ac:dyDescent="0.25">
      <c r="A1446" s="7" t="s">
        <v>43</v>
      </c>
      <c r="B1446" s="8">
        <v>1</v>
      </c>
      <c r="C1446" s="9">
        <v>515</v>
      </c>
      <c r="D1446" s="29">
        <f>C1446+IF(INDEX('Справочник по %'!B:B,(MATCH(A1446,'Справочник по %'!A:A,0)))="кол-во",B1446*INDEX('Справочник по %'!C:C,(MATCH(A1446,'Справочник по %'!A:A,0))),ОТЧЕТ!C1446*INDEX('Справочник по %'!C:C,(MATCH(A1446,'Справочник по %'!A:A,0))))/100</f>
        <v>566.5</v>
      </c>
      <c r="E1446" s="29">
        <f>IF(ОТЧЕТ!A1446="SKU3",C1446+ОТЧЕТ!C1446*0.2,C1446+ОТЧЕТ!C1446*0.15)</f>
        <v>592.25</v>
      </c>
      <c r="F1446" s="7" t="s">
        <v>3113</v>
      </c>
      <c r="G1446" s="7">
        <v>7805180253</v>
      </c>
      <c r="H1446" s="20" t="s">
        <v>50</v>
      </c>
      <c r="I1446" s="22">
        <f>INDEX('Справочник Сети'!B:B,(MATCH(G1446,'Справочник Сети'!C:C,0)))</f>
        <v>0</v>
      </c>
      <c r="J1446" s="7" t="s">
        <v>353</v>
      </c>
      <c r="K1446" s="7" t="s">
        <v>325</v>
      </c>
      <c r="L1446" s="7" t="s">
        <v>353</v>
      </c>
      <c r="M1446" s="31">
        <v>45672</v>
      </c>
      <c r="N1446" s="7" t="s">
        <v>3121</v>
      </c>
      <c r="O1446" s="8">
        <v>3052</v>
      </c>
      <c r="P1446" s="24">
        <v>6266</v>
      </c>
      <c r="Q1446" s="22">
        <f>IF(COUNTIFS(A$2:A1446,A1446,I$2:I1446,I1446)=1,1,0)</f>
        <v>0</v>
      </c>
      <c r="R1446" s="22">
        <f t="shared" si="22"/>
        <v>3</v>
      </c>
      <c r="S1446" s="33">
        <f>IF(COUNTIF(O$2:O1446,O1446)=1,R1446,0)/2.5</f>
        <v>0</v>
      </c>
    </row>
    <row r="1447" spans="1:19" ht="18" customHeight="1" x14ac:dyDescent="0.25">
      <c r="A1447" s="7" t="s">
        <v>43</v>
      </c>
      <c r="B1447" s="8">
        <v>1</v>
      </c>
      <c r="C1447" s="9">
        <v>372</v>
      </c>
      <c r="D1447" s="29">
        <f>C1447+IF(INDEX('Справочник по %'!B:B,(MATCH(A1447,'Справочник по %'!A:A,0)))="кол-во",B1447*INDEX('Справочник по %'!C:C,(MATCH(A1447,'Справочник по %'!A:A,0))),ОТЧЕТ!C1447*INDEX('Справочник по %'!C:C,(MATCH(A1447,'Справочник по %'!A:A,0))))/100</f>
        <v>409.2</v>
      </c>
      <c r="E1447" s="29">
        <f>IF(ОТЧЕТ!A1447="SKU3",C1447+ОТЧЕТ!C1447*0.2,C1447+ОТЧЕТ!C1447*0.15)</f>
        <v>427.8</v>
      </c>
      <c r="F1447" s="7" t="s">
        <v>3113</v>
      </c>
      <c r="G1447" s="7">
        <v>7706795062</v>
      </c>
      <c r="H1447" s="20" t="s">
        <v>687</v>
      </c>
      <c r="I1447" s="22" t="str">
        <f>INDEX('Справочник Сети'!B:B,(MATCH(G1447,'Справочник Сети'!C:C,0)))</f>
        <v>Планета здоровья</v>
      </c>
      <c r="J1447" s="7" t="s">
        <v>87</v>
      </c>
      <c r="K1447" s="7" t="s">
        <v>262</v>
      </c>
      <c r="L1447" s="7" t="s">
        <v>87</v>
      </c>
      <c r="M1447" s="31">
        <v>45691</v>
      </c>
      <c r="N1447" s="7" t="s">
        <v>3122</v>
      </c>
      <c r="O1447" s="8">
        <v>2278</v>
      </c>
      <c r="P1447" s="24">
        <v>6267</v>
      </c>
      <c r="Q1447" s="22">
        <f>IF(COUNTIFS(A$2:A1447,A1447,I$2:I1447,I1447)=1,1,0)</f>
        <v>0</v>
      </c>
      <c r="R1447" s="22">
        <f t="shared" si="22"/>
        <v>3</v>
      </c>
      <c r="S1447" s="33">
        <f>IF(COUNTIF(O$2:O1447,O1447)=1,R1447,0)/2.5</f>
        <v>0</v>
      </c>
    </row>
    <row r="1448" spans="1:19" ht="18" customHeight="1" x14ac:dyDescent="0.25">
      <c r="A1448" s="7" t="s">
        <v>43</v>
      </c>
      <c r="B1448" s="8">
        <v>1</v>
      </c>
      <c r="C1448" s="9">
        <v>475</v>
      </c>
      <c r="D1448" s="29">
        <f>C1448+IF(INDEX('Справочник по %'!B:B,(MATCH(A1448,'Справочник по %'!A:A,0)))="кол-во",B1448*INDEX('Справочник по %'!C:C,(MATCH(A1448,'Справочник по %'!A:A,0))),ОТЧЕТ!C1448*INDEX('Справочник по %'!C:C,(MATCH(A1448,'Справочник по %'!A:A,0))))/100</f>
        <v>522.5</v>
      </c>
      <c r="E1448" s="29">
        <f>IF(ОТЧЕТ!A1448="SKU3",C1448+ОТЧЕТ!C1448*0.2,C1448+ОТЧЕТ!C1448*0.15)</f>
        <v>546.25</v>
      </c>
      <c r="F1448" s="7" t="s">
        <v>3123</v>
      </c>
      <c r="G1448" s="7">
        <v>3702228192</v>
      </c>
      <c r="H1448" s="20" t="s">
        <v>50</v>
      </c>
      <c r="I1448" s="22">
        <f>INDEX('Справочник Сети'!B:B,(MATCH(G1448,'Справочник Сети'!C:C,0)))</f>
        <v>0</v>
      </c>
      <c r="J1448" s="7" t="s">
        <v>65</v>
      </c>
      <c r="K1448" s="7" t="s">
        <v>134</v>
      </c>
      <c r="L1448" s="7" t="s">
        <v>65</v>
      </c>
      <c r="M1448" s="31">
        <v>45717</v>
      </c>
      <c r="N1448" s="7" t="s">
        <v>3124</v>
      </c>
      <c r="O1448" s="8">
        <v>2148</v>
      </c>
      <c r="P1448" s="24">
        <v>6270</v>
      </c>
      <c r="Q1448" s="22">
        <f>IF(COUNTIFS(A$2:A1448,A1448,I$2:I1448,I1448)=1,1,0)</f>
        <v>0</v>
      </c>
      <c r="R1448" s="22">
        <f t="shared" si="22"/>
        <v>3</v>
      </c>
      <c r="S1448" s="33">
        <f>IF(COUNTIF(O$2:O1448,O1448)=1,R1448,0)/2.5</f>
        <v>0</v>
      </c>
    </row>
    <row r="1449" spans="1:19" ht="18" customHeight="1" x14ac:dyDescent="0.25">
      <c r="A1449" s="7" t="s">
        <v>43</v>
      </c>
      <c r="B1449" s="8">
        <v>1</v>
      </c>
      <c r="C1449" s="9">
        <v>385.22</v>
      </c>
      <c r="D1449" s="29">
        <f>C1449+IF(INDEX('Справочник по %'!B:B,(MATCH(A1449,'Справочник по %'!A:A,0)))="кол-во",B1449*INDEX('Справочник по %'!C:C,(MATCH(A1449,'Справочник по %'!A:A,0))),ОТЧЕТ!C1449*INDEX('Справочник по %'!C:C,(MATCH(A1449,'Справочник по %'!A:A,0))))/100</f>
        <v>423.74200000000002</v>
      </c>
      <c r="E1449" s="29">
        <f>IF(ОТЧЕТ!A1449="SKU3",C1449+ОТЧЕТ!C1449*0.2,C1449+ОТЧЕТ!C1449*0.15)</f>
        <v>443.00300000000004</v>
      </c>
      <c r="F1449" s="7" t="s">
        <v>3123</v>
      </c>
      <c r="G1449" s="7">
        <v>460802483217</v>
      </c>
      <c r="H1449" s="20" t="s">
        <v>50</v>
      </c>
      <c r="I1449" s="22">
        <f>INDEX('Справочник Сети'!B:B,(MATCH(G1449,'Справочник Сети'!C:C,0)))</f>
        <v>0</v>
      </c>
      <c r="J1449" s="7" t="s">
        <v>110</v>
      </c>
      <c r="K1449" s="7" t="s">
        <v>2241</v>
      </c>
      <c r="L1449" s="7" t="s">
        <v>110</v>
      </c>
      <c r="M1449" s="31">
        <v>45660</v>
      </c>
      <c r="N1449" s="7" t="s">
        <v>3125</v>
      </c>
      <c r="O1449" s="8">
        <v>3617</v>
      </c>
      <c r="P1449" s="24">
        <v>6274</v>
      </c>
      <c r="Q1449" s="22">
        <f>IF(COUNTIFS(A$2:A1449,A1449,I$2:I1449,I1449)=1,1,0)</f>
        <v>0</v>
      </c>
      <c r="R1449" s="22">
        <f t="shared" si="22"/>
        <v>1</v>
      </c>
      <c r="S1449" s="33">
        <f>IF(COUNTIF(O$2:O1449,O1449)=1,R1449,0)/2.5</f>
        <v>0.4</v>
      </c>
    </row>
    <row r="1450" spans="1:19" ht="18" customHeight="1" x14ac:dyDescent="0.25">
      <c r="A1450" s="7" t="s">
        <v>43</v>
      </c>
      <c r="B1450" s="8">
        <v>1</v>
      </c>
      <c r="C1450" s="9">
        <v>389</v>
      </c>
      <c r="D1450" s="29">
        <f>C1450+IF(INDEX('Справочник по %'!B:B,(MATCH(A1450,'Справочник по %'!A:A,0)))="кол-во",B1450*INDEX('Справочник по %'!C:C,(MATCH(A1450,'Справочник по %'!A:A,0))),ОТЧЕТ!C1450*INDEX('Справочник по %'!C:C,(MATCH(A1450,'Справочник по %'!A:A,0))))/100</f>
        <v>427.9</v>
      </c>
      <c r="E1450" s="29">
        <f>IF(ОТЧЕТ!A1450="SKU3",C1450+ОТЧЕТ!C1450*0.2,C1450+ОТЧЕТ!C1450*0.15)</f>
        <v>447.35</v>
      </c>
      <c r="F1450" s="7" t="s">
        <v>3126</v>
      </c>
      <c r="G1450" s="7">
        <v>7732121736</v>
      </c>
      <c r="H1450" s="20" t="s">
        <v>3127</v>
      </c>
      <c r="I1450" s="22" t="str">
        <f>INDEX('Справочник Сети'!B:B,(MATCH(G1450,'Справочник Сети'!C:C,0)))</f>
        <v>Планета здоровья</v>
      </c>
      <c r="J1450" s="7" t="s">
        <v>149</v>
      </c>
      <c r="K1450" s="7" t="s">
        <v>3018</v>
      </c>
      <c r="L1450" s="7" t="s">
        <v>142</v>
      </c>
      <c r="M1450" s="31">
        <v>45674</v>
      </c>
      <c r="N1450" s="7" t="s">
        <v>3128</v>
      </c>
      <c r="O1450" s="8">
        <v>541</v>
      </c>
      <c r="P1450" s="24">
        <v>6275</v>
      </c>
      <c r="Q1450" s="22">
        <f>IF(COUNTIFS(A$2:A1450,A1450,I$2:I1450,I1450)=1,1,0)</f>
        <v>0</v>
      </c>
      <c r="R1450" s="22">
        <f t="shared" si="22"/>
        <v>1</v>
      </c>
      <c r="S1450" s="33">
        <f>IF(COUNTIF(O$2:O1450,O1450)=1,R1450,0)/2.5</f>
        <v>0.4</v>
      </c>
    </row>
    <row r="1451" spans="1:19" ht="18" customHeight="1" x14ac:dyDescent="0.25">
      <c r="A1451" s="7" t="s">
        <v>43</v>
      </c>
      <c r="B1451" s="8">
        <v>1</v>
      </c>
      <c r="C1451" s="9">
        <v>464</v>
      </c>
      <c r="D1451" s="29">
        <f>C1451+IF(INDEX('Справочник по %'!B:B,(MATCH(A1451,'Справочник по %'!A:A,0)))="кол-во",B1451*INDEX('Справочник по %'!C:C,(MATCH(A1451,'Справочник по %'!A:A,0))),ОТЧЕТ!C1451*INDEX('Справочник по %'!C:C,(MATCH(A1451,'Справочник по %'!A:A,0))))/100</f>
        <v>510.4</v>
      </c>
      <c r="E1451" s="29">
        <f>IF(ОТЧЕТ!A1451="SKU3",C1451+ОТЧЕТ!C1451*0.2,C1451+ОТЧЕТ!C1451*0.15)</f>
        <v>533.6</v>
      </c>
      <c r="F1451" s="7" t="s">
        <v>3129</v>
      </c>
      <c r="G1451" s="7">
        <v>7106040020</v>
      </c>
      <c r="H1451" s="20" t="s">
        <v>50</v>
      </c>
      <c r="I1451" s="22">
        <f>INDEX('Справочник Сети'!B:B,(MATCH(G1451,'Справочник Сети'!C:C,0)))</f>
        <v>0</v>
      </c>
      <c r="J1451" s="7" t="s">
        <v>106</v>
      </c>
      <c r="K1451" s="7" t="s">
        <v>222</v>
      </c>
      <c r="L1451" s="7" t="s">
        <v>106</v>
      </c>
      <c r="M1451" s="31">
        <v>45694</v>
      </c>
      <c r="N1451" s="7" t="s">
        <v>3130</v>
      </c>
      <c r="O1451" s="8">
        <v>2504</v>
      </c>
      <c r="P1451" s="24">
        <v>6278</v>
      </c>
      <c r="Q1451" s="22">
        <f>IF(COUNTIFS(A$2:A1451,A1451,I$2:I1451,I1451)=1,1,0)</f>
        <v>0</v>
      </c>
      <c r="R1451" s="22">
        <f t="shared" si="22"/>
        <v>1</v>
      </c>
      <c r="S1451" s="33">
        <f>IF(COUNTIF(O$2:O1451,O1451)=1,R1451,0)/2.5</f>
        <v>0.4</v>
      </c>
    </row>
    <row r="1452" spans="1:19" ht="18" customHeight="1" x14ac:dyDescent="0.25">
      <c r="A1452" s="7" t="s">
        <v>43</v>
      </c>
      <c r="B1452" s="8">
        <v>1</v>
      </c>
      <c r="C1452" s="9">
        <v>378</v>
      </c>
      <c r="D1452" s="29">
        <f>C1452+IF(INDEX('Справочник по %'!B:B,(MATCH(A1452,'Справочник по %'!A:A,0)))="кол-во",B1452*INDEX('Справочник по %'!C:C,(MATCH(A1452,'Справочник по %'!A:A,0))),ОТЧЕТ!C1452*INDEX('Справочник по %'!C:C,(MATCH(A1452,'Справочник по %'!A:A,0))))/100</f>
        <v>415.8</v>
      </c>
      <c r="E1452" s="29">
        <f>IF(ОТЧЕТ!A1452="SKU3",C1452+ОТЧЕТ!C1452*0.2,C1452+ОТЧЕТ!C1452*0.15)</f>
        <v>434.7</v>
      </c>
      <c r="F1452" s="7" t="s">
        <v>3129</v>
      </c>
      <c r="G1452" s="7">
        <v>7706795062</v>
      </c>
      <c r="H1452" s="20" t="s">
        <v>3131</v>
      </c>
      <c r="I1452" s="22" t="str">
        <f>INDEX('Справочник Сети'!B:B,(MATCH(G1452,'Справочник Сети'!C:C,0)))</f>
        <v>Планета здоровья</v>
      </c>
      <c r="J1452" s="7" t="s">
        <v>87</v>
      </c>
      <c r="K1452" s="7" t="s">
        <v>231</v>
      </c>
      <c r="L1452" s="7" t="s">
        <v>87</v>
      </c>
      <c r="M1452" s="31">
        <v>45691</v>
      </c>
      <c r="N1452" s="7" t="s">
        <v>3132</v>
      </c>
      <c r="O1452" s="8">
        <v>1603</v>
      </c>
      <c r="P1452" s="24">
        <v>6284</v>
      </c>
      <c r="Q1452" s="22">
        <f>IF(COUNTIFS(A$2:A1452,A1452,I$2:I1452,I1452)=1,1,0)</f>
        <v>0</v>
      </c>
      <c r="R1452" s="22">
        <f t="shared" si="22"/>
        <v>3</v>
      </c>
      <c r="S1452" s="33">
        <f>IF(COUNTIF(O$2:O1452,O1452)=1,R1452,0)/2.5</f>
        <v>1.2</v>
      </c>
    </row>
    <row r="1453" spans="1:19" ht="18" customHeight="1" x14ac:dyDescent="0.25">
      <c r="A1453" s="7" t="s">
        <v>43</v>
      </c>
      <c r="B1453" s="8">
        <v>1</v>
      </c>
      <c r="C1453" s="9">
        <v>450</v>
      </c>
      <c r="D1453" s="29">
        <f>C1453+IF(INDEX('Справочник по %'!B:B,(MATCH(A1453,'Справочник по %'!A:A,0)))="кол-во",B1453*INDEX('Справочник по %'!C:C,(MATCH(A1453,'Справочник по %'!A:A,0))),ОТЧЕТ!C1453*INDEX('Справочник по %'!C:C,(MATCH(A1453,'Справочник по %'!A:A,0))))/100</f>
        <v>495</v>
      </c>
      <c r="E1453" s="29">
        <f>IF(ОТЧЕТ!A1453="SKU3",C1453+ОТЧЕТ!C1453*0.2,C1453+ОТЧЕТ!C1453*0.15)</f>
        <v>517.5</v>
      </c>
      <c r="F1453" s="7" t="s">
        <v>3133</v>
      </c>
      <c r="G1453" s="7">
        <v>7704865540</v>
      </c>
      <c r="H1453" s="20" t="s">
        <v>91</v>
      </c>
      <c r="I1453" s="22" t="str">
        <f>INDEX('Справочник Сети'!B:B,(MATCH(G1453,'Справочник Сети'!C:C,0)))</f>
        <v>Столички</v>
      </c>
      <c r="J1453" s="7" t="s">
        <v>104</v>
      </c>
      <c r="K1453" s="7" t="s">
        <v>158</v>
      </c>
      <c r="L1453" s="7" t="s">
        <v>104</v>
      </c>
      <c r="M1453" s="31">
        <v>45693</v>
      </c>
      <c r="N1453" s="7" t="s">
        <v>3134</v>
      </c>
      <c r="O1453" s="8">
        <v>2122</v>
      </c>
      <c r="P1453" s="24">
        <v>6290</v>
      </c>
      <c r="Q1453" s="22">
        <f>IF(COUNTIFS(A$2:A1453,A1453,I$2:I1453,I1453)=1,1,0)</f>
        <v>0</v>
      </c>
      <c r="R1453" s="22">
        <f t="shared" si="22"/>
        <v>1</v>
      </c>
      <c r="S1453" s="33">
        <f>IF(COUNTIF(O$2:O1453,O1453)=1,R1453,0)/2.5</f>
        <v>0.4</v>
      </c>
    </row>
    <row r="1454" spans="1:19" ht="18" customHeight="1" x14ac:dyDescent="0.25">
      <c r="A1454" s="7" t="s">
        <v>43</v>
      </c>
      <c r="B1454" s="8">
        <v>1</v>
      </c>
      <c r="C1454" s="9">
        <v>412</v>
      </c>
      <c r="D1454" s="29">
        <f>C1454+IF(INDEX('Справочник по %'!B:B,(MATCH(A1454,'Справочник по %'!A:A,0)))="кол-во",B1454*INDEX('Справочник по %'!C:C,(MATCH(A1454,'Справочник по %'!A:A,0))),ОТЧЕТ!C1454*INDEX('Справочник по %'!C:C,(MATCH(A1454,'Справочник по %'!A:A,0))))/100</f>
        <v>453.2</v>
      </c>
      <c r="E1454" s="29">
        <f>IF(ОТЧЕТ!A1454="SKU3",C1454+ОТЧЕТ!C1454*0.2,C1454+ОТЧЕТ!C1454*0.15)</f>
        <v>473.8</v>
      </c>
      <c r="F1454" s="7" t="s">
        <v>3135</v>
      </c>
      <c r="G1454" s="7">
        <v>2310200444</v>
      </c>
      <c r="H1454" s="20" t="s">
        <v>69</v>
      </c>
      <c r="I1454" s="22" t="str">
        <f>INDEX('Справочник Сети'!B:B,(MATCH(G1454,'Справочник Сети'!C:C,0)))</f>
        <v>Планета здоровья</v>
      </c>
      <c r="J1454" s="7" t="s">
        <v>70</v>
      </c>
      <c r="K1454" s="7" t="s">
        <v>1864</v>
      </c>
      <c r="L1454" s="7" t="s">
        <v>57</v>
      </c>
      <c r="M1454" s="31">
        <v>45729</v>
      </c>
      <c r="N1454" s="7" t="s">
        <v>3136</v>
      </c>
      <c r="O1454" s="8">
        <v>548</v>
      </c>
      <c r="P1454" s="24">
        <v>6291</v>
      </c>
      <c r="Q1454" s="22">
        <f>IF(COUNTIFS(A$2:A1454,A1454,I$2:I1454,I1454)=1,1,0)</f>
        <v>0</v>
      </c>
      <c r="R1454" s="22">
        <f t="shared" si="22"/>
        <v>4</v>
      </c>
      <c r="S1454" s="33">
        <f>IF(COUNTIF(O$2:O1454,O1454)=1,R1454,0)/2.5</f>
        <v>0</v>
      </c>
    </row>
    <row r="1455" spans="1:19" ht="18" customHeight="1" x14ac:dyDescent="0.25">
      <c r="A1455" s="7" t="s">
        <v>43</v>
      </c>
      <c r="B1455" s="8">
        <v>1</v>
      </c>
      <c r="C1455" s="9">
        <v>457</v>
      </c>
      <c r="D1455" s="29">
        <f>C1455+IF(INDEX('Справочник по %'!B:B,(MATCH(A1455,'Справочник по %'!A:A,0)))="кол-во",B1455*INDEX('Справочник по %'!C:C,(MATCH(A1455,'Справочник по %'!A:A,0))),ОТЧЕТ!C1455*INDEX('Справочник по %'!C:C,(MATCH(A1455,'Справочник по %'!A:A,0))))/100</f>
        <v>502.7</v>
      </c>
      <c r="E1455" s="29">
        <f>IF(ОТЧЕТ!A1455="SKU3",C1455+ОТЧЕТ!C1455*0.2,C1455+ОТЧЕТ!C1455*0.15)</f>
        <v>525.54999999999995</v>
      </c>
      <c r="F1455" s="7" t="s">
        <v>3137</v>
      </c>
      <c r="G1455" s="7">
        <v>9201016367</v>
      </c>
      <c r="H1455" s="20" t="s">
        <v>50</v>
      </c>
      <c r="I1455" s="22">
        <f>INDEX('Справочник Сети'!B:B,(MATCH(G1455,'Справочник Сети'!C:C,0)))</f>
        <v>0</v>
      </c>
      <c r="J1455" s="7" t="s">
        <v>239</v>
      </c>
      <c r="K1455" s="7" t="s">
        <v>1151</v>
      </c>
      <c r="L1455" s="7" t="s">
        <v>239</v>
      </c>
      <c r="M1455" s="31">
        <v>45662</v>
      </c>
      <c r="N1455" s="7" t="s">
        <v>3138</v>
      </c>
      <c r="O1455" s="8">
        <v>1782</v>
      </c>
      <c r="P1455" s="24">
        <v>6293</v>
      </c>
      <c r="Q1455" s="22">
        <f>IF(COUNTIFS(A$2:A1455,A1455,I$2:I1455,I1455)=1,1,0)</f>
        <v>0</v>
      </c>
      <c r="R1455" s="22">
        <f t="shared" si="22"/>
        <v>3</v>
      </c>
      <c r="S1455" s="33">
        <f>IF(COUNTIF(O$2:O1455,O1455)=1,R1455,0)/2.5</f>
        <v>0</v>
      </c>
    </row>
    <row r="1456" spans="1:19" ht="18" customHeight="1" x14ac:dyDescent="0.25">
      <c r="A1456" s="7" t="s">
        <v>37</v>
      </c>
      <c r="B1456" s="8">
        <v>1</v>
      </c>
      <c r="C1456" s="9">
        <v>581</v>
      </c>
      <c r="D1456" s="29">
        <f>C1456+IF(INDEX('Справочник по %'!B:B,(MATCH(A1456,'Справочник по %'!A:A,0)))="кол-во",B1456*INDEX('Справочник по %'!C:C,(MATCH(A1456,'Справочник по %'!A:A,0))),ОТЧЕТ!C1456*INDEX('Справочник по %'!C:C,(MATCH(A1456,'Справочник по %'!A:A,0))))/100</f>
        <v>581.20000000000005</v>
      </c>
      <c r="E1456" s="29">
        <f>IF(ОТЧЕТ!A1456="SKU3",C1456+ОТЧЕТ!C1456*0.2,C1456+ОТЧЕТ!C1456*0.15)</f>
        <v>668.15</v>
      </c>
      <c r="F1456" s="7" t="s">
        <v>3139</v>
      </c>
      <c r="G1456" s="7">
        <v>2310096546</v>
      </c>
      <c r="H1456" s="20" t="s">
        <v>69</v>
      </c>
      <c r="I1456" s="22" t="str">
        <f>INDEX('Справочник Сети'!B:B,(MATCH(G1456,'Справочник Сети'!C:C,0)))</f>
        <v>36,6</v>
      </c>
      <c r="J1456" s="7" t="s">
        <v>57</v>
      </c>
      <c r="K1456" s="7" t="s">
        <v>1873</v>
      </c>
      <c r="L1456" s="7" t="s">
        <v>57</v>
      </c>
      <c r="M1456" s="31">
        <v>45729</v>
      </c>
      <c r="N1456" s="7" t="s">
        <v>3140</v>
      </c>
      <c r="O1456" s="8">
        <v>121</v>
      </c>
      <c r="P1456" s="24">
        <v>6296</v>
      </c>
      <c r="Q1456" s="22">
        <f>IF(COUNTIFS(A$2:A1456,A1456,I$2:I1456,I1456)=1,1,0)</f>
        <v>0</v>
      </c>
      <c r="R1456" s="22">
        <f t="shared" si="22"/>
        <v>2</v>
      </c>
      <c r="S1456" s="33">
        <f>IF(COUNTIF(O$2:O1456,O1456)=1,R1456,0)/2.5</f>
        <v>0.8</v>
      </c>
    </row>
    <row r="1457" spans="1:19" ht="18" customHeight="1" x14ac:dyDescent="0.25">
      <c r="A1457" s="7" t="s">
        <v>37</v>
      </c>
      <c r="B1457" s="8">
        <v>1</v>
      </c>
      <c r="C1457" s="9">
        <v>682</v>
      </c>
      <c r="D1457" s="29">
        <f>C1457+IF(INDEX('Справочник по %'!B:B,(MATCH(A1457,'Справочник по %'!A:A,0)))="кол-во",B1457*INDEX('Справочник по %'!C:C,(MATCH(A1457,'Справочник по %'!A:A,0))),ОТЧЕТ!C1457*INDEX('Справочник по %'!C:C,(MATCH(A1457,'Справочник по %'!A:A,0))))/100</f>
        <v>682.2</v>
      </c>
      <c r="E1457" s="29">
        <f>IF(ОТЧЕТ!A1457="SKU3",C1457+ОТЧЕТ!C1457*0.2,C1457+ОТЧЕТ!C1457*0.15)</f>
        <v>784.3</v>
      </c>
      <c r="F1457" s="7" t="s">
        <v>3139</v>
      </c>
      <c r="G1457" s="7">
        <v>7840411560</v>
      </c>
      <c r="H1457" s="20" t="s">
        <v>3141</v>
      </c>
      <c r="I1457" s="22" t="str">
        <f>INDEX('Справочник Сети'!B:B,(MATCH(G1457,'Справочник Сети'!C:C,0)))</f>
        <v>Столички</v>
      </c>
      <c r="J1457" s="7" t="s">
        <v>315</v>
      </c>
      <c r="K1457" s="7" t="s">
        <v>1868</v>
      </c>
      <c r="L1457" s="7" t="s">
        <v>315</v>
      </c>
      <c r="M1457" s="31">
        <v>45670</v>
      </c>
      <c r="N1457" s="7" t="s">
        <v>3142</v>
      </c>
      <c r="O1457" s="8">
        <v>1515</v>
      </c>
      <c r="P1457" s="24">
        <v>6298</v>
      </c>
      <c r="Q1457" s="22">
        <f>IF(COUNTIFS(A$2:A1457,A1457,I$2:I1457,I1457)=1,1,0)</f>
        <v>0</v>
      </c>
      <c r="R1457" s="22">
        <f t="shared" si="22"/>
        <v>1</v>
      </c>
      <c r="S1457" s="33">
        <f>IF(COUNTIF(O$2:O1457,O1457)=1,R1457,0)/2.5</f>
        <v>0.4</v>
      </c>
    </row>
    <row r="1458" spans="1:19" ht="18" customHeight="1" x14ac:dyDescent="0.25">
      <c r="A1458" s="7" t="s">
        <v>37</v>
      </c>
      <c r="B1458" s="8">
        <v>1</v>
      </c>
      <c r="C1458" s="9">
        <v>620</v>
      </c>
      <c r="D1458" s="29">
        <f>C1458+IF(INDEX('Справочник по %'!B:B,(MATCH(A1458,'Справочник по %'!A:A,0)))="кол-во",B1458*INDEX('Справочник по %'!C:C,(MATCH(A1458,'Справочник по %'!A:A,0))),ОТЧЕТ!C1458*INDEX('Справочник по %'!C:C,(MATCH(A1458,'Справочник по %'!A:A,0))))/100</f>
        <v>620.20000000000005</v>
      </c>
      <c r="E1458" s="29">
        <f>IF(ОТЧЕТ!A1458="SKU3",C1458+ОТЧЕТ!C1458*0.2,C1458+ОТЧЕТ!C1458*0.15)</f>
        <v>713</v>
      </c>
      <c r="F1458" s="7" t="s">
        <v>3139</v>
      </c>
      <c r="G1458" s="7">
        <v>312825165467</v>
      </c>
      <c r="H1458" s="20" t="s">
        <v>1778</v>
      </c>
      <c r="I1458" s="22">
        <f>INDEX('Справочник Сети'!B:B,(MATCH(G1458,'Справочник Сети'!C:C,0)))</f>
        <v>0</v>
      </c>
      <c r="J1458" s="7" t="s">
        <v>110</v>
      </c>
      <c r="K1458" s="7" t="s">
        <v>1110</v>
      </c>
      <c r="L1458" s="7" t="s">
        <v>110</v>
      </c>
      <c r="M1458" s="31">
        <v>45660</v>
      </c>
      <c r="N1458" s="7" t="s">
        <v>3143</v>
      </c>
      <c r="O1458" s="8">
        <v>408</v>
      </c>
      <c r="P1458" s="24">
        <v>6299</v>
      </c>
      <c r="Q1458" s="22">
        <f>IF(COUNTIFS(A$2:A1458,A1458,I$2:I1458,I1458)=1,1,0)</f>
        <v>0</v>
      </c>
      <c r="R1458" s="22">
        <f t="shared" si="22"/>
        <v>3</v>
      </c>
      <c r="S1458" s="33">
        <f>IF(COUNTIF(O$2:O1458,O1458)=1,R1458,0)/2.5</f>
        <v>0</v>
      </c>
    </row>
    <row r="1459" spans="1:19" ht="18" customHeight="1" x14ac:dyDescent="0.25">
      <c r="A1459" s="7" t="s">
        <v>43</v>
      </c>
      <c r="B1459" s="8">
        <v>1</v>
      </c>
      <c r="C1459" s="9">
        <v>418</v>
      </c>
      <c r="D1459" s="29">
        <f>C1459+IF(INDEX('Справочник по %'!B:B,(MATCH(A1459,'Справочник по %'!A:A,0)))="кол-во",B1459*INDEX('Справочник по %'!C:C,(MATCH(A1459,'Справочник по %'!A:A,0))),ОТЧЕТ!C1459*INDEX('Справочник по %'!C:C,(MATCH(A1459,'Справочник по %'!A:A,0))))/100</f>
        <v>459.8</v>
      </c>
      <c r="E1459" s="29">
        <f>IF(ОТЧЕТ!A1459="SKU3",C1459+ОТЧЕТ!C1459*0.2,C1459+ОТЧЕТ!C1459*0.15)</f>
        <v>480.7</v>
      </c>
      <c r="F1459" s="7" t="s">
        <v>3139</v>
      </c>
      <c r="G1459" s="7">
        <v>7724397441</v>
      </c>
      <c r="H1459" s="20" t="s">
        <v>91</v>
      </c>
      <c r="I1459" s="22">
        <f>INDEX('Справочник Сети'!B:B,(MATCH(G1459,'Справочник Сети'!C:C,0)))</f>
        <v>0</v>
      </c>
      <c r="J1459" s="7" t="s">
        <v>185</v>
      </c>
      <c r="K1459" s="7" t="s">
        <v>3144</v>
      </c>
      <c r="L1459" s="7" t="s">
        <v>185</v>
      </c>
      <c r="M1459" s="31">
        <v>45675</v>
      </c>
      <c r="N1459" s="7" t="s">
        <v>3145</v>
      </c>
      <c r="O1459" s="8">
        <v>1358</v>
      </c>
      <c r="P1459" s="24">
        <v>6300</v>
      </c>
      <c r="Q1459" s="22">
        <f>IF(COUNTIFS(A$2:A1459,A1459,I$2:I1459,I1459)=1,1,0)</f>
        <v>0</v>
      </c>
      <c r="R1459" s="22">
        <f t="shared" si="22"/>
        <v>2</v>
      </c>
      <c r="S1459" s="33">
        <f>IF(COUNTIF(O$2:O1459,O1459)=1,R1459,0)/2.5</f>
        <v>0.8</v>
      </c>
    </row>
    <row r="1460" spans="1:19" ht="18" customHeight="1" x14ac:dyDescent="0.25">
      <c r="A1460" s="7" t="s">
        <v>43</v>
      </c>
      <c r="B1460" s="8">
        <v>1</v>
      </c>
      <c r="C1460" s="9">
        <v>361</v>
      </c>
      <c r="D1460" s="29">
        <f>C1460+IF(INDEX('Справочник по %'!B:B,(MATCH(A1460,'Справочник по %'!A:A,0)))="кол-во",B1460*INDEX('Справочник по %'!C:C,(MATCH(A1460,'Справочник по %'!A:A,0))),ОТЧЕТ!C1460*INDEX('Справочник по %'!C:C,(MATCH(A1460,'Справочник по %'!A:A,0))))/100</f>
        <v>397.1</v>
      </c>
      <c r="E1460" s="29">
        <f>IF(ОТЧЕТ!A1460="SKU3",C1460+ОТЧЕТ!C1460*0.2,C1460+ОТЧЕТ!C1460*0.15)</f>
        <v>415.15</v>
      </c>
      <c r="F1460" s="7" t="s">
        <v>3139</v>
      </c>
      <c r="G1460" s="7">
        <v>4632014220</v>
      </c>
      <c r="H1460" s="20" t="s">
        <v>3146</v>
      </c>
      <c r="I1460" s="22">
        <f>INDEX('Справочник Сети'!B:B,(MATCH(G1460,'Справочник Сети'!C:C,0)))</f>
        <v>0</v>
      </c>
      <c r="J1460" s="7" t="s">
        <v>155</v>
      </c>
      <c r="K1460" s="7" t="s">
        <v>2487</v>
      </c>
      <c r="L1460" s="7" t="s">
        <v>155</v>
      </c>
      <c r="M1460" s="31">
        <v>45716</v>
      </c>
      <c r="N1460" s="7" t="s">
        <v>3147</v>
      </c>
      <c r="O1460" s="8">
        <v>3118</v>
      </c>
      <c r="P1460" s="24">
        <v>6301</v>
      </c>
      <c r="Q1460" s="22">
        <f>IF(COUNTIFS(A$2:A1460,A1460,I$2:I1460,I1460)=1,1,0)</f>
        <v>0</v>
      </c>
      <c r="R1460" s="22">
        <f t="shared" si="22"/>
        <v>1</v>
      </c>
      <c r="S1460" s="33">
        <f>IF(COUNTIF(O$2:O1460,O1460)=1,R1460,0)/2.5</f>
        <v>0.4</v>
      </c>
    </row>
    <row r="1461" spans="1:19" ht="18" customHeight="1" x14ac:dyDescent="0.25">
      <c r="A1461" s="7" t="s">
        <v>43</v>
      </c>
      <c r="B1461" s="8">
        <v>1</v>
      </c>
      <c r="C1461" s="9">
        <v>457.33</v>
      </c>
      <c r="D1461" s="29">
        <f>C1461+IF(INDEX('Справочник по %'!B:B,(MATCH(A1461,'Справочник по %'!A:A,0)))="кол-во",B1461*INDEX('Справочник по %'!C:C,(MATCH(A1461,'Справочник по %'!A:A,0))),ОТЧЕТ!C1461*INDEX('Справочник по %'!C:C,(MATCH(A1461,'Справочник по %'!A:A,0))))/100</f>
        <v>503.06299999999999</v>
      </c>
      <c r="E1461" s="29">
        <f>IF(ОТЧЕТ!A1461="SKU3",C1461+ОТЧЕТ!C1461*0.2,C1461+ОТЧЕТ!C1461*0.15)</f>
        <v>525.92949999999996</v>
      </c>
      <c r="F1461" s="7" t="s">
        <v>3148</v>
      </c>
      <c r="G1461" s="7">
        <v>7705947629</v>
      </c>
      <c r="H1461" s="20" t="s">
        <v>50</v>
      </c>
      <c r="I1461" s="22" t="str">
        <f>INDEX('Справочник Сети'!B:B,(MATCH(G1461,'Справочник Сети'!C:C,0)))</f>
        <v>36,6</v>
      </c>
      <c r="J1461" s="7" t="s">
        <v>116</v>
      </c>
      <c r="K1461" s="7" t="s">
        <v>249</v>
      </c>
      <c r="L1461" s="7" t="s">
        <v>104</v>
      </c>
      <c r="M1461" s="31">
        <v>45693</v>
      </c>
      <c r="N1461" s="7" t="s">
        <v>3149</v>
      </c>
      <c r="O1461" s="8">
        <v>2817</v>
      </c>
      <c r="P1461" s="24">
        <v>6308</v>
      </c>
      <c r="Q1461" s="22">
        <f>IF(COUNTIFS(A$2:A1461,A1461,I$2:I1461,I1461)=1,1,0)</f>
        <v>0</v>
      </c>
      <c r="R1461" s="22">
        <f t="shared" si="22"/>
        <v>2</v>
      </c>
      <c r="S1461" s="33">
        <f>IF(COUNTIF(O$2:O1461,O1461)=1,R1461,0)/2.5</f>
        <v>0.8</v>
      </c>
    </row>
    <row r="1462" spans="1:19" ht="18" customHeight="1" x14ac:dyDescent="0.25">
      <c r="A1462" s="7" t="s">
        <v>43</v>
      </c>
      <c r="B1462" s="8">
        <v>1</v>
      </c>
      <c r="C1462" s="9">
        <v>449</v>
      </c>
      <c r="D1462" s="29">
        <f>C1462+IF(INDEX('Справочник по %'!B:B,(MATCH(A1462,'Справочник по %'!A:A,0)))="кол-во",B1462*INDEX('Справочник по %'!C:C,(MATCH(A1462,'Справочник по %'!A:A,0))),ОТЧЕТ!C1462*INDEX('Справочник по %'!C:C,(MATCH(A1462,'Справочник по %'!A:A,0))))/100</f>
        <v>493.9</v>
      </c>
      <c r="E1462" s="29">
        <f>IF(ОТЧЕТ!A1462="SKU3",C1462+ОТЧЕТ!C1462*0.2,C1462+ОТЧЕТ!C1462*0.15)</f>
        <v>516.35</v>
      </c>
      <c r="F1462" s="7" t="s">
        <v>3150</v>
      </c>
      <c r="G1462" s="7">
        <v>1650137276</v>
      </c>
      <c r="H1462" s="20" t="s">
        <v>3151</v>
      </c>
      <c r="I1462" s="22">
        <f>INDEX('Справочник Сети'!B:B,(MATCH(G1462,'Справочник Сети'!C:C,0)))</f>
        <v>0</v>
      </c>
      <c r="J1462" s="7" t="s">
        <v>335</v>
      </c>
      <c r="K1462" s="7" t="s">
        <v>616</v>
      </c>
      <c r="L1462" s="7" t="s">
        <v>335</v>
      </c>
      <c r="M1462" s="31">
        <v>45731</v>
      </c>
      <c r="N1462" s="7" t="s">
        <v>3152</v>
      </c>
      <c r="O1462" s="8">
        <v>491</v>
      </c>
      <c r="P1462" s="24">
        <v>6313</v>
      </c>
      <c r="Q1462" s="22">
        <f>IF(COUNTIFS(A$2:A1462,A1462,I$2:I1462,I1462)=1,1,0)</f>
        <v>0</v>
      </c>
      <c r="R1462" s="22">
        <f t="shared" si="22"/>
        <v>1</v>
      </c>
      <c r="S1462" s="33">
        <f>IF(COUNTIF(O$2:O1462,O1462)=1,R1462,0)/2.5</f>
        <v>0.4</v>
      </c>
    </row>
    <row r="1463" spans="1:19" ht="18" customHeight="1" x14ac:dyDescent="0.25">
      <c r="A1463" s="7" t="s">
        <v>43</v>
      </c>
      <c r="B1463" s="8">
        <v>1</v>
      </c>
      <c r="C1463" s="9">
        <v>501</v>
      </c>
      <c r="D1463" s="29">
        <f>C1463+IF(INDEX('Справочник по %'!B:B,(MATCH(A1463,'Справочник по %'!A:A,0)))="кол-во",B1463*INDEX('Справочник по %'!C:C,(MATCH(A1463,'Справочник по %'!A:A,0))),ОТЧЕТ!C1463*INDEX('Справочник по %'!C:C,(MATCH(A1463,'Справочник по %'!A:A,0))))/100</f>
        <v>551.1</v>
      </c>
      <c r="E1463" s="29">
        <f>IF(ОТЧЕТ!A1463="SKU3",C1463+ОТЧЕТ!C1463*0.2,C1463+ОТЧЕТ!C1463*0.15)</f>
        <v>576.15</v>
      </c>
      <c r="F1463" s="7" t="s">
        <v>3153</v>
      </c>
      <c r="G1463" s="7">
        <v>7705947629</v>
      </c>
      <c r="H1463" s="20" t="s">
        <v>50</v>
      </c>
      <c r="I1463" s="22" t="str">
        <f>INDEX('Справочник Сети'!B:B,(MATCH(G1463,'Справочник Сети'!C:C,0)))</f>
        <v>36,6</v>
      </c>
      <c r="J1463" s="7" t="s">
        <v>104</v>
      </c>
      <c r="K1463" s="7" t="s">
        <v>2651</v>
      </c>
      <c r="L1463" s="7" t="s">
        <v>104</v>
      </c>
      <c r="M1463" s="31">
        <v>45693</v>
      </c>
      <c r="N1463" s="7" t="s">
        <v>3154</v>
      </c>
      <c r="O1463" s="8">
        <v>600</v>
      </c>
      <c r="P1463" s="24">
        <v>6315</v>
      </c>
      <c r="Q1463" s="22">
        <f>IF(COUNTIFS(A$2:A1463,A1463,I$2:I1463,I1463)=1,1,0)</f>
        <v>0</v>
      </c>
      <c r="R1463" s="22">
        <f t="shared" si="22"/>
        <v>2</v>
      </c>
      <c r="S1463" s="33">
        <f>IF(COUNTIF(O$2:O1463,O1463)=1,R1463,0)/2.5</f>
        <v>0.8</v>
      </c>
    </row>
    <row r="1464" spans="1:19" ht="18" customHeight="1" x14ac:dyDescent="0.25">
      <c r="A1464" s="7" t="s">
        <v>37</v>
      </c>
      <c r="B1464" s="8">
        <v>1</v>
      </c>
      <c r="C1464" s="9">
        <v>546</v>
      </c>
      <c r="D1464" s="29">
        <f>C1464+IF(INDEX('Справочник по %'!B:B,(MATCH(A1464,'Справочник по %'!A:A,0)))="кол-во",B1464*INDEX('Справочник по %'!C:C,(MATCH(A1464,'Справочник по %'!A:A,0))),ОТЧЕТ!C1464*INDEX('Справочник по %'!C:C,(MATCH(A1464,'Справочник по %'!A:A,0))))/100</f>
        <v>546.20000000000005</v>
      </c>
      <c r="E1464" s="29">
        <f>IF(ОТЧЕТ!A1464="SKU3",C1464+ОТЧЕТ!C1464*0.2,C1464+ОТЧЕТ!C1464*0.15)</f>
        <v>627.9</v>
      </c>
      <c r="F1464" s="7" t="s">
        <v>3153</v>
      </c>
      <c r="G1464" s="7">
        <v>7728339546</v>
      </c>
      <c r="H1464" s="20" t="s">
        <v>3155</v>
      </c>
      <c r="I1464" s="22" t="str">
        <f>INDEX('Справочник Сети'!B:B,(MATCH(G1464,'Справочник Сети'!C:C,0)))</f>
        <v>Планета здоровья</v>
      </c>
      <c r="J1464" s="7" t="s">
        <v>142</v>
      </c>
      <c r="K1464" s="7" t="s">
        <v>3156</v>
      </c>
      <c r="L1464" s="7" t="s">
        <v>142</v>
      </c>
      <c r="M1464" s="31">
        <v>45674</v>
      </c>
      <c r="N1464" s="7" t="s">
        <v>3157</v>
      </c>
      <c r="O1464" s="8">
        <v>1374</v>
      </c>
      <c r="P1464" s="24">
        <v>6316</v>
      </c>
      <c r="Q1464" s="22">
        <f>IF(COUNTIFS(A$2:A1464,A1464,I$2:I1464,I1464)=1,1,0)</f>
        <v>0</v>
      </c>
      <c r="R1464" s="22">
        <f t="shared" si="22"/>
        <v>1</v>
      </c>
      <c r="S1464" s="33">
        <f>IF(COUNTIF(O$2:O1464,O1464)=1,R1464,0)/2.5</f>
        <v>0.4</v>
      </c>
    </row>
    <row r="1465" spans="1:19" ht="18" customHeight="1" x14ac:dyDescent="0.25">
      <c r="A1465" s="7" t="s">
        <v>43</v>
      </c>
      <c r="B1465" s="8">
        <v>1</v>
      </c>
      <c r="C1465" s="9">
        <v>409</v>
      </c>
      <c r="D1465" s="29">
        <f>C1465+IF(INDEX('Справочник по %'!B:B,(MATCH(A1465,'Справочник по %'!A:A,0)))="кол-во",B1465*INDEX('Справочник по %'!C:C,(MATCH(A1465,'Справочник по %'!A:A,0))),ОТЧЕТ!C1465*INDEX('Справочник по %'!C:C,(MATCH(A1465,'Справочник по %'!A:A,0))))/100</f>
        <v>449.9</v>
      </c>
      <c r="E1465" s="29">
        <f>IF(ОТЧЕТ!A1465="SKU3",C1465+ОТЧЕТ!C1465*0.2,C1465+ОТЧЕТ!C1465*0.15)</f>
        <v>470.35</v>
      </c>
      <c r="F1465" s="7" t="s">
        <v>3153</v>
      </c>
      <c r="G1465" s="7">
        <v>7728339546</v>
      </c>
      <c r="H1465" s="20" t="s">
        <v>3158</v>
      </c>
      <c r="I1465" s="22" t="str">
        <f>INDEX('Справочник Сети'!B:B,(MATCH(G1465,'Справочник Сети'!C:C,0)))</f>
        <v>Планета здоровья</v>
      </c>
      <c r="J1465" s="7" t="s">
        <v>142</v>
      </c>
      <c r="K1465" s="7" t="s">
        <v>845</v>
      </c>
      <c r="L1465" s="7" t="s">
        <v>142</v>
      </c>
      <c r="M1465" s="31">
        <v>45674</v>
      </c>
      <c r="N1465" s="7" t="s">
        <v>3159</v>
      </c>
      <c r="O1465" s="8">
        <v>3197</v>
      </c>
      <c r="P1465" s="24">
        <v>6321</v>
      </c>
      <c r="Q1465" s="22">
        <f>IF(COUNTIFS(A$2:A1465,A1465,I$2:I1465,I1465)=1,1,0)</f>
        <v>0</v>
      </c>
      <c r="R1465" s="22">
        <f t="shared" si="22"/>
        <v>1</v>
      </c>
      <c r="S1465" s="33">
        <f>IF(COUNTIF(O$2:O1465,O1465)=1,R1465,0)/2.5</f>
        <v>0.4</v>
      </c>
    </row>
    <row r="1466" spans="1:19" ht="18" customHeight="1" x14ac:dyDescent="0.25">
      <c r="A1466" s="7" t="s">
        <v>43</v>
      </c>
      <c r="B1466" s="8">
        <v>1</v>
      </c>
      <c r="C1466" s="9">
        <v>435</v>
      </c>
      <c r="D1466" s="29">
        <f>C1466+IF(INDEX('Справочник по %'!B:B,(MATCH(A1466,'Справочник по %'!A:A,0)))="кол-во",B1466*INDEX('Справочник по %'!C:C,(MATCH(A1466,'Справочник по %'!A:A,0))),ОТЧЕТ!C1466*INDEX('Справочник по %'!C:C,(MATCH(A1466,'Справочник по %'!A:A,0))))/100</f>
        <v>478.5</v>
      </c>
      <c r="E1466" s="29">
        <f>IF(ОТЧЕТ!A1466="SKU3",C1466+ОТЧЕТ!C1466*0.2,C1466+ОТЧЕТ!C1466*0.15)</f>
        <v>500.25</v>
      </c>
      <c r="F1466" s="7" t="s">
        <v>3153</v>
      </c>
      <c r="G1466" s="7">
        <v>5002092447</v>
      </c>
      <c r="H1466" s="20" t="s">
        <v>91</v>
      </c>
      <c r="I1466" s="22">
        <f>INDEX('Справочник Сети'!B:B,(MATCH(G1466,'Справочник Сети'!C:C,0)))</f>
        <v>0</v>
      </c>
      <c r="J1466" s="7" t="s">
        <v>83</v>
      </c>
      <c r="K1466" s="7" t="s">
        <v>3160</v>
      </c>
      <c r="L1466" s="7" t="s">
        <v>83</v>
      </c>
      <c r="M1466" s="31">
        <v>45715</v>
      </c>
      <c r="N1466" s="7" t="s">
        <v>3161</v>
      </c>
      <c r="O1466" s="8">
        <v>2042</v>
      </c>
      <c r="P1466" s="24">
        <v>6324</v>
      </c>
      <c r="Q1466" s="22">
        <f>IF(COUNTIFS(A$2:A1466,A1466,I$2:I1466,I1466)=1,1,0)</f>
        <v>0</v>
      </c>
      <c r="R1466" s="22">
        <f t="shared" si="22"/>
        <v>1</v>
      </c>
      <c r="S1466" s="33">
        <f>IF(COUNTIF(O$2:O1466,O1466)=1,R1466,0)/2.5</f>
        <v>0.4</v>
      </c>
    </row>
    <row r="1467" spans="1:19" ht="18" customHeight="1" x14ac:dyDescent="0.25">
      <c r="A1467" s="7" t="s">
        <v>43</v>
      </c>
      <c r="B1467" s="8">
        <v>1</v>
      </c>
      <c r="C1467" s="9">
        <v>409</v>
      </c>
      <c r="D1467" s="29">
        <f>C1467+IF(INDEX('Справочник по %'!B:B,(MATCH(A1467,'Справочник по %'!A:A,0)))="кол-во",B1467*INDEX('Справочник по %'!C:C,(MATCH(A1467,'Справочник по %'!A:A,0))),ОТЧЕТ!C1467*INDEX('Справочник по %'!C:C,(MATCH(A1467,'Справочник по %'!A:A,0))))/100</f>
        <v>449.9</v>
      </c>
      <c r="E1467" s="29">
        <f>IF(ОТЧЕТ!A1467="SKU3",C1467+ОТЧЕТ!C1467*0.2,C1467+ОТЧЕТ!C1467*0.15)</f>
        <v>470.35</v>
      </c>
      <c r="F1467" s="7" t="s">
        <v>3153</v>
      </c>
      <c r="G1467" s="7">
        <v>6166125005</v>
      </c>
      <c r="H1467" s="20" t="s">
        <v>3162</v>
      </c>
      <c r="I1467" s="22" t="str">
        <f>INDEX('Справочник Сети'!B:B,(MATCH(G1467,'Справочник Сети'!C:C,0)))</f>
        <v>Столички</v>
      </c>
      <c r="J1467" s="7" t="s">
        <v>203</v>
      </c>
      <c r="K1467" s="7" t="s">
        <v>1828</v>
      </c>
      <c r="L1467" s="7" t="s">
        <v>203</v>
      </c>
      <c r="M1467" s="31">
        <v>45696</v>
      </c>
      <c r="N1467" s="7" t="s">
        <v>3163</v>
      </c>
      <c r="O1467" s="8">
        <v>1776</v>
      </c>
      <c r="P1467" s="24">
        <v>6325</v>
      </c>
      <c r="Q1467" s="22">
        <f>IF(COUNTIFS(A$2:A1467,A1467,I$2:I1467,I1467)=1,1,0)</f>
        <v>0</v>
      </c>
      <c r="R1467" s="22">
        <f t="shared" si="22"/>
        <v>2</v>
      </c>
      <c r="S1467" s="33">
        <f>IF(COUNTIF(O$2:O1467,O1467)=1,R1467,0)/2.5</f>
        <v>0.8</v>
      </c>
    </row>
    <row r="1468" spans="1:19" ht="18" customHeight="1" x14ac:dyDescent="0.25">
      <c r="A1468" s="7" t="s">
        <v>43</v>
      </c>
      <c r="B1468" s="8">
        <v>1</v>
      </c>
      <c r="C1468" s="9">
        <v>422</v>
      </c>
      <c r="D1468" s="29">
        <f>C1468+IF(INDEX('Справочник по %'!B:B,(MATCH(A1468,'Справочник по %'!A:A,0)))="кол-во",B1468*INDEX('Справочник по %'!C:C,(MATCH(A1468,'Справочник по %'!A:A,0))),ОТЧЕТ!C1468*INDEX('Справочник по %'!C:C,(MATCH(A1468,'Справочник по %'!A:A,0))))/100</f>
        <v>464.2</v>
      </c>
      <c r="E1468" s="29">
        <f>IF(ОТЧЕТ!A1468="SKU3",C1468+ОТЧЕТ!C1468*0.2,C1468+ОТЧЕТ!C1468*0.15)</f>
        <v>485.3</v>
      </c>
      <c r="F1468" s="7" t="s">
        <v>3153</v>
      </c>
      <c r="G1468" s="7">
        <v>2310200444</v>
      </c>
      <c r="H1468" s="20" t="s">
        <v>69</v>
      </c>
      <c r="I1468" s="22" t="str">
        <f>INDEX('Справочник Сети'!B:B,(MATCH(G1468,'Справочник Сети'!C:C,0)))</f>
        <v>Планета здоровья</v>
      </c>
      <c r="J1468" s="7" t="s">
        <v>70</v>
      </c>
      <c r="K1468" s="7" t="s">
        <v>2519</v>
      </c>
      <c r="L1468" s="7" t="s">
        <v>57</v>
      </c>
      <c r="M1468" s="31">
        <v>45729</v>
      </c>
      <c r="N1468" s="7" t="s">
        <v>3164</v>
      </c>
      <c r="O1468" s="8">
        <v>2018</v>
      </c>
      <c r="P1468" s="24">
        <v>6326</v>
      </c>
      <c r="Q1468" s="22">
        <f>IF(COUNTIFS(A$2:A1468,A1468,I$2:I1468,I1468)=1,1,0)</f>
        <v>0</v>
      </c>
      <c r="R1468" s="22">
        <f t="shared" si="22"/>
        <v>1</v>
      </c>
      <c r="S1468" s="33">
        <f>IF(COUNTIF(O$2:O1468,O1468)=1,R1468,0)/2.5</f>
        <v>0.4</v>
      </c>
    </row>
    <row r="1469" spans="1:19" ht="18" customHeight="1" x14ac:dyDescent="0.25">
      <c r="A1469" s="7" t="s">
        <v>43</v>
      </c>
      <c r="B1469" s="8">
        <v>1</v>
      </c>
      <c r="C1469" s="9">
        <v>521</v>
      </c>
      <c r="D1469" s="29">
        <f>C1469+IF(INDEX('Справочник по %'!B:B,(MATCH(A1469,'Справочник по %'!A:A,0)))="кол-во",B1469*INDEX('Справочник по %'!C:C,(MATCH(A1469,'Справочник по %'!A:A,0))),ОТЧЕТ!C1469*INDEX('Справочник по %'!C:C,(MATCH(A1469,'Справочник по %'!A:A,0))))/100</f>
        <v>573.1</v>
      </c>
      <c r="E1469" s="29">
        <f>IF(ОТЧЕТ!A1469="SKU3",C1469+ОТЧЕТ!C1469*0.2,C1469+ОТЧЕТ!C1469*0.15)</f>
        <v>599.15</v>
      </c>
      <c r="F1469" s="7" t="s">
        <v>3153</v>
      </c>
      <c r="G1469" s="7">
        <v>7705947629</v>
      </c>
      <c r="H1469" s="20" t="s">
        <v>50</v>
      </c>
      <c r="I1469" s="22" t="str">
        <f>INDEX('Справочник Сети'!B:B,(MATCH(G1469,'Справочник Сети'!C:C,0)))</f>
        <v>36,6</v>
      </c>
      <c r="J1469" s="7" t="s">
        <v>104</v>
      </c>
      <c r="K1469" s="7" t="s">
        <v>3165</v>
      </c>
      <c r="L1469" s="7" t="s">
        <v>104</v>
      </c>
      <c r="M1469" s="31">
        <v>45693</v>
      </c>
      <c r="N1469" s="7" t="s">
        <v>3166</v>
      </c>
      <c r="O1469" s="8">
        <v>600</v>
      </c>
      <c r="P1469" s="24">
        <v>6327</v>
      </c>
      <c r="Q1469" s="22">
        <f>IF(COUNTIFS(A$2:A1469,A1469,I$2:I1469,I1469)=1,1,0)</f>
        <v>0</v>
      </c>
      <c r="R1469" s="22">
        <f t="shared" si="22"/>
        <v>2</v>
      </c>
      <c r="S1469" s="33">
        <f>IF(COUNTIF(O$2:O1469,O1469)=1,R1469,0)/2.5</f>
        <v>0</v>
      </c>
    </row>
    <row r="1470" spans="1:19" ht="18" customHeight="1" x14ac:dyDescent="0.25">
      <c r="A1470" s="7" t="s">
        <v>43</v>
      </c>
      <c r="B1470" s="8">
        <v>1</v>
      </c>
      <c r="C1470" s="9">
        <v>370</v>
      </c>
      <c r="D1470" s="29">
        <f>C1470+IF(INDEX('Справочник по %'!B:B,(MATCH(A1470,'Справочник по %'!A:A,0)))="кол-во",B1470*INDEX('Справочник по %'!C:C,(MATCH(A1470,'Справочник по %'!A:A,0))),ОТЧЕТ!C1470*INDEX('Справочник по %'!C:C,(MATCH(A1470,'Справочник по %'!A:A,0))))/100</f>
        <v>407</v>
      </c>
      <c r="E1470" s="29">
        <f>IF(ОТЧЕТ!A1470="SKU3",C1470+ОТЧЕТ!C1470*0.2,C1470+ОТЧЕТ!C1470*0.15)</f>
        <v>425.5</v>
      </c>
      <c r="F1470" s="7" t="s">
        <v>3153</v>
      </c>
      <c r="G1470" s="7">
        <v>7706795062</v>
      </c>
      <c r="H1470" s="20" t="s">
        <v>2376</v>
      </c>
      <c r="I1470" s="22" t="str">
        <f>INDEX('Справочник Сети'!B:B,(MATCH(G1470,'Справочник Сети'!C:C,0)))</f>
        <v>Планета здоровья</v>
      </c>
      <c r="J1470" s="7" t="s">
        <v>87</v>
      </c>
      <c r="K1470" s="7" t="s">
        <v>877</v>
      </c>
      <c r="L1470" s="7" t="s">
        <v>87</v>
      </c>
      <c r="M1470" s="31">
        <v>45691</v>
      </c>
      <c r="N1470" s="7" t="s">
        <v>3167</v>
      </c>
      <c r="O1470" s="8">
        <v>2606</v>
      </c>
      <c r="P1470" s="24">
        <v>6328</v>
      </c>
      <c r="Q1470" s="22">
        <f>IF(COUNTIFS(A$2:A1470,A1470,I$2:I1470,I1470)=1,1,0)</f>
        <v>0</v>
      </c>
      <c r="R1470" s="22">
        <f t="shared" si="22"/>
        <v>2</v>
      </c>
      <c r="S1470" s="33">
        <f>IF(COUNTIF(O$2:O1470,O1470)=1,R1470,0)/2.5</f>
        <v>0</v>
      </c>
    </row>
    <row r="1471" spans="1:19" ht="18" customHeight="1" x14ac:dyDescent="0.25">
      <c r="A1471" s="7" t="s">
        <v>43</v>
      </c>
      <c r="B1471" s="8">
        <v>1</v>
      </c>
      <c r="C1471" s="9">
        <v>595</v>
      </c>
      <c r="D1471" s="29">
        <f>C1471+IF(INDEX('Справочник по %'!B:B,(MATCH(A1471,'Справочник по %'!A:A,0)))="кол-во",B1471*INDEX('Справочник по %'!C:C,(MATCH(A1471,'Справочник по %'!A:A,0))),ОТЧЕТ!C1471*INDEX('Справочник по %'!C:C,(MATCH(A1471,'Справочник по %'!A:A,0))))/100</f>
        <v>654.5</v>
      </c>
      <c r="E1471" s="29">
        <f>IF(ОТЧЕТ!A1471="SKU3",C1471+ОТЧЕТ!C1471*0.2,C1471+ОТЧЕТ!C1471*0.15)</f>
        <v>684.25</v>
      </c>
      <c r="F1471" s="7" t="s">
        <v>3153</v>
      </c>
      <c r="G1471" s="7">
        <v>7719859281</v>
      </c>
      <c r="H1471" s="20" t="s">
        <v>50</v>
      </c>
      <c r="I1471" s="22">
        <f>INDEX('Справочник Сети'!B:B,(MATCH(G1471,'Справочник Сети'!C:C,0)))</f>
        <v>0</v>
      </c>
      <c r="J1471" s="7" t="s">
        <v>168</v>
      </c>
      <c r="K1471" s="7" t="s">
        <v>2334</v>
      </c>
      <c r="L1471" s="7" t="s">
        <v>168</v>
      </c>
      <c r="M1471" s="31">
        <v>45676</v>
      </c>
      <c r="N1471" s="7" t="s">
        <v>3168</v>
      </c>
      <c r="O1471" s="8">
        <v>796</v>
      </c>
      <c r="P1471" s="24">
        <v>6330</v>
      </c>
      <c r="Q1471" s="22">
        <f>IF(COUNTIFS(A$2:A1471,A1471,I$2:I1471,I1471)=1,1,0)</f>
        <v>0</v>
      </c>
      <c r="R1471" s="22">
        <f t="shared" si="22"/>
        <v>5</v>
      </c>
      <c r="S1471" s="33">
        <f>IF(COUNTIF(O$2:O1471,O1471)=1,R1471,0)/2.5</f>
        <v>0</v>
      </c>
    </row>
    <row r="1472" spans="1:19" ht="18" customHeight="1" x14ac:dyDescent="0.25">
      <c r="A1472" s="7" t="s">
        <v>37</v>
      </c>
      <c r="B1472" s="8">
        <v>1</v>
      </c>
      <c r="C1472" s="9">
        <v>495.81</v>
      </c>
      <c r="D1472" s="29">
        <f>C1472+IF(INDEX('Справочник по %'!B:B,(MATCH(A1472,'Справочник по %'!A:A,0)))="кол-во",B1472*INDEX('Справочник по %'!C:C,(MATCH(A1472,'Справочник по %'!A:A,0))),ОТЧЕТ!C1472*INDEX('Справочник по %'!C:C,(MATCH(A1472,'Справочник по %'!A:A,0))))/100</f>
        <v>496.01</v>
      </c>
      <c r="E1472" s="29">
        <f>IF(ОТЧЕТ!A1472="SKU3",C1472+ОТЧЕТ!C1472*0.2,C1472+ОТЧЕТ!C1472*0.15)</f>
        <v>570.18150000000003</v>
      </c>
      <c r="F1472" s="7" t="s">
        <v>3153</v>
      </c>
      <c r="G1472" s="7">
        <v>7728339546</v>
      </c>
      <c r="H1472" s="20" t="s">
        <v>2820</v>
      </c>
      <c r="I1472" s="22" t="str">
        <f>INDEX('Справочник Сети'!B:B,(MATCH(G1472,'Справочник Сети'!C:C,0)))</f>
        <v>Планета здоровья</v>
      </c>
      <c r="J1472" s="7" t="s">
        <v>142</v>
      </c>
      <c r="K1472" s="7" t="s">
        <v>348</v>
      </c>
      <c r="L1472" s="7" t="s">
        <v>142</v>
      </c>
      <c r="M1472" s="31">
        <v>45674</v>
      </c>
      <c r="N1472" s="7" t="s">
        <v>3169</v>
      </c>
      <c r="O1472" s="8">
        <v>2927</v>
      </c>
      <c r="P1472" s="24">
        <v>6332</v>
      </c>
      <c r="Q1472" s="22">
        <f>IF(COUNTIFS(A$2:A1472,A1472,I$2:I1472,I1472)=1,1,0)</f>
        <v>0</v>
      </c>
      <c r="R1472" s="22">
        <f t="shared" si="22"/>
        <v>2</v>
      </c>
      <c r="S1472" s="33">
        <f>IF(COUNTIF(O$2:O1472,O1472)=1,R1472,0)/2.5</f>
        <v>0</v>
      </c>
    </row>
    <row r="1473" spans="1:19" ht="18" customHeight="1" x14ac:dyDescent="0.25">
      <c r="A1473" s="7" t="s">
        <v>43</v>
      </c>
      <c r="B1473" s="8">
        <v>1</v>
      </c>
      <c r="C1473" s="9">
        <v>609</v>
      </c>
      <c r="D1473" s="29">
        <f>C1473+IF(INDEX('Справочник по %'!B:B,(MATCH(A1473,'Справочник по %'!A:A,0)))="кол-во",B1473*INDEX('Справочник по %'!C:C,(MATCH(A1473,'Справочник по %'!A:A,0))),ОТЧЕТ!C1473*INDEX('Справочник по %'!C:C,(MATCH(A1473,'Справочник по %'!A:A,0))))/100</f>
        <v>669.9</v>
      </c>
      <c r="E1473" s="29">
        <f>IF(ОТЧЕТ!A1473="SKU3",C1473+ОТЧЕТ!C1473*0.2,C1473+ОТЧЕТ!C1473*0.15)</f>
        <v>700.35</v>
      </c>
      <c r="F1473" s="7" t="s">
        <v>3153</v>
      </c>
      <c r="G1473" s="7">
        <v>7705947629</v>
      </c>
      <c r="H1473" s="20" t="s">
        <v>50</v>
      </c>
      <c r="I1473" s="22" t="str">
        <f>INDEX('Справочник Сети'!B:B,(MATCH(G1473,'Справочник Сети'!C:C,0)))</f>
        <v>36,6</v>
      </c>
      <c r="J1473" s="7" t="s">
        <v>104</v>
      </c>
      <c r="K1473" s="7" t="s">
        <v>416</v>
      </c>
      <c r="L1473" s="7" t="s">
        <v>104</v>
      </c>
      <c r="M1473" s="31">
        <v>45693</v>
      </c>
      <c r="N1473" s="7" t="s">
        <v>3170</v>
      </c>
      <c r="O1473" s="8">
        <v>187</v>
      </c>
      <c r="P1473" s="24">
        <v>6334</v>
      </c>
      <c r="Q1473" s="22">
        <f>IF(COUNTIFS(A$2:A1473,A1473,I$2:I1473,I1473)=1,1,0)</f>
        <v>0</v>
      </c>
      <c r="R1473" s="22">
        <f t="shared" si="22"/>
        <v>2</v>
      </c>
      <c r="S1473" s="33">
        <f>IF(COUNTIF(O$2:O1473,O1473)=1,R1473,0)/2.5</f>
        <v>0</v>
      </c>
    </row>
    <row r="1474" spans="1:19" ht="18" customHeight="1" x14ac:dyDescent="0.25">
      <c r="A1474" s="7" t="s">
        <v>43</v>
      </c>
      <c r="B1474" s="8">
        <v>1</v>
      </c>
      <c r="C1474" s="9">
        <v>377</v>
      </c>
      <c r="D1474" s="29">
        <f>C1474+IF(INDEX('Справочник по %'!B:B,(MATCH(A1474,'Справочник по %'!A:A,0)))="кол-во",B1474*INDEX('Справочник по %'!C:C,(MATCH(A1474,'Справочник по %'!A:A,0))),ОТЧЕТ!C1474*INDEX('Справочник по %'!C:C,(MATCH(A1474,'Справочник по %'!A:A,0))))/100</f>
        <v>414.7</v>
      </c>
      <c r="E1474" s="29">
        <f>IF(ОТЧЕТ!A1474="SKU3",C1474+ОТЧЕТ!C1474*0.2,C1474+ОТЧЕТ!C1474*0.15)</f>
        <v>433.55</v>
      </c>
      <c r="F1474" s="7" t="s">
        <v>3153</v>
      </c>
      <c r="G1474" s="7">
        <v>7706795062</v>
      </c>
      <c r="H1474" s="20" t="s">
        <v>1154</v>
      </c>
      <c r="I1474" s="22" t="str">
        <f>INDEX('Справочник Сети'!B:B,(MATCH(G1474,'Справочник Сети'!C:C,0)))</f>
        <v>Планета здоровья</v>
      </c>
      <c r="J1474" s="7" t="s">
        <v>87</v>
      </c>
      <c r="K1474" s="7" t="s">
        <v>1186</v>
      </c>
      <c r="L1474" s="7" t="s">
        <v>87</v>
      </c>
      <c r="M1474" s="31">
        <v>45691</v>
      </c>
      <c r="N1474" s="7" t="s">
        <v>3171</v>
      </c>
      <c r="O1474" s="8">
        <v>2353</v>
      </c>
      <c r="P1474" s="24">
        <v>6335</v>
      </c>
      <c r="Q1474" s="22">
        <f>IF(COUNTIFS(A$2:A1474,A1474,I$2:I1474,I1474)=1,1,0)</f>
        <v>0</v>
      </c>
      <c r="R1474" s="22">
        <f t="shared" si="22"/>
        <v>5</v>
      </c>
      <c r="S1474" s="33">
        <f>IF(COUNTIF(O$2:O1474,O1474)=1,R1474,0)/2.5</f>
        <v>0</v>
      </c>
    </row>
    <row r="1475" spans="1:19" ht="18" customHeight="1" x14ac:dyDescent="0.25">
      <c r="A1475" s="7" t="s">
        <v>43</v>
      </c>
      <c r="B1475" s="8">
        <v>1</v>
      </c>
      <c r="C1475" s="9">
        <v>449</v>
      </c>
      <c r="D1475" s="29">
        <f>C1475+IF(INDEX('Справочник по %'!B:B,(MATCH(A1475,'Справочник по %'!A:A,0)))="кол-во",B1475*INDEX('Справочник по %'!C:C,(MATCH(A1475,'Справочник по %'!A:A,0))),ОТЧЕТ!C1475*INDEX('Справочник по %'!C:C,(MATCH(A1475,'Справочник по %'!A:A,0))))/100</f>
        <v>493.9</v>
      </c>
      <c r="E1475" s="29">
        <f>IF(ОТЧЕТ!A1475="SKU3",C1475+ОТЧЕТ!C1475*0.2,C1475+ОТЧЕТ!C1475*0.15)</f>
        <v>516.35</v>
      </c>
      <c r="F1475" s="7" t="s">
        <v>3153</v>
      </c>
      <c r="G1475" s="7">
        <v>7714844316</v>
      </c>
      <c r="H1475" s="20" t="s">
        <v>50</v>
      </c>
      <c r="I1475" s="22" t="str">
        <f>INDEX('Справочник Сети'!B:B,(MATCH(G1475,'Справочник Сети'!C:C,0)))</f>
        <v>Планета здоровья</v>
      </c>
      <c r="J1475" s="7" t="s">
        <v>504</v>
      </c>
      <c r="K1475" s="7" t="s">
        <v>866</v>
      </c>
      <c r="L1475" s="7" t="s">
        <v>504</v>
      </c>
      <c r="M1475" s="31">
        <v>45690</v>
      </c>
      <c r="N1475" s="7" t="s">
        <v>3172</v>
      </c>
      <c r="O1475" s="8">
        <v>2536</v>
      </c>
      <c r="P1475" s="24">
        <v>6340</v>
      </c>
      <c r="Q1475" s="22">
        <f>IF(COUNTIFS(A$2:A1475,A1475,I$2:I1475,I1475)=1,1,0)</f>
        <v>0</v>
      </c>
      <c r="R1475" s="22">
        <f t="shared" ref="R1475:R1538" si="23">COUNTIF(O:O,O1475)</f>
        <v>1</v>
      </c>
      <c r="S1475" s="33">
        <f>IF(COUNTIF(O$2:O1475,O1475)=1,R1475,0)/2.5</f>
        <v>0.4</v>
      </c>
    </row>
    <row r="1476" spans="1:19" ht="18" customHeight="1" x14ac:dyDescent="0.25">
      <c r="A1476" s="7" t="s">
        <v>43</v>
      </c>
      <c r="B1476" s="8">
        <v>1</v>
      </c>
      <c r="C1476" s="9">
        <v>430</v>
      </c>
      <c r="D1476" s="29">
        <f>C1476+IF(INDEX('Справочник по %'!B:B,(MATCH(A1476,'Справочник по %'!A:A,0)))="кол-во",B1476*INDEX('Справочник по %'!C:C,(MATCH(A1476,'Справочник по %'!A:A,0))),ОТЧЕТ!C1476*INDEX('Справочник по %'!C:C,(MATCH(A1476,'Справочник по %'!A:A,0))))/100</f>
        <v>473</v>
      </c>
      <c r="E1476" s="29">
        <f>IF(ОТЧЕТ!A1476="SKU3",C1476+ОТЧЕТ!C1476*0.2,C1476+ОТЧЕТ!C1476*0.15)</f>
        <v>494.5</v>
      </c>
      <c r="F1476" s="7" t="s">
        <v>3153</v>
      </c>
      <c r="G1476" s="7">
        <v>7724211288</v>
      </c>
      <c r="H1476" s="20" t="s">
        <v>3173</v>
      </c>
      <c r="I1476" s="22" t="str">
        <f>INDEX('Справочник Сети'!B:B,(MATCH(G1476,'Справочник Сети'!C:C,0)))</f>
        <v>Планета здоровья</v>
      </c>
      <c r="J1476" s="7" t="s">
        <v>185</v>
      </c>
      <c r="K1476" s="7" t="s">
        <v>1373</v>
      </c>
      <c r="L1476" s="7" t="s">
        <v>185</v>
      </c>
      <c r="M1476" s="31">
        <v>45675</v>
      </c>
      <c r="N1476" s="7" t="s">
        <v>3174</v>
      </c>
      <c r="O1476" s="8">
        <v>967</v>
      </c>
      <c r="P1476" s="24">
        <v>6341</v>
      </c>
      <c r="Q1476" s="22">
        <f>IF(COUNTIFS(A$2:A1476,A1476,I$2:I1476,I1476)=1,1,0)</f>
        <v>0</v>
      </c>
      <c r="R1476" s="22">
        <f t="shared" si="23"/>
        <v>1</v>
      </c>
      <c r="S1476" s="33">
        <f>IF(COUNTIF(O$2:O1476,O1476)=1,R1476,0)/2.5</f>
        <v>0.4</v>
      </c>
    </row>
    <row r="1477" spans="1:19" ht="18" customHeight="1" x14ac:dyDescent="0.25">
      <c r="A1477" s="7" t="s">
        <v>43</v>
      </c>
      <c r="B1477" s="8">
        <v>1</v>
      </c>
      <c r="C1477" s="9">
        <v>397</v>
      </c>
      <c r="D1477" s="29">
        <f>C1477+IF(INDEX('Справочник по %'!B:B,(MATCH(A1477,'Справочник по %'!A:A,0)))="кол-во",B1477*INDEX('Справочник по %'!C:C,(MATCH(A1477,'Справочник по %'!A:A,0))),ОТЧЕТ!C1477*INDEX('Справочник по %'!C:C,(MATCH(A1477,'Справочник по %'!A:A,0))))/100</f>
        <v>436.7</v>
      </c>
      <c r="E1477" s="29">
        <f>IF(ОТЧЕТ!A1477="SKU3",C1477+ОТЧЕТ!C1477*0.2,C1477+ОТЧЕТ!C1477*0.15)</f>
        <v>456.55</v>
      </c>
      <c r="F1477" s="7" t="s">
        <v>3153</v>
      </c>
      <c r="G1477" s="7">
        <v>7728339546</v>
      </c>
      <c r="H1477" s="20" t="s">
        <v>3175</v>
      </c>
      <c r="I1477" s="22" t="str">
        <f>INDEX('Справочник Сети'!B:B,(MATCH(G1477,'Справочник Сети'!C:C,0)))</f>
        <v>Планета здоровья</v>
      </c>
      <c r="J1477" s="7" t="s">
        <v>142</v>
      </c>
      <c r="K1477" s="7" t="s">
        <v>3176</v>
      </c>
      <c r="L1477" s="7" t="s">
        <v>142</v>
      </c>
      <c r="M1477" s="31">
        <v>45674</v>
      </c>
      <c r="N1477" s="7" t="s">
        <v>3177</v>
      </c>
      <c r="O1477" s="8">
        <v>2493</v>
      </c>
      <c r="P1477" s="24">
        <v>6343</v>
      </c>
      <c r="Q1477" s="22">
        <f>IF(COUNTIFS(A$2:A1477,A1477,I$2:I1477,I1477)=1,1,0)</f>
        <v>0</v>
      </c>
      <c r="R1477" s="22">
        <f t="shared" si="23"/>
        <v>1</v>
      </c>
      <c r="S1477" s="33">
        <f>IF(COUNTIF(O$2:O1477,O1477)=1,R1477,0)/2.5</f>
        <v>0.4</v>
      </c>
    </row>
    <row r="1478" spans="1:19" ht="18" customHeight="1" x14ac:dyDescent="0.25">
      <c r="A1478" s="7" t="s">
        <v>37</v>
      </c>
      <c r="B1478" s="8">
        <v>1</v>
      </c>
      <c r="C1478" s="9">
        <v>554</v>
      </c>
      <c r="D1478" s="29">
        <f>C1478+IF(INDEX('Справочник по %'!B:B,(MATCH(A1478,'Справочник по %'!A:A,0)))="кол-во",B1478*INDEX('Справочник по %'!C:C,(MATCH(A1478,'Справочник по %'!A:A,0))),ОТЧЕТ!C1478*INDEX('Справочник по %'!C:C,(MATCH(A1478,'Справочник по %'!A:A,0))))/100</f>
        <v>554.20000000000005</v>
      </c>
      <c r="E1478" s="29">
        <f>IF(ОТЧЕТ!A1478="SKU3",C1478+ОТЧЕТ!C1478*0.2,C1478+ОТЧЕТ!C1478*0.15)</f>
        <v>637.1</v>
      </c>
      <c r="F1478" s="7" t="s">
        <v>3153</v>
      </c>
      <c r="G1478" s="7">
        <v>7706795062</v>
      </c>
      <c r="H1478" s="20" t="s">
        <v>405</v>
      </c>
      <c r="I1478" s="22" t="str">
        <f>INDEX('Справочник Сети'!B:B,(MATCH(G1478,'Справочник Сети'!C:C,0)))</f>
        <v>Планета здоровья</v>
      </c>
      <c r="J1478" s="7" t="s">
        <v>87</v>
      </c>
      <c r="K1478" s="7" t="s">
        <v>2530</v>
      </c>
      <c r="L1478" s="7" t="s">
        <v>87</v>
      </c>
      <c r="M1478" s="31">
        <v>45691</v>
      </c>
      <c r="N1478" s="7" t="s">
        <v>3178</v>
      </c>
      <c r="O1478" s="8">
        <v>3488</v>
      </c>
      <c r="P1478" s="24">
        <v>6345</v>
      </c>
      <c r="Q1478" s="22">
        <f>IF(COUNTIFS(A$2:A1478,A1478,I$2:I1478,I1478)=1,1,0)</f>
        <v>0</v>
      </c>
      <c r="R1478" s="22">
        <f t="shared" si="23"/>
        <v>3</v>
      </c>
      <c r="S1478" s="33">
        <f>IF(COUNTIF(O$2:O1478,O1478)=1,R1478,0)/2.5</f>
        <v>0</v>
      </c>
    </row>
    <row r="1479" spans="1:19" ht="18" customHeight="1" x14ac:dyDescent="0.25">
      <c r="A1479" s="7" t="s">
        <v>43</v>
      </c>
      <c r="B1479" s="8">
        <v>1</v>
      </c>
      <c r="C1479" s="9">
        <v>483</v>
      </c>
      <c r="D1479" s="29">
        <f>C1479+IF(INDEX('Справочник по %'!B:B,(MATCH(A1479,'Справочник по %'!A:A,0)))="кол-во",B1479*INDEX('Справочник по %'!C:C,(MATCH(A1479,'Справочник по %'!A:A,0))),ОТЧЕТ!C1479*INDEX('Справочник по %'!C:C,(MATCH(A1479,'Справочник по %'!A:A,0))))/100</f>
        <v>531.29999999999995</v>
      </c>
      <c r="E1479" s="29">
        <f>IF(ОТЧЕТ!A1479="SKU3",C1479+ОТЧЕТ!C1479*0.2,C1479+ОТЧЕТ!C1479*0.15)</f>
        <v>555.45000000000005</v>
      </c>
      <c r="F1479" s="7" t="s">
        <v>3179</v>
      </c>
      <c r="G1479" s="7">
        <v>7726707307</v>
      </c>
      <c r="H1479" s="20" t="s">
        <v>183</v>
      </c>
      <c r="I1479" s="22" t="str">
        <f>INDEX('Справочник Сети'!B:B,(MATCH(G1479,'Справочник Сети'!C:C,0)))</f>
        <v>Ригла</v>
      </c>
      <c r="J1479" s="7" t="s">
        <v>142</v>
      </c>
      <c r="K1479" s="7" t="s">
        <v>3176</v>
      </c>
      <c r="L1479" s="7" t="s">
        <v>185</v>
      </c>
      <c r="M1479" s="31">
        <v>45675</v>
      </c>
      <c r="N1479" s="7" t="s">
        <v>3180</v>
      </c>
      <c r="O1479" s="8">
        <v>3702</v>
      </c>
      <c r="P1479" s="24">
        <v>6349</v>
      </c>
      <c r="Q1479" s="22">
        <f>IF(COUNTIFS(A$2:A1479,A1479,I$2:I1479,I1479)=1,1,0)</f>
        <v>0</v>
      </c>
      <c r="R1479" s="22">
        <f t="shared" si="23"/>
        <v>1</v>
      </c>
      <c r="S1479" s="33">
        <f>IF(COUNTIF(O$2:O1479,O1479)=1,R1479,0)/2.5</f>
        <v>0.4</v>
      </c>
    </row>
    <row r="1480" spans="1:19" ht="18" customHeight="1" x14ac:dyDescent="0.25">
      <c r="A1480" s="7" t="s">
        <v>43</v>
      </c>
      <c r="B1480" s="8">
        <v>1</v>
      </c>
      <c r="C1480" s="9">
        <v>378</v>
      </c>
      <c r="D1480" s="29">
        <f>C1480+IF(INDEX('Справочник по %'!B:B,(MATCH(A1480,'Справочник по %'!A:A,0)))="кол-во",B1480*INDEX('Справочник по %'!C:C,(MATCH(A1480,'Справочник по %'!A:A,0))),ОТЧЕТ!C1480*INDEX('Справочник по %'!C:C,(MATCH(A1480,'Справочник по %'!A:A,0))))/100</f>
        <v>415.8</v>
      </c>
      <c r="E1480" s="29">
        <f>IF(ОТЧЕТ!A1480="SKU3",C1480+ОТЧЕТ!C1480*0.2,C1480+ОТЧЕТ!C1480*0.15)</f>
        <v>434.7</v>
      </c>
      <c r="F1480" s="7" t="s">
        <v>3181</v>
      </c>
      <c r="G1480" s="7">
        <v>7706795062</v>
      </c>
      <c r="H1480" s="20" t="s">
        <v>487</v>
      </c>
      <c r="I1480" s="22" t="str">
        <f>INDEX('Справочник Сети'!B:B,(MATCH(G1480,'Справочник Сети'!C:C,0)))</f>
        <v>Планета здоровья</v>
      </c>
      <c r="J1480" s="7" t="s">
        <v>87</v>
      </c>
      <c r="K1480" s="7" t="s">
        <v>3182</v>
      </c>
      <c r="L1480" s="7" t="s">
        <v>87</v>
      </c>
      <c r="M1480" s="31">
        <v>45691</v>
      </c>
      <c r="N1480" s="7" t="s">
        <v>3183</v>
      </c>
      <c r="O1480" s="8">
        <v>1549</v>
      </c>
      <c r="P1480" s="24">
        <v>6353</v>
      </c>
      <c r="Q1480" s="22">
        <f>IF(COUNTIFS(A$2:A1480,A1480,I$2:I1480,I1480)=1,1,0)</f>
        <v>0</v>
      </c>
      <c r="R1480" s="22">
        <f t="shared" si="23"/>
        <v>8</v>
      </c>
      <c r="S1480" s="33">
        <f>IF(COUNTIF(O$2:O1480,O1480)=1,R1480,0)/2.5</f>
        <v>0</v>
      </c>
    </row>
    <row r="1481" spans="1:19" ht="18" customHeight="1" x14ac:dyDescent="0.25">
      <c r="A1481" s="7" t="s">
        <v>43</v>
      </c>
      <c r="B1481" s="8">
        <v>1</v>
      </c>
      <c r="C1481" s="9">
        <v>672</v>
      </c>
      <c r="D1481" s="29">
        <f>C1481+IF(INDEX('Справочник по %'!B:B,(MATCH(A1481,'Справочник по %'!A:A,0)))="кол-во",B1481*INDEX('Справочник по %'!C:C,(MATCH(A1481,'Справочник по %'!A:A,0))),ОТЧЕТ!C1481*INDEX('Справочник по %'!C:C,(MATCH(A1481,'Справочник по %'!A:A,0))))/100</f>
        <v>739.2</v>
      </c>
      <c r="E1481" s="29">
        <f>IF(ОТЧЕТ!A1481="SKU3",C1481+ОТЧЕТ!C1481*0.2,C1481+ОТЧЕТ!C1481*0.15)</f>
        <v>772.8</v>
      </c>
      <c r="F1481" s="7" t="s">
        <v>3181</v>
      </c>
      <c r="G1481" s="7">
        <v>7705947629</v>
      </c>
      <c r="H1481" s="20" t="s">
        <v>50</v>
      </c>
      <c r="I1481" s="22" t="str">
        <f>INDEX('Справочник Сети'!B:B,(MATCH(G1481,'Справочник Сети'!C:C,0)))</f>
        <v>36,6</v>
      </c>
      <c r="J1481" s="7" t="s">
        <v>116</v>
      </c>
      <c r="K1481" s="7" t="s">
        <v>3184</v>
      </c>
      <c r="L1481" s="7" t="s">
        <v>116</v>
      </c>
      <c r="M1481" s="31">
        <v>45692</v>
      </c>
      <c r="N1481" s="7" t="s">
        <v>3185</v>
      </c>
      <c r="O1481" s="8">
        <v>3734</v>
      </c>
      <c r="P1481" s="24">
        <v>6354</v>
      </c>
      <c r="Q1481" s="22">
        <f>IF(COUNTIFS(A$2:A1481,A1481,I$2:I1481,I1481)=1,1,0)</f>
        <v>0</v>
      </c>
      <c r="R1481" s="22">
        <f t="shared" si="23"/>
        <v>2</v>
      </c>
      <c r="S1481" s="33">
        <f>IF(COUNTIF(O$2:O1481,O1481)=1,R1481,0)/2.5</f>
        <v>0.8</v>
      </c>
    </row>
    <row r="1482" spans="1:19" ht="18" customHeight="1" x14ac:dyDescent="0.25">
      <c r="A1482" s="7" t="s">
        <v>43</v>
      </c>
      <c r="B1482" s="8">
        <v>1</v>
      </c>
      <c r="C1482" s="9">
        <v>410</v>
      </c>
      <c r="D1482" s="29">
        <f>C1482+IF(INDEX('Справочник по %'!B:B,(MATCH(A1482,'Справочник по %'!A:A,0)))="кол-во",B1482*INDEX('Справочник по %'!C:C,(MATCH(A1482,'Справочник по %'!A:A,0))),ОТЧЕТ!C1482*INDEX('Справочник по %'!C:C,(MATCH(A1482,'Справочник по %'!A:A,0))))/100</f>
        <v>451</v>
      </c>
      <c r="E1482" s="29">
        <f>IF(ОТЧЕТ!A1482="SKU3",C1482+ОТЧЕТ!C1482*0.2,C1482+ОТЧЕТ!C1482*0.15)</f>
        <v>471.5</v>
      </c>
      <c r="F1482" s="7" t="s">
        <v>3181</v>
      </c>
      <c r="G1482" s="7">
        <v>6166125005</v>
      </c>
      <c r="H1482" s="20" t="s">
        <v>3162</v>
      </c>
      <c r="I1482" s="22" t="str">
        <f>INDEX('Справочник Сети'!B:B,(MATCH(G1482,'Справочник Сети'!C:C,0)))</f>
        <v>Столички</v>
      </c>
      <c r="J1482" s="7" t="s">
        <v>203</v>
      </c>
      <c r="K1482" s="7" t="s">
        <v>3186</v>
      </c>
      <c r="L1482" s="7" t="s">
        <v>203</v>
      </c>
      <c r="M1482" s="31">
        <v>45696</v>
      </c>
      <c r="N1482" s="7" t="s">
        <v>3187</v>
      </c>
      <c r="O1482" s="8">
        <v>1776</v>
      </c>
      <c r="P1482" s="24">
        <v>6356</v>
      </c>
      <c r="Q1482" s="22">
        <f>IF(COUNTIFS(A$2:A1482,A1482,I$2:I1482,I1482)=1,1,0)</f>
        <v>0</v>
      </c>
      <c r="R1482" s="22">
        <f t="shared" si="23"/>
        <v>2</v>
      </c>
      <c r="S1482" s="33">
        <f>IF(COUNTIF(O$2:O1482,O1482)=1,R1482,0)/2.5</f>
        <v>0</v>
      </c>
    </row>
    <row r="1483" spans="1:19" ht="18" customHeight="1" x14ac:dyDescent="0.25">
      <c r="A1483" s="7" t="s">
        <v>43</v>
      </c>
      <c r="B1483" s="8">
        <v>1</v>
      </c>
      <c r="C1483" s="9">
        <v>437</v>
      </c>
      <c r="D1483" s="29">
        <f>C1483+IF(INDEX('Справочник по %'!B:B,(MATCH(A1483,'Справочник по %'!A:A,0)))="кол-во",B1483*INDEX('Справочник по %'!C:C,(MATCH(A1483,'Справочник по %'!A:A,0))),ОТЧЕТ!C1483*INDEX('Справочник по %'!C:C,(MATCH(A1483,'Справочник по %'!A:A,0))))/100</f>
        <v>480.7</v>
      </c>
      <c r="E1483" s="29">
        <f>IF(ОТЧЕТ!A1483="SKU3",C1483+ОТЧЕТ!C1483*0.2,C1483+ОТЧЕТ!C1483*0.15)</f>
        <v>502.55</v>
      </c>
      <c r="F1483" s="7" t="s">
        <v>3181</v>
      </c>
      <c r="G1483" s="7">
        <v>7705947629</v>
      </c>
      <c r="H1483" s="20" t="s">
        <v>50</v>
      </c>
      <c r="I1483" s="22" t="str">
        <f>INDEX('Справочник Сети'!B:B,(MATCH(G1483,'Справочник Сети'!C:C,0)))</f>
        <v>36,6</v>
      </c>
      <c r="J1483" s="7" t="s">
        <v>104</v>
      </c>
      <c r="K1483" s="7" t="s">
        <v>3188</v>
      </c>
      <c r="L1483" s="7" t="s">
        <v>104</v>
      </c>
      <c r="M1483" s="31">
        <v>45693</v>
      </c>
      <c r="N1483" s="7" t="s">
        <v>3189</v>
      </c>
      <c r="O1483" s="8">
        <v>510</v>
      </c>
      <c r="P1483" s="24">
        <v>6357</v>
      </c>
      <c r="Q1483" s="22">
        <f>IF(COUNTIFS(A$2:A1483,A1483,I$2:I1483,I1483)=1,1,0)</f>
        <v>0</v>
      </c>
      <c r="R1483" s="22">
        <f t="shared" si="23"/>
        <v>1</v>
      </c>
      <c r="S1483" s="33">
        <f>IF(COUNTIF(O$2:O1483,O1483)=1,R1483,0)/2.5</f>
        <v>0.4</v>
      </c>
    </row>
    <row r="1484" spans="1:19" ht="18" customHeight="1" x14ac:dyDescent="0.25">
      <c r="A1484" s="7" t="s">
        <v>43</v>
      </c>
      <c r="B1484" s="8">
        <v>1</v>
      </c>
      <c r="C1484" s="9">
        <v>475.9</v>
      </c>
      <c r="D1484" s="29">
        <f>C1484+IF(INDEX('Справочник по %'!B:B,(MATCH(A1484,'Справочник по %'!A:A,0)))="кол-во",B1484*INDEX('Справочник по %'!C:C,(MATCH(A1484,'Справочник по %'!A:A,0))),ОТЧЕТ!C1484*INDEX('Справочник по %'!C:C,(MATCH(A1484,'Справочник по %'!A:A,0))))/100</f>
        <v>523.49</v>
      </c>
      <c r="E1484" s="29">
        <f>IF(ОТЧЕТ!A1484="SKU3",C1484+ОТЧЕТ!C1484*0.2,C1484+ОТЧЕТ!C1484*0.15)</f>
        <v>547.28499999999997</v>
      </c>
      <c r="F1484" s="7" t="s">
        <v>3181</v>
      </c>
      <c r="G1484" s="7">
        <v>1659064696</v>
      </c>
      <c r="H1484" s="20" t="s">
        <v>3190</v>
      </c>
      <c r="I1484" s="22" t="str">
        <f>INDEX('Справочник Сети'!B:B,(MATCH(G1484,'Справочник Сети'!C:C,0)))</f>
        <v>Планета здоровья</v>
      </c>
      <c r="J1484" s="7" t="s">
        <v>335</v>
      </c>
      <c r="K1484" s="7" t="s">
        <v>62</v>
      </c>
      <c r="L1484" s="7" t="s">
        <v>335</v>
      </c>
      <c r="M1484" s="31">
        <v>45731</v>
      </c>
      <c r="N1484" s="7" t="s">
        <v>3191</v>
      </c>
      <c r="O1484" s="8">
        <v>1373</v>
      </c>
      <c r="P1484" s="24">
        <v>6358</v>
      </c>
      <c r="Q1484" s="22">
        <f>IF(COUNTIFS(A$2:A1484,A1484,I$2:I1484,I1484)=1,1,0)</f>
        <v>0</v>
      </c>
      <c r="R1484" s="22">
        <f t="shared" si="23"/>
        <v>1</v>
      </c>
      <c r="S1484" s="33">
        <f>IF(COUNTIF(O$2:O1484,O1484)=1,R1484,0)/2.5</f>
        <v>0.4</v>
      </c>
    </row>
    <row r="1485" spans="1:19" ht="18" customHeight="1" x14ac:dyDescent="0.25">
      <c r="A1485" s="7" t="s">
        <v>43</v>
      </c>
      <c r="B1485" s="8">
        <v>1</v>
      </c>
      <c r="C1485" s="9">
        <v>500</v>
      </c>
      <c r="D1485" s="29">
        <f>C1485+IF(INDEX('Справочник по %'!B:B,(MATCH(A1485,'Справочник по %'!A:A,0)))="кол-во",B1485*INDEX('Справочник по %'!C:C,(MATCH(A1485,'Справочник по %'!A:A,0))),ОТЧЕТ!C1485*INDEX('Справочник по %'!C:C,(MATCH(A1485,'Справочник по %'!A:A,0))))/100</f>
        <v>550</v>
      </c>
      <c r="E1485" s="29">
        <f>IF(ОТЧЕТ!A1485="SKU3",C1485+ОТЧЕТ!C1485*0.2,C1485+ОТЧЕТ!C1485*0.15)</f>
        <v>575</v>
      </c>
      <c r="F1485" s="7" t="s">
        <v>3181</v>
      </c>
      <c r="G1485" s="7">
        <v>4632170357</v>
      </c>
      <c r="H1485" s="20" t="s">
        <v>153</v>
      </c>
      <c r="I1485" s="22" t="str">
        <f>INDEX('Справочник Сети'!B:B,(MATCH(G1485,'Справочник Сети'!C:C,0)))</f>
        <v>Столички</v>
      </c>
      <c r="J1485" s="7" t="s">
        <v>83</v>
      </c>
      <c r="K1485" s="7" t="s">
        <v>3192</v>
      </c>
      <c r="L1485" s="7" t="s">
        <v>155</v>
      </c>
      <c r="M1485" s="31">
        <v>45716</v>
      </c>
      <c r="N1485" s="7" t="s">
        <v>3193</v>
      </c>
      <c r="O1485" s="8">
        <v>163</v>
      </c>
      <c r="P1485" s="24">
        <v>6360</v>
      </c>
      <c r="Q1485" s="22">
        <f>IF(COUNTIFS(A$2:A1485,A1485,I$2:I1485,I1485)=1,1,0)</f>
        <v>0</v>
      </c>
      <c r="R1485" s="22">
        <f t="shared" si="23"/>
        <v>5</v>
      </c>
      <c r="S1485" s="33">
        <f>IF(COUNTIF(O$2:O1485,O1485)=1,R1485,0)/2.5</f>
        <v>0</v>
      </c>
    </row>
    <row r="1486" spans="1:19" ht="18" customHeight="1" x14ac:dyDescent="0.25">
      <c r="A1486" s="7" t="s">
        <v>43</v>
      </c>
      <c r="B1486" s="8">
        <v>1</v>
      </c>
      <c r="C1486" s="9">
        <v>412.8</v>
      </c>
      <c r="D1486" s="29">
        <f>C1486+IF(INDEX('Справочник по %'!B:B,(MATCH(A1486,'Справочник по %'!A:A,0)))="кол-во",B1486*INDEX('Справочник по %'!C:C,(MATCH(A1486,'Справочник по %'!A:A,0))),ОТЧЕТ!C1486*INDEX('Справочник по %'!C:C,(MATCH(A1486,'Справочник по %'!A:A,0))))/100</f>
        <v>454.08000000000004</v>
      </c>
      <c r="E1486" s="29">
        <f>IF(ОТЧЕТ!A1486="SKU3",C1486+ОТЧЕТ!C1486*0.2,C1486+ОТЧЕТ!C1486*0.15)</f>
        <v>474.72</v>
      </c>
      <c r="F1486" s="7" t="s">
        <v>3181</v>
      </c>
      <c r="G1486" s="7">
        <v>9102213935</v>
      </c>
      <c r="H1486" s="20" t="s">
        <v>3194</v>
      </c>
      <c r="I1486" s="22" t="str">
        <f>INDEX('Справочник Сети'!B:B,(MATCH(G1486,'Справочник Сети'!C:C,0)))</f>
        <v>Ригла</v>
      </c>
      <c r="J1486" s="7" t="s">
        <v>315</v>
      </c>
      <c r="K1486" s="7" t="s">
        <v>3195</v>
      </c>
      <c r="L1486" s="7" t="s">
        <v>315</v>
      </c>
      <c r="M1486" s="31">
        <v>45670</v>
      </c>
      <c r="N1486" s="7" t="s">
        <v>3196</v>
      </c>
      <c r="O1486" s="8">
        <v>645</v>
      </c>
      <c r="P1486" s="24">
        <v>6361</v>
      </c>
      <c r="Q1486" s="22">
        <f>IF(COUNTIFS(A$2:A1486,A1486,I$2:I1486,I1486)=1,1,0)</f>
        <v>0</v>
      </c>
      <c r="R1486" s="22">
        <f t="shared" si="23"/>
        <v>1</v>
      </c>
      <c r="S1486" s="33">
        <f>IF(COUNTIF(O$2:O1486,O1486)=1,R1486,0)/2.5</f>
        <v>0.4</v>
      </c>
    </row>
    <row r="1487" spans="1:19" ht="18" customHeight="1" x14ac:dyDescent="0.25">
      <c r="A1487" s="7" t="s">
        <v>43</v>
      </c>
      <c r="B1487" s="8">
        <v>1</v>
      </c>
      <c r="C1487" s="9">
        <v>477</v>
      </c>
      <c r="D1487" s="29">
        <f>C1487+IF(INDEX('Справочник по %'!B:B,(MATCH(A1487,'Справочник по %'!A:A,0)))="кол-во",B1487*INDEX('Справочник по %'!C:C,(MATCH(A1487,'Справочник по %'!A:A,0))),ОТЧЕТ!C1487*INDEX('Справочник по %'!C:C,(MATCH(A1487,'Справочник по %'!A:A,0))))/100</f>
        <v>524.70000000000005</v>
      </c>
      <c r="E1487" s="29">
        <f>IF(ОТЧЕТ!A1487="SKU3",C1487+ОТЧЕТ!C1487*0.2,C1487+ОТЧЕТ!C1487*0.15)</f>
        <v>548.54999999999995</v>
      </c>
      <c r="F1487" s="7" t="s">
        <v>3181</v>
      </c>
      <c r="G1487" s="7">
        <v>5043065851</v>
      </c>
      <c r="H1487" s="20" t="s">
        <v>3197</v>
      </c>
      <c r="I1487" s="22">
        <f>INDEX('Справочник Сети'!B:B,(MATCH(G1487,'Справочник Сети'!C:C,0)))</f>
        <v>0</v>
      </c>
      <c r="J1487" s="7" t="s">
        <v>92</v>
      </c>
      <c r="K1487" s="7" t="s">
        <v>1407</v>
      </c>
      <c r="L1487" s="7" t="s">
        <v>92</v>
      </c>
      <c r="M1487" s="31">
        <v>45714</v>
      </c>
      <c r="N1487" s="7" t="s">
        <v>3198</v>
      </c>
      <c r="O1487" s="8">
        <v>2045</v>
      </c>
      <c r="P1487" s="24">
        <v>6362</v>
      </c>
      <c r="Q1487" s="22">
        <f>IF(COUNTIFS(A$2:A1487,A1487,I$2:I1487,I1487)=1,1,0)</f>
        <v>0</v>
      </c>
      <c r="R1487" s="22">
        <f t="shared" si="23"/>
        <v>1</v>
      </c>
      <c r="S1487" s="33">
        <f>IF(COUNTIF(O$2:O1487,O1487)=1,R1487,0)/2.5</f>
        <v>0.4</v>
      </c>
    </row>
    <row r="1488" spans="1:19" ht="18" customHeight="1" x14ac:dyDescent="0.25">
      <c r="A1488" s="7" t="s">
        <v>43</v>
      </c>
      <c r="B1488" s="8">
        <v>1</v>
      </c>
      <c r="C1488" s="9">
        <v>400.9</v>
      </c>
      <c r="D1488" s="29">
        <f>C1488+IF(INDEX('Справочник по %'!B:B,(MATCH(A1488,'Справочник по %'!A:A,0)))="кол-во",B1488*INDEX('Справочник по %'!C:C,(MATCH(A1488,'Справочник по %'!A:A,0))),ОТЧЕТ!C1488*INDEX('Справочник по %'!C:C,(MATCH(A1488,'Справочник по %'!A:A,0))))/100</f>
        <v>440.99</v>
      </c>
      <c r="E1488" s="29">
        <f>IF(ОТЧЕТ!A1488="SKU3",C1488+ОТЧЕТ!C1488*0.2,C1488+ОТЧЕТ!C1488*0.15)</f>
        <v>461.03499999999997</v>
      </c>
      <c r="F1488" s="7" t="s">
        <v>3199</v>
      </c>
      <c r="G1488" s="7">
        <v>5507102175</v>
      </c>
      <c r="H1488" s="20" t="s">
        <v>50</v>
      </c>
      <c r="I1488" s="22" t="str">
        <f>INDEX('Справочник Сети'!B:B,(MATCH(G1488,'Справочник Сети'!C:C,0)))</f>
        <v>Столички</v>
      </c>
      <c r="J1488" s="7" t="s">
        <v>255</v>
      </c>
      <c r="K1488" s="7" t="s">
        <v>3200</v>
      </c>
      <c r="L1488" s="7" t="s">
        <v>255</v>
      </c>
      <c r="M1488" s="31">
        <v>45713</v>
      </c>
      <c r="N1488" s="7" t="s">
        <v>3201</v>
      </c>
      <c r="O1488" s="8">
        <v>1455</v>
      </c>
      <c r="P1488" s="24">
        <v>6364</v>
      </c>
      <c r="Q1488" s="22">
        <f>IF(COUNTIFS(A$2:A1488,A1488,I$2:I1488,I1488)=1,1,0)</f>
        <v>0</v>
      </c>
      <c r="R1488" s="22">
        <f t="shared" si="23"/>
        <v>4</v>
      </c>
      <c r="S1488" s="33">
        <f>IF(COUNTIF(O$2:O1488,O1488)=1,R1488,0)/2.5</f>
        <v>0</v>
      </c>
    </row>
    <row r="1489" spans="1:19" ht="18" customHeight="1" x14ac:dyDescent="0.25">
      <c r="A1489" s="7" t="s">
        <v>43</v>
      </c>
      <c r="B1489" s="8">
        <v>1</v>
      </c>
      <c r="C1489" s="9">
        <v>399.6</v>
      </c>
      <c r="D1489" s="29">
        <f>C1489+IF(INDEX('Справочник по %'!B:B,(MATCH(A1489,'Справочник по %'!A:A,0)))="кол-во",B1489*INDEX('Справочник по %'!C:C,(MATCH(A1489,'Справочник по %'!A:A,0))),ОТЧЕТ!C1489*INDEX('Справочник по %'!C:C,(MATCH(A1489,'Справочник по %'!A:A,0))))/100</f>
        <v>439.56</v>
      </c>
      <c r="E1489" s="29">
        <f>IF(ОТЧЕТ!A1489="SKU3",C1489+ОТЧЕТ!C1489*0.2,C1489+ОТЧЕТ!C1489*0.15)</f>
        <v>459.54</v>
      </c>
      <c r="F1489" s="7" t="s">
        <v>3202</v>
      </c>
      <c r="G1489" s="7">
        <v>7840411560</v>
      </c>
      <c r="H1489" s="20" t="s">
        <v>491</v>
      </c>
      <c r="I1489" s="22" t="str">
        <f>INDEX('Справочник Сети'!B:B,(MATCH(G1489,'Справочник Сети'!C:C,0)))</f>
        <v>Столички</v>
      </c>
      <c r="J1489" s="7" t="s">
        <v>315</v>
      </c>
      <c r="K1489" s="7" t="s">
        <v>884</v>
      </c>
      <c r="L1489" s="7" t="s">
        <v>315</v>
      </c>
      <c r="M1489" s="31">
        <v>45670</v>
      </c>
      <c r="N1489" s="7" t="s">
        <v>3203</v>
      </c>
      <c r="O1489" s="8">
        <v>2953</v>
      </c>
      <c r="P1489" s="24">
        <v>6371</v>
      </c>
      <c r="Q1489" s="22">
        <f>IF(COUNTIFS(A$2:A1489,A1489,I$2:I1489,I1489)=1,1,0)</f>
        <v>0</v>
      </c>
      <c r="R1489" s="22">
        <f t="shared" si="23"/>
        <v>4</v>
      </c>
      <c r="S1489" s="33">
        <f>IF(COUNTIF(O$2:O1489,O1489)=1,R1489,0)/2.5</f>
        <v>0</v>
      </c>
    </row>
    <row r="1490" spans="1:19" ht="18" customHeight="1" x14ac:dyDescent="0.25">
      <c r="A1490" s="7" t="s">
        <v>43</v>
      </c>
      <c r="B1490" s="8">
        <v>1</v>
      </c>
      <c r="C1490" s="9">
        <v>379</v>
      </c>
      <c r="D1490" s="29">
        <f>C1490+IF(INDEX('Справочник по %'!B:B,(MATCH(A1490,'Справочник по %'!A:A,0)))="кол-во",B1490*INDEX('Справочник по %'!C:C,(MATCH(A1490,'Справочник по %'!A:A,0))),ОТЧЕТ!C1490*INDEX('Справочник по %'!C:C,(MATCH(A1490,'Справочник по %'!A:A,0))))/100</f>
        <v>416.9</v>
      </c>
      <c r="E1490" s="29">
        <f>IF(ОТЧЕТ!A1490="SKU3",C1490+ОТЧЕТ!C1490*0.2,C1490+ОТЧЕТ!C1490*0.15)</f>
        <v>435.85</v>
      </c>
      <c r="F1490" s="7" t="s">
        <v>3204</v>
      </c>
      <c r="G1490" s="7">
        <v>7713695615</v>
      </c>
      <c r="H1490" s="20" t="s">
        <v>50</v>
      </c>
      <c r="I1490" s="22">
        <f>INDEX('Справочник Сети'!B:B,(MATCH(G1490,'Справочник Сети'!C:C,0)))</f>
        <v>0</v>
      </c>
      <c r="J1490" s="7" t="s">
        <v>504</v>
      </c>
      <c r="K1490" s="7" t="s">
        <v>287</v>
      </c>
      <c r="L1490" s="7" t="s">
        <v>504</v>
      </c>
      <c r="M1490" s="31">
        <v>45690</v>
      </c>
      <c r="N1490" s="7" t="s">
        <v>3205</v>
      </c>
      <c r="O1490" s="8">
        <v>3423</v>
      </c>
      <c r="P1490" s="24">
        <v>6380</v>
      </c>
      <c r="Q1490" s="22">
        <f>IF(COUNTIFS(A$2:A1490,A1490,I$2:I1490,I1490)=1,1,0)</f>
        <v>0</v>
      </c>
      <c r="R1490" s="22">
        <f t="shared" si="23"/>
        <v>1</v>
      </c>
      <c r="S1490" s="33">
        <f>IF(COUNTIF(O$2:O1490,O1490)=1,R1490,0)/2.5</f>
        <v>0.4</v>
      </c>
    </row>
    <row r="1491" spans="1:19" ht="18" customHeight="1" x14ac:dyDescent="0.25">
      <c r="A1491" s="7" t="s">
        <v>37</v>
      </c>
      <c r="B1491" s="8">
        <v>1</v>
      </c>
      <c r="C1491" s="9">
        <v>630</v>
      </c>
      <c r="D1491" s="29">
        <f>C1491+IF(INDEX('Справочник по %'!B:B,(MATCH(A1491,'Справочник по %'!A:A,0)))="кол-во",B1491*INDEX('Справочник по %'!C:C,(MATCH(A1491,'Справочник по %'!A:A,0))),ОТЧЕТ!C1491*INDEX('Справочник по %'!C:C,(MATCH(A1491,'Справочник по %'!A:A,0))))/100</f>
        <v>630.20000000000005</v>
      </c>
      <c r="E1491" s="29">
        <f>IF(ОТЧЕТ!A1491="SKU3",C1491+ОТЧЕТ!C1491*0.2,C1491+ОТЧЕТ!C1491*0.15)</f>
        <v>724.5</v>
      </c>
      <c r="F1491" s="7" t="s">
        <v>3204</v>
      </c>
      <c r="G1491" s="7">
        <v>5903072982</v>
      </c>
      <c r="H1491" s="20" t="s">
        <v>39</v>
      </c>
      <c r="I1491" s="22" t="str">
        <f>INDEX('Справочник Сети'!B:B,(MATCH(G1491,'Справочник Сети'!C:C,0)))</f>
        <v>Планета здоровья</v>
      </c>
      <c r="J1491" s="7" t="s">
        <v>40</v>
      </c>
      <c r="K1491" s="7" t="s">
        <v>3206</v>
      </c>
      <c r="L1491" s="7" t="s">
        <v>40</v>
      </c>
      <c r="M1491" s="31">
        <v>45712</v>
      </c>
      <c r="N1491" s="7" t="s">
        <v>3207</v>
      </c>
      <c r="O1491" s="8">
        <v>2075</v>
      </c>
      <c r="P1491" s="24">
        <v>6384</v>
      </c>
      <c r="Q1491" s="22">
        <f>IF(COUNTIFS(A$2:A1491,A1491,I$2:I1491,I1491)=1,1,0)</f>
        <v>0</v>
      </c>
      <c r="R1491" s="22">
        <f t="shared" si="23"/>
        <v>1</v>
      </c>
      <c r="S1491" s="33">
        <f>IF(COUNTIF(O$2:O1491,O1491)=1,R1491,0)/2.5</f>
        <v>0.4</v>
      </c>
    </row>
    <row r="1492" spans="1:19" ht="18" customHeight="1" x14ac:dyDescent="0.25">
      <c r="A1492" s="7" t="s">
        <v>146</v>
      </c>
      <c r="B1492" s="8">
        <v>1</v>
      </c>
      <c r="C1492" s="9">
        <v>674</v>
      </c>
      <c r="D1492" s="29">
        <f>C1492+IF(INDEX('Справочник по %'!B:B,(MATCH(A1492,'Справочник по %'!A:A,0)))="кол-во",B1492*INDEX('Справочник по %'!C:C,(MATCH(A1492,'Справочник по %'!A:A,0))),ОТЧЕТ!C1492*INDEX('Справочник по %'!C:C,(MATCH(A1492,'Справочник по %'!A:A,0))))/100</f>
        <v>775.1</v>
      </c>
      <c r="E1492" s="29">
        <f>IF(ОТЧЕТ!A1492="SKU3",C1492+ОТЧЕТ!C1492*0.2,C1492+ОТЧЕТ!C1492*0.15)</f>
        <v>808.8</v>
      </c>
      <c r="F1492" s="7" t="s">
        <v>3208</v>
      </c>
      <c r="G1492" s="7">
        <v>7732121736</v>
      </c>
      <c r="H1492" s="20" t="s">
        <v>148</v>
      </c>
      <c r="I1492" s="22" t="str">
        <f>INDEX('Справочник Сети'!B:B,(MATCH(G1492,'Справочник Сети'!C:C,0)))</f>
        <v>Планета здоровья</v>
      </c>
      <c r="J1492" s="7" t="s">
        <v>149</v>
      </c>
      <c r="K1492" s="7" t="s">
        <v>3209</v>
      </c>
      <c r="L1492" s="7" t="s">
        <v>149</v>
      </c>
      <c r="M1492" s="31">
        <v>45673</v>
      </c>
      <c r="N1492" s="7" t="s">
        <v>3210</v>
      </c>
      <c r="O1492" s="8">
        <v>1008</v>
      </c>
      <c r="P1492" s="24">
        <v>6388</v>
      </c>
      <c r="Q1492" s="22">
        <f>IF(COUNTIFS(A$2:A1492,A1492,I$2:I1492,I1492)=1,1,0)</f>
        <v>0</v>
      </c>
      <c r="R1492" s="22">
        <f t="shared" si="23"/>
        <v>4</v>
      </c>
      <c r="S1492" s="33">
        <f>IF(COUNTIF(O$2:O1492,O1492)=1,R1492,0)/2.5</f>
        <v>0</v>
      </c>
    </row>
    <row r="1493" spans="1:19" ht="18" customHeight="1" x14ac:dyDescent="0.25">
      <c r="A1493" s="7" t="s">
        <v>43</v>
      </c>
      <c r="B1493" s="8">
        <v>1</v>
      </c>
      <c r="C1493" s="9">
        <v>603</v>
      </c>
      <c r="D1493" s="29">
        <f>C1493+IF(INDEX('Справочник по %'!B:B,(MATCH(A1493,'Справочник по %'!A:A,0)))="кол-во",B1493*INDEX('Справочник по %'!C:C,(MATCH(A1493,'Справочник по %'!A:A,0))),ОТЧЕТ!C1493*INDEX('Справочник по %'!C:C,(MATCH(A1493,'Справочник по %'!A:A,0))))/100</f>
        <v>663.3</v>
      </c>
      <c r="E1493" s="29">
        <f>IF(ОТЧЕТ!A1493="SKU3",C1493+ОТЧЕТ!C1493*0.2,C1493+ОТЧЕТ!C1493*0.15)</f>
        <v>693.45</v>
      </c>
      <c r="F1493" s="7" t="s">
        <v>3211</v>
      </c>
      <c r="G1493" s="7">
        <v>7714844316</v>
      </c>
      <c r="H1493" s="20" t="s">
        <v>50</v>
      </c>
      <c r="I1493" s="22" t="str">
        <f>INDEX('Справочник Сети'!B:B,(MATCH(G1493,'Справочник Сети'!C:C,0)))</f>
        <v>Планета здоровья</v>
      </c>
      <c r="J1493" s="7" t="s">
        <v>504</v>
      </c>
      <c r="K1493" s="7" t="s">
        <v>3212</v>
      </c>
      <c r="L1493" s="7" t="s">
        <v>504</v>
      </c>
      <c r="M1493" s="31">
        <v>45690</v>
      </c>
      <c r="N1493" s="7" t="s">
        <v>3213</v>
      </c>
      <c r="O1493" s="8">
        <v>2297</v>
      </c>
      <c r="P1493" s="24">
        <v>6391</v>
      </c>
      <c r="Q1493" s="22">
        <f>IF(COUNTIFS(A$2:A1493,A1493,I$2:I1493,I1493)=1,1,0)</f>
        <v>0</v>
      </c>
      <c r="R1493" s="22">
        <f t="shared" si="23"/>
        <v>6</v>
      </c>
      <c r="S1493" s="33">
        <f>IF(COUNTIF(O$2:O1493,O1493)=1,R1493,0)/2.5</f>
        <v>0</v>
      </c>
    </row>
    <row r="1494" spans="1:19" ht="18" customHeight="1" x14ac:dyDescent="0.25">
      <c r="A1494" s="7" t="s">
        <v>43</v>
      </c>
      <c r="B1494" s="8">
        <v>1</v>
      </c>
      <c r="C1494" s="9">
        <v>440</v>
      </c>
      <c r="D1494" s="29">
        <f>C1494+IF(INDEX('Справочник по %'!B:B,(MATCH(A1494,'Справочник по %'!A:A,0)))="кол-во",B1494*INDEX('Справочник по %'!C:C,(MATCH(A1494,'Справочник по %'!A:A,0))),ОТЧЕТ!C1494*INDEX('Справочник по %'!C:C,(MATCH(A1494,'Справочник по %'!A:A,0))))/100</f>
        <v>484</v>
      </c>
      <c r="E1494" s="29">
        <f>IF(ОТЧЕТ!A1494="SKU3",C1494+ОТЧЕТ!C1494*0.2,C1494+ОТЧЕТ!C1494*0.15)</f>
        <v>506</v>
      </c>
      <c r="F1494" s="7" t="s">
        <v>3214</v>
      </c>
      <c r="G1494" s="7">
        <v>910914952765</v>
      </c>
      <c r="H1494" s="20" t="s">
        <v>167</v>
      </c>
      <c r="I1494" s="22" t="str">
        <f>INDEX('Справочник Сети'!B:B,(MATCH(G1494,'Справочник Сети'!C:C,0)))</f>
        <v>Ригла</v>
      </c>
      <c r="J1494" s="7" t="s">
        <v>322</v>
      </c>
      <c r="K1494" s="7" t="s">
        <v>3215</v>
      </c>
      <c r="L1494" s="7" t="s">
        <v>322</v>
      </c>
      <c r="M1494" s="31">
        <v>45658</v>
      </c>
      <c r="N1494" s="7" t="s">
        <v>3216</v>
      </c>
      <c r="O1494" s="8">
        <v>1729</v>
      </c>
      <c r="P1494" s="24">
        <v>6392</v>
      </c>
      <c r="Q1494" s="22">
        <f>IF(COUNTIFS(A$2:A1494,A1494,I$2:I1494,I1494)=1,1,0)</f>
        <v>0</v>
      </c>
      <c r="R1494" s="22">
        <f t="shared" si="23"/>
        <v>2</v>
      </c>
      <c r="S1494" s="33">
        <f>IF(COUNTIF(O$2:O1494,O1494)=1,R1494,0)/2.5</f>
        <v>0.8</v>
      </c>
    </row>
    <row r="1495" spans="1:19" ht="18" customHeight="1" x14ac:dyDescent="0.25">
      <c r="A1495" s="7" t="s">
        <v>43</v>
      </c>
      <c r="B1495" s="8">
        <v>1</v>
      </c>
      <c r="C1495" s="9">
        <v>510</v>
      </c>
      <c r="D1495" s="29">
        <f>C1495+IF(INDEX('Справочник по %'!B:B,(MATCH(A1495,'Справочник по %'!A:A,0)))="кол-во",B1495*INDEX('Справочник по %'!C:C,(MATCH(A1495,'Справочник по %'!A:A,0))),ОТЧЕТ!C1495*INDEX('Справочник по %'!C:C,(MATCH(A1495,'Справочник по %'!A:A,0))))/100</f>
        <v>561</v>
      </c>
      <c r="E1495" s="29">
        <f>IF(ОТЧЕТ!A1495="SKU3",C1495+ОТЧЕТ!C1495*0.2,C1495+ОТЧЕТ!C1495*0.15)</f>
        <v>586.5</v>
      </c>
      <c r="F1495" s="7" t="s">
        <v>3214</v>
      </c>
      <c r="G1495" s="7">
        <v>234901050224</v>
      </c>
      <c r="H1495" s="20" t="s">
        <v>1046</v>
      </c>
      <c r="I1495" s="22" t="str">
        <f>INDEX('Справочник Сети'!B:B,(MATCH(G1495,'Справочник Сети'!C:C,0)))</f>
        <v>Столички</v>
      </c>
      <c r="J1495" s="7" t="s">
        <v>74</v>
      </c>
      <c r="K1495" s="7" t="s">
        <v>3217</v>
      </c>
      <c r="L1495" s="7" t="s">
        <v>74</v>
      </c>
      <c r="M1495" s="31">
        <v>45661</v>
      </c>
      <c r="N1495" s="7" t="s">
        <v>3218</v>
      </c>
      <c r="O1495" s="8">
        <v>3769</v>
      </c>
      <c r="P1495" s="24">
        <v>6395</v>
      </c>
      <c r="Q1495" s="22">
        <f>IF(COUNTIFS(A$2:A1495,A1495,I$2:I1495,I1495)=1,1,0)</f>
        <v>0</v>
      </c>
      <c r="R1495" s="22">
        <f t="shared" si="23"/>
        <v>3</v>
      </c>
      <c r="S1495" s="33">
        <f>IF(COUNTIF(O$2:O1495,O1495)=1,R1495,0)/2.5</f>
        <v>0</v>
      </c>
    </row>
    <row r="1496" spans="1:19" ht="18" customHeight="1" x14ac:dyDescent="0.25">
      <c r="A1496" s="7" t="s">
        <v>43</v>
      </c>
      <c r="B1496" s="8">
        <v>1</v>
      </c>
      <c r="C1496" s="9">
        <v>488</v>
      </c>
      <c r="D1496" s="29">
        <f>C1496+IF(INDEX('Справочник по %'!B:B,(MATCH(A1496,'Справочник по %'!A:A,0)))="кол-во",B1496*INDEX('Справочник по %'!C:C,(MATCH(A1496,'Справочник по %'!A:A,0))),ОТЧЕТ!C1496*INDEX('Справочник по %'!C:C,(MATCH(A1496,'Справочник по %'!A:A,0))))/100</f>
        <v>536.79999999999995</v>
      </c>
      <c r="E1496" s="29">
        <f>IF(ОТЧЕТ!A1496="SKU3",C1496+ОТЧЕТ!C1496*0.2,C1496+ОТЧЕТ!C1496*0.15)</f>
        <v>561.20000000000005</v>
      </c>
      <c r="F1496" s="7" t="s">
        <v>3219</v>
      </c>
      <c r="G1496" s="7">
        <v>5907998615</v>
      </c>
      <c r="H1496" s="20" t="s">
        <v>39</v>
      </c>
      <c r="I1496" s="22">
        <f>INDEX('Справочник Сети'!B:B,(MATCH(G1496,'Справочник Сети'!C:C,0)))</f>
        <v>0</v>
      </c>
      <c r="J1496" s="7" t="s">
        <v>520</v>
      </c>
      <c r="K1496" s="7" t="s">
        <v>1127</v>
      </c>
      <c r="L1496" s="7" t="s">
        <v>520</v>
      </c>
      <c r="M1496" s="31">
        <v>45697</v>
      </c>
      <c r="N1496" s="7" t="s">
        <v>3220</v>
      </c>
      <c r="O1496" s="8">
        <v>1686</v>
      </c>
      <c r="P1496" s="24">
        <v>6397</v>
      </c>
      <c r="Q1496" s="22">
        <f>IF(COUNTIFS(A$2:A1496,A1496,I$2:I1496,I1496)=1,1,0)</f>
        <v>0</v>
      </c>
      <c r="R1496" s="22">
        <f t="shared" si="23"/>
        <v>1</v>
      </c>
      <c r="S1496" s="33">
        <f>IF(COUNTIF(O$2:O1496,O1496)=1,R1496,0)/2.5</f>
        <v>0.4</v>
      </c>
    </row>
    <row r="1497" spans="1:19" ht="18" customHeight="1" x14ac:dyDescent="0.25">
      <c r="A1497" s="7" t="s">
        <v>43</v>
      </c>
      <c r="B1497" s="8">
        <v>1</v>
      </c>
      <c r="C1497" s="9">
        <v>399</v>
      </c>
      <c r="D1497" s="29">
        <f>C1497+IF(INDEX('Справочник по %'!B:B,(MATCH(A1497,'Справочник по %'!A:A,0)))="кол-во",B1497*INDEX('Справочник по %'!C:C,(MATCH(A1497,'Справочник по %'!A:A,0))),ОТЧЕТ!C1497*INDEX('Справочник по %'!C:C,(MATCH(A1497,'Справочник по %'!A:A,0))))/100</f>
        <v>438.9</v>
      </c>
      <c r="E1497" s="29">
        <f>IF(ОТЧЕТ!A1497="SKU3",C1497+ОТЧЕТ!C1497*0.2,C1497+ОТЧЕТ!C1497*0.15)</f>
        <v>458.85</v>
      </c>
      <c r="F1497" s="7" t="s">
        <v>3221</v>
      </c>
      <c r="G1497" s="7">
        <v>3821001306</v>
      </c>
      <c r="H1497" s="20" t="s">
        <v>3222</v>
      </c>
      <c r="I1497" s="22">
        <f>INDEX('Справочник Сети'!B:B,(MATCH(G1497,'Справочник Сети'!C:C,0)))</f>
        <v>0</v>
      </c>
      <c r="J1497" s="7" t="s">
        <v>155</v>
      </c>
      <c r="K1497" s="7" t="s">
        <v>1020</v>
      </c>
      <c r="L1497" s="7" t="s">
        <v>155</v>
      </c>
      <c r="M1497" s="31">
        <v>45716</v>
      </c>
      <c r="N1497" s="7" t="s">
        <v>3223</v>
      </c>
      <c r="O1497" s="8">
        <v>2456</v>
      </c>
      <c r="P1497" s="24">
        <v>6406</v>
      </c>
      <c r="Q1497" s="22">
        <f>IF(COUNTIFS(A$2:A1497,A1497,I$2:I1497,I1497)=1,1,0)</f>
        <v>0</v>
      </c>
      <c r="R1497" s="22">
        <f t="shared" si="23"/>
        <v>1</v>
      </c>
      <c r="S1497" s="33">
        <f>IF(COUNTIF(O$2:O1497,O1497)=1,R1497,0)/2.5</f>
        <v>0.4</v>
      </c>
    </row>
    <row r="1498" spans="1:19" ht="18" customHeight="1" x14ac:dyDescent="0.25">
      <c r="A1498" s="7" t="s">
        <v>37</v>
      </c>
      <c r="B1498" s="8">
        <v>1</v>
      </c>
      <c r="C1498" s="9">
        <v>609.9</v>
      </c>
      <c r="D1498" s="29">
        <f>C1498+IF(INDEX('Справочник по %'!B:B,(MATCH(A1498,'Справочник по %'!A:A,0)))="кол-во",B1498*INDEX('Справочник по %'!C:C,(MATCH(A1498,'Справочник по %'!A:A,0))),ОТЧЕТ!C1498*INDEX('Справочник по %'!C:C,(MATCH(A1498,'Справочник по %'!A:A,0))))/100</f>
        <v>610.1</v>
      </c>
      <c r="E1498" s="29">
        <f>IF(ОТЧЕТ!A1498="SKU3",C1498+ОТЧЕТ!C1498*0.2,C1498+ОТЧЕТ!C1498*0.15)</f>
        <v>701.38499999999999</v>
      </c>
      <c r="F1498" s="7" t="s">
        <v>3221</v>
      </c>
      <c r="G1498" s="7">
        <v>7204146152</v>
      </c>
      <c r="H1498" s="20" t="s">
        <v>136</v>
      </c>
      <c r="I1498" s="22" t="str">
        <f>INDEX('Справочник Сети'!B:B,(MATCH(G1498,'Справочник Сети'!C:C,0)))</f>
        <v>36,6</v>
      </c>
      <c r="J1498" s="7" t="s">
        <v>104</v>
      </c>
      <c r="K1498" s="7" t="s">
        <v>2692</v>
      </c>
      <c r="L1498" s="7" t="s">
        <v>106</v>
      </c>
      <c r="M1498" s="31">
        <v>45694</v>
      </c>
      <c r="N1498" s="7" t="s">
        <v>3224</v>
      </c>
      <c r="O1498" s="8">
        <v>1188</v>
      </c>
      <c r="P1498" s="24">
        <v>6407</v>
      </c>
      <c r="Q1498" s="22">
        <f>IF(COUNTIFS(A$2:A1498,A1498,I$2:I1498,I1498)=1,1,0)</f>
        <v>0</v>
      </c>
      <c r="R1498" s="22">
        <f t="shared" si="23"/>
        <v>14</v>
      </c>
      <c r="S1498" s="33">
        <f>IF(COUNTIF(O$2:O1498,O1498)=1,R1498,0)/2.5</f>
        <v>0</v>
      </c>
    </row>
    <row r="1499" spans="1:19" ht="18" customHeight="1" x14ac:dyDescent="0.25">
      <c r="A1499" s="7" t="s">
        <v>43</v>
      </c>
      <c r="B1499" s="8">
        <v>1</v>
      </c>
      <c r="C1499" s="9">
        <v>506</v>
      </c>
      <c r="D1499" s="29">
        <f>C1499+IF(INDEX('Справочник по %'!B:B,(MATCH(A1499,'Справочник по %'!A:A,0)))="кол-во",B1499*INDEX('Справочник по %'!C:C,(MATCH(A1499,'Справочник по %'!A:A,0))),ОТЧЕТ!C1499*INDEX('Справочник по %'!C:C,(MATCH(A1499,'Справочник по %'!A:A,0))))/100</f>
        <v>556.6</v>
      </c>
      <c r="E1499" s="29">
        <f>IF(ОТЧЕТ!A1499="SKU3",C1499+ОТЧЕТ!C1499*0.2,C1499+ОТЧЕТ!C1499*0.15)</f>
        <v>581.9</v>
      </c>
      <c r="F1499" s="7" t="s">
        <v>3221</v>
      </c>
      <c r="G1499" s="7">
        <v>1001054160</v>
      </c>
      <c r="H1499" s="20" t="s">
        <v>50</v>
      </c>
      <c r="I1499" s="22" t="str">
        <f>INDEX('Справочник Сети'!B:B,(MATCH(G1499,'Справочник Сети'!C:C,0)))</f>
        <v>Ригла</v>
      </c>
      <c r="J1499" s="7" t="s">
        <v>362</v>
      </c>
      <c r="K1499" s="7" t="s">
        <v>2447</v>
      </c>
      <c r="L1499" s="7" t="s">
        <v>362</v>
      </c>
      <c r="M1499" s="31">
        <v>45732</v>
      </c>
      <c r="N1499" s="7" t="s">
        <v>3225</v>
      </c>
      <c r="O1499" s="8">
        <v>1499</v>
      </c>
      <c r="P1499" s="24">
        <v>6409</v>
      </c>
      <c r="Q1499" s="22">
        <f>IF(COUNTIFS(A$2:A1499,A1499,I$2:I1499,I1499)=1,1,0)</f>
        <v>0</v>
      </c>
      <c r="R1499" s="22">
        <f t="shared" si="23"/>
        <v>14</v>
      </c>
      <c r="S1499" s="33">
        <f>IF(COUNTIF(O$2:O1499,O1499)=1,R1499,0)/2.5</f>
        <v>0</v>
      </c>
    </row>
    <row r="1500" spans="1:19" ht="18" customHeight="1" x14ac:dyDescent="0.25">
      <c r="A1500" s="7" t="s">
        <v>43</v>
      </c>
      <c r="B1500" s="8">
        <v>1</v>
      </c>
      <c r="C1500" s="9">
        <v>405</v>
      </c>
      <c r="D1500" s="29">
        <f>C1500+IF(INDEX('Справочник по %'!B:B,(MATCH(A1500,'Справочник по %'!A:A,0)))="кол-во",B1500*INDEX('Справочник по %'!C:C,(MATCH(A1500,'Справочник по %'!A:A,0))),ОТЧЕТ!C1500*INDEX('Справочник по %'!C:C,(MATCH(A1500,'Справочник по %'!A:A,0))))/100</f>
        <v>445.5</v>
      </c>
      <c r="E1500" s="29">
        <f>IF(ОТЧЕТ!A1500="SKU3",C1500+ОТЧЕТ!C1500*0.2,C1500+ОТЧЕТ!C1500*0.15)</f>
        <v>465.75</v>
      </c>
      <c r="F1500" s="7" t="s">
        <v>3221</v>
      </c>
      <c r="G1500" s="7">
        <v>370212291072</v>
      </c>
      <c r="H1500" s="20" t="s">
        <v>50</v>
      </c>
      <c r="I1500" s="22">
        <f>INDEX('Справочник Сети'!B:B,(MATCH(G1500,'Справочник Сети'!C:C,0)))</f>
        <v>0</v>
      </c>
      <c r="J1500" s="7" t="s">
        <v>110</v>
      </c>
      <c r="K1500" s="7" t="s">
        <v>1215</v>
      </c>
      <c r="L1500" s="7" t="s">
        <v>110</v>
      </c>
      <c r="M1500" s="31">
        <v>45660</v>
      </c>
      <c r="N1500" s="7" t="s">
        <v>3226</v>
      </c>
      <c r="O1500" s="8">
        <v>2834</v>
      </c>
      <c r="P1500" s="24">
        <v>6413</v>
      </c>
      <c r="Q1500" s="22">
        <f>IF(COUNTIFS(A$2:A1500,A1500,I$2:I1500,I1500)=1,1,0)</f>
        <v>0</v>
      </c>
      <c r="R1500" s="22">
        <f t="shared" si="23"/>
        <v>1</v>
      </c>
      <c r="S1500" s="33">
        <f>IF(COUNTIF(O$2:O1500,O1500)=1,R1500,0)/2.5</f>
        <v>0.4</v>
      </c>
    </row>
    <row r="1501" spans="1:19" ht="18" customHeight="1" x14ac:dyDescent="0.25">
      <c r="A1501" s="7" t="s">
        <v>43</v>
      </c>
      <c r="B1501" s="8">
        <v>1</v>
      </c>
      <c r="C1501" s="9">
        <v>551</v>
      </c>
      <c r="D1501" s="29">
        <f>C1501+IF(INDEX('Справочник по %'!B:B,(MATCH(A1501,'Справочник по %'!A:A,0)))="кол-во",B1501*INDEX('Справочник по %'!C:C,(MATCH(A1501,'Справочник по %'!A:A,0))),ОТЧЕТ!C1501*INDEX('Справочник по %'!C:C,(MATCH(A1501,'Справочник по %'!A:A,0))))/100</f>
        <v>606.1</v>
      </c>
      <c r="E1501" s="29">
        <f>IF(ОТЧЕТ!A1501="SKU3",C1501+ОТЧЕТ!C1501*0.2,C1501+ОТЧЕТ!C1501*0.15)</f>
        <v>633.65</v>
      </c>
      <c r="F1501" s="7" t="s">
        <v>3221</v>
      </c>
      <c r="G1501" s="7">
        <v>4202029419</v>
      </c>
      <c r="H1501" s="20" t="s">
        <v>69</v>
      </c>
      <c r="I1501" s="22">
        <f>INDEX('Справочник Сети'!B:B,(MATCH(G1501,'Справочник Сети'!C:C,0)))</f>
        <v>0</v>
      </c>
      <c r="J1501" s="7" t="s">
        <v>155</v>
      </c>
      <c r="K1501" s="7" t="s">
        <v>3227</v>
      </c>
      <c r="L1501" s="7" t="s">
        <v>155</v>
      </c>
      <c r="M1501" s="31">
        <v>45716</v>
      </c>
      <c r="N1501" s="7" t="s">
        <v>3228</v>
      </c>
      <c r="O1501" s="8">
        <v>2743</v>
      </c>
      <c r="P1501" s="24">
        <v>6421</v>
      </c>
      <c r="Q1501" s="22">
        <f>IF(COUNTIFS(A$2:A1501,A1501,I$2:I1501,I1501)=1,1,0)</f>
        <v>0</v>
      </c>
      <c r="R1501" s="22">
        <f t="shared" si="23"/>
        <v>2</v>
      </c>
      <c r="S1501" s="33">
        <f>IF(COUNTIF(O$2:O1501,O1501)=1,R1501,0)/2.5</f>
        <v>0.8</v>
      </c>
    </row>
    <row r="1502" spans="1:19" ht="18" customHeight="1" x14ac:dyDescent="0.25">
      <c r="A1502" s="7" t="s">
        <v>43</v>
      </c>
      <c r="B1502" s="8">
        <v>1</v>
      </c>
      <c r="C1502" s="9">
        <v>418.68</v>
      </c>
      <c r="D1502" s="29">
        <f>C1502+IF(INDEX('Справочник по %'!B:B,(MATCH(A1502,'Справочник по %'!A:A,0)))="кол-во",B1502*INDEX('Справочник по %'!C:C,(MATCH(A1502,'Справочник по %'!A:A,0))),ОТЧЕТ!C1502*INDEX('Справочник по %'!C:C,(MATCH(A1502,'Справочник по %'!A:A,0))))/100</f>
        <v>460.548</v>
      </c>
      <c r="E1502" s="29">
        <f>IF(ОТЧЕТ!A1502="SKU3",C1502+ОТЧЕТ!C1502*0.2,C1502+ОТЧЕТ!C1502*0.15)</f>
        <v>481.48200000000003</v>
      </c>
      <c r="F1502" s="7" t="s">
        <v>3221</v>
      </c>
      <c r="G1502" s="7">
        <v>5507102175</v>
      </c>
      <c r="H1502" s="20" t="s">
        <v>50</v>
      </c>
      <c r="I1502" s="22" t="str">
        <f>INDEX('Справочник Сети'!B:B,(MATCH(G1502,'Справочник Сети'!C:C,0)))</f>
        <v>Столички</v>
      </c>
      <c r="J1502" s="7" t="s">
        <v>255</v>
      </c>
      <c r="K1502" s="7" t="s">
        <v>2456</v>
      </c>
      <c r="L1502" s="7" t="s">
        <v>255</v>
      </c>
      <c r="M1502" s="31">
        <v>45713</v>
      </c>
      <c r="N1502" s="7" t="s">
        <v>3229</v>
      </c>
      <c r="O1502" s="8">
        <v>416</v>
      </c>
      <c r="P1502" s="24">
        <v>6422</v>
      </c>
      <c r="Q1502" s="22">
        <f>IF(COUNTIFS(A$2:A1502,A1502,I$2:I1502,I1502)=1,1,0)</f>
        <v>0</v>
      </c>
      <c r="R1502" s="22">
        <f t="shared" si="23"/>
        <v>1</v>
      </c>
      <c r="S1502" s="33">
        <f>IF(COUNTIF(O$2:O1502,O1502)=1,R1502,0)/2.5</f>
        <v>0.4</v>
      </c>
    </row>
    <row r="1503" spans="1:19" ht="18" customHeight="1" x14ac:dyDescent="0.25">
      <c r="A1503" s="7" t="s">
        <v>43</v>
      </c>
      <c r="B1503" s="8">
        <v>1</v>
      </c>
      <c r="C1503" s="9">
        <v>434</v>
      </c>
      <c r="D1503" s="29">
        <f>C1503+IF(INDEX('Справочник по %'!B:B,(MATCH(A1503,'Справочник по %'!A:A,0)))="кол-во",B1503*INDEX('Справочник по %'!C:C,(MATCH(A1503,'Справочник по %'!A:A,0))),ОТЧЕТ!C1503*INDEX('Справочник по %'!C:C,(MATCH(A1503,'Справочник по %'!A:A,0))))/100</f>
        <v>477.4</v>
      </c>
      <c r="E1503" s="29">
        <f>IF(ОТЧЕТ!A1503="SKU3",C1503+ОТЧЕТ!C1503*0.2,C1503+ОТЧЕТ!C1503*0.15)</f>
        <v>499.1</v>
      </c>
      <c r="F1503" s="7" t="s">
        <v>3221</v>
      </c>
      <c r="G1503" s="7">
        <v>4003033989</v>
      </c>
      <c r="H1503" s="20" t="s">
        <v>1797</v>
      </c>
      <c r="I1503" s="22">
        <f>INDEX('Справочник Сети'!B:B,(MATCH(G1503,'Справочник Сети'!C:C,0)))</f>
        <v>0</v>
      </c>
      <c r="J1503" s="7" t="s">
        <v>155</v>
      </c>
      <c r="K1503" s="7" t="s">
        <v>801</v>
      </c>
      <c r="L1503" s="7" t="s">
        <v>155</v>
      </c>
      <c r="M1503" s="31">
        <v>45716</v>
      </c>
      <c r="N1503" s="7" t="s">
        <v>1715</v>
      </c>
      <c r="O1503" s="8">
        <v>1075</v>
      </c>
      <c r="P1503" s="24">
        <v>6423</v>
      </c>
      <c r="Q1503" s="22">
        <f>IF(COUNTIFS(A$2:A1503,A1503,I$2:I1503,I1503)=1,1,0)</f>
        <v>0</v>
      </c>
      <c r="R1503" s="22">
        <f t="shared" si="23"/>
        <v>2</v>
      </c>
      <c r="S1503" s="33">
        <f>IF(COUNTIF(O$2:O1503,O1503)=1,R1503,0)/2.5</f>
        <v>0</v>
      </c>
    </row>
    <row r="1504" spans="1:19" ht="18" customHeight="1" x14ac:dyDescent="0.25">
      <c r="A1504" s="7" t="s">
        <v>43</v>
      </c>
      <c r="B1504" s="8">
        <v>1</v>
      </c>
      <c r="C1504" s="9">
        <v>437</v>
      </c>
      <c r="D1504" s="29">
        <f>C1504+IF(INDEX('Справочник по %'!B:B,(MATCH(A1504,'Справочник по %'!A:A,0)))="кол-во",B1504*INDEX('Справочник по %'!C:C,(MATCH(A1504,'Справочник по %'!A:A,0))),ОТЧЕТ!C1504*INDEX('Справочник по %'!C:C,(MATCH(A1504,'Справочник по %'!A:A,0))))/100</f>
        <v>480.7</v>
      </c>
      <c r="E1504" s="29">
        <f>IF(ОТЧЕТ!A1504="SKU3",C1504+ОТЧЕТ!C1504*0.2,C1504+ОТЧЕТ!C1504*0.15)</f>
        <v>502.55</v>
      </c>
      <c r="F1504" s="7" t="s">
        <v>3221</v>
      </c>
      <c r="G1504" s="7">
        <v>910900095729</v>
      </c>
      <c r="H1504" s="20" t="s">
        <v>1046</v>
      </c>
      <c r="I1504" s="22">
        <f>INDEX('Справочник Сети'!B:B,(MATCH(G1504,'Справочник Сети'!C:C,0)))</f>
        <v>0</v>
      </c>
      <c r="J1504" s="7" t="s">
        <v>322</v>
      </c>
      <c r="K1504" s="7" t="s">
        <v>129</v>
      </c>
      <c r="L1504" s="7" t="s">
        <v>322</v>
      </c>
      <c r="M1504" s="31">
        <v>45658</v>
      </c>
      <c r="N1504" s="7" t="s">
        <v>3230</v>
      </c>
      <c r="O1504" s="8">
        <v>3127</v>
      </c>
      <c r="P1504" s="24">
        <v>6426</v>
      </c>
      <c r="Q1504" s="22">
        <f>IF(COUNTIFS(A$2:A1504,A1504,I$2:I1504,I1504)=1,1,0)</f>
        <v>0</v>
      </c>
      <c r="R1504" s="22">
        <f t="shared" si="23"/>
        <v>4</v>
      </c>
      <c r="S1504" s="33">
        <f>IF(COUNTIF(O$2:O1504,O1504)=1,R1504,0)/2.5</f>
        <v>0</v>
      </c>
    </row>
    <row r="1505" spans="1:19" ht="18" customHeight="1" x14ac:dyDescent="0.25">
      <c r="A1505" s="7" t="s">
        <v>43</v>
      </c>
      <c r="B1505" s="8">
        <v>1</v>
      </c>
      <c r="C1505" s="9">
        <v>396.9</v>
      </c>
      <c r="D1505" s="29">
        <f>C1505+IF(INDEX('Справочник по %'!B:B,(MATCH(A1505,'Справочник по %'!A:A,0)))="кол-во",B1505*INDEX('Справочник по %'!C:C,(MATCH(A1505,'Справочник по %'!A:A,0))),ОТЧЕТ!C1505*INDEX('Справочник по %'!C:C,(MATCH(A1505,'Справочник по %'!A:A,0))))/100</f>
        <v>436.59</v>
      </c>
      <c r="E1505" s="29">
        <f>IF(ОТЧЕТ!A1505="SKU3",C1505+ОТЧЕТ!C1505*0.2,C1505+ОТЧЕТ!C1505*0.15)</f>
        <v>456.43499999999995</v>
      </c>
      <c r="F1505" s="7" t="s">
        <v>3221</v>
      </c>
      <c r="G1505" s="7">
        <v>2466189073</v>
      </c>
      <c r="H1505" s="20" t="s">
        <v>2155</v>
      </c>
      <c r="I1505" s="22" t="str">
        <f>INDEX('Справочник Сети'!B:B,(MATCH(G1505,'Справочник Сети'!C:C,0)))</f>
        <v>Нео-фарм</v>
      </c>
      <c r="J1505" s="7" t="s">
        <v>96</v>
      </c>
      <c r="K1505" s="7" t="s">
        <v>2665</v>
      </c>
      <c r="L1505" s="7" t="s">
        <v>96</v>
      </c>
      <c r="M1505" s="31">
        <v>45727</v>
      </c>
      <c r="N1505" s="7" t="s">
        <v>3231</v>
      </c>
      <c r="O1505" s="8">
        <v>3434</v>
      </c>
      <c r="P1505" s="24">
        <v>6429</v>
      </c>
      <c r="Q1505" s="22">
        <f>IF(COUNTIFS(A$2:A1505,A1505,I$2:I1505,I1505)=1,1,0)</f>
        <v>0</v>
      </c>
      <c r="R1505" s="22">
        <f t="shared" si="23"/>
        <v>2</v>
      </c>
      <c r="S1505" s="33">
        <f>IF(COUNTIF(O$2:O1505,O1505)=1,R1505,0)/2.5</f>
        <v>0</v>
      </c>
    </row>
    <row r="1506" spans="1:19" ht="18" customHeight="1" x14ac:dyDescent="0.25">
      <c r="A1506" s="7" t="s">
        <v>43</v>
      </c>
      <c r="B1506" s="8">
        <v>1</v>
      </c>
      <c r="C1506" s="9">
        <v>365</v>
      </c>
      <c r="D1506" s="29">
        <f>C1506+IF(INDEX('Справочник по %'!B:B,(MATCH(A1506,'Справочник по %'!A:A,0)))="кол-во",B1506*INDEX('Справочник по %'!C:C,(MATCH(A1506,'Справочник по %'!A:A,0))),ОТЧЕТ!C1506*INDEX('Справочник по %'!C:C,(MATCH(A1506,'Справочник по %'!A:A,0))))/100</f>
        <v>401.5</v>
      </c>
      <c r="E1506" s="29">
        <f>IF(ОТЧЕТ!A1506="SKU3",C1506+ОТЧЕТ!C1506*0.2,C1506+ОТЧЕТ!C1506*0.15)</f>
        <v>419.75</v>
      </c>
      <c r="F1506" s="7" t="s">
        <v>3221</v>
      </c>
      <c r="G1506" s="7">
        <v>7724211288</v>
      </c>
      <c r="H1506" s="20" t="s">
        <v>888</v>
      </c>
      <c r="I1506" s="22" t="str">
        <f>INDEX('Справочник Сети'!B:B,(MATCH(G1506,'Справочник Сети'!C:C,0)))</f>
        <v>Планета здоровья</v>
      </c>
      <c r="J1506" s="7" t="s">
        <v>185</v>
      </c>
      <c r="K1506" s="7" t="s">
        <v>969</v>
      </c>
      <c r="L1506" s="7" t="s">
        <v>185</v>
      </c>
      <c r="M1506" s="31">
        <v>45675</v>
      </c>
      <c r="N1506" s="7" t="s">
        <v>890</v>
      </c>
      <c r="O1506" s="8">
        <v>3119</v>
      </c>
      <c r="P1506" s="24">
        <v>6430</v>
      </c>
      <c r="Q1506" s="22">
        <f>IF(COUNTIFS(A$2:A1506,A1506,I$2:I1506,I1506)=1,1,0)</f>
        <v>0</v>
      </c>
      <c r="R1506" s="22">
        <f t="shared" si="23"/>
        <v>1</v>
      </c>
      <c r="S1506" s="33">
        <f>IF(COUNTIF(O$2:O1506,O1506)=1,R1506,0)/2.5</f>
        <v>0.4</v>
      </c>
    </row>
    <row r="1507" spans="1:19" ht="18" customHeight="1" x14ac:dyDescent="0.25">
      <c r="A1507" s="7" t="s">
        <v>43</v>
      </c>
      <c r="B1507" s="8">
        <v>1</v>
      </c>
      <c r="C1507" s="9">
        <v>451</v>
      </c>
      <c r="D1507" s="29">
        <f>C1507+IF(INDEX('Справочник по %'!B:B,(MATCH(A1507,'Справочник по %'!A:A,0)))="кол-во",B1507*INDEX('Справочник по %'!C:C,(MATCH(A1507,'Справочник по %'!A:A,0))),ОТЧЕТ!C1507*INDEX('Справочник по %'!C:C,(MATCH(A1507,'Справочник по %'!A:A,0))))/100</f>
        <v>496.1</v>
      </c>
      <c r="E1507" s="29">
        <f>IF(ОТЧЕТ!A1507="SKU3",C1507+ОТЧЕТ!C1507*0.2,C1507+ОТЧЕТ!C1507*0.15)</f>
        <v>518.65</v>
      </c>
      <c r="F1507" s="7" t="s">
        <v>3221</v>
      </c>
      <c r="G1507" s="7">
        <v>326537584</v>
      </c>
      <c r="H1507" s="20" t="s">
        <v>459</v>
      </c>
      <c r="I1507" s="22" t="str">
        <f>INDEX('Справочник Сети'!B:B,(MATCH(G1507,'Справочник Сети'!C:C,0)))</f>
        <v>Планета здоровья</v>
      </c>
      <c r="J1507" s="7" t="s">
        <v>362</v>
      </c>
      <c r="K1507" s="7" t="s">
        <v>2046</v>
      </c>
      <c r="L1507" s="7" t="s">
        <v>362</v>
      </c>
      <c r="M1507" s="31">
        <v>45732</v>
      </c>
      <c r="N1507" s="7" t="s">
        <v>3232</v>
      </c>
      <c r="O1507" s="8">
        <v>714</v>
      </c>
      <c r="P1507" s="24">
        <v>6431</v>
      </c>
      <c r="Q1507" s="22">
        <f>IF(COUNTIFS(A$2:A1507,A1507,I$2:I1507,I1507)=1,1,0)</f>
        <v>0</v>
      </c>
      <c r="R1507" s="22">
        <f t="shared" si="23"/>
        <v>6</v>
      </c>
      <c r="S1507" s="33">
        <f>IF(COUNTIF(O$2:O1507,O1507)=1,R1507,0)/2.5</f>
        <v>0</v>
      </c>
    </row>
    <row r="1508" spans="1:19" ht="18" customHeight="1" x14ac:dyDescent="0.25">
      <c r="A1508" s="7" t="s">
        <v>43</v>
      </c>
      <c r="B1508" s="8">
        <v>1</v>
      </c>
      <c r="C1508" s="9">
        <v>481</v>
      </c>
      <c r="D1508" s="29">
        <f>C1508+IF(INDEX('Справочник по %'!B:B,(MATCH(A1508,'Справочник по %'!A:A,0)))="кол-во",B1508*INDEX('Справочник по %'!C:C,(MATCH(A1508,'Справочник по %'!A:A,0))),ОТЧЕТ!C1508*INDEX('Справочник по %'!C:C,(MATCH(A1508,'Справочник по %'!A:A,0))))/100</f>
        <v>529.1</v>
      </c>
      <c r="E1508" s="29">
        <f>IF(ОТЧЕТ!A1508="SKU3",C1508+ОТЧЕТ!C1508*0.2,C1508+ОТЧЕТ!C1508*0.15)</f>
        <v>553.15</v>
      </c>
      <c r="F1508" s="7" t="s">
        <v>3221</v>
      </c>
      <c r="G1508" s="7">
        <v>2543102471</v>
      </c>
      <c r="H1508" s="20" t="s">
        <v>3233</v>
      </c>
      <c r="I1508" s="22" t="str">
        <f>INDEX('Справочник Сети'!B:B,(MATCH(G1508,'Справочник Сети'!C:C,0)))</f>
        <v>Столички</v>
      </c>
      <c r="J1508" s="7" t="s">
        <v>46</v>
      </c>
      <c r="K1508" s="7" t="s">
        <v>3234</v>
      </c>
      <c r="L1508" s="7" t="s">
        <v>46</v>
      </c>
      <c r="M1508" s="31">
        <v>45726</v>
      </c>
      <c r="N1508" s="7" t="s">
        <v>3235</v>
      </c>
      <c r="O1508" s="8">
        <v>1674</v>
      </c>
      <c r="P1508" s="24">
        <v>6435</v>
      </c>
      <c r="Q1508" s="22">
        <f>IF(COUNTIFS(A$2:A1508,A1508,I$2:I1508,I1508)=1,1,0)</f>
        <v>0</v>
      </c>
      <c r="R1508" s="22">
        <f t="shared" si="23"/>
        <v>3</v>
      </c>
      <c r="S1508" s="33">
        <f>IF(COUNTIF(O$2:O1508,O1508)=1,R1508,0)/2.5</f>
        <v>1.2</v>
      </c>
    </row>
    <row r="1509" spans="1:19" ht="18" customHeight="1" x14ac:dyDescent="0.25">
      <c r="A1509" s="7" t="s">
        <v>146</v>
      </c>
      <c r="B1509" s="8">
        <v>1</v>
      </c>
      <c r="C1509" s="9">
        <v>810</v>
      </c>
      <c r="D1509" s="29">
        <f>C1509+IF(INDEX('Справочник по %'!B:B,(MATCH(A1509,'Справочник по %'!A:A,0)))="кол-во",B1509*INDEX('Справочник по %'!C:C,(MATCH(A1509,'Справочник по %'!A:A,0))),ОТЧЕТ!C1509*INDEX('Справочник по %'!C:C,(MATCH(A1509,'Справочник по %'!A:A,0))))/100</f>
        <v>931.5</v>
      </c>
      <c r="E1509" s="29">
        <f>IF(ОТЧЕТ!A1509="SKU3",C1509+ОТЧЕТ!C1509*0.2,C1509+ОТЧЕТ!C1509*0.15)</f>
        <v>972</v>
      </c>
      <c r="F1509" s="7" t="s">
        <v>3221</v>
      </c>
      <c r="G1509" s="7">
        <v>7714844316</v>
      </c>
      <c r="H1509" s="20" t="s">
        <v>50</v>
      </c>
      <c r="I1509" s="22" t="str">
        <f>INDEX('Справочник Сети'!B:B,(MATCH(G1509,'Справочник Сети'!C:C,0)))</f>
        <v>Планета здоровья</v>
      </c>
      <c r="J1509" s="7" t="s">
        <v>504</v>
      </c>
      <c r="K1509" s="7" t="s">
        <v>3236</v>
      </c>
      <c r="L1509" s="7" t="s">
        <v>504</v>
      </c>
      <c r="M1509" s="31">
        <v>45690</v>
      </c>
      <c r="N1509" s="7" t="s">
        <v>3237</v>
      </c>
      <c r="O1509" s="8">
        <v>868</v>
      </c>
      <c r="P1509" s="24">
        <v>6436</v>
      </c>
      <c r="Q1509" s="22">
        <f>IF(COUNTIFS(A$2:A1509,A1509,I$2:I1509,I1509)=1,1,0)</f>
        <v>0</v>
      </c>
      <c r="R1509" s="22">
        <f t="shared" si="23"/>
        <v>12</v>
      </c>
      <c r="S1509" s="33">
        <f>IF(COUNTIF(O$2:O1509,O1509)=1,R1509,0)/2.5</f>
        <v>0</v>
      </c>
    </row>
    <row r="1510" spans="1:19" ht="18" customHeight="1" x14ac:dyDescent="0.25">
      <c r="A1510" s="7" t="s">
        <v>43</v>
      </c>
      <c r="B1510" s="8">
        <v>1</v>
      </c>
      <c r="C1510" s="9">
        <v>425.9</v>
      </c>
      <c r="D1510" s="29">
        <f>C1510+IF(INDEX('Справочник по %'!B:B,(MATCH(A1510,'Справочник по %'!A:A,0)))="кол-во",B1510*INDEX('Справочник по %'!C:C,(MATCH(A1510,'Справочник по %'!A:A,0))),ОТЧЕТ!C1510*INDEX('Справочник по %'!C:C,(MATCH(A1510,'Справочник по %'!A:A,0))))/100</f>
        <v>468.49</v>
      </c>
      <c r="E1510" s="29">
        <f>IF(ОТЧЕТ!A1510="SKU3",C1510+ОТЧЕТ!C1510*0.2,C1510+ОТЧЕТ!C1510*0.15)</f>
        <v>489.78499999999997</v>
      </c>
      <c r="F1510" s="7" t="s">
        <v>3221</v>
      </c>
      <c r="G1510" s="7">
        <v>5406712079</v>
      </c>
      <c r="H1510" s="20" t="s">
        <v>1250</v>
      </c>
      <c r="I1510" s="22" t="str">
        <f>INDEX('Справочник Сети'!B:B,(MATCH(G1510,'Справочник Сети'!C:C,0)))</f>
        <v>Ригла</v>
      </c>
      <c r="J1510" s="7" t="s">
        <v>255</v>
      </c>
      <c r="K1510" s="7" t="s">
        <v>3238</v>
      </c>
      <c r="L1510" s="7" t="s">
        <v>92</v>
      </c>
      <c r="M1510" s="31">
        <v>45714</v>
      </c>
      <c r="N1510" s="7" t="s">
        <v>3239</v>
      </c>
      <c r="O1510" s="8">
        <v>2694</v>
      </c>
      <c r="P1510" s="24">
        <v>6439</v>
      </c>
      <c r="Q1510" s="22">
        <f>IF(COUNTIFS(A$2:A1510,A1510,I$2:I1510,I1510)=1,1,0)</f>
        <v>0</v>
      </c>
      <c r="R1510" s="22">
        <f t="shared" si="23"/>
        <v>3</v>
      </c>
      <c r="S1510" s="33">
        <f>IF(COUNTIF(O$2:O1510,O1510)=1,R1510,0)/2.5</f>
        <v>0</v>
      </c>
    </row>
    <row r="1511" spans="1:19" ht="18" customHeight="1" x14ac:dyDescent="0.25">
      <c r="A1511" s="7" t="s">
        <v>43</v>
      </c>
      <c r="B1511" s="8">
        <v>1</v>
      </c>
      <c r="C1511" s="9">
        <v>485</v>
      </c>
      <c r="D1511" s="29">
        <f>C1511+IF(INDEX('Справочник по %'!B:B,(MATCH(A1511,'Справочник по %'!A:A,0)))="кол-во",B1511*INDEX('Справочник по %'!C:C,(MATCH(A1511,'Справочник по %'!A:A,0))),ОТЧЕТ!C1511*INDEX('Справочник по %'!C:C,(MATCH(A1511,'Справочник по %'!A:A,0))))/100</f>
        <v>533.5</v>
      </c>
      <c r="E1511" s="29">
        <f>IF(ОТЧЕТ!A1511="SKU3",C1511+ОТЧЕТ!C1511*0.2,C1511+ОТЧЕТ!C1511*0.15)</f>
        <v>557.75</v>
      </c>
      <c r="F1511" s="7" t="s">
        <v>3221</v>
      </c>
      <c r="G1511" s="7">
        <v>1435146818</v>
      </c>
      <c r="H1511" s="20" t="s">
        <v>3240</v>
      </c>
      <c r="I1511" s="22">
        <f>INDEX('Справочник Сети'!B:B,(MATCH(G1511,'Справочник Сети'!C:C,0)))</f>
        <v>0</v>
      </c>
      <c r="J1511" s="7" t="s">
        <v>335</v>
      </c>
      <c r="K1511" s="7" t="s">
        <v>1022</v>
      </c>
      <c r="L1511" s="7" t="s">
        <v>335</v>
      </c>
      <c r="M1511" s="31">
        <v>45731</v>
      </c>
      <c r="N1511" s="7" t="s">
        <v>3241</v>
      </c>
      <c r="O1511" s="8">
        <v>497</v>
      </c>
      <c r="P1511" s="24">
        <v>6441</v>
      </c>
      <c r="Q1511" s="22">
        <f>IF(COUNTIFS(A$2:A1511,A1511,I$2:I1511,I1511)=1,1,0)</f>
        <v>0</v>
      </c>
      <c r="R1511" s="22">
        <f t="shared" si="23"/>
        <v>2</v>
      </c>
      <c r="S1511" s="33">
        <f>IF(COUNTIF(O$2:O1511,O1511)=1,R1511,0)/2.5</f>
        <v>0.8</v>
      </c>
    </row>
    <row r="1512" spans="1:19" ht="18" customHeight="1" x14ac:dyDescent="0.25">
      <c r="A1512" s="7" t="s">
        <v>43</v>
      </c>
      <c r="B1512" s="8">
        <v>1</v>
      </c>
      <c r="C1512" s="9">
        <v>485</v>
      </c>
      <c r="D1512" s="29">
        <f>C1512+IF(INDEX('Справочник по %'!B:B,(MATCH(A1512,'Справочник по %'!A:A,0)))="кол-во",B1512*INDEX('Справочник по %'!C:C,(MATCH(A1512,'Справочник по %'!A:A,0))),ОТЧЕТ!C1512*INDEX('Справочник по %'!C:C,(MATCH(A1512,'Справочник по %'!A:A,0))))/100</f>
        <v>533.5</v>
      </c>
      <c r="E1512" s="29">
        <f>IF(ОТЧЕТ!A1512="SKU3",C1512+ОТЧЕТ!C1512*0.2,C1512+ОТЧЕТ!C1512*0.15)</f>
        <v>557.75</v>
      </c>
      <c r="F1512" s="7" t="s">
        <v>3221</v>
      </c>
      <c r="G1512" s="7">
        <v>1435146818</v>
      </c>
      <c r="H1512" s="20" t="s">
        <v>3240</v>
      </c>
      <c r="I1512" s="22">
        <f>INDEX('Справочник Сети'!B:B,(MATCH(G1512,'Справочник Сети'!C:C,0)))</f>
        <v>0</v>
      </c>
      <c r="J1512" s="7" t="s">
        <v>335</v>
      </c>
      <c r="K1512" s="7" t="s">
        <v>1022</v>
      </c>
      <c r="L1512" s="7" t="s">
        <v>335</v>
      </c>
      <c r="M1512" s="31">
        <v>45731</v>
      </c>
      <c r="N1512" s="7" t="s">
        <v>3241</v>
      </c>
      <c r="O1512" s="8">
        <v>497</v>
      </c>
      <c r="P1512" s="24">
        <v>6441</v>
      </c>
      <c r="Q1512" s="22">
        <f>IF(COUNTIFS(A$2:A1512,A1512,I$2:I1512,I1512)=1,1,0)</f>
        <v>0</v>
      </c>
      <c r="R1512" s="22">
        <f t="shared" si="23"/>
        <v>2</v>
      </c>
      <c r="S1512" s="33">
        <f>IF(COUNTIF(O$2:O1512,O1512)=1,R1512,0)/2.5</f>
        <v>0</v>
      </c>
    </row>
    <row r="1513" spans="1:19" ht="18" customHeight="1" x14ac:dyDescent="0.25">
      <c r="A1513" s="7" t="s">
        <v>43</v>
      </c>
      <c r="B1513" s="8">
        <v>1</v>
      </c>
      <c r="C1513" s="9">
        <v>443</v>
      </c>
      <c r="D1513" s="29">
        <f>C1513+IF(INDEX('Справочник по %'!B:B,(MATCH(A1513,'Справочник по %'!A:A,0)))="кол-во",B1513*INDEX('Справочник по %'!C:C,(MATCH(A1513,'Справочник по %'!A:A,0))),ОТЧЕТ!C1513*INDEX('Справочник по %'!C:C,(MATCH(A1513,'Справочник по %'!A:A,0))))/100</f>
        <v>487.3</v>
      </c>
      <c r="E1513" s="29">
        <f>IF(ОТЧЕТ!A1513="SKU3",C1513+ОТЧЕТ!C1513*0.2,C1513+ОТЧЕТ!C1513*0.15)</f>
        <v>509.45</v>
      </c>
      <c r="F1513" s="7" t="s">
        <v>3221</v>
      </c>
      <c r="G1513" s="7">
        <v>326537584</v>
      </c>
      <c r="H1513" s="20" t="s">
        <v>1541</v>
      </c>
      <c r="I1513" s="22" t="str">
        <f>INDEX('Справочник Сети'!B:B,(MATCH(G1513,'Справочник Сети'!C:C,0)))</f>
        <v>Планета здоровья</v>
      </c>
      <c r="J1513" s="7" t="s">
        <v>362</v>
      </c>
      <c r="K1513" s="7" t="s">
        <v>3242</v>
      </c>
      <c r="L1513" s="7" t="s">
        <v>362</v>
      </c>
      <c r="M1513" s="31">
        <v>45732</v>
      </c>
      <c r="N1513" s="7" t="s">
        <v>3243</v>
      </c>
      <c r="O1513" s="8">
        <v>3437</v>
      </c>
      <c r="P1513" s="24">
        <v>6442</v>
      </c>
      <c r="Q1513" s="22">
        <f>IF(COUNTIFS(A$2:A1513,A1513,I$2:I1513,I1513)=1,1,0)</f>
        <v>0</v>
      </c>
      <c r="R1513" s="22">
        <f t="shared" si="23"/>
        <v>1</v>
      </c>
      <c r="S1513" s="33">
        <f>IF(COUNTIF(O$2:O1513,O1513)=1,R1513,0)/2.5</f>
        <v>0.4</v>
      </c>
    </row>
    <row r="1514" spans="1:19" ht="18" customHeight="1" x14ac:dyDescent="0.25">
      <c r="A1514" s="7" t="s">
        <v>37</v>
      </c>
      <c r="B1514" s="8">
        <v>1</v>
      </c>
      <c r="C1514" s="9">
        <v>560</v>
      </c>
      <c r="D1514" s="29">
        <f>C1514+IF(INDEX('Справочник по %'!B:B,(MATCH(A1514,'Справочник по %'!A:A,0)))="кол-во",B1514*INDEX('Справочник по %'!C:C,(MATCH(A1514,'Справочник по %'!A:A,0))),ОТЧЕТ!C1514*INDEX('Справочник по %'!C:C,(MATCH(A1514,'Справочник по %'!A:A,0))))/100</f>
        <v>560.20000000000005</v>
      </c>
      <c r="E1514" s="29">
        <f>IF(ОТЧЕТ!A1514="SKU3",C1514+ОТЧЕТ!C1514*0.2,C1514+ОТЧЕТ!C1514*0.15)</f>
        <v>644</v>
      </c>
      <c r="F1514" s="7" t="s">
        <v>3221</v>
      </c>
      <c r="G1514" s="7">
        <v>5902132100</v>
      </c>
      <c r="H1514" s="20" t="s">
        <v>39</v>
      </c>
      <c r="I1514" s="22">
        <f>INDEX('Справочник Сети'!B:B,(MATCH(G1514,'Справочник Сети'!C:C,0)))</f>
        <v>0</v>
      </c>
      <c r="J1514" s="7" t="s">
        <v>40</v>
      </c>
      <c r="K1514" s="7" t="s">
        <v>3244</v>
      </c>
      <c r="L1514" s="7" t="s">
        <v>40</v>
      </c>
      <c r="M1514" s="31">
        <v>45712</v>
      </c>
      <c r="N1514" s="7" t="s">
        <v>3245</v>
      </c>
      <c r="O1514" s="8">
        <v>18</v>
      </c>
      <c r="P1514" s="24">
        <v>6445</v>
      </c>
      <c r="Q1514" s="22">
        <f>IF(COUNTIFS(A$2:A1514,A1514,I$2:I1514,I1514)=1,1,0)</f>
        <v>0</v>
      </c>
      <c r="R1514" s="22">
        <f t="shared" si="23"/>
        <v>1</v>
      </c>
      <c r="S1514" s="33">
        <f>IF(COUNTIF(O$2:O1514,O1514)=1,R1514,0)/2.5</f>
        <v>0.4</v>
      </c>
    </row>
    <row r="1515" spans="1:19" ht="18" customHeight="1" x14ac:dyDescent="0.25">
      <c r="A1515" s="7" t="s">
        <v>43</v>
      </c>
      <c r="B1515" s="8">
        <v>1</v>
      </c>
      <c r="C1515" s="9">
        <v>451</v>
      </c>
      <c r="D1515" s="29">
        <f>C1515+IF(INDEX('Справочник по %'!B:B,(MATCH(A1515,'Справочник по %'!A:A,0)))="кол-во",B1515*INDEX('Справочник по %'!C:C,(MATCH(A1515,'Справочник по %'!A:A,0))),ОТЧЕТ!C1515*INDEX('Справочник по %'!C:C,(MATCH(A1515,'Справочник по %'!A:A,0))))/100</f>
        <v>496.1</v>
      </c>
      <c r="E1515" s="29">
        <f>IF(ОТЧЕТ!A1515="SKU3",C1515+ОТЧЕТ!C1515*0.2,C1515+ОТЧЕТ!C1515*0.15)</f>
        <v>518.65</v>
      </c>
      <c r="F1515" s="7" t="s">
        <v>3221</v>
      </c>
      <c r="G1515" s="7">
        <v>326537584</v>
      </c>
      <c r="H1515" s="20" t="s">
        <v>459</v>
      </c>
      <c r="I1515" s="22" t="str">
        <f>INDEX('Справочник Сети'!B:B,(MATCH(G1515,'Справочник Сети'!C:C,0)))</f>
        <v>Планета здоровья</v>
      </c>
      <c r="J1515" s="7" t="s">
        <v>362</v>
      </c>
      <c r="K1515" s="7" t="s">
        <v>544</v>
      </c>
      <c r="L1515" s="7" t="s">
        <v>362</v>
      </c>
      <c r="M1515" s="31">
        <v>45732</v>
      </c>
      <c r="N1515" s="7" t="s">
        <v>3246</v>
      </c>
      <c r="O1515" s="8">
        <v>714</v>
      </c>
      <c r="P1515" s="24">
        <v>6446</v>
      </c>
      <c r="Q1515" s="22">
        <f>IF(COUNTIFS(A$2:A1515,A1515,I$2:I1515,I1515)=1,1,0)</f>
        <v>0</v>
      </c>
      <c r="R1515" s="22">
        <f t="shared" si="23"/>
        <v>6</v>
      </c>
      <c r="S1515" s="33">
        <f>IF(COUNTIF(O$2:O1515,O1515)=1,R1515,0)/2.5</f>
        <v>0</v>
      </c>
    </row>
    <row r="1516" spans="1:19" ht="18" customHeight="1" x14ac:dyDescent="0.25">
      <c r="A1516" s="7" t="s">
        <v>43</v>
      </c>
      <c r="B1516" s="8">
        <v>1</v>
      </c>
      <c r="C1516" s="9">
        <v>460</v>
      </c>
      <c r="D1516" s="29">
        <f>C1516+IF(INDEX('Справочник по %'!B:B,(MATCH(A1516,'Справочник по %'!A:A,0)))="кол-во",B1516*INDEX('Справочник по %'!C:C,(MATCH(A1516,'Справочник по %'!A:A,0))),ОТЧЕТ!C1516*INDEX('Справочник по %'!C:C,(MATCH(A1516,'Справочник по %'!A:A,0))))/100</f>
        <v>506</v>
      </c>
      <c r="E1516" s="29">
        <f>IF(ОТЧЕТ!A1516="SKU3",C1516+ОТЧЕТ!C1516*0.2,C1516+ОТЧЕТ!C1516*0.15)</f>
        <v>529</v>
      </c>
      <c r="F1516" s="7" t="s">
        <v>3221</v>
      </c>
      <c r="G1516" s="7">
        <v>7203036340</v>
      </c>
      <c r="H1516" s="20" t="s">
        <v>1923</v>
      </c>
      <c r="I1516" s="22">
        <f>INDEX('Справочник Сети'!B:B,(MATCH(G1516,'Справочник Сети'!C:C,0)))</f>
        <v>0</v>
      </c>
      <c r="J1516" s="7" t="s">
        <v>106</v>
      </c>
      <c r="K1516" s="7" t="s">
        <v>3247</v>
      </c>
      <c r="L1516" s="7" t="s">
        <v>106</v>
      </c>
      <c r="M1516" s="31">
        <v>45694</v>
      </c>
      <c r="N1516" s="7" t="s">
        <v>3248</v>
      </c>
      <c r="O1516" s="8">
        <v>2515</v>
      </c>
      <c r="P1516" s="24">
        <v>6451</v>
      </c>
      <c r="Q1516" s="22">
        <f>IF(COUNTIFS(A$2:A1516,A1516,I$2:I1516,I1516)=1,1,0)</f>
        <v>0</v>
      </c>
      <c r="R1516" s="22">
        <f t="shared" si="23"/>
        <v>2</v>
      </c>
      <c r="S1516" s="33">
        <f>IF(COUNTIF(O$2:O1516,O1516)=1,R1516,0)/2.5</f>
        <v>0</v>
      </c>
    </row>
    <row r="1517" spans="1:19" ht="18" customHeight="1" x14ac:dyDescent="0.25">
      <c r="A1517" s="7" t="s">
        <v>43</v>
      </c>
      <c r="B1517" s="8">
        <v>1</v>
      </c>
      <c r="C1517" s="9">
        <v>427</v>
      </c>
      <c r="D1517" s="29">
        <f>C1517+IF(INDEX('Справочник по %'!B:B,(MATCH(A1517,'Справочник по %'!A:A,0)))="кол-во",B1517*INDEX('Справочник по %'!C:C,(MATCH(A1517,'Справочник по %'!A:A,0))),ОТЧЕТ!C1517*INDEX('Справочник по %'!C:C,(MATCH(A1517,'Справочник по %'!A:A,0))))/100</f>
        <v>469.7</v>
      </c>
      <c r="E1517" s="29">
        <f>IF(ОТЧЕТ!A1517="SKU3",C1517+ОТЧЕТ!C1517*0.2,C1517+ОТЧЕТ!C1517*0.15)</f>
        <v>491.05</v>
      </c>
      <c r="F1517" s="7" t="s">
        <v>3221</v>
      </c>
      <c r="G1517" s="7">
        <v>7705947629</v>
      </c>
      <c r="H1517" s="20" t="s">
        <v>50</v>
      </c>
      <c r="I1517" s="22" t="str">
        <f>INDEX('Справочник Сети'!B:B,(MATCH(G1517,'Справочник Сети'!C:C,0)))</f>
        <v>36,6</v>
      </c>
      <c r="J1517" s="7" t="s">
        <v>116</v>
      </c>
      <c r="K1517" s="7" t="s">
        <v>3249</v>
      </c>
      <c r="L1517" s="7" t="s">
        <v>116</v>
      </c>
      <c r="M1517" s="31">
        <v>45692</v>
      </c>
      <c r="N1517" s="7" t="s">
        <v>3250</v>
      </c>
      <c r="O1517" s="8">
        <v>3813</v>
      </c>
      <c r="P1517" s="24">
        <v>6452</v>
      </c>
      <c r="Q1517" s="22">
        <f>IF(COUNTIFS(A$2:A1517,A1517,I$2:I1517,I1517)=1,1,0)</f>
        <v>0</v>
      </c>
      <c r="R1517" s="22">
        <f t="shared" si="23"/>
        <v>3</v>
      </c>
      <c r="S1517" s="33">
        <f>IF(COUNTIF(O$2:O1517,O1517)=1,R1517,0)/2.5</f>
        <v>0</v>
      </c>
    </row>
    <row r="1518" spans="1:19" ht="18" customHeight="1" x14ac:dyDescent="0.25">
      <c r="A1518" s="7" t="s">
        <v>43</v>
      </c>
      <c r="B1518" s="8">
        <v>1</v>
      </c>
      <c r="C1518" s="9">
        <v>402</v>
      </c>
      <c r="D1518" s="29">
        <f>C1518+IF(INDEX('Справочник по %'!B:B,(MATCH(A1518,'Справочник по %'!A:A,0)))="кол-во",B1518*INDEX('Справочник по %'!C:C,(MATCH(A1518,'Справочник по %'!A:A,0))),ОТЧЕТ!C1518*INDEX('Справочник по %'!C:C,(MATCH(A1518,'Справочник по %'!A:A,0))))/100</f>
        <v>442.2</v>
      </c>
      <c r="E1518" s="29">
        <f>IF(ОТЧЕТ!A1518="SKU3",C1518+ОТЧЕТ!C1518*0.2,C1518+ОТЧЕТ!C1518*0.15)</f>
        <v>462.3</v>
      </c>
      <c r="F1518" s="7" t="s">
        <v>3221</v>
      </c>
      <c r="G1518" s="7">
        <v>7705947629</v>
      </c>
      <c r="H1518" s="20" t="s">
        <v>50</v>
      </c>
      <c r="I1518" s="22" t="str">
        <f>INDEX('Справочник Сети'!B:B,(MATCH(G1518,'Справочник Сети'!C:C,0)))</f>
        <v>36,6</v>
      </c>
      <c r="J1518" s="7" t="s">
        <v>116</v>
      </c>
      <c r="K1518" s="7" t="s">
        <v>3249</v>
      </c>
      <c r="L1518" s="7" t="s">
        <v>116</v>
      </c>
      <c r="M1518" s="31">
        <v>45692</v>
      </c>
      <c r="N1518" s="7" t="s">
        <v>3250</v>
      </c>
      <c r="O1518" s="8">
        <v>3813</v>
      </c>
      <c r="P1518" s="24">
        <v>6452</v>
      </c>
      <c r="Q1518" s="22">
        <f>IF(COUNTIFS(A$2:A1518,A1518,I$2:I1518,I1518)=1,1,0)</f>
        <v>0</v>
      </c>
      <c r="R1518" s="22">
        <f t="shared" si="23"/>
        <v>3</v>
      </c>
      <c r="S1518" s="33">
        <f>IF(COUNTIF(O$2:O1518,O1518)=1,R1518,0)/2.5</f>
        <v>0</v>
      </c>
    </row>
    <row r="1519" spans="1:19" ht="18" customHeight="1" x14ac:dyDescent="0.25">
      <c r="A1519" s="7" t="s">
        <v>43</v>
      </c>
      <c r="B1519" s="8">
        <v>1</v>
      </c>
      <c r="C1519" s="9">
        <v>488.13</v>
      </c>
      <c r="D1519" s="29">
        <f>C1519+IF(INDEX('Справочник по %'!B:B,(MATCH(A1519,'Справочник по %'!A:A,0)))="кол-во",B1519*INDEX('Справочник по %'!C:C,(MATCH(A1519,'Справочник по %'!A:A,0))),ОТЧЕТ!C1519*INDEX('Справочник по %'!C:C,(MATCH(A1519,'Справочник по %'!A:A,0))))/100</f>
        <v>536.94299999999998</v>
      </c>
      <c r="E1519" s="29">
        <f>IF(ОТЧЕТ!A1519="SKU3",C1519+ОТЧЕТ!C1519*0.2,C1519+ОТЧЕТ!C1519*0.15)</f>
        <v>561.34950000000003</v>
      </c>
      <c r="F1519" s="7" t="s">
        <v>3221</v>
      </c>
      <c r="G1519" s="7">
        <v>2724157659</v>
      </c>
      <c r="H1519" s="20" t="s">
        <v>50</v>
      </c>
      <c r="I1519" s="22">
        <f>INDEX('Справочник Сети'!B:B,(MATCH(G1519,'Справочник Сети'!C:C,0)))</f>
        <v>0</v>
      </c>
      <c r="J1519" s="7" t="s">
        <v>1400</v>
      </c>
      <c r="K1519" s="7" t="s">
        <v>1480</v>
      </c>
      <c r="L1519" s="7" t="s">
        <v>51</v>
      </c>
      <c r="M1519" s="31">
        <v>45725</v>
      </c>
      <c r="N1519" s="7" t="s">
        <v>3251</v>
      </c>
      <c r="O1519" s="8">
        <v>2695</v>
      </c>
      <c r="P1519" s="24">
        <v>6453</v>
      </c>
      <c r="Q1519" s="22">
        <f>IF(COUNTIFS(A$2:A1519,A1519,I$2:I1519,I1519)=1,1,0)</f>
        <v>0</v>
      </c>
      <c r="R1519" s="22">
        <f t="shared" si="23"/>
        <v>4</v>
      </c>
      <c r="S1519" s="33">
        <f>IF(COUNTIF(O$2:O1519,O1519)=1,R1519,0)/2.5</f>
        <v>0</v>
      </c>
    </row>
    <row r="1520" spans="1:19" ht="18" customHeight="1" x14ac:dyDescent="0.25">
      <c r="A1520" s="7" t="s">
        <v>43</v>
      </c>
      <c r="B1520" s="8">
        <v>1</v>
      </c>
      <c r="C1520" s="9">
        <v>502.88</v>
      </c>
      <c r="D1520" s="29">
        <f>C1520+IF(INDEX('Справочник по %'!B:B,(MATCH(A1520,'Справочник по %'!A:A,0)))="кол-во",B1520*INDEX('Справочник по %'!C:C,(MATCH(A1520,'Справочник по %'!A:A,0))),ОТЧЕТ!C1520*INDEX('Справочник по %'!C:C,(MATCH(A1520,'Справочник по %'!A:A,0))))/100</f>
        <v>553.16800000000001</v>
      </c>
      <c r="E1520" s="29">
        <f>IF(ОТЧЕТ!A1520="SKU3",C1520+ОТЧЕТ!C1520*0.2,C1520+ОТЧЕТ!C1520*0.15)</f>
        <v>578.31200000000001</v>
      </c>
      <c r="F1520" s="7" t="s">
        <v>3221</v>
      </c>
      <c r="G1520" s="7">
        <v>2724157659</v>
      </c>
      <c r="H1520" s="20" t="s">
        <v>50</v>
      </c>
      <c r="I1520" s="22">
        <f>INDEX('Справочник Сети'!B:B,(MATCH(G1520,'Справочник Сети'!C:C,0)))</f>
        <v>0</v>
      </c>
      <c r="J1520" s="7" t="s">
        <v>1400</v>
      </c>
      <c r="K1520" s="7" t="s">
        <v>1480</v>
      </c>
      <c r="L1520" s="7" t="s">
        <v>51</v>
      </c>
      <c r="M1520" s="31">
        <v>45725</v>
      </c>
      <c r="N1520" s="7" t="s">
        <v>3251</v>
      </c>
      <c r="O1520" s="8">
        <v>2695</v>
      </c>
      <c r="P1520" s="24">
        <v>6453</v>
      </c>
      <c r="Q1520" s="22">
        <f>IF(COUNTIFS(A$2:A1520,A1520,I$2:I1520,I1520)=1,1,0)</f>
        <v>0</v>
      </c>
      <c r="R1520" s="22">
        <f t="shared" si="23"/>
        <v>4</v>
      </c>
      <c r="S1520" s="33">
        <f>IF(COUNTIF(O$2:O1520,O1520)=1,R1520,0)/2.5</f>
        <v>0</v>
      </c>
    </row>
    <row r="1521" spans="1:19" ht="18" customHeight="1" x14ac:dyDescent="0.25">
      <c r="A1521" s="7" t="s">
        <v>43</v>
      </c>
      <c r="B1521" s="8">
        <v>1</v>
      </c>
      <c r="C1521" s="9">
        <v>595</v>
      </c>
      <c r="D1521" s="29">
        <f>C1521+IF(INDEX('Справочник по %'!B:B,(MATCH(A1521,'Справочник по %'!A:A,0)))="кол-во",B1521*INDEX('Справочник по %'!C:C,(MATCH(A1521,'Справочник по %'!A:A,0))),ОТЧЕТ!C1521*INDEX('Справочник по %'!C:C,(MATCH(A1521,'Справочник по %'!A:A,0))))/100</f>
        <v>654.5</v>
      </c>
      <c r="E1521" s="29">
        <f>IF(ОТЧЕТ!A1521="SKU3",C1521+ОТЧЕТ!C1521*0.2,C1521+ОТЧЕТ!C1521*0.15)</f>
        <v>684.25</v>
      </c>
      <c r="F1521" s="7" t="s">
        <v>3221</v>
      </c>
      <c r="G1521" s="7">
        <v>7719859281</v>
      </c>
      <c r="H1521" s="20" t="s">
        <v>50</v>
      </c>
      <c r="I1521" s="22">
        <f>INDEX('Справочник Сети'!B:B,(MATCH(G1521,'Справочник Сети'!C:C,0)))</f>
        <v>0</v>
      </c>
      <c r="J1521" s="7" t="s">
        <v>168</v>
      </c>
      <c r="K1521" s="7" t="s">
        <v>2068</v>
      </c>
      <c r="L1521" s="7" t="s">
        <v>168</v>
      </c>
      <c r="M1521" s="31">
        <v>45676</v>
      </c>
      <c r="N1521" s="7" t="s">
        <v>3252</v>
      </c>
      <c r="O1521" s="8">
        <v>796</v>
      </c>
      <c r="P1521" s="24">
        <v>6456</v>
      </c>
      <c r="Q1521" s="22">
        <f>IF(COUNTIFS(A$2:A1521,A1521,I$2:I1521,I1521)=1,1,0)</f>
        <v>0</v>
      </c>
      <c r="R1521" s="22">
        <f t="shared" si="23"/>
        <v>5</v>
      </c>
      <c r="S1521" s="33">
        <f>IF(COUNTIF(O$2:O1521,O1521)=1,R1521,0)/2.5</f>
        <v>0</v>
      </c>
    </row>
    <row r="1522" spans="1:19" ht="18" customHeight="1" x14ac:dyDescent="0.25">
      <c r="A1522" s="7" t="s">
        <v>43</v>
      </c>
      <c r="B1522" s="8">
        <v>1</v>
      </c>
      <c r="C1522" s="9">
        <v>410</v>
      </c>
      <c r="D1522" s="29">
        <f>C1522+IF(INDEX('Справочник по %'!B:B,(MATCH(A1522,'Справочник по %'!A:A,0)))="кол-во",B1522*INDEX('Справочник по %'!C:C,(MATCH(A1522,'Справочник по %'!A:A,0))),ОТЧЕТ!C1522*INDEX('Справочник по %'!C:C,(MATCH(A1522,'Справочник по %'!A:A,0))))/100</f>
        <v>451</v>
      </c>
      <c r="E1522" s="29">
        <f>IF(ОТЧЕТ!A1522="SKU3",C1522+ОТЧЕТ!C1522*0.2,C1522+ОТЧЕТ!C1522*0.15)</f>
        <v>471.5</v>
      </c>
      <c r="F1522" s="7" t="s">
        <v>3221</v>
      </c>
      <c r="G1522" s="7">
        <v>7702514360</v>
      </c>
      <c r="H1522" s="20" t="s">
        <v>50</v>
      </c>
      <c r="I1522" s="22" t="str">
        <f>INDEX('Справочник Сети'!B:B,(MATCH(G1522,'Справочник Сети'!C:C,0)))</f>
        <v>Ригла</v>
      </c>
      <c r="J1522" s="7" t="s">
        <v>104</v>
      </c>
      <c r="K1522" s="7" t="s">
        <v>1469</v>
      </c>
      <c r="L1522" s="7" t="s">
        <v>104</v>
      </c>
      <c r="M1522" s="31">
        <v>45693</v>
      </c>
      <c r="N1522" s="7" t="s">
        <v>3253</v>
      </c>
      <c r="O1522" s="8">
        <v>451</v>
      </c>
      <c r="P1522" s="24">
        <v>6461</v>
      </c>
      <c r="Q1522" s="22">
        <f>IF(COUNTIFS(A$2:A1522,A1522,I$2:I1522,I1522)=1,1,0)</f>
        <v>0</v>
      </c>
      <c r="R1522" s="22">
        <f t="shared" si="23"/>
        <v>2</v>
      </c>
      <c r="S1522" s="33">
        <f>IF(COUNTIF(O$2:O1522,O1522)=1,R1522,0)/2.5</f>
        <v>0</v>
      </c>
    </row>
    <row r="1523" spans="1:19" ht="18" customHeight="1" x14ac:dyDescent="0.25">
      <c r="A1523" s="7" t="s">
        <v>37</v>
      </c>
      <c r="B1523" s="8">
        <v>1</v>
      </c>
      <c r="C1523" s="9">
        <v>640</v>
      </c>
      <c r="D1523" s="29">
        <f>C1523+IF(INDEX('Справочник по %'!B:B,(MATCH(A1523,'Справочник по %'!A:A,0)))="кол-во",B1523*INDEX('Справочник по %'!C:C,(MATCH(A1523,'Справочник по %'!A:A,0))),ОТЧЕТ!C1523*INDEX('Справочник по %'!C:C,(MATCH(A1523,'Справочник по %'!A:A,0))))/100</f>
        <v>640.20000000000005</v>
      </c>
      <c r="E1523" s="29">
        <f>IF(ОТЧЕТ!A1523="SKU3",C1523+ОТЧЕТ!C1523*0.2,C1523+ОТЧЕТ!C1523*0.15)</f>
        <v>736</v>
      </c>
      <c r="F1523" s="7" t="s">
        <v>3221</v>
      </c>
      <c r="G1523" s="7">
        <v>910800091897</v>
      </c>
      <c r="H1523" s="20" t="s">
        <v>1046</v>
      </c>
      <c r="I1523" s="22">
        <f>INDEX('Справочник Сети'!B:B,(MATCH(G1523,'Справочник Сети'!C:C,0)))</f>
        <v>0</v>
      </c>
      <c r="J1523" s="7" t="s">
        <v>322</v>
      </c>
      <c r="K1523" s="7" t="s">
        <v>1437</v>
      </c>
      <c r="L1523" s="7" t="s">
        <v>322</v>
      </c>
      <c r="M1523" s="31">
        <v>45658</v>
      </c>
      <c r="N1523" s="7" t="s">
        <v>3254</v>
      </c>
      <c r="O1523" s="8">
        <v>1379</v>
      </c>
      <c r="P1523" s="24">
        <v>6464</v>
      </c>
      <c r="Q1523" s="22">
        <f>IF(COUNTIFS(A$2:A1523,A1523,I$2:I1523,I1523)=1,1,0)</f>
        <v>0</v>
      </c>
      <c r="R1523" s="22">
        <f t="shared" si="23"/>
        <v>2</v>
      </c>
      <c r="S1523" s="33">
        <f>IF(COUNTIF(O$2:O1523,O1523)=1,R1523,0)/2.5</f>
        <v>0.8</v>
      </c>
    </row>
    <row r="1524" spans="1:19" ht="18" customHeight="1" x14ac:dyDescent="0.25">
      <c r="A1524" s="7" t="s">
        <v>43</v>
      </c>
      <c r="B1524" s="8">
        <v>1</v>
      </c>
      <c r="C1524" s="9">
        <v>467</v>
      </c>
      <c r="D1524" s="29">
        <f>C1524+IF(INDEX('Справочник по %'!B:B,(MATCH(A1524,'Справочник по %'!A:A,0)))="кол-во",B1524*INDEX('Справочник по %'!C:C,(MATCH(A1524,'Справочник по %'!A:A,0))),ОТЧЕТ!C1524*INDEX('Справочник по %'!C:C,(MATCH(A1524,'Справочник по %'!A:A,0))))/100</f>
        <v>513.70000000000005</v>
      </c>
      <c r="E1524" s="29">
        <f>IF(ОТЧЕТ!A1524="SKU3",C1524+ОТЧЕТ!C1524*0.2,C1524+ОТЧЕТ!C1524*0.15)</f>
        <v>537.04999999999995</v>
      </c>
      <c r="F1524" s="7" t="s">
        <v>3221</v>
      </c>
      <c r="G1524" s="7">
        <v>6630006059</v>
      </c>
      <c r="H1524" s="20" t="s">
        <v>132</v>
      </c>
      <c r="I1524" s="22" t="str">
        <f>INDEX('Справочник Сети'!B:B,(MATCH(G1524,'Справочник Сети'!C:C,0)))</f>
        <v>Планета здоровья</v>
      </c>
      <c r="J1524" s="7" t="s">
        <v>133</v>
      </c>
      <c r="K1524" s="7" t="s">
        <v>1713</v>
      </c>
      <c r="L1524" s="7" t="s">
        <v>133</v>
      </c>
      <c r="M1524" s="31">
        <v>45695</v>
      </c>
      <c r="N1524" s="7" t="s">
        <v>3255</v>
      </c>
      <c r="O1524" s="8">
        <v>749</v>
      </c>
      <c r="P1524" s="24">
        <v>6465</v>
      </c>
      <c r="Q1524" s="22">
        <f>IF(COUNTIFS(A$2:A1524,A1524,I$2:I1524,I1524)=1,1,0)</f>
        <v>0</v>
      </c>
      <c r="R1524" s="22">
        <f t="shared" si="23"/>
        <v>2</v>
      </c>
      <c r="S1524" s="33">
        <f>IF(COUNTIF(O$2:O1524,O1524)=1,R1524,0)/2.5</f>
        <v>0</v>
      </c>
    </row>
    <row r="1525" spans="1:19" ht="18" customHeight="1" x14ac:dyDescent="0.25">
      <c r="A1525" s="7" t="s">
        <v>43</v>
      </c>
      <c r="B1525" s="8">
        <v>1</v>
      </c>
      <c r="C1525" s="9">
        <v>481</v>
      </c>
      <c r="D1525" s="29">
        <f>C1525+IF(INDEX('Справочник по %'!B:B,(MATCH(A1525,'Справочник по %'!A:A,0)))="кол-во",B1525*INDEX('Справочник по %'!C:C,(MATCH(A1525,'Справочник по %'!A:A,0))),ОТЧЕТ!C1525*INDEX('Справочник по %'!C:C,(MATCH(A1525,'Справочник по %'!A:A,0))))/100</f>
        <v>529.1</v>
      </c>
      <c r="E1525" s="29">
        <f>IF(ОТЧЕТ!A1525="SKU3",C1525+ОТЧЕТ!C1525*0.2,C1525+ОТЧЕТ!C1525*0.15)</f>
        <v>553.15</v>
      </c>
      <c r="F1525" s="7" t="s">
        <v>3221</v>
      </c>
      <c r="G1525" s="7">
        <v>2543009225</v>
      </c>
      <c r="H1525" s="20" t="s">
        <v>1911</v>
      </c>
      <c r="I1525" s="22" t="str">
        <f>INDEX('Справочник Сети'!B:B,(MATCH(G1525,'Справочник Сети'!C:C,0)))</f>
        <v>Нео-фарм</v>
      </c>
      <c r="J1525" s="7" t="s">
        <v>46</v>
      </c>
      <c r="K1525" s="7" t="s">
        <v>663</v>
      </c>
      <c r="L1525" s="7" t="s">
        <v>46</v>
      </c>
      <c r="M1525" s="31">
        <v>45726</v>
      </c>
      <c r="N1525" s="7" t="s">
        <v>3256</v>
      </c>
      <c r="O1525" s="8">
        <v>1222</v>
      </c>
      <c r="P1525" s="24">
        <v>6473</v>
      </c>
      <c r="Q1525" s="22">
        <f>IF(COUNTIFS(A$2:A1525,A1525,I$2:I1525,I1525)=1,1,0)</f>
        <v>0</v>
      </c>
      <c r="R1525" s="22">
        <f t="shared" si="23"/>
        <v>1</v>
      </c>
      <c r="S1525" s="33">
        <f>IF(COUNTIF(O$2:O1525,O1525)=1,R1525,0)/2.5</f>
        <v>0.4</v>
      </c>
    </row>
    <row r="1526" spans="1:19" ht="18" customHeight="1" x14ac:dyDescent="0.25">
      <c r="A1526" s="7" t="s">
        <v>43</v>
      </c>
      <c r="B1526" s="8">
        <v>1</v>
      </c>
      <c r="C1526" s="9">
        <v>399</v>
      </c>
      <c r="D1526" s="29">
        <f>C1526+IF(INDEX('Справочник по %'!B:B,(MATCH(A1526,'Справочник по %'!A:A,0)))="кол-во",B1526*INDEX('Справочник по %'!C:C,(MATCH(A1526,'Справочник по %'!A:A,0))),ОТЧЕТ!C1526*INDEX('Справочник по %'!C:C,(MATCH(A1526,'Справочник по %'!A:A,0))))/100</f>
        <v>438.9</v>
      </c>
      <c r="E1526" s="29">
        <f>IF(ОТЧЕТ!A1526="SKU3",C1526+ОТЧЕТ!C1526*0.2,C1526+ОТЧЕТ!C1526*0.15)</f>
        <v>458.85</v>
      </c>
      <c r="F1526" s="7" t="s">
        <v>3221</v>
      </c>
      <c r="G1526" s="7">
        <v>7716997445</v>
      </c>
      <c r="H1526" s="20" t="s">
        <v>167</v>
      </c>
      <c r="I1526" s="22" t="str">
        <f>INDEX('Справочник Сети'!B:B,(MATCH(G1526,'Справочник Сети'!C:C,0)))</f>
        <v>Столички</v>
      </c>
      <c r="J1526" s="7" t="s">
        <v>168</v>
      </c>
      <c r="K1526" s="7" t="s">
        <v>1529</v>
      </c>
      <c r="L1526" s="7" t="s">
        <v>168</v>
      </c>
      <c r="M1526" s="31">
        <v>45676</v>
      </c>
      <c r="N1526" s="7" t="s">
        <v>3257</v>
      </c>
      <c r="O1526" s="8">
        <v>133</v>
      </c>
      <c r="P1526" s="24">
        <v>6475</v>
      </c>
      <c r="Q1526" s="22">
        <f>IF(COUNTIFS(A$2:A1526,A1526,I$2:I1526,I1526)=1,1,0)</f>
        <v>0</v>
      </c>
      <c r="R1526" s="22">
        <f t="shared" si="23"/>
        <v>14</v>
      </c>
      <c r="S1526" s="33">
        <f>IF(COUNTIF(O$2:O1526,O1526)=1,R1526,0)/2.5</f>
        <v>0</v>
      </c>
    </row>
    <row r="1527" spans="1:19" ht="18" customHeight="1" x14ac:dyDescent="0.25">
      <c r="A1527" s="7" t="s">
        <v>43</v>
      </c>
      <c r="B1527" s="8">
        <v>1</v>
      </c>
      <c r="C1527" s="9">
        <v>417</v>
      </c>
      <c r="D1527" s="29">
        <f>C1527+IF(INDEX('Справочник по %'!B:B,(MATCH(A1527,'Справочник по %'!A:A,0)))="кол-во",B1527*INDEX('Справочник по %'!C:C,(MATCH(A1527,'Справочник по %'!A:A,0))),ОТЧЕТ!C1527*INDEX('Справочник по %'!C:C,(MATCH(A1527,'Справочник по %'!A:A,0))))/100</f>
        <v>458.7</v>
      </c>
      <c r="E1527" s="29">
        <f>IF(ОТЧЕТ!A1527="SKU3",C1527+ОТЧЕТ!C1527*0.2,C1527+ОТЧЕТ!C1527*0.15)</f>
        <v>479.55</v>
      </c>
      <c r="F1527" s="7" t="s">
        <v>3221</v>
      </c>
      <c r="G1527" s="7">
        <v>6722022100</v>
      </c>
      <c r="H1527" s="20" t="s">
        <v>50</v>
      </c>
      <c r="I1527" s="22">
        <f>INDEX('Справочник Сети'!B:B,(MATCH(G1527,'Справочник Сети'!C:C,0)))</f>
        <v>0</v>
      </c>
      <c r="J1527" s="7" t="s">
        <v>106</v>
      </c>
      <c r="K1527" s="7" t="s">
        <v>517</v>
      </c>
      <c r="L1527" s="7" t="s">
        <v>106</v>
      </c>
      <c r="M1527" s="31">
        <v>45694</v>
      </c>
      <c r="N1527" s="7" t="s">
        <v>3258</v>
      </c>
      <c r="O1527" s="8">
        <v>1700</v>
      </c>
      <c r="P1527" s="24">
        <v>6476</v>
      </c>
      <c r="Q1527" s="22">
        <f>IF(COUNTIFS(A$2:A1527,A1527,I$2:I1527,I1527)=1,1,0)</f>
        <v>0</v>
      </c>
      <c r="R1527" s="22">
        <f t="shared" si="23"/>
        <v>5</v>
      </c>
      <c r="S1527" s="33">
        <f>IF(COUNTIF(O$2:O1527,O1527)=1,R1527,0)/2.5</f>
        <v>0</v>
      </c>
    </row>
    <row r="1528" spans="1:19" ht="18" customHeight="1" x14ac:dyDescent="0.25">
      <c r="A1528" s="7" t="s">
        <v>43</v>
      </c>
      <c r="B1528" s="8">
        <v>1</v>
      </c>
      <c r="C1528" s="9">
        <v>400.9</v>
      </c>
      <c r="D1528" s="29">
        <f>C1528+IF(INDEX('Справочник по %'!B:B,(MATCH(A1528,'Справочник по %'!A:A,0)))="кол-во",B1528*INDEX('Справочник по %'!C:C,(MATCH(A1528,'Справочник по %'!A:A,0))),ОТЧЕТ!C1528*INDEX('Справочник по %'!C:C,(MATCH(A1528,'Справочник по %'!A:A,0))))/100</f>
        <v>440.99</v>
      </c>
      <c r="E1528" s="29">
        <f>IF(ОТЧЕТ!A1528="SKU3",C1528+ОТЧЕТ!C1528*0.2,C1528+ОТЧЕТ!C1528*0.15)</f>
        <v>461.03499999999997</v>
      </c>
      <c r="F1528" s="7" t="s">
        <v>3221</v>
      </c>
      <c r="G1528" s="7">
        <v>5507102175</v>
      </c>
      <c r="H1528" s="20" t="s">
        <v>50</v>
      </c>
      <c r="I1528" s="22" t="str">
        <f>INDEX('Справочник Сети'!B:B,(MATCH(G1528,'Справочник Сети'!C:C,0)))</f>
        <v>Столички</v>
      </c>
      <c r="J1528" s="7" t="s">
        <v>255</v>
      </c>
      <c r="K1528" s="7" t="s">
        <v>379</v>
      </c>
      <c r="L1528" s="7" t="s">
        <v>255</v>
      </c>
      <c r="M1528" s="31">
        <v>45713</v>
      </c>
      <c r="N1528" s="7" t="s">
        <v>3259</v>
      </c>
      <c r="O1528" s="8">
        <v>1911</v>
      </c>
      <c r="P1528" s="24">
        <v>6478</v>
      </c>
      <c r="Q1528" s="22">
        <f>IF(COUNTIFS(A$2:A1528,A1528,I$2:I1528,I1528)=1,1,0)</f>
        <v>0</v>
      </c>
      <c r="R1528" s="22">
        <f t="shared" si="23"/>
        <v>2</v>
      </c>
      <c r="S1528" s="33">
        <f>IF(COUNTIF(O$2:O1528,O1528)=1,R1528,0)/2.5</f>
        <v>0.8</v>
      </c>
    </row>
    <row r="1529" spans="1:19" ht="18" customHeight="1" x14ac:dyDescent="0.25">
      <c r="A1529" s="7" t="s">
        <v>37</v>
      </c>
      <c r="B1529" s="8">
        <v>1</v>
      </c>
      <c r="C1529" s="9">
        <v>569</v>
      </c>
      <c r="D1529" s="29">
        <f>C1529+IF(INDEX('Справочник по %'!B:B,(MATCH(A1529,'Справочник по %'!A:A,0)))="кол-во",B1529*INDEX('Справочник по %'!C:C,(MATCH(A1529,'Справочник по %'!A:A,0))),ОТЧЕТ!C1529*INDEX('Справочник по %'!C:C,(MATCH(A1529,'Справочник по %'!A:A,0))))/100</f>
        <v>569.20000000000005</v>
      </c>
      <c r="E1529" s="29">
        <f>IF(ОТЧЕТ!A1529="SKU3",C1529+ОТЧЕТ!C1529*0.2,C1529+ОТЧЕТ!C1529*0.15)</f>
        <v>654.35</v>
      </c>
      <c r="F1529" s="7" t="s">
        <v>3221</v>
      </c>
      <c r="G1529" s="7">
        <v>7732121736</v>
      </c>
      <c r="H1529" s="20" t="s">
        <v>3260</v>
      </c>
      <c r="I1529" s="22" t="str">
        <f>INDEX('Справочник Сети'!B:B,(MATCH(G1529,'Справочник Сети'!C:C,0)))</f>
        <v>Планета здоровья</v>
      </c>
      <c r="J1529" s="7" t="s">
        <v>149</v>
      </c>
      <c r="K1529" s="7" t="s">
        <v>453</v>
      </c>
      <c r="L1529" s="7" t="s">
        <v>149</v>
      </c>
      <c r="M1529" s="31">
        <v>45673</v>
      </c>
      <c r="N1529" s="7" t="s">
        <v>3261</v>
      </c>
      <c r="O1529" s="8">
        <v>2551</v>
      </c>
      <c r="P1529" s="24">
        <v>6482</v>
      </c>
      <c r="Q1529" s="22">
        <f>IF(COUNTIFS(A$2:A1529,A1529,I$2:I1529,I1529)=1,1,0)</f>
        <v>0</v>
      </c>
      <c r="R1529" s="22">
        <f t="shared" si="23"/>
        <v>2</v>
      </c>
      <c r="S1529" s="33">
        <f>IF(COUNTIF(O$2:O1529,O1529)=1,R1529,0)/2.5</f>
        <v>0.8</v>
      </c>
    </row>
    <row r="1530" spans="1:19" ht="18" customHeight="1" x14ac:dyDescent="0.25">
      <c r="A1530" s="7" t="s">
        <v>43</v>
      </c>
      <c r="B1530" s="8">
        <v>1</v>
      </c>
      <c r="C1530" s="9">
        <v>336</v>
      </c>
      <c r="D1530" s="29">
        <f>C1530+IF(INDEX('Справочник по %'!B:B,(MATCH(A1530,'Справочник по %'!A:A,0)))="кол-во",B1530*INDEX('Справочник по %'!C:C,(MATCH(A1530,'Справочник по %'!A:A,0))),ОТЧЕТ!C1530*INDEX('Справочник по %'!C:C,(MATCH(A1530,'Справочник по %'!A:A,0))))/100</f>
        <v>369.6</v>
      </c>
      <c r="E1530" s="29">
        <f>IF(ОТЧЕТ!A1530="SKU3",C1530+ОТЧЕТ!C1530*0.2,C1530+ОТЧЕТ!C1530*0.15)</f>
        <v>386.4</v>
      </c>
      <c r="F1530" s="7" t="s">
        <v>3221</v>
      </c>
      <c r="G1530" s="7">
        <v>9106000335</v>
      </c>
      <c r="H1530" s="20" t="s">
        <v>50</v>
      </c>
      <c r="I1530" s="22">
        <f>INDEX('Справочник Сети'!B:B,(MATCH(G1530,'Справочник Сети'!C:C,0)))</f>
        <v>0</v>
      </c>
      <c r="J1530" s="7" t="s">
        <v>3262</v>
      </c>
      <c r="K1530" s="7" t="s">
        <v>1048</v>
      </c>
      <c r="L1530" s="7" t="s">
        <v>3262</v>
      </c>
      <c r="M1530" s="31">
        <v>45667</v>
      </c>
      <c r="N1530" s="7" t="s">
        <v>3263</v>
      </c>
      <c r="O1530" s="8">
        <v>389</v>
      </c>
      <c r="P1530" s="24">
        <v>6488</v>
      </c>
      <c r="Q1530" s="22">
        <f>IF(COUNTIFS(A$2:A1530,A1530,I$2:I1530,I1530)=1,1,0)</f>
        <v>0</v>
      </c>
      <c r="R1530" s="22">
        <f t="shared" si="23"/>
        <v>1</v>
      </c>
      <c r="S1530" s="33">
        <f>IF(COUNTIF(O$2:O1530,O1530)=1,R1530,0)/2.5</f>
        <v>0.4</v>
      </c>
    </row>
    <row r="1531" spans="1:19" ht="18" customHeight="1" x14ac:dyDescent="0.25">
      <c r="A1531" s="7" t="s">
        <v>43</v>
      </c>
      <c r="B1531" s="8">
        <v>1</v>
      </c>
      <c r="C1531" s="9">
        <v>464</v>
      </c>
      <c r="D1531" s="29">
        <f>C1531+IF(INDEX('Справочник по %'!B:B,(MATCH(A1531,'Справочник по %'!A:A,0)))="кол-во",B1531*INDEX('Справочник по %'!C:C,(MATCH(A1531,'Справочник по %'!A:A,0))),ОТЧЕТ!C1531*INDEX('Справочник по %'!C:C,(MATCH(A1531,'Справочник по %'!A:A,0))))/100</f>
        <v>510.4</v>
      </c>
      <c r="E1531" s="29">
        <f>IF(ОТЧЕТ!A1531="SKU3",C1531+ОТЧЕТ!C1531*0.2,C1531+ОТЧЕТ!C1531*0.15)</f>
        <v>533.6</v>
      </c>
      <c r="F1531" s="7" t="s">
        <v>3264</v>
      </c>
      <c r="G1531" s="7">
        <v>7726423062</v>
      </c>
      <c r="H1531" s="20" t="s">
        <v>50</v>
      </c>
      <c r="I1531" s="22" t="str">
        <f>INDEX('Справочник Сети'!B:B,(MATCH(G1531,'Справочник Сети'!C:C,0)))</f>
        <v>Ригла</v>
      </c>
      <c r="J1531" s="7" t="s">
        <v>185</v>
      </c>
      <c r="K1531" s="7" t="s">
        <v>591</v>
      </c>
      <c r="L1531" s="7" t="s">
        <v>185</v>
      </c>
      <c r="M1531" s="31">
        <v>45675</v>
      </c>
      <c r="N1531" s="7" t="s">
        <v>3265</v>
      </c>
      <c r="O1531" s="8">
        <v>1533</v>
      </c>
      <c r="P1531" s="24">
        <v>6494</v>
      </c>
      <c r="Q1531" s="22">
        <f>IF(COUNTIFS(A$2:A1531,A1531,I$2:I1531,I1531)=1,1,0)</f>
        <v>0</v>
      </c>
      <c r="R1531" s="22">
        <f t="shared" si="23"/>
        <v>1</v>
      </c>
      <c r="S1531" s="33">
        <f>IF(COUNTIF(O$2:O1531,O1531)=1,R1531,0)/2.5</f>
        <v>0.4</v>
      </c>
    </row>
    <row r="1532" spans="1:19" ht="18" customHeight="1" x14ac:dyDescent="0.25">
      <c r="A1532" s="7" t="s">
        <v>43</v>
      </c>
      <c r="B1532" s="8">
        <v>1</v>
      </c>
      <c r="C1532" s="9">
        <v>495</v>
      </c>
      <c r="D1532" s="29">
        <f>C1532+IF(INDEX('Справочник по %'!B:B,(MATCH(A1532,'Справочник по %'!A:A,0)))="кол-во",B1532*INDEX('Справочник по %'!C:C,(MATCH(A1532,'Справочник по %'!A:A,0))),ОТЧЕТ!C1532*INDEX('Справочник по %'!C:C,(MATCH(A1532,'Справочник по %'!A:A,0))))/100</f>
        <v>544.5</v>
      </c>
      <c r="E1532" s="29">
        <f>IF(ОТЧЕТ!A1532="SKU3",C1532+ОТЧЕТ!C1532*0.2,C1532+ОТЧЕТ!C1532*0.15)</f>
        <v>569.25</v>
      </c>
      <c r="F1532" s="7" t="s">
        <v>3264</v>
      </c>
      <c r="G1532" s="7">
        <v>3665820714</v>
      </c>
      <c r="H1532" s="20" t="s">
        <v>91</v>
      </c>
      <c r="I1532" s="22" t="str">
        <f>INDEX('Справочник Сети'!B:B,(MATCH(G1532,'Справочник Сети'!C:C,0)))</f>
        <v>Нео-фарм</v>
      </c>
      <c r="J1532" s="7" t="s">
        <v>65</v>
      </c>
      <c r="K1532" s="7" t="s">
        <v>508</v>
      </c>
      <c r="L1532" s="7" t="s">
        <v>65</v>
      </c>
      <c r="M1532" s="31">
        <v>45717</v>
      </c>
      <c r="N1532" s="7" t="s">
        <v>3266</v>
      </c>
      <c r="O1532" s="8">
        <v>2165</v>
      </c>
      <c r="P1532" s="24">
        <v>6497</v>
      </c>
      <c r="Q1532" s="22">
        <f>IF(COUNTIFS(A$2:A1532,A1532,I$2:I1532,I1532)=1,1,0)</f>
        <v>0</v>
      </c>
      <c r="R1532" s="22">
        <f t="shared" si="23"/>
        <v>4</v>
      </c>
      <c r="S1532" s="33">
        <f>IF(COUNTIF(O$2:O1532,O1532)=1,R1532,0)/2.5</f>
        <v>0</v>
      </c>
    </row>
    <row r="1533" spans="1:19" ht="18" customHeight="1" x14ac:dyDescent="0.25">
      <c r="A1533" s="7" t="s">
        <v>43</v>
      </c>
      <c r="B1533" s="8">
        <v>1</v>
      </c>
      <c r="C1533" s="9">
        <v>478</v>
      </c>
      <c r="D1533" s="29">
        <f>C1533+IF(INDEX('Справочник по %'!B:B,(MATCH(A1533,'Справочник по %'!A:A,0)))="кол-во",B1533*INDEX('Справочник по %'!C:C,(MATCH(A1533,'Справочник по %'!A:A,0))),ОТЧЕТ!C1533*INDEX('Справочник по %'!C:C,(MATCH(A1533,'Справочник по %'!A:A,0))))/100</f>
        <v>525.79999999999995</v>
      </c>
      <c r="E1533" s="29">
        <f>IF(ОТЧЕТ!A1533="SKU3",C1533+ОТЧЕТ!C1533*0.2,C1533+ОТЧЕТ!C1533*0.15)</f>
        <v>549.70000000000005</v>
      </c>
      <c r="F1533" s="7" t="s">
        <v>3264</v>
      </c>
      <c r="G1533" s="7">
        <v>3664114730</v>
      </c>
      <c r="H1533" s="20" t="s">
        <v>2853</v>
      </c>
      <c r="I1533" s="22">
        <f>INDEX('Справочник Сети'!B:B,(MATCH(G1533,'Справочник Сети'!C:C,0)))</f>
        <v>0</v>
      </c>
      <c r="J1533" s="7" t="s">
        <v>65</v>
      </c>
      <c r="K1533" s="7" t="s">
        <v>3033</v>
      </c>
      <c r="L1533" s="7" t="s">
        <v>65</v>
      </c>
      <c r="M1533" s="31">
        <v>45717</v>
      </c>
      <c r="N1533" s="7" t="s">
        <v>3267</v>
      </c>
      <c r="O1533" s="8">
        <v>1551</v>
      </c>
      <c r="P1533" s="24">
        <v>6499</v>
      </c>
      <c r="Q1533" s="22">
        <f>IF(COUNTIFS(A$2:A1533,A1533,I$2:I1533,I1533)=1,1,0)</f>
        <v>0</v>
      </c>
      <c r="R1533" s="22">
        <f t="shared" si="23"/>
        <v>2</v>
      </c>
      <c r="S1533" s="33">
        <f>IF(COUNTIF(O$2:O1533,O1533)=1,R1533,0)/2.5</f>
        <v>0</v>
      </c>
    </row>
    <row r="1534" spans="1:19" ht="18" customHeight="1" x14ac:dyDescent="0.25">
      <c r="A1534" s="7" t="s">
        <v>43</v>
      </c>
      <c r="B1534" s="8">
        <v>1</v>
      </c>
      <c r="C1534" s="9">
        <v>379</v>
      </c>
      <c r="D1534" s="29">
        <f>C1534+IF(INDEX('Справочник по %'!B:B,(MATCH(A1534,'Справочник по %'!A:A,0)))="кол-во",B1534*INDEX('Справочник по %'!C:C,(MATCH(A1534,'Справочник по %'!A:A,0))),ОТЧЕТ!C1534*INDEX('Справочник по %'!C:C,(MATCH(A1534,'Справочник по %'!A:A,0))))/100</f>
        <v>416.9</v>
      </c>
      <c r="E1534" s="29">
        <f>IF(ОТЧЕТ!A1534="SKU3",C1534+ОТЧЕТ!C1534*0.2,C1534+ОТЧЕТ!C1534*0.15)</f>
        <v>435.85</v>
      </c>
      <c r="F1534" s="7" t="s">
        <v>3264</v>
      </c>
      <c r="G1534" s="7">
        <v>7732121736</v>
      </c>
      <c r="H1534" s="20" t="s">
        <v>341</v>
      </c>
      <c r="I1534" s="22" t="str">
        <f>INDEX('Справочник Сети'!B:B,(MATCH(G1534,'Справочник Сети'!C:C,0)))</f>
        <v>Планета здоровья</v>
      </c>
      <c r="J1534" s="7" t="s">
        <v>149</v>
      </c>
      <c r="K1534" s="7" t="s">
        <v>627</v>
      </c>
      <c r="L1534" s="7" t="s">
        <v>149</v>
      </c>
      <c r="M1534" s="31">
        <v>45673</v>
      </c>
      <c r="N1534" s="7" t="s">
        <v>628</v>
      </c>
      <c r="O1534" s="8">
        <v>2131</v>
      </c>
      <c r="P1534" s="24">
        <v>6500</v>
      </c>
      <c r="Q1534" s="22">
        <f>IF(COUNTIFS(A$2:A1534,A1534,I$2:I1534,I1534)=1,1,0)</f>
        <v>0</v>
      </c>
      <c r="R1534" s="22">
        <f t="shared" si="23"/>
        <v>5</v>
      </c>
      <c r="S1534" s="33">
        <f>IF(COUNTIF(O$2:O1534,O1534)=1,R1534,0)/2.5</f>
        <v>0</v>
      </c>
    </row>
    <row r="1535" spans="1:19" ht="18" customHeight="1" x14ac:dyDescent="0.25">
      <c r="A1535" s="7" t="s">
        <v>43</v>
      </c>
      <c r="B1535" s="8">
        <v>1</v>
      </c>
      <c r="C1535" s="9">
        <v>437</v>
      </c>
      <c r="D1535" s="29">
        <f>C1535+IF(INDEX('Справочник по %'!B:B,(MATCH(A1535,'Справочник по %'!A:A,0)))="кол-во",B1535*INDEX('Справочник по %'!C:C,(MATCH(A1535,'Справочник по %'!A:A,0))),ОТЧЕТ!C1535*INDEX('Справочник по %'!C:C,(MATCH(A1535,'Справочник по %'!A:A,0))))/100</f>
        <v>480.7</v>
      </c>
      <c r="E1535" s="29">
        <f>IF(ОТЧЕТ!A1535="SKU3",C1535+ОТЧЕТ!C1535*0.2,C1535+ОТЧЕТ!C1535*0.15)</f>
        <v>502.55</v>
      </c>
      <c r="F1535" s="7" t="s">
        <v>3264</v>
      </c>
      <c r="G1535" s="7">
        <v>381600345706</v>
      </c>
      <c r="H1535" s="20" t="s">
        <v>2346</v>
      </c>
      <c r="I1535" s="22" t="str">
        <f>INDEX('Справочник Сети'!B:B,(MATCH(G1535,'Справочник Сети'!C:C,0)))</f>
        <v>Нео-фарм</v>
      </c>
      <c r="J1535" s="7" t="s">
        <v>110</v>
      </c>
      <c r="K1535" s="7" t="s">
        <v>2459</v>
      </c>
      <c r="L1535" s="7" t="s">
        <v>110</v>
      </c>
      <c r="M1535" s="31">
        <v>45660</v>
      </c>
      <c r="N1535" s="7" t="s">
        <v>3268</v>
      </c>
      <c r="O1535" s="8">
        <v>3589</v>
      </c>
      <c r="P1535" s="24">
        <v>6505</v>
      </c>
      <c r="Q1535" s="22">
        <f>IF(COUNTIFS(A$2:A1535,A1535,I$2:I1535,I1535)=1,1,0)</f>
        <v>0</v>
      </c>
      <c r="R1535" s="22">
        <f t="shared" si="23"/>
        <v>3</v>
      </c>
      <c r="S1535" s="33">
        <f>IF(COUNTIF(O$2:O1535,O1535)=1,R1535,0)/2.5</f>
        <v>0</v>
      </c>
    </row>
    <row r="1536" spans="1:19" ht="18" customHeight="1" x14ac:dyDescent="0.25">
      <c r="A1536" s="7" t="s">
        <v>43</v>
      </c>
      <c r="B1536" s="8">
        <v>1</v>
      </c>
      <c r="C1536" s="9">
        <v>360</v>
      </c>
      <c r="D1536" s="29">
        <f>C1536+IF(INDEX('Справочник по %'!B:B,(MATCH(A1536,'Справочник по %'!A:A,0)))="кол-во",B1536*INDEX('Справочник по %'!C:C,(MATCH(A1536,'Справочник по %'!A:A,0))),ОТЧЕТ!C1536*INDEX('Справочник по %'!C:C,(MATCH(A1536,'Справочник по %'!A:A,0))))/100</f>
        <v>396</v>
      </c>
      <c r="E1536" s="29">
        <f>IF(ОТЧЕТ!A1536="SKU3",C1536+ОТЧЕТ!C1536*0.2,C1536+ОТЧЕТ!C1536*0.15)</f>
        <v>414</v>
      </c>
      <c r="F1536" s="7" t="s">
        <v>3264</v>
      </c>
      <c r="G1536" s="7">
        <v>744708719394</v>
      </c>
      <c r="H1536" s="20" t="s">
        <v>50</v>
      </c>
      <c r="I1536" s="22">
        <f>INDEX('Справочник Сети'!B:B,(MATCH(G1536,'Справочник Сети'!C:C,0)))</f>
        <v>0</v>
      </c>
      <c r="J1536" s="7" t="s">
        <v>322</v>
      </c>
      <c r="K1536" s="7" t="s">
        <v>71</v>
      </c>
      <c r="L1536" s="7" t="s">
        <v>322</v>
      </c>
      <c r="M1536" s="31">
        <v>45658</v>
      </c>
      <c r="N1536" s="7" t="s">
        <v>3269</v>
      </c>
      <c r="O1536" s="8">
        <v>2757</v>
      </c>
      <c r="P1536" s="24">
        <v>6507</v>
      </c>
      <c r="Q1536" s="22">
        <f>IF(COUNTIFS(A$2:A1536,A1536,I$2:I1536,I1536)=1,1,0)</f>
        <v>0</v>
      </c>
      <c r="R1536" s="22">
        <f t="shared" si="23"/>
        <v>3</v>
      </c>
      <c r="S1536" s="33">
        <f>IF(COUNTIF(O$2:O1536,O1536)=1,R1536,0)/2.5</f>
        <v>0</v>
      </c>
    </row>
    <row r="1537" spans="1:19" ht="18" customHeight="1" x14ac:dyDescent="0.25">
      <c r="A1537" s="7" t="s">
        <v>43</v>
      </c>
      <c r="B1537" s="8">
        <v>1</v>
      </c>
      <c r="C1537" s="9">
        <v>443</v>
      </c>
      <c r="D1537" s="29">
        <f>C1537+IF(INDEX('Справочник по %'!B:B,(MATCH(A1537,'Справочник по %'!A:A,0)))="кол-во",B1537*INDEX('Справочник по %'!C:C,(MATCH(A1537,'Справочник по %'!A:A,0))),ОТЧЕТ!C1537*INDEX('Справочник по %'!C:C,(MATCH(A1537,'Справочник по %'!A:A,0))))/100</f>
        <v>487.3</v>
      </c>
      <c r="E1537" s="29">
        <f>IF(ОТЧЕТ!A1537="SKU3",C1537+ОТЧЕТ!C1537*0.2,C1537+ОТЧЕТ!C1537*0.15)</f>
        <v>509.45</v>
      </c>
      <c r="F1537" s="7" t="s">
        <v>3264</v>
      </c>
      <c r="G1537" s="7">
        <v>5902862610</v>
      </c>
      <c r="H1537" s="20" t="s">
        <v>658</v>
      </c>
      <c r="I1537" s="22">
        <f>INDEX('Справочник Сети'!B:B,(MATCH(G1537,'Справочник Сети'!C:C,0)))</f>
        <v>0</v>
      </c>
      <c r="J1537" s="7" t="s">
        <v>40</v>
      </c>
      <c r="K1537" s="7" t="s">
        <v>1765</v>
      </c>
      <c r="L1537" s="7" t="s">
        <v>40</v>
      </c>
      <c r="M1537" s="31">
        <v>45712</v>
      </c>
      <c r="N1537" s="7" t="s">
        <v>3270</v>
      </c>
      <c r="O1537" s="8">
        <v>1281</v>
      </c>
      <c r="P1537" s="24">
        <v>6508</v>
      </c>
      <c r="Q1537" s="22">
        <f>IF(COUNTIFS(A$2:A1537,A1537,I$2:I1537,I1537)=1,1,0)</f>
        <v>0</v>
      </c>
      <c r="R1537" s="22">
        <f t="shared" si="23"/>
        <v>1</v>
      </c>
      <c r="S1537" s="33">
        <f>IF(COUNTIF(O$2:O1537,O1537)=1,R1537,0)/2.5</f>
        <v>0.4</v>
      </c>
    </row>
    <row r="1538" spans="1:19" ht="18" customHeight="1" x14ac:dyDescent="0.25">
      <c r="A1538" s="7" t="s">
        <v>37</v>
      </c>
      <c r="B1538" s="8">
        <v>1</v>
      </c>
      <c r="C1538" s="9">
        <v>565</v>
      </c>
      <c r="D1538" s="29">
        <f>C1538+IF(INDEX('Справочник по %'!B:B,(MATCH(A1538,'Справочник по %'!A:A,0)))="кол-во",B1538*INDEX('Справочник по %'!C:C,(MATCH(A1538,'Справочник по %'!A:A,0))),ОТЧЕТ!C1538*INDEX('Справочник по %'!C:C,(MATCH(A1538,'Справочник по %'!A:A,0))))/100</f>
        <v>565.20000000000005</v>
      </c>
      <c r="E1538" s="29">
        <f>IF(ОТЧЕТ!A1538="SKU3",C1538+ОТЧЕТ!C1538*0.2,C1538+ОТЧЕТ!C1538*0.15)</f>
        <v>649.75</v>
      </c>
      <c r="F1538" s="7" t="s">
        <v>3264</v>
      </c>
      <c r="G1538" s="7">
        <v>7204146152</v>
      </c>
      <c r="H1538" s="20" t="s">
        <v>103</v>
      </c>
      <c r="I1538" s="22" t="str">
        <f>INDEX('Справочник Сети'!B:B,(MATCH(G1538,'Справочник Сети'!C:C,0)))</f>
        <v>36,6</v>
      </c>
      <c r="J1538" s="7" t="s">
        <v>104</v>
      </c>
      <c r="K1538" s="7" t="s">
        <v>3271</v>
      </c>
      <c r="L1538" s="7" t="s">
        <v>106</v>
      </c>
      <c r="M1538" s="31">
        <v>45694</v>
      </c>
      <c r="N1538" s="7" t="s">
        <v>3272</v>
      </c>
      <c r="O1538" s="8">
        <v>1683</v>
      </c>
      <c r="P1538" s="24">
        <v>6509</v>
      </c>
      <c r="Q1538" s="22">
        <f>IF(COUNTIFS(A$2:A1538,A1538,I$2:I1538,I1538)=1,1,0)</f>
        <v>0</v>
      </c>
      <c r="R1538" s="22">
        <f t="shared" si="23"/>
        <v>9</v>
      </c>
      <c r="S1538" s="33">
        <f>IF(COUNTIF(O$2:O1538,O1538)=1,R1538,0)/2.5</f>
        <v>0</v>
      </c>
    </row>
    <row r="1539" spans="1:19" ht="18" customHeight="1" x14ac:dyDescent="0.25">
      <c r="A1539" s="7" t="s">
        <v>43</v>
      </c>
      <c r="B1539" s="8">
        <v>1</v>
      </c>
      <c r="C1539" s="9">
        <v>415.5</v>
      </c>
      <c r="D1539" s="29">
        <f>C1539+IF(INDEX('Справочник по %'!B:B,(MATCH(A1539,'Справочник по %'!A:A,0)))="кол-во",B1539*INDEX('Справочник по %'!C:C,(MATCH(A1539,'Справочник по %'!A:A,0))),ОТЧЕТ!C1539*INDEX('Справочник по %'!C:C,(MATCH(A1539,'Справочник по %'!A:A,0))))/100</f>
        <v>457.05</v>
      </c>
      <c r="E1539" s="29">
        <f>IF(ОТЧЕТ!A1539="SKU3",C1539+ОТЧЕТ!C1539*0.2,C1539+ОТЧЕТ!C1539*0.15)</f>
        <v>477.82499999999999</v>
      </c>
      <c r="F1539" s="7" t="s">
        <v>3264</v>
      </c>
      <c r="G1539" s="7">
        <v>5501207372</v>
      </c>
      <c r="H1539" s="20" t="s">
        <v>50</v>
      </c>
      <c r="I1539" s="22" t="str">
        <f>INDEX('Справочник Сети'!B:B,(MATCH(G1539,'Справочник Сети'!C:C,0)))</f>
        <v>Ригла</v>
      </c>
      <c r="J1539" s="7" t="s">
        <v>255</v>
      </c>
      <c r="K1539" s="7" t="s">
        <v>3160</v>
      </c>
      <c r="L1539" s="7" t="s">
        <v>255</v>
      </c>
      <c r="M1539" s="31">
        <v>45713</v>
      </c>
      <c r="N1539" s="7" t="s">
        <v>3273</v>
      </c>
      <c r="O1539" s="8">
        <v>2110</v>
      </c>
      <c r="P1539" s="24">
        <v>6515</v>
      </c>
      <c r="Q1539" s="22">
        <f>IF(COUNTIFS(A$2:A1539,A1539,I$2:I1539,I1539)=1,1,0)</f>
        <v>0</v>
      </c>
      <c r="R1539" s="22">
        <f t="shared" ref="R1539:R1602" si="24">COUNTIF(O:O,O1539)</f>
        <v>1</v>
      </c>
      <c r="S1539" s="33">
        <f>IF(COUNTIF(O$2:O1539,O1539)=1,R1539,0)/2.5</f>
        <v>0.4</v>
      </c>
    </row>
    <row r="1540" spans="1:19" ht="18" customHeight="1" x14ac:dyDescent="0.25">
      <c r="A1540" s="7" t="s">
        <v>37</v>
      </c>
      <c r="B1540" s="8">
        <v>1</v>
      </c>
      <c r="C1540" s="9">
        <v>649</v>
      </c>
      <c r="D1540" s="29">
        <f>C1540+IF(INDEX('Справочник по %'!B:B,(MATCH(A1540,'Справочник по %'!A:A,0)))="кол-во",B1540*INDEX('Справочник по %'!C:C,(MATCH(A1540,'Справочник по %'!A:A,0))),ОТЧЕТ!C1540*INDEX('Справочник по %'!C:C,(MATCH(A1540,'Справочник по %'!A:A,0))))/100</f>
        <v>649.20000000000005</v>
      </c>
      <c r="E1540" s="29">
        <f>IF(ОТЧЕТ!A1540="SKU3",C1540+ОТЧЕТ!C1540*0.2,C1540+ОТЧЕТ!C1540*0.15)</f>
        <v>746.35</v>
      </c>
      <c r="F1540" s="7" t="s">
        <v>3264</v>
      </c>
      <c r="G1540" s="7">
        <v>7818009091</v>
      </c>
      <c r="H1540" s="20" t="s">
        <v>50</v>
      </c>
      <c r="I1540" s="22" t="str">
        <f>INDEX('Справочник Сети'!B:B,(MATCH(G1540,'Справочник Сети'!C:C,0)))</f>
        <v>Столички</v>
      </c>
      <c r="J1540" s="7" t="s">
        <v>121</v>
      </c>
      <c r="K1540" s="7" t="s">
        <v>3021</v>
      </c>
      <c r="L1540" s="7" t="s">
        <v>121</v>
      </c>
      <c r="M1540" s="31">
        <v>45671</v>
      </c>
      <c r="N1540" s="7" t="s">
        <v>3274</v>
      </c>
      <c r="O1540" s="8">
        <v>3233</v>
      </c>
      <c r="P1540" s="24">
        <v>6523</v>
      </c>
      <c r="Q1540" s="22">
        <f>IF(COUNTIFS(A$2:A1540,A1540,I$2:I1540,I1540)=1,1,0)</f>
        <v>0</v>
      </c>
      <c r="R1540" s="22">
        <f t="shared" si="24"/>
        <v>2</v>
      </c>
      <c r="S1540" s="33">
        <f>IF(COUNTIF(O$2:O1540,O1540)=1,R1540,0)/2.5</f>
        <v>0</v>
      </c>
    </row>
    <row r="1541" spans="1:19" ht="18" customHeight="1" x14ac:dyDescent="0.25">
      <c r="A1541" s="7" t="s">
        <v>43</v>
      </c>
      <c r="B1541" s="8">
        <v>1</v>
      </c>
      <c r="C1541" s="9">
        <v>450</v>
      </c>
      <c r="D1541" s="29">
        <f>C1541+IF(INDEX('Справочник по %'!B:B,(MATCH(A1541,'Справочник по %'!A:A,0)))="кол-во",B1541*INDEX('Справочник по %'!C:C,(MATCH(A1541,'Справочник по %'!A:A,0))),ОТЧЕТ!C1541*INDEX('Справочник по %'!C:C,(MATCH(A1541,'Справочник по %'!A:A,0))))/100</f>
        <v>495</v>
      </c>
      <c r="E1541" s="29">
        <f>IF(ОТЧЕТ!A1541="SKU3",C1541+ОТЧЕТ!C1541*0.2,C1541+ОТЧЕТ!C1541*0.15)</f>
        <v>517.5</v>
      </c>
      <c r="F1541" s="7" t="s">
        <v>3264</v>
      </c>
      <c r="G1541" s="7">
        <v>910800091897</v>
      </c>
      <c r="H1541" s="20" t="s">
        <v>1046</v>
      </c>
      <c r="I1541" s="22">
        <f>INDEX('Справочник Сети'!B:B,(MATCH(G1541,'Справочник Сети'!C:C,0)))</f>
        <v>0</v>
      </c>
      <c r="J1541" s="7" t="s">
        <v>322</v>
      </c>
      <c r="K1541" s="7" t="s">
        <v>122</v>
      </c>
      <c r="L1541" s="7" t="s">
        <v>322</v>
      </c>
      <c r="M1541" s="31">
        <v>45658</v>
      </c>
      <c r="N1541" s="7" t="s">
        <v>3275</v>
      </c>
      <c r="O1541" s="8">
        <v>3806</v>
      </c>
      <c r="P1541" s="24">
        <v>6525</v>
      </c>
      <c r="Q1541" s="22">
        <f>IF(COUNTIFS(A$2:A1541,A1541,I$2:I1541,I1541)=1,1,0)</f>
        <v>0</v>
      </c>
      <c r="R1541" s="22">
        <f t="shared" si="24"/>
        <v>6</v>
      </c>
      <c r="S1541" s="33">
        <f>IF(COUNTIF(O$2:O1541,O1541)=1,R1541,0)/2.5</f>
        <v>0</v>
      </c>
    </row>
    <row r="1542" spans="1:19" ht="18" customHeight="1" x14ac:dyDescent="0.25">
      <c r="A1542" s="7" t="s">
        <v>43</v>
      </c>
      <c r="B1542" s="8">
        <v>1</v>
      </c>
      <c r="C1542" s="9">
        <v>398</v>
      </c>
      <c r="D1542" s="29">
        <f>C1542+IF(INDEX('Справочник по %'!B:B,(MATCH(A1542,'Справочник по %'!A:A,0)))="кол-во",B1542*INDEX('Справочник по %'!C:C,(MATCH(A1542,'Справочник по %'!A:A,0))),ОТЧЕТ!C1542*INDEX('Справочник по %'!C:C,(MATCH(A1542,'Справочник по %'!A:A,0))))/100</f>
        <v>437.8</v>
      </c>
      <c r="E1542" s="29">
        <f>IF(ОТЧЕТ!A1542="SKU3",C1542+ОТЧЕТ!C1542*0.2,C1542+ОТЧЕТ!C1542*0.15)</f>
        <v>457.7</v>
      </c>
      <c r="F1542" s="7" t="s">
        <v>3264</v>
      </c>
      <c r="G1542" s="7">
        <v>7706795062</v>
      </c>
      <c r="H1542" s="20" t="s">
        <v>494</v>
      </c>
      <c r="I1542" s="22" t="str">
        <f>INDEX('Справочник Сети'!B:B,(MATCH(G1542,'Справочник Сети'!C:C,0)))</f>
        <v>Планета здоровья</v>
      </c>
      <c r="J1542" s="7" t="s">
        <v>87</v>
      </c>
      <c r="K1542" s="7" t="s">
        <v>667</v>
      </c>
      <c r="L1542" s="7" t="s">
        <v>87</v>
      </c>
      <c r="M1542" s="31">
        <v>45691</v>
      </c>
      <c r="N1542" s="7" t="s">
        <v>3276</v>
      </c>
      <c r="O1542" s="8">
        <v>2801</v>
      </c>
      <c r="P1542" s="24">
        <v>6526</v>
      </c>
      <c r="Q1542" s="22">
        <f>IF(COUNTIFS(A$2:A1542,A1542,I$2:I1542,I1542)=1,1,0)</f>
        <v>0</v>
      </c>
      <c r="R1542" s="22">
        <f t="shared" si="24"/>
        <v>2</v>
      </c>
      <c r="S1542" s="33">
        <f>IF(COUNTIF(O$2:O1542,O1542)=1,R1542,0)/2.5</f>
        <v>0.8</v>
      </c>
    </row>
    <row r="1543" spans="1:19" ht="18" customHeight="1" x14ac:dyDescent="0.25">
      <c r="A1543" s="7" t="s">
        <v>43</v>
      </c>
      <c r="B1543" s="8">
        <v>1</v>
      </c>
      <c r="C1543" s="9">
        <v>399.09</v>
      </c>
      <c r="D1543" s="29">
        <f>C1543+IF(INDEX('Справочник по %'!B:B,(MATCH(A1543,'Справочник по %'!A:A,0)))="кол-во",B1543*INDEX('Справочник по %'!C:C,(MATCH(A1543,'Справочник по %'!A:A,0))),ОТЧЕТ!C1543*INDEX('Справочник по %'!C:C,(MATCH(A1543,'Справочник по %'!A:A,0))))/100</f>
        <v>438.99899999999997</v>
      </c>
      <c r="E1543" s="29">
        <f>IF(ОТЧЕТ!A1543="SKU3",C1543+ОТЧЕТ!C1543*0.2,C1543+ОТЧЕТ!C1543*0.15)</f>
        <v>458.95349999999996</v>
      </c>
      <c r="F1543" s="7" t="s">
        <v>3264</v>
      </c>
      <c r="G1543" s="7">
        <v>6318162011</v>
      </c>
      <c r="H1543" s="20" t="s">
        <v>64</v>
      </c>
      <c r="I1543" s="22">
        <f>INDEX('Справочник Сети'!B:B,(MATCH(G1543,'Справочник Сети'!C:C,0)))</f>
        <v>0</v>
      </c>
      <c r="J1543" s="7" t="s">
        <v>203</v>
      </c>
      <c r="K1543" s="7" t="s">
        <v>3277</v>
      </c>
      <c r="L1543" s="7" t="s">
        <v>203</v>
      </c>
      <c r="M1543" s="31">
        <v>45696</v>
      </c>
      <c r="N1543" s="7" t="s">
        <v>3278</v>
      </c>
      <c r="O1543" s="8">
        <v>2413</v>
      </c>
      <c r="P1543" s="24">
        <v>6534</v>
      </c>
      <c r="Q1543" s="22">
        <f>IF(COUNTIFS(A$2:A1543,A1543,I$2:I1543,I1543)=1,1,0)</f>
        <v>0</v>
      </c>
      <c r="R1543" s="22">
        <f t="shared" si="24"/>
        <v>2</v>
      </c>
      <c r="S1543" s="33">
        <f>IF(COUNTIF(O$2:O1543,O1543)=1,R1543,0)/2.5</f>
        <v>0.8</v>
      </c>
    </row>
    <row r="1544" spans="1:19" ht="18" customHeight="1" x14ac:dyDescent="0.25">
      <c r="A1544" s="7" t="s">
        <v>37</v>
      </c>
      <c r="B1544" s="8">
        <v>1</v>
      </c>
      <c r="C1544" s="9">
        <v>542</v>
      </c>
      <c r="D1544" s="29">
        <f>C1544+IF(INDEX('Справочник по %'!B:B,(MATCH(A1544,'Справочник по %'!A:A,0)))="кол-во",B1544*INDEX('Справочник по %'!C:C,(MATCH(A1544,'Справочник по %'!A:A,0))),ОТЧЕТ!C1544*INDEX('Справочник по %'!C:C,(MATCH(A1544,'Справочник по %'!A:A,0))))/100</f>
        <v>542.20000000000005</v>
      </c>
      <c r="E1544" s="29">
        <f>IF(ОТЧЕТ!A1544="SKU3",C1544+ОТЧЕТ!C1544*0.2,C1544+ОТЧЕТ!C1544*0.15)</f>
        <v>623.29999999999995</v>
      </c>
      <c r="F1544" s="7" t="s">
        <v>3264</v>
      </c>
      <c r="G1544" s="7">
        <v>7706795062</v>
      </c>
      <c r="H1544" s="20" t="s">
        <v>3061</v>
      </c>
      <c r="I1544" s="22" t="str">
        <f>INDEX('Справочник Сети'!B:B,(MATCH(G1544,'Справочник Сети'!C:C,0)))</f>
        <v>Планета здоровья</v>
      </c>
      <c r="J1544" s="7" t="s">
        <v>87</v>
      </c>
      <c r="K1544" s="7" t="s">
        <v>534</v>
      </c>
      <c r="L1544" s="7" t="s">
        <v>87</v>
      </c>
      <c r="M1544" s="31">
        <v>45691</v>
      </c>
      <c r="N1544" s="7" t="s">
        <v>3279</v>
      </c>
      <c r="O1544" s="8">
        <v>2608</v>
      </c>
      <c r="P1544" s="24">
        <v>6536</v>
      </c>
      <c r="Q1544" s="22">
        <f>IF(COUNTIFS(A$2:A1544,A1544,I$2:I1544,I1544)=1,1,0)</f>
        <v>0</v>
      </c>
      <c r="R1544" s="22">
        <f t="shared" si="24"/>
        <v>3</v>
      </c>
      <c r="S1544" s="33">
        <f>IF(COUNTIF(O$2:O1544,O1544)=1,R1544,0)/2.5</f>
        <v>0</v>
      </c>
    </row>
    <row r="1545" spans="1:19" ht="18" customHeight="1" x14ac:dyDescent="0.25">
      <c r="A1545" s="7" t="s">
        <v>43</v>
      </c>
      <c r="B1545" s="8">
        <v>1</v>
      </c>
      <c r="C1545" s="9">
        <v>439</v>
      </c>
      <c r="D1545" s="29">
        <f>C1545+IF(INDEX('Справочник по %'!B:B,(MATCH(A1545,'Справочник по %'!A:A,0)))="кол-во",B1545*INDEX('Справочник по %'!C:C,(MATCH(A1545,'Справочник по %'!A:A,0))),ОТЧЕТ!C1545*INDEX('Справочник по %'!C:C,(MATCH(A1545,'Справочник по %'!A:A,0))))/100</f>
        <v>482.9</v>
      </c>
      <c r="E1545" s="29">
        <f>IF(ОТЧЕТ!A1545="SKU3",C1545+ОТЧЕТ!C1545*0.2,C1545+ОТЧЕТ!C1545*0.15)</f>
        <v>504.85</v>
      </c>
      <c r="F1545" s="7" t="s">
        <v>3264</v>
      </c>
      <c r="G1545" s="7">
        <v>7705947629</v>
      </c>
      <c r="H1545" s="20" t="s">
        <v>50</v>
      </c>
      <c r="I1545" s="22" t="str">
        <f>INDEX('Справочник Сети'!B:B,(MATCH(G1545,'Справочник Сети'!C:C,0)))</f>
        <v>36,6</v>
      </c>
      <c r="J1545" s="7" t="s">
        <v>116</v>
      </c>
      <c r="K1545" s="7" t="s">
        <v>1131</v>
      </c>
      <c r="L1545" s="7" t="s">
        <v>104</v>
      </c>
      <c r="M1545" s="31">
        <v>45693</v>
      </c>
      <c r="N1545" s="7" t="s">
        <v>3280</v>
      </c>
      <c r="O1545" s="8">
        <v>3115</v>
      </c>
      <c r="P1545" s="24">
        <v>6539</v>
      </c>
      <c r="Q1545" s="22">
        <f>IF(COUNTIFS(A$2:A1545,A1545,I$2:I1545,I1545)=1,1,0)</f>
        <v>0</v>
      </c>
      <c r="R1545" s="22">
        <f t="shared" si="24"/>
        <v>1</v>
      </c>
      <c r="S1545" s="33">
        <f>IF(COUNTIF(O$2:O1545,O1545)=1,R1545,0)/2.5</f>
        <v>0.4</v>
      </c>
    </row>
    <row r="1546" spans="1:19" ht="18" customHeight="1" x14ac:dyDescent="0.25">
      <c r="A1546" s="7" t="s">
        <v>43</v>
      </c>
      <c r="B1546" s="8">
        <v>1</v>
      </c>
      <c r="C1546" s="9">
        <v>450</v>
      </c>
      <c r="D1546" s="29">
        <f>C1546+IF(INDEX('Справочник по %'!B:B,(MATCH(A1546,'Справочник по %'!A:A,0)))="кол-во",B1546*INDEX('Справочник по %'!C:C,(MATCH(A1546,'Справочник по %'!A:A,0))),ОТЧЕТ!C1546*INDEX('Справочник по %'!C:C,(MATCH(A1546,'Справочник по %'!A:A,0))))/100</f>
        <v>495</v>
      </c>
      <c r="E1546" s="29">
        <f>IF(ОТЧЕТ!A1546="SKU3",C1546+ОТЧЕТ!C1546*0.2,C1546+ОТЧЕТ!C1546*0.15)</f>
        <v>517.5</v>
      </c>
      <c r="F1546" s="7" t="s">
        <v>3264</v>
      </c>
      <c r="G1546" s="7">
        <v>7724397441</v>
      </c>
      <c r="H1546" s="20" t="s">
        <v>91</v>
      </c>
      <c r="I1546" s="22">
        <f>INDEX('Справочник Сети'!B:B,(MATCH(G1546,'Справочник Сети'!C:C,0)))</f>
        <v>0</v>
      </c>
      <c r="J1546" s="7" t="s">
        <v>185</v>
      </c>
      <c r="K1546" s="7" t="s">
        <v>1836</v>
      </c>
      <c r="L1546" s="7" t="s">
        <v>185</v>
      </c>
      <c r="M1546" s="31">
        <v>45675</v>
      </c>
      <c r="N1546" s="7" t="s">
        <v>3281</v>
      </c>
      <c r="O1546" s="8">
        <v>1358</v>
      </c>
      <c r="P1546" s="24">
        <v>6541</v>
      </c>
      <c r="Q1546" s="22">
        <f>IF(COUNTIFS(A$2:A1546,A1546,I$2:I1546,I1546)=1,1,0)</f>
        <v>0</v>
      </c>
      <c r="R1546" s="22">
        <f t="shared" si="24"/>
        <v>2</v>
      </c>
      <c r="S1546" s="33">
        <f>IF(COUNTIF(O$2:O1546,O1546)=1,R1546,0)/2.5</f>
        <v>0</v>
      </c>
    </row>
    <row r="1547" spans="1:19" ht="18" customHeight="1" x14ac:dyDescent="0.25">
      <c r="A1547" s="7" t="s">
        <v>37</v>
      </c>
      <c r="B1547" s="8">
        <v>1</v>
      </c>
      <c r="C1547" s="9">
        <v>684.5</v>
      </c>
      <c r="D1547" s="29">
        <f>C1547+IF(INDEX('Справочник по %'!B:B,(MATCH(A1547,'Справочник по %'!A:A,0)))="кол-во",B1547*INDEX('Справочник по %'!C:C,(MATCH(A1547,'Справочник по %'!A:A,0))),ОТЧЕТ!C1547*INDEX('Справочник по %'!C:C,(MATCH(A1547,'Справочник по %'!A:A,0))))/100</f>
        <v>684.7</v>
      </c>
      <c r="E1547" s="29">
        <f>IF(ОТЧЕТ!A1547="SKU3",C1547+ОТЧЕТ!C1547*0.2,C1547+ОТЧЕТ!C1547*0.15)</f>
        <v>787.17499999999995</v>
      </c>
      <c r="F1547" s="7" t="s">
        <v>3264</v>
      </c>
      <c r="G1547" s="7">
        <v>6168041590</v>
      </c>
      <c r="H1547" s="20" t="s">
        <v>519</v>
      </c>
      <c r="I1547" s="22">
        <f>INDEX('Справочник Сети'!B:B,(MATCH(G1547,'Справочник Сети'!C:C,0)))</f>
        <v>0</v>
      </c>
      <c r="J1547" s="7" t="s">
        <v>203</v>
      </c>
      <c r="K1547" s="7" t="s">
        <v>3018</v>
      </c>
      <c r="L1547" s="7" t="s">
        <v>203</v>
      </c>
      <c r="M1547" s="31">
        <v>45696</v>
      </c>
      <c r="N1547" s="7" t="s">
        <v>3282</v>
      </c>
      <c r="O1547" s="8">
        <v>1407</v>
      </c>
      <c r="P1547" s="24">
        <v>6547</v>
      </c>
      <c r="Q1547" s="22">
        <f>IF(COUNTIFS(A$2:A1547,A1547,I$2:I1547,I1547)=1,1,0)</f>
        <v>0</v>
      </c>
      <c r="R1547" s="22">
        <f t="shared" si="24"/>
        <v>2</v>
      </c>
      <c r="S1547" s="33">
        <f>IF(COUNTIF(O$2:O1547,O1547)=1,R1547,0)/2.5</f>
        <v>0</v>
      </c>
    </row>
    <row r="1548" spans="1:19" ht="18" customHeight="1" x14ac:dyDescent="0.25">
      <c r="A1548" s="7" t="s">
        <v>43</v>
      </c>
      <c r="B1548" s="8">
        <v>1</v>
      </c>
      <c r="C1548" s="9">
        <v>349</v>
      </c>
      <c r="D1548" s="29">
        <f>C1548+IF(INDEX('Справочник по %'!B:B,(MATCH(A1548,'Справочник по %'!A:A,0)))="кол-во",B1548*INDEX('Справочник по %'!C:C,(MATCH(A1548,'Справочник по %'!A:A,0))),ОТЧЕТ!C1548*INDEX('Справочник по %'!C:C,(MATCH(A1548,'Справочник по %'!A:A,0))))/100</f>
        <v>383.9</v>
      </c>
      <c r="E1548" s="29">
        <f>IF(ОТЧЕТ!A1548="SKU3",C1548+ОТЧЕТ!C1548*0.2,C1548+ОТЧЕТ!C1548*0.15)</f>
        <v>401.35</v>
      </c>
      <c r="F1548" s="7" t="s">
        <v>3264</v>
      </c>
      <c r="G1548" s="7">
        <v>2308241919</v>
      </c>
      <c r="H1548" s="20" t="s">
        <v>50</v>
      </c>
      <c r="I1548" s="22" t="str">
        <f>INDEX('Справочник Сети'!B:B,(MATCH(G1548,'Справочник Сети'!C:C,0)))</f>
        <v>Столички</v>
      </c>
      <c r="J1548" s="7" t="s">
        <v>57</v>
      </c>
      <c r="K1548" s="7" t="s">
        <v>1151</v>
      </c>
      <c r="L1548" s="7" t="s">
        <v>57</v>
      </c>
      <c r="M1548" s="31">
        <v>45729</v>
      </c>
      <c r="N1548" s="7" t="s">
        <v>3283</v>
      </c>
      <c r="O1548" s="8">
        <v>1564</v>
      </c>
      <c r="P1548" s="24">
        <v>6548</v>
      </c>
      <c r="Q1548" s="22">
        <f>IF(COUNTIFS(A$2:A1548,A1548,I$2:I1548,I1548)=1,1,0)</f>
        <v>0</v>
      </c>
      <c r="R1548" s="22">
        <f t="shared" si="24"/>
        <v>2</v>
      </c>
      <c r="S1548" s="33">
        <f>IF(COUNTIF(O$2:O1548,O1548)=1,R1548,0)/2.5</f>
        <v>0.8</v>
      </c>
    </row>
    <row r="1549" spans="1:19" ht="18" customHeight="1" x14ac:dyDescent="0.25">
      <c r="A1549" s="7" t="s">
        <v>43</v>
      </c>
      <c r="B1549" s="8">
        <v>1</v>
      </c>
      <c r="C1549" s="9">
        <v>396.2</v>
      </c>
      <c r="D1549" s="29">
        <f>C1549+IF(INDEX('Справочник по %'!B:B,(MATCH(A1549,'Справочник по %'!A:A,0)))="кол-во",B1549*INDEX('Справочник по %'!C:C,(MATCH(A1549,'Справочник по %'!A:A,0))),ОТЧЕТ!C1549*INDEX('Справочник по %'!C:C,(MATCH(A1549,'Справочник по %'!A:A,0))))/100</f>
        <v>435.82</v>
      </c>
      <c r="E1549" s="29">
        <f>IF(ОТЧЕТ!A1549="SKU3",C1549+ОТЧЕТ!C1549*0.2,C1549+ОТЧЕТ!C1549*0.15)</f>
        <v>455.63</v>
      </c>
      <c r="F1549" s="7" t="s">
        <v>3264</v>
      </c>
      <c r="G1549" s="7">
        <v>360300674906</v>
      </c>
      <c r="H1549" s="20" t="s">
        <v>298</v>
      </c>
      <c r="I1549" s="22" t="str">
        <f>INDEX('Справочник Сети'!B:B,(MATCH(G1549,'Справочник Сети'!C:C,0)))</f>
        <v>Столички</v>
      </c>
      <c r="J1549" s="7" t="s">
        <v>110</v>
      </c>
      <c r="K1549" s="7" t="s">
        <v>863</v>
      </c>
      <c r="L1549" s="7" t="s">
        <v>110</v>
      </c>
      <c r="M1549" s="31">
        <v>45660</v>
      </c>
      <c r="N1549" s="7" t="s">
        <v>3284</v>
      </c>
      <c r="O1549" s="8">
        <v>1058</v>
      </c>
      <c r="P1549" s="24">
        <v>6551</v>
      </c>
      <c r="Q1549" s="22">
        <f>IF(COUNTIFS(A$2:A1549,A1549,I$2:I1549,I1549)=1,1,0)</f>
        <v>0</v>
      </c>
      <c r="R1549" s="22">
        <f t="shared" si="24"/>
        <v>4</v>
      </c>
      <c r="S1549" s="33">
        <f>IF(COUNTIF(O$2:O1549,O1549)=1,R1549,0)/2.5</f>
        <v>0</v>
      </c>
    </row>
    <row r="1550" spans="1:19" ht="18" customHeight="1" x14ac:dyDescent="0.25">
      <c r="A1550" s="7" t="s">
        <v>43</v>
      </c>
      <c r="B1550" s="8">
        <v>1</v>
      </c>
      <c r="C1550" s="9">
        <v>374</v>
      </c>
      <c r="D1550" s="29">
        <f>C1550+IF(INDEX('Справочник по %'!B:B,(MATCH(A1550,'Справочник по %'!A:A,0)))="кол-во",B1550*INDEX('Справочник по %'!C:C,(MATCH(A1550,'Справочник по %'!A:A,0))),ОТЧЕТ!C1550*INDEX('Справочник по %'!C:C,(MATCH(A1550,'Справочник по %'!A:A,0))))/100</f>
        <v>411.4</v>
      </c>
      <c r="E1550" s="29">
        <f>IF(ОТЧЕТ!A1550="SKU3",C1550+ОТЧЕТ!C1550*0.2,C1550+ОТЧЕТ!C1550*0.15)</f>
        <v>430.1</v>
      </c>
      <c r="F1550" s="7" t="s">
        <v>3264</v>
      </c>
      <c r="G1550" s="7">
        <v>7706795062</v>
      </c>
      <c r="H1550" s="20" t="s">
        <v>327</v>
      </c>
      <c r="I1550" s="22" t="str">
        <f>INDEX('Справочник Сети'!B:B,(MATCH(G1550,'Справочник Сети'!C:C,0)))</f>
        <v>Планета здоровья</v>
      </c>
      <c r="J1550" s="7" t="s">
        <v>87</v>
      </c>
      <c r="K1550" s="7" t="s">
        <v>414</v>
      </c>
      <c r="L1550" s="7" t="s">
        <v>87</v>
      </c>
      <c r="M1550" s="31">
        <v>45691</v>
      </c>
      <c r="N1550" s="7" t="s">
        <v>3285</v>
      </c>
      <c r="O1550" s="8">
        <v>1689</v>
      </c>
      <c r="P1550" s="24">
        <v>6552</v>
      </c>
      <c r="Q1550" s="22">
        <f>IF(COUNTIFS(A$2:A1550,A1550,I$2:I1550,I1550)=1,1,0)</f>
        <v>0</v>
      </c>
      <c r="R1550" s="22">
        <f t="shared" si="24"/>
        <v>6</v>
      </c>
      <c r="S1550" s="33">
        <f>IF(COUNTIF(O$2:O1550,O1550)=1,R1550,0)/2.5</f>
        <v>0</v>
      </c>
    </row>
    <row r="1551" spans="1:19" ht="18" customHeight="1" x14ac:dyDescent="0.25">
      <c r="A1551" s="7" t="s">
        <v>146</v>
      </c>
      <c r="B1551" s="8">
        <v>1</v>
      </c>
      <c r="C1551" s="9">
        <v>763</v>
      </c>
      <c r="D1551" s="29">
        <f>C1551+IF(INDEX('Справочник по %'!B:B,(MATCH(A1551,'Справочник по %'!A:A,0)))="кол-во",B1551*INDEX('Справочник по %'!C:C,(MATCH(A1551,'Справочник по %'!A:A,0))),ОТЧЕТ!C1551*INDEX('Справочник по %'!C:C,(MATCH(A1551,'Справочник по %'!A:A,0))))/100</f>
        <v>877.45</v>
      </c>
      <c r="E1551" s="29">
        <f>IF(ОТЧЕТ!A1551="SKU3",C1551+ОТЧЕТ!C1551*0.2,C1551+ОТЧЕТ!C1551*0.15)</f>
        <v>915.6</v>
      </c>
      <c r="F1551" s="7" t="s">
        <v>3264</v>
      </c>
      <c r="G1551" s="7">
        <v>7709068298</v>
      </c>
      <c r="H1551" s="20" t="s">
        <v>3286</v>
      </c>
      <c r="I1551" s="22" t="str">
        <f>INDEX('Справочник Сети'!B:B,(MATCH(G1551,'Справочник Сети'!C:C,0)))</f>
        <v>36,6</v>
      </c>
      <c r="J1551" s="7" t="s">
        <v>504</v>
      </c>
      <c r="K1551" s="7" t="s">
        <v>2519</v>
      </c>
      <c r="L1551" s="7" t="s">
        <v>504</v>
      </c>
      <c r="M1551" s="31">
        <v>45690</v>
      </c>
      <c r="N1551" s="7" t="s">
        <v>3287</v>
      </c>
      <c r="O1551" s="8">
        <v>2644</v>
      </c>
      <c r="P1551" s="24">
        <v>6555</v>
      </c>
      <c r="Q1551" s="22">
        <f>IF(COUNTIFS(A$2:A1551,A1551,I$2:I1551,I1551)=1,1,0)</f>
        <v>1</v>
      </c>
      <c r="R1551" s="22">
        <f t="shared" si="24"/>
        <v>1</v>
      </c>
      <c r="S1551" s="33">
        <f>IF(COUNTIF(O$2:O1551,O1551)=1,R1551,0)/2.5</f>
        <v>0.4</v>
      </c>
    </row>
    <row r="1552" spans="1:19" ht="18" customHeight="1" x14ac:dyDescent="0.25">
      <c r="A1552" s="7" t="s">
        <v>43</v>
      </c>
      <c r="B1552" s="8">
        <v>1</v>
      </c>
      <c r="C1552" s="9">
        <v>486</v>
      </c>
      <c r="D1552" s="29">
        <f>C1552+IF(INDEX('Справочник по %'!B:B,(MATCH(A1552,'Справочник по %'!A:A,0)))="кол-во",B1552*INDEX('Справочник по %'!C:C,(MATCH(A1552,'Справочник по %'!A:A,0))),ОТЧЕТ!C1552*INDEX('Справочник по %'!C:C,(MATCH(A1552,'Справочник по %'!A:A,0))))/100</f>
        <v>534.6</v>
      </c>
      <c r="E1552" s="29">
        <f>IF(ОТЧЕТ!A1552="SKU3",C1552+ОТЧЕТ!C1552*0.2,C1552+ОТЧЕТ!C1552*0.15)</f>
        <v>558.9</v>
      </c>
      <c r="F1552" s="7" t="s">
        <v>3264</v>
      </c>
      <c r="G1552" s="7">
        <v>2539096225</v>
      </c>
      <c r="H1552" s="20" t="s">
        <v>384</v>
      </c>
      <c r="I1552" s="22" t="str">
        <f>INDEX('Справочник Сети'!B:B,(MATCH(G1552,'Справочник Сети'!C:C,0)))</f>
        <v>36,6</v>
      </c>
      <c r="J1552" s="7" t="s">
        <v>46</v>
      </c>
      <c r="K1552" s="7" t="s">
        <v>2692</v>
      </c>
      <c r="L1552" s="7" t="s">
        <v>46</v>
      </c>
      <c r="M1552" s="31">
        <v>45726</v>
      </c>
      <c r="N1552" s="7" t="s">
        <v>3288</v>
      </c>
      <c r="O1552" s="8">
        <v>3398</v>
      </c>
      <c r="P1552" s="24">
        <v>6556</v>
      </c>
      <c r="Q1552" s="22">
        <f>IF(COUNTIFS(A$2:A1552,A1552,I$2:I1552,I1552)=1,1,0)</f>
        <v>0</v>
      </c>
      <c r="R1552" s="22">
        <f t="shared" si="24"/>
        <v>4</v>
      </c>
      <c r="S1552" s="33">
        <f>IF(COUNTIF(O$2:O1552,O1552)=1,R1552,0)/2.5</f>
        <v>0</v>
      </c>
    </row>
    <row r="1553" spans="1:19" ht="18" customHeight="1" x14ac:dyDescent="0.25">
      <c r="A1553" s="7" t="s">
        <v>43</v>
      </c>
      <c r="B1553" s="8">
        <v>1</v>
      </c>
      <c r="C1553" s="9">
        <v>456</v>
      </c>
      <c r="D1553" s="29">
        <f>C1553+IF(INDEX('Справочник по %'!B:B,(MATCH(A1553,'Справочник по %'!A:A,0)))="кол-во",B1553*INDEX('Справочник по %'!C:C,(MATCH(A1553,'Справочник по %'!A:A,0))),ОТЧЕТ!C1553*INDEX('Справочник по %'!C:C,(MATCH(A1553,'Справочник по %'!A:A,0))))/100</f>
        <v>501.6</v>
      </c>
      <c r="E1553" s="29">
        <f>IF(ОТЧЕТ!A1553="SKU3",C1553+ОТЧЕТ!C1553*0.2,C1553+ОТЧЕТ!C1553*0.15)</f>
        <v>524.4</v>
      </c>
      <c r="F1553" s="7" t="s">
        <v>3289</v>
      </c>
      <c r="G1553" s="7">
        <v>2536335901</v>
      </c>
      <c r="H1553" s="20" t="s">
        <v>1570</v>
      </c>
      <c r="I1553" s="22">
        <f>INDEX('Справочник Сети'!B:B,(MATCH(G1553,'Справочник Сети'!C:C,0)))</f>
        <v>0</v>
      </c>
      <c r="J1553" s="7" t="s">
        <v>46</v>
      </c>
      <c r="K1553" s="7" t="s">
        <v>3290</v>
      </c>
      <c r="L1553" s="7" t="s">
        <v>96</v>
      </c>
      <c r="M1553" s="31">
        <v>45727</v>
      </c>
      <c r="N1553" s="7" t="s">
        <v>3291</v>
      </c>
      <c r="O1553" s="8">
        <v>1615</v>
      </c>
      <c r="P1553" s="24">
        <v>6561</v>
      </c>
      <c r="Q1553" s="22">
        <f>IF(COUNTIFS(A$2:A1553,A1553,I$2:I1553,I1553)=1,1,0)</f>
        <v>0</v>
      </c>
      <c r="R1553" s="22">
        <f t="shared" si="24"/>
        <v>3</v>
      </c>
      <c r="S1553" s="33">
        <f>IF(COUNTIF(O$2:O1553,O1553)=1,R1553,0)/2.5</f>
        <v>0</v>
      </c>
    </row>
    <row r="1554" spans="1:19" ht="18" customHeight="1" x14ac:dyDescent="0.25">
      <c r="A1554" s="7" t="s">
        <v>43</v>
      </c>
      <c r="B1554" s="8">
        <v>1</v>
      </c>
      <c r="C1554" s="9">
        <v>399.5</v>
      </c>
      <c r="D1554" s="29">
        <f>C1554+IF(INDEX('Справочник по %'!B:B,(MATCH(A1554,'Справочник по %'!A:A,0)))="кол-во",B1554*INDEX('Справочник по %'!C:C,(MATCH(A1554,'Справочник по %'!A:A,0))),ОТЧЕТ!C1554*INDEX('Справочник по %'!C:C,(MATCH(A1554,'Справочник по %'!A:A,0))))/100</f>
        <v>439.45</v>
      </c>
      <c r="E1554" s="29">
        <f>IF(ОТЧЕТ!A1554="SKU3",C1554+ОТЧЕТ!C1554*0.2,C1554+ОТЧЕТ!C1554*0.15)</f>
        <v>459.42500000000001</v>
      </c>
      <c r="F1554" s="7" t="s">
        <v>3289</v>
      </c>
      <c r="G1554" s="7">
        <v>3801042576</v>
      </c>
      <c r="H1554" s="20" t="s">
        <v>1392</v>
      </c>
      <c r="I1554" s="22" t="str">
        <f>INDEX('Справочник Сети'!B:B,(MATCH(G1554,'Справочник Сети'!C:C,0)))</f>
        <v>Планета здоровья</v>
      </c>
      <c r="J1554" s="7" t="s">
        <v>65</v>
      </c>
      <c r="K1554" s="7" t="s">
        <v>2747</v>
      </c>
      <c r="L1554" s="7" t="s">
        <v>65</v>
      </c>
      <c r="M1554" s="31">
        <v>45717</v>
      </c>
      <c r="N1554" s="7" t="s">
        <v>3292</v>
      </c>
      <c r="O1554" s="8">
        <v>2840</v>
      </c>
      <c r="P1554" s="24">
        <v>6562</v>
      </c>
      <c r="Q1554" s="22">
        <f>IF(COUNTIFS(A$2:A1554,A1554,I$2:I1554,I1554)=1,1,0)</f>
        <v>0</v>
      </c>
      <c r="R1554" s="22">
        <f t="shared" si="24"/>
        <v>3</v>
      </c>
      <c r="S1554" s="33">
        <f>IF(COUNTIF(O$2:O1554,O1554)=1,R1554,0)/2.5</f>
        <v>0</v>
      </c>
    </row>
    <row r="1555" spans="1:19" ht="18" customHeight="1" x14ac:dyDescent="0.25">
      <c r="A1555" s="7" t="s">
        <v>43</v>
      </c>
      <c r="B1555" s="8">
        <v>1</v>
      </c>
      <c r="C1555" s="9">
        <v>368.8</v>
      </c>
      <c r="D1555" s="29">
        <f>C1555+IF(INDEX('Справочник по %'!B:B,(MATCH(A1555,'Справочник по %'!A:A,0)))="кол-во",B1555*INDEX('Справочник по %'!C:C,(MATCH(A1555,'Справочник по %'!A:A,0))),ОТЧЕТ!C1555*INDEX('Справочник по %'!C:C,(MATCH(A1555,'Справочник по %'!A:A,0))))/100</f>
        <v>405.68</v>
      </c>
      <c r="E1555" s="29">
        <f>IF(ОТЧЕТ!A1555="SKU3",C1555+ОТЧЕТ!C1555*0.2,C1555+ОТЧЕТ!C1555*0.15)</f>
        <v>424.12</v>
      </c>
      <c r="F1555" s="7" t="s">
        <v>3289</v>
      </c>
      <c r="G1555" s="7">
        <v>2222896536</v>
      </c>
      <c r="H1555" s="20" t="s">
        <v>50</v>
      </c>
      <c r="I1555" s="22" t="str">
        <f>INDEX('Справочник Сети'!B:B,(MATCH(G1555,'Справочник Сети'!C:C,0)))</f>
        <v>Нео-фарм</v>
      </c>
      <c r="J1555" s="7" t="s">
        <v>372</v>
      </c>
      <c r="K1555" s="7" t="s">
        <v>2447</v>
      </c>
      <c r="L1555" s="7" t="s">
        <v>372</v>
      </c>
      <c r="M1555" s="31">
        <v>45730</v>
      </c>
      <c r="N1555" s="7" t="s">
        <v>3293</v>
      </c>
      <c r="O1555" s="8">
        <v>1918</v>
      </c>
      <c r="P1555" s="24">
        <v>6568</v>
      </c>
      <c r="Q1555" s="22">
        <f>IF(COUNTIFS(A$2:A1555,A1555,I$2:I1555,I1555)=1,1,0)</f>
        <v>0</v>
      </c>
      <c r="R1555" s="22">
        <f t="shared" si="24"/>
        <v>13</v>
      </c>
      <c r="S1555" s="33">
        <f>IF(COUNTIF(O$2:O1555,O1555)=1,R1555,0)/2.5</f>
        <v>0</v>
      </c>
    </row>
    <row r="1556" spans="1:19" ht="18" customHeight="1" x14ac:dyDescent="0.25">
      <c r="A1556" s="7" t="s">
        <v>43</v>
      </c>
      <c r="B1556" s="8">
        <v>1</v>
      </c>
      <c r="C1556" s="9">
        <v>550</v>
      </c>
      <c r="D1556" s="29">
        <f>C1556+IF(INDEX('Справочник по %'!B:B,(MATCH(A1556,'Справочник по %'!A:A,0)))="кол-во",B1556*INDEX('Справочник по %'!C:C,(MATCH(A1556,'Справочник по %'!A:A,0))),ОТЧЕТ!C1556*INDEX('Справочник по %'!C:C,(MATCH(A1556,'Справочник по %'!A:A,0))))/100</f>
        <v>605</v>
      </c>
      <c r="E1556" s="29">
        <f>IF(ОТЧЕТ!A1556="SKU3",C1556+ОТЧЕТ!C1556*0.2,C1556+ОТЧЕТ!C1556*0.15)</f>
        <v>632.5</v>
      </c>
      <c r="F1556" s="7" t="s">
        <v>3289</v>
      </c>
      <c r="G1556" s="7">
        <v>2502053747</v>
      </c>
      <c r="H1556" s="20" t="s">
        <v>50</v>
      </c>
      <c r="I1556" s="22">
        <f>INDEX('Справочник Сети'!B:B,(MATCH(G1556,'Справочник Сети'!C:C,0)))</f>
        <v>0</v>
      </c>
      <c r="J1556" s="7" t="s">
        <v>96</v>
      </c>
      <c r="K1556" s="7" t="s">
        <v>1921</v>
      </c>
      <c r="L1556" s="7" t="s">
        <v>96</v>
      </c>
      <c r="M1556" s="31">
        <v>45727</v>
      </c>
      <c r="N1556" s="7" t="s">
        <v>3294</v>
      </c>
      <c r="O1556" s="8">
        <v>2544</v>
      </c>
      <c r="P1556" s="24">
        <v>6569</v>
      </c>
      <c r="Q1556" s="22">
        <f>IF(COUNTIFS(A$2:A1556,A1556,I$2:I1556,I1556)=1,1,0)</f>
        <v>0</v>
      </c>
      <c r="R1556" s="22">
        <f t="shared" si="24"/>
        <v>6</v>
      </c>
      <c r="S1556" s="33">
        <f>IF(COUNTIF(O$2:O1556,O1556)=1,R1556,0)/2.5</f>
        <v>0</v>
      </c>
    </row>
    <row r="1557" spans="1:19" ht="18" customHeight="1" x14ac:dyDescent="0.25">
      <c r="A1557" s="7" t="s">
        <v>43</v>
      </c>
      <c r="B1557" s="8">
        <v>1</v>
      </c>
      <c r="C1557" s="9">
        <v>424</v>
      </c>
      <c r="D1557" s="29">
        <f>C1557+IF(INDEX('Справочник по %'!B:B,(MATCH(A1557,'Справочник по %'!A:A,0)))="кол-во",B1557*INDEX('Справочник по %'!C:C,(MATCH(A1557,'Справочник по %'!A:A,0))),ОТЧЕТ!C1557*INDEX('Справочник по %'!C:C,(MATCH(A1557,'Справочник по %'!A:A,0))))/100</f>
        <v>466.4</v>
      </c>
      <c r="E1557" s="29">
        <f>IF(ОТЧЕТ!A1557="SKU3",C1557+ОТЧЕТ!C1557*0.2,C1557+ОТЧЕТ!C1557*0.15)</f>
        <v>487.6</v>
      </c>
      <c r="F1557" s="7" t="s">
        <v>3289</v>
      </c>
      <c r="G1557" s="7">
        <v>5916027419</v>
      </c>
      <c r="H1557" s="20" t="s">
        <v>39</v>
      </c>
      <c r="I1557" s="22" t="str">
        <f>INDEX('Справочник Сети'!B:B,(MATCH(G1557,'Справочник Сети'!C:C,0)))</f>
        <v>Ригла</v>
      </c>
      <c r="J1557" s="7" t="s">
        <v>520</v>
      </c>
      <c r="K1557" s="7" t="s">
        <v>3295</v>
      </c>
      <c r="L1557" s="7" t="s">
        <v>520</v>
      </c>
      <c r="M1557" s="31">
        <v>45697</v>
      </c>
      <c r="N1557" s="7" t="s">
        <v>3296</v>
      </c>
      <c r="O1557" s="8">
        <v>2296</v>
      </c>
      <c r="P1557" s="24">
        <v>6572</v>
      </c>
      <c r="Q1557" s="22">
        <f>IF(COUNTIFS(A$2:A1557,A1557,I$2:I1557,I1557)=1,1,0)</f>
        <v>0</v>
      </c>
      <c r="R1557" s="22">
        <f t="shared" si="24"/>
        <v>2</v>
      </c>
      <c r="S1557" s="33">
        <f>IF(COUNTIF(O$2:O1557,O1557)=1,R1557,0)/2.5</f>
        <v>0</v>
      </c>
    </row>
    <row r="1558" spans="1:19" ht="18" customHeight="1" x14ac:dyDescent="0.25">
      <c r="A1558" s="7" t="s">
        <v>37</v>
      </c>
      <c r="B1558" s="8">
        <v>1</v>
      </c>
      <c r="C1558" s="9">
        <v>660</v>
      </c>
      <c r="D1558" s="29">
        <f>C1558+IF(INDEX('Справочник по %'!B:B,(MATCH(A1558,'Справочник по %'!A:A,0)))="кол-во",B1558*INDEX('Справочник по %'!C:C,(MATCH(A1558,'Справочник по %'!A:A,0))),ОТЧЕТ!C1558*INDEX('Справочник по %'!C:C,(MATCH(A1558,'Справочник по %'!A:A,0))))/100</f>
        <v>660.2</v>
      </c>
      <c r="E1558" s="29">
        <f>IF(ОТЧЕТ!A1558="SKU3",C1558+ОТЧЕТ!C1558*0.2,C1558+ОТЧЕТ!C1558*0.15)</f>
        <v>759</v>
      </c>
      <c r="F1558" s="7" t="s">
        <v>3289</v>
      </c>
      <c r="G1558" s="7">
        <v>550310361355</v>
      </c>
      <c r="H1558" s="20" t="s">
        <v>50</v>
      </c>
      <c r="I1558" s="22" t="str">
        <f>INDEX('Справочник Сети'!B:B,(MATCH(G1558,'Справочник Сети'!C:C,0)))</f>
        <v>Столички</v>
      </c>
      <c r="J1558" s="7" t="s">
        <v>251</v>
      </c>
      <c r="K1558" s="7" t="s">
        <v>3297</v>
      </c>
      <c r="L1558" s="7" t="s">
        <v>251</v>
      </c>
      <c r="M1558" s="31">
        <v>45659</v>
      </c>
      <c r="N1558" s="7" t="s">
        <v>3298</v>
      </c>
      <c r="O1558" s="8">
        <v>1376</v>
      </c>
      <c r="P1558" s="24">
        <v>6573</v>
      </c>
      <c r="Q1558" s="22">
        <f>IF(COUNTIFS(A$2:A1558,A1558,I$2:I1558,I1558)=1,1,0)</f>
        <v>0</v>
      </c>
      <c r="R1558" s="22">
        <f t="shared" si="24"/>
        <v>1</v>
      </c>
      <c r="S1558" s="33">
        <f>IF(COUNTIF(O$2:O1558,O1558)=1,R1558,0)/2.5</f>
        <v>0.4</v>
      </c>
    </row>
    <row r="1559" spans="1:19" ht="18" customHeight="1" x14ac:dyDescent="0.25">
      <c r="A1559" s="7" t="s">
        <v>43</v>
      </c>
      <c r="B1559" s="8">
        <v>1</v>
      </c>
      <c r="C1559" s="9">
        <v>384</v>
      </c>
      <c r="D1559" s="29">
        <f>C1559+IF(INDEX('Справочник по %'!B:B,(MATCH(A1559,'Справочник по %'!A:A,0)))="кол-во",B1559*INDEX('Справочник по %'!C:C,(MATCH(A1559,'Справочник по %'!A:A,0))),ОТЧЕТ!C1559*INDEX('Справочник по %'!C:C,(MATCH(A1559,'Справочник по %'!A:A,0))))/100</f>
        <v>422.4</v>
      </c>
      <c r="E1559" s="29">
        <f>IF(ОТЧЕТ!A1559="SKU3",C1559+ОТЧЕТ!C1559*0.2,C1559+ОТЧЕТ!C1559*0.15)</f>
        <v>441.6</v>
      </c>
      <c r="F1559" s="7" t="s">
        <v>3299</v>
      </c>
      <c r="G1559" s="7">
        <v>2221019606</v>
      </c>
      <c r="H1559" s="20" t="s">
        <v>2678</v>
      </c>
      <c r="I1559" s="22">
        <f>INDEX('Справочник Сети'!B:B,(MATCH(G1559,'Справочник Сети'!C:C,0)))</f>
        <v>0</v>
      </c>
      <c r="J1559" s="7" t="s">
        <v>372</v>
      </c>
      <c r="K1559" s="7" t="s">
        <v>3300</v>
      </c>
      <c r="L1559" s="7" t="s">
        <v>372</v>
      </c>
      <c r="M1559" s="31">
        <v>45730</v>
      </c>
      <c r="N1559" s="7" t="s">
        <v>3301</v>
      </c>
      <c r="O1559" s="8">
        <v>3451</v>
      </c>
      <c r="P1559" s="24">
        <v>6575</v>
      </c>
      <c r="Q1559" s="22">
        <f>IF(COUNTIFS(A$2:A1559,A1559,I$2:I1559,I1559)=1,1,0)</f>
        <v>0</v>
      </c>
      <c r="R1559" s="22">
        <f t="shared" si="24"/>
        <v>3</v>
      </c>
      <c r="S1559" s="33">
        <f>IF(COUNTIF(O$2:O1559,O1559)=1,R1559,0)/2.5</f>
        <v>0</v>
      </c>
    </row>
    <row r="1560" spans="1:19" ht="18" customHeight="1" x14ac:dyDescent="0.25">
      <c r="A1560" s="7" t="s">
        <v>37</v>
      </c>
      <c r="B1560" s="8">
        <v>1</v>
      </c>
      <c r="C1560" s="9">
        <v>559</v>
      </c>
      <c r="D1560" s="29">
        <f>C1560+IF(INDEX('Справочник по %'!B:B,(MATCH(A1560,'Справочник по %'!A:A,0)))="кол-во",B1560*INDEX('Справочник по %'!C:C,(MATCH(A1560,'Справочник по %'!A:A,0))),ОТЧЕТ!C1560*INDEX('Справочник по %'!C:C,(MATCH(A1560,'Справочник по %'!A:A,0))))/100</f>
        <v>559.20000000000005</v>
      </c>
      <c r="E1560" s="29">
        <f>IF(ОТЧЕТ!A1560="SKU3",C1560+ОТЧЕТ!C1560*0.2,C1560+ОТЧЕТ!C1560*0.15)</f>
        <v>642.85</v>
      </c>
      <c r="F1560" s="7" t="s">
        <v>3302</v>
      </c>
      <c r="G1560" s="7">
        <v>5905265563</v>
      </c>
      <c r="H1560" s="20" t="s">
        <v>39</v>
      </c>
      <c r="I1560" s="22">
        <f>INDEX('Справочник Сети'!B:B,(MATCH(G1560,'Справочник Сети'!C:C,0)))</f>
        <v>0</v>
      </c>
      <c r="J1560" s="7" t="s">
        <v>174</v>
      </c>
      <c r="K1560" s="7" t="s">
        <v>1371</v>
      </c>
      <c r="L1560" s="7" t="s">
        <v>40</v>
      </c>
      <c r="M1560" s="31">
        <v>45712</v>
      </c>
      <c r="N1560" s="7" t="s">
        <v>3303</v>
      </c>
      <c r="O1560" s="8">
        <v>1193</v>
      </c>
      <c r="P1560" s="24">
        <v>6585</v>
      </c>
      <c r="Q1560" s="22">
        <f>IF(COUNTIFS(A$2:A1560,A1560,I$2:I1560,I1560)=1,1,0)</f>
        <v>0</v>
      </c>
      <c r="R1560" s="22">
        <f t="shared" si="24"/>
        <v>1</v>
      </c>
      <c r="S1560" s="33">
        <f>IF(COUNTIF(O$2:O1560,O1560)=1,R1560,0)/2.5</f>
        <v>0.4</v>
      </c>
    </row>
    <row r="1561" spans="1:19" ht="18" customHeight="1" x14ac:dyDescent="0.25">
      <c r="A1561" s="7" t="s">
        <v>43</v>
      </c>
      <c r="B1561" s="8">
        <v>1</v>
      </c>
      <c r="C1561" s="9">
        <v>416.64</v>
      </c>
      <c r="D1561" s="29">
        <f>C1561+IF(INDEX('Справочник по %'!B:B,(MATCH(A1561,'Справочник по %'!A:A,0)))="кол-во",B1561*INDEX('Справочник по %'!C:C,(MATCH(A1561,'Справочник по %'!A:A,0))),ОТЧЕТ!C1561*INDEX('Справочник по %'!C:C,(MATCH(A1561,'Справочник по %'!A:A,0))))/100</f>
        <v>458.30399999999997</v>
      </c>
      <c r="E1561" s="29">
        <f>IF(ОТЧЕТ!A1561="SKU3",C1561+ОТЧЕТ!C1561*0.2,C1561+ОТЧЕТ!C1561*0.15)</f>
        <v>479.13599999999997</v>
      </c>
      <c r="F1561" s="7" t="s">
        <v>3304</v>
      </c>
      <c r="G1561" s="7">
        <v>550704589807</v>
      </c>
      <c r="H1561" s="20" t="s">
        <v>50</v>
      </c>
      <c r="I1561" s="22" t="str">
        <f>INDEX('Справочник Сети'!B:B,(MATCH(G1561,'Справочник Сети'!C:C,0)))</f>
        <v>Столички</v>
      </c>
      <c r="J1561" s="7" t="s">
        <v>251</v>
      </c>
      <c r="K1561" s="7" t="s">
        <v>2125</v>
      </c>
      <c r="L1561" s="7" t="s">
        <v>251</v>
      </c>
      <c r="M1561" s="31">
        <v>45659</v>
      </c>
      <c r="N1561" s="7" t="s">
        <v>3305</v>
      </c>
      <c r="O1561" s="8">
        <v>1134</v>
      </c>
      <c r="P1561" s="24">
        <v>6588</v>
      </c>
      <c r="Q1561" s="22">
        <f>IF(COUNTIFS(A$2:A1561,A1561,I$2:I1561,I1561)=1,1,0)</f>
        <v>0</v>
      </c>
      <c r="R1561" s="22">
        <f t="shared" si="24"/>
        <v>4</v>
      </c>
      <c r="S1561" s="33">
        <f>IF(COUNTIF(O$2:O1561,O1561)=1,R1561,0)/2.5</f>
        <v>0</v>
      </c>
    </row>
    <row r="1562" spans="1:19" ht="18" customHeight="1" x14ac:dyDescent="0.25">
      <c r="A1562" s="7" t="s">
        <v>43</v>
      </c>
      <c r="B1562" s="8">
        <v>1</v>
      </c>
      <c r="C1562" s="9">
        <v>425</v>
      </c>
      <c r="D1562" s="29">
        <f>C1562+IF(INDEX('Справочник по %'!B:B,(MATCH(A1562,'Справочник по %'!A:A,0)))="кол-во",B1562*INDEX('Справочник по %'!C:C,(MATCH(A1562,'Справочник по %'!A:A,0))),ОТЧЕТ!C1562*INDEX('Справочник по %'!C:C,(MATCH(A1562,'Справочник по %'!A:A,0))))/100</f>
        <v>467.5</v>
      </c>
      <c r="E1562" s="29">
        <f>IF(ОТЧЕТ!A1562="SKU3",C1562+ОТЧЕТ!C1562*0.2,C1562+ОТЧЕТ!C1562*0.15)</f>
        <v>488.75</v>
      </c>
      <c r="F1562" s="7" t="s">
        <v>3306</v>
      </c>
      <c r="G1562" s="7">
        <v>2225105670</v>
      </c>
      <c r="H1562" s="20" t="s">
        <v>69</v>
      </c>
      <c r="I1562" s="22" t="str">
        <f>INDEX('Справочник Сети'!B:B,(MATCH(G1562,'Справочник Сети'!C:C,0)))</f>
        <v>Столички</v>
      </c>
      <c r="J1562" s="7" t="s">
        <v>372</v>
      </c>
      <c r="K1562" s="7" t="s">
        <v>531</v>
      </c>
      <c r="L1562" s="7" t="s">
        <v>372</v>
      </c>
      <c r="M1562" s="31">
        <v>45730</v>
      </c>
      <c r="N1562" s="7" t="s">
        <v>3307</v>
      </c>
      <c r="O1562" s="8">
        <v>2345</v>
      </c>
      <c r="P1562" s="24">
        <v>6602</v>
      </c>
      <c r="Q1562" s="22">
        <f>IF(COUNTIFS(A$2:A1562,A1562,I$2:I1562,I1562)=1,1,0)</f>
        <v>0</v>
      </c>
      <c r="R1562" s="22">
        <f t="shared" si="24"/>
        <v>5</v>
      </c>
      <c r="S1562" s="33">
        <f>IF(COUNTIF(O$2:O1562,O1562)=1,R1562,0)/2.5</f>
        <v>0</v>
      </c>
    </row>
    <row r="1563" spans="1:19" ht="18" customHeight="1" x14ac:dyDescent="0.25">
      <c r="A1563" s="7" t="s">
        <v>43</v>
      </c>
      <c r="B1563" s="8">
        <v>1</v>
      </c>
      <c r="C1563" s="9">
        <v>399.5</v>
      </c>
      <c r="D1563" s="29">
        <f>C1563+IF(INDEX('Справочник по %'!B:B,(MATCH(A1563,'Справочник по %'!A:A,0)))="кол-во",B1563*INDEX('Справочник по %'!C:C,(MATCH(A1563,'Справочник по %'!A:A,0))),ОТЧЕТ!C1563*INDEX('Справочник по %'!C:C,(MATCH(A1563,'Справочник по %'!A:A,0))))/100</f>
        <v>439.45</v>
      </c>
      <c r="E1563" s="29">
        <f>IF(ОТЧЕТ!A1563="SKU3",C1563+ОТЧЕТ!C1563*0.2,C1563+ОТЧЕТ!C1563*0.15)</f>
        <v>459.42500000000001</v>
      </c>
      <c r="F1563" s="7" t="s">
        <v>3308</v>
      </c>
      <c r="G1563" s="7">
        <v>3801042576</v>
      </c>
      <c r="H1563" s="20" t="s">
        <v>64</v>
      </c>
      <c r="I1563" s="22" t="str">
        <f>INDEX('Справочник Сети'!B:B,(MATCH(G1563,'Справочник Сети'!C:C,0)))</f>
        <v>Планета здоровья</v>
      </c>
      <c r="J1563" s="7" t="s">
        <v>65</v>
      </c>
      <c r="K1563" s="7" t="s">
        <v>1215</v>
      </c>
      <c r="L1563" s="7" t="s">
        <v>65</v>
      </c>
      <c r="M1563" s="31">
        <v>45717</v>
      </c>
      <c r="N1563" s="7" t="s">
        <v>3309</v>
      </c>
      <c r="O1563" s="8">
        <v>3048</v>
      </c>
      <c r="P1563" s="24">
        <v>6603</v>
      </c>
      <c r="Q1563" s="22">
        <f>IF(COUNTIFS(A$2:A1563,A1563,I$2:I1563,I1563)=1,1,0)</f>
        <v>0</v>
      </c>
      <c r="R1563" s="22">
        <f t="shared" si="24"/>
        <v>6</v>
      </c>
      <c r="S1563" s="33">
        <f>IF(COUNTIF(O$2:O1563,O1563)=1,R1563,0)/2.5</f>
        <v>0</v>
      </c>
    </row>
    <row r="1564" spans="1:19" ht="18" customHeight="1" x14ac:dyDescent="0.25">
      <c r="A1564" s="7" t="s">
        <v>43</v>
      </c>
      <c r="B1564" s="8">
        <v>1</v>
      </c>
      <c r="C1564" s="9">
        <v>395</v>
      </c>
      <c r="D1564" s="29">
        <f>C1564+IF(INDEX('Справочник по %'!B:B,(MATCH(A1564,'Справочник по %'!A:A,0)))="кол-во",B1564*INDEX('Справочник по %'!C:C,(MATCH(A1564,'Справочник по %'!A:A,0))),ОТЧЕТ!C1564*INDEX('Справочник по %'!C:C,(MATCH(A1564,'Справочник по %'!A:A,0))))/100</f>
        <v>434.5</v>
      </c>
      <c r="E1564" s="29">
        <f>IF(ОТЧЕТ!A1564="SKU3",C1564+ОТЧЕТ!C1564*0.2,C1564+ОТЧЕТ!C1564*0.15)</f>
        <v>454.25</v>
      </c>
      <c r="F1564" s="7" t="s">
        <v>3310</v>
      </c>
      <c r="G1564" s="7">
        <v>3808138301</v>
      </c>
      <c r="H1564" s="20" t="s">
        <v>64</v>
      </c>
      <c r="I1564" s="22">
        <f>INDEX('Справочник Сети'!B:B,(MATCH(G1564,'Справочник Сети'!C:C,0)))</f>
        <v>0</v>
      </c>
      <c r="J1564" s="7" t="s">
        <v>155</v>
      </c>
      <c r="K1564" s="7" t="s">
        <v>1921</v>
      </c>
      <c r="L1564" s="7" t="s">
        <v>155</v>
      </c>
      <c r="M1564" s="31">
        <v>45716</v>
      </c>
      <c r="N1564" s="7" t="s">
        <v>3311</v>
      </c>
      <c r="O1564" s="8">
        <v>3810</v>
      </c>
      <c r="P1564" s="24">
        <v>6605</v>
      </c>
      <c r="Q1564" s="22">
        <f>IF(COUNTIFS(A$2:A1564,A1564,I$2:I1564,I1564)=1,1,0)</f>
        <v>0</v>
      </c>
      <c r="R1564" s="22">
        <f t="shared" si="24"/>
        <v>1</v>
      </c>
      <c r="S1564" s="33">
        <f>IF(COUNTIF(O$2:O1564,O1564)=1,R1564,0)/2.5</f>
        <v>0.4</v>
      </c>
    </row>
    <row r="1565" spans="1:19" ht="18" customHeight="1" x14ac:dyDescent="0.25">
      <c r="A1565" s="7" t="s">
        <v>37</v>
      </c>
      <c r="B1565" s="8">
        <v>1</v>
      </c>
      <c r="C1565" s="9">
        <v>568.54999999999995</v>
      </c>
      <c r="D1565" s="29">
        <f>C1565+IF(INDEX('Справочник по %'!B:B,(MATCH(A1565,'Справочник по %'!A:A,0)))="кол-во",B1565*INDEX('Справочник по %'!C:C,(MATCH(A1565,'Справочник по %'!A:A,0))),ОТЧЕТ!C1565*INDEX('Справочник по %'!C:C,(MATCH(A1565,'Справочник по %'!A:A,0))))/100</f>
        <v>568.75</v>
      </c>
      <c r="E1565" s="29">
        <f>IF(ОТЧЕТ!A1565="SKU3",C1565+ОТЧЕТ!C1565*0.2,C1565+ОТЧЕТ!C1565*0.15)</f>
        <v>653.83249999999998</v>
      </c>
      <c r="F1565" s="7" t="s">
        <v>3312</v>
      </c>
      <c r="G1565" s="7">
        <v>550704589807</v>
      </c>
      <c r="H1565" s="20" t="s">
        <v>50</v>
      </c>
      <c r="I1565" s="22" t="str">
        <f>INDEX('Справочник Сети'!B:B,(MATCH(G1565,'Справочник Сети'!C:C,0)))</f>
        <v>Столички</v>
      </c>
      <c r="J1565" s="7" t="s">
        <v>251</v>
      </c>
      <c r="K1565" s="7" t="s">
        <v>3313</v>
      </c>
      <c r="L1565" s="7" t="s">
        <v>251</v>
      </c>
      <c r="M1565" s="31">
        <v>45659</v>
      </c>
      <c r="N1565" s="7" t="s">
        <v>3314</v>
      </c>
      <c r="O1565" s="8">
        <v>554</v>
      </c>
      <c r="P1565" s="24">
        <v>6609</v>
      </c>
      <c r="Q1565" s="22">
        <f>IF(COUNTIFS(A$2:A1565,A1565,I$2:I1565,I1565)=1,1,0)</f>
        <v>0</v>
      </c>
      <c r="R1565" s="22">
        <f t="shared" si="24"/>
        <v>5</v>
      </c>
      <c r="S1565" s="33">
        <f>IF(COUNTIF(O$2:O1565,O1565)=1,R1565,0)/2.5</f>
        <v>2</v>
      </c>
    </row>
    <row r="1566" spans="1:19" ht="18" customHeight="1" x14ac:dyDescent="0.25">
      <c r="A1566" s="7" t="s">
        <v>37</v>
      </c>
      <c r="B1566" s="8">
        <v>1</v>
      </c>
      <c r="C1566" s="9">
        <v>542</v>
      </c>
      <c r="D1566" s="29">
        <f>C1566+IF(INDEX('Справочник по %'!B:B,(MATCH(A1566,'Справочник по %'!A:A,0)))="кол-во",B1566*INDEX('Справочник по %'!C:C,(MATCH(A1566,'Справочник по %'!A:A,0))),ОТЧЕТ!C1566*INDEX('Справочник по %'!C:C,(MATCH(A1566,'Справочник по %'!A:A,0))))/100</f>
        <v>542.20000000000005</v>
      </c>
      <c r="E1566" s="29">
        <f>IF(ОТЧЕТ!A1566="SKU3",C1566+ОТЧЕТ!C1566*0.2,C1566+ОТЧЕТ!C1566*0.15)</f>
        <v>623.29999999999995</v>
      </c>
      <c r="F1566" s="7" t="s">
        <v>3315</v>
      </c>
      <c r="G1566" s="7">
        <v>7706795062</v>
      </c>
      <c r="H1566" s="20" t="s">
        <v>3061</v>
      </c>
      <c r="I1566" s="22" t="str">
        <f>INDEX('Справочник Сети'!B:B,(MATCH(G1566,'Справочник Сети'!C:C,0)))</f>
        <v>Планета здоровья</v>
      </c>
      <c r="J1566" s="7" t="s">
        <v>87</v>
      </c>
      <c r="K1566" s="7" t="s">
        <v>3316</v>
      </c>
      <c r="L1566" s="7" t="s">
        <v>87</v>
      </c>
      <c r="M1566" s="31">
        <v>45691</v>
      </c>
      <c r="N1566" s="7" t="s">
        <v>3317</v>
      </c>
      <c r="O1566" s="8">
        <v>2608</v>
      </c>
      <c r="P1566" s="24">
        <v>6611</v>
      </c>
      <c r="Q1566" s="22">
        <f>IF(COUNTIFS(A$2:A1566,A1566,I$2:I1566,I1566)=1,1,0)</f>
        <v>0</v>
      </c>
      <c r="R1566" s="22">
        <f t="shared" si="24"/>
        <v>3</v>
      </c>
      <c r="S1566" s="33">
        <f>IF(COUNTIF(O$2:O1566,O1566)=1,R1566,0)/2.5</f>
        <v>0</v>
      </c>
    </row>
    <row r="1567" spans="1:19" ht="18" customHeight="1" x14ac:dyDescent="0.25">
      <c r="A1567" s="7" t="s">
        <v>43</v>
      </c>
      <c r="B1567" s="8">
        <v>1</v>
      </c>
      <c r="C1567" s="9">
        <v>467</v>
      </c>
      <c r="D1567" s="29">
        <f>C1567+IF(INDEX('Справочник по %'!B:B,(MATCH(A1567,'Справочник по %'!A:A,0)))="кол-во",B1567*INDEX('Справочник по %'!C:C,(MATCH(A1567,'Справочник по %'!A:A,0))),ОТЧЕТ!C1567*INDEX('Справочник по %'!C:C,(MATCH(A1567,'Справочник по %'!A:A,0))))/100</f>
        <v>513.70000000000005</v>
      </c>
      <c r="E1567" s="29">
        <f>IF(ОТЧЕТ!A1567="SKU3",C1567+ОТЧЕТ!C1567*0.2,C1567+ОТЧЕТ!C1567*0.15)</f>
        <v>537.04999999999995</v>
      </c>
      <c r="F1567" s="7" t="s">
        <v>3318</v>
      </c>
      <c r="G1567" s="7">
        <v>7724854659</v>
      </c>
      <c r="H1567" s="20" t="s">
        <v>39</v>
      </c>
      <c r="I1567" s="22">
        <f>INDEX('Справочник Сети'!B:B,(MATCH(G1567,'Справочник Сети'!C:C,0)))</f>
        <v>0</v>
      </c>
      <c r="J1567" s="7" t="s">
        <v>185</v>
      </c>
      <c r="K1567" s="7" t="s">
        <v>1305</v>
      </c>
      <c r="L1567" s="7" t="s">
        <v>185</v>
      </c>
      <c r="M1567" s="31">
        <v>45675</v>
      </c>
      <c r="N1567" s="7" t="s">
        <v>3319</v>
      </c>
      <c r="O1567" s="8">
        <v>1606</v>
      </c>
      <c r="P1567" s="24">
        <v>6614</v>
      </c>
      <c r="Q1567" s="22">
        <f>IF(COUNTIFS(A$2:A1567,A1567,I$2:I1567,I1567)=1,1,0)</f>
        <v>0</v>
      </c>
      <c r="R1567" s="22">
        <f t="shared" si="24"/>
        <v>1</v>
      </c>
      <c r="S1567" s="33">
        <f>IF(COUNTIF(O$2:O1567,O1567)=1,R1567,0)/2.5</f>
        <v>0.4</v>
      </c>
    </row>
    <row r="1568" spans="1:19" ht="18" customHeight="1" x14ac:dyDescent="0.25">
      <c r="A1568" s="7" t="s">
        <v>43</v>
      </c>
      <c r="B1568" s="8">
        <v>1</v>
      </c>
      <c r="C1568" s="9">
        <v>453</v>
      </c>
      <c r="D1568" s="29">
        <f>C1568+IF(INDEX('Справочник по %'!B:B,(MATCH(A1568,'Справочник по %'!A:A,0)))="кол-во",B1568*INDEX('Справочник по %'!C:C,(MATCH(A1568,'Справочник по %'!A:A,0))),ОТЧЕТ!C1568*INDEX('Справочник по %'!C:C,(MATCH(A1568,'Справочник по %'!A:A,0))))/100</f>
        <v>498.3</v>
      </c>
      <c r="E1568" s="29">
        <f>IF(ОТЧЕТ!A1568="SKU3",C1568+ОТЧЕТ!C1568*0.2,C1568+ОТЧЕТ!C1568*0.15)</f>
        <v>520.95000000000005</v>
      </c>
      <c r="F1568" s="7" t="s">
        <v>3320</v>
      </c>
      <c r="G1568" s="7">
        <v>326537584</v>
      </c>
      <c r="H1568" s="20" t="s">
        <v>3321</v>
      </c>
      <c r="I1568" s="22" t="str">
        <f>INDEX('Справочник Сети'!B:B,(MATCH(G1568,'Справочник Сети'!C:C,0)))</f>
        <v>Планета здоровья</v>
      </c>
      <c r="J1568" s="7" t="s">
        <v>362</v>
      </c>
      <c r="K1568" s="7" t="s">
        <v>642</v>
      </c>
      <c r="L1568" s="7" t="s">
        <v>362</v>
      </c>
      <c r="M1568" s="31">
        <v>45732</v>
      </c>
      <c r="N1568" s="7" t="s">
        <v>3322</v>
      </c>
      <c r="O1568" s="8">
        <v>3343</v>
      </c>
      <c r="P1568" s="24">
        <v>6616</v>
      </c>
      <c r="Q1568" s="22">
        <f>IF(COUNTIFS(A$2:A1568,A1568,I$2:I1568,I1568)=1,1,0)</f>
        <v>0</v>
      </c>
      <c r="R1568" s="22">
        <f t="shared" si="24"/>
        <v>2</v>
      </c>
      <c r="S1568" s="33">
        <f>IF(COUNTIF(O$2:O1568,O1568)=1,R1568,0)/2.5</f>
        <v>0.8</v>
      </c>
    </row>
    <row r="1569" spans="1:19" ht="18" customHeight="1" x14ac:dyDescent="0.25">
      <c r="A1569" s="7" t="s">
        <v>43</v>
      </c>
      <c r="B1569" s="8">
        <v>1</v>
      </c>
      <c r="C1569" s="9">
        <v>456</v>
      </c>
      <c r="D1569" s="29">
        <f>C1569+IF(INDEX('Справочник по %'!B:B,(MATCH(A1569,'Справочник по %'!A:A,0)))="кол-во",B1569*INDEX('Справочник по %'!C:C,(MATCH(A1569,'Справочник по %'!A:A,0))),ОТЧЕТ!C1569*INDEX('Справочник по %'!C:C,(MATCH(A1569,'Справочник по %'!A:A,0))))/100</f>
        <v>501.6</v>
      </c>
      <c r="E1569" s="29">
        <f>IF(ОТЧЕТ!A1569="SKU3",C1569+ОТЧЕТ!C1569*0.2,C1569+ОТЧЕТ!C1569*0.15)</f>
        <v>524.4</v>
      </c>
      <c r="F1569" s="7" t="s">
        <v>3320</v>
      </c>
      <c r="G1569" s="7">
        <v>326537584</v>
      </c>
      <c r="H1569" s="20" t="s">
        <v>3321</v>
      </c>
      <c r="I1569" s="22" t="str">
        <f>INDEX('Справочник Сети'!B:B,(MATCH(G1569,'Справочник Сети'!C:C,0)))</f>
        <v>Планета здоровья</v>
      </c>
      <c r="J1569" s="7" t="s">
        <v>362</v>
      </c>
      <c r="K1569" s="7" t="s">
        <v>642</v>
      </c>
      <c r="L1569" s="7" t="s">
        <v>362</v>
      </c>
      <c r="M1569" s="31">
        <v>45732</v>
      </c>
      <c r="N1569" s="7" t="s">
        <v>3322</v>
      </c>
      <c r="O1569" s="8">
        <v>3343</v>
      </c>
      <c r="P1569" s="24">
        <v>6616</v>
      </c>
      <c r="Q1569" s="22">
        <f>IF(COUNTIFS(A$2:A1569,A1569,I$2:I1569,I1569)=1,1,0)</f>
        <v>0</v>
      </c>
      <c r="R1569" s="22">
        <f t="shared" si="24"/>
        <v>2</v>
      </c>
      <c r="S1569" s="33">
        <f>IF(COUNTIF(O$2:O1569,O1569)=1,R1569,0)/2.5</f>
        <v>0</v>
      </c>
    </row>
    <row r="1570" spans="1:19" ht="18" customHeight="1" x14ac:dyDescent="0.25">
      <c r="A1570" s="7" t="s">
        <v>43</v>
      </c>
      <c r="B1570" s="8">
        <v>1</v>
      </c>
      <c r="C1570" s="9">
        <v>439.9</v>
      </c>
      <c r="D1570" s="29">
        <f>C1570+IF(INDEX('Справочник по %'!B:B,(MATCH(A1570,'Справочник по %'!A:A,0)))="кол-во",B1570*INDEX('Справочник по %'!C:C,(MATCH(A1570,'Справочник по %'!A:A,0))),ОТЧЕТ!C1570*INDEX('Справочник по %'!C:C,(MATCH(A1570,'Справочник по %'!A:A,0))))/100</f>
        <v>483.89</v>
      </c>
      <c r="E1570" s="29">
        <f>IF(ОТЧЕТ!A1570="SKU3",C1570+ОТЧЕТ!C1570*0.2,C1570+ОТЧЕТ!C1570*0.15)</f>
        <v>505.88499999999999</v>
      </c>
      <c r="F1570" s="7" t="s">
        <v>3320</v>
      </c>
      <c r="G1570" s="7">
        <v>7204146152</v>
      </c>
      <c r="H1570" s="20" t="s">
        <v>1009</v>
      </c>
      <c r="I1570" s="22" t="str">
        <f>INDEX('Справочник Сети'!B:B,(MATCH(G1570,'Справочник Сети'!C:C,0)))</f>
        <v>36,6</v>
      </c>
      <c r="J1570" s="7" t="s">
        <v>104</v>
      </c>
      <c r="K1570" s="7" t="s">
        <v>1471</v>
      </c>
      <c r="L1570" s="7" t="s">
        <v>106</v>
      </c>
      <c r="M1570" s="31">
        <v>45694</v>
      </c>
      <c r="N1570" s="7" t="s">
        <v>3323</v>
      </c>
      <c r="O1570" s="8">
        <v>763</v>
      </c>
      <c r="P1570" s="24">
        <v>6617</v>
      </c>
      <c r="Q1570" s="22">
        <f>IF(COUNTIFS(A$2:A1570,A1570,I$2:I1570,I1570)=1,1,0)</f>
        <v>0</v>
      </c>
      <c r="R1570" s="22">
        <f t="shared" si="24"/>
        <v>2</v>
      </c>
      <c r="S1570" s="33">
        <f>IF(COUNTIF(O$2:O1570,O1570)=1,R1570,0)/2.5</f>
        <v>0.8</v>
      </c>
    </row>
    <row r="1571" spans="1:19" ht="18" customHeight="1" x14ac:dyDescent="0.25">
      <c r="A1571" s="7" t="s">
        <v>43</v>
      </c>
      <c r="B1571" s="8">
        <v>1</v>
      </c>
      <c r="C1571" s="9">
        <v>465</v>
      </c>
      <c r="D1571" s="29">
        <f>C1571+IF(INDEX('Справочник по %'!B:B,(MATCH(A1571,'Справочник по %'!A:A,0)))="кол-во",B1571*INDEX('Справочник по %'!C:C,(MATCH(A1571,'Справочник по %'!A:A,0))),ОТЧЕТ!C1571*INDEX('Справочник по %'!C:C,(MATCH(A1571,'Справочник по %'!A:A,0))))/100</f>
        <v>511.5</v>
      </c>
      <c r="E1571" s="29">
        <f>IF(ОТЧЕТ!A1571="SKU3",C1571+ОТЧЕТ!C1571*0.2,C1571+ОТЧЕТ!C1571*0.15)</f>
        <v>534.75</v>
      </c>
      <c r="F1571" s="7" t="s">
        <v>3320</v>
      </c>
      <c r="G1571" s="7">
        <v>2301048666</v>
      </c>
      <c r="H1571" s="20" t="s">
        <v>50</v>
      </c>
      <c r="I1571" s="22" t="str">
        <f>INDEX('Справочник Сети'!B:B,(MATCH(G1571,'Справочник Сети'!C:C,0)))</f>
        <v>Столички</v>
      </c>
      <c r="J1571" s="7" t="s">
        <v>372</v>
      </c>
      <c r="K1571" s="7" t="s">
        <v>3324</v>
      </c>
      <c r="L1571" s="7" t="s">
        <v>372</v>
      </c>
      <c r="M1571" s="31">
        <v>45730</v>
      </c>
      <c r="N1571" s="7" t="s">
        <v>3325</v>
      </c>
      <c r="O1571" s="8">
        <v>780</v>
      </c>
      <c r="P1571" s="24">
        <v>6619</v>
      </c>
      <c r="Q1571" s="22">
        <f>IF(COUNTIFS(A$2:A1571,A1571,I$2:I1571,I1571)=1,1,0)</f>
        <v>0</v>
      </c>
      <c r="R1571" s="22">
        <f t="shared" si="24"/>
        <v>1</v>
      </c>
      <c r="S1571" s="33">
        <f>IF(COUNTIF(O$2:O1571,O1571)=1,R1571,0)/2.5</f>
        <v>0.4</v>
      </c>
    </row>
    <row r="1572" spans="1:19" ht="18" customHeight="1" x14ac:dyDescent="0.25">
      <c r="A1572" s="7" t="s">
        <v>43</v>
      </c>
      <c r="B1572" s="8">
        <v>1</v>
      </c>
      <c r="C1572" s="9">
        <v>432</v>
      </c>
      <c r="D1572" s="29">
        <f>C1572+IF(INDEX('Справочник по %'!B:B,(MATCH(A1572,'Справочник по %'!A:A,0)))="кол-во",B1572*INDEX('Справочник по %'!C:C,(MATCH(A1572,'Справочник по %'!A:A,0))),ОТЧЕТ!C1572*INDEX('Справочник по %'!C:C,(MATCH(A1572,'Справочник по %'!A:A,0))))/100</f>
        <v>475.2</v>
      </c>
      <c r="E1572" s="29">
        <f>IF(ОТЧЕТ!A1572="SKU3",C1572+ОТЧЕТ!C1572*0.2,C1572+ОТЧЕТ!C1572*0.15)</f>
        <v>496.8</v>
      </c>
      <c r="F1572" s="7" t="s">
        <v>3326</v>
      </c>
      <c r="G1572" s="7">
        <v>2543009225</v>
      </c>
      <c r="H1572" s="20" t="s">
        <v>3327</v>
      </c>
      <c r="I1572" s="22" t="str">
        <f>INDEX('Справочник Сети'!B:B,(MATCH(G1572,'Справочник Сети'!C:C,0)))</f>
        <v>Нео-фарм</v>
      </c>
      <c r="J1572" s="7" t="s">
        <v>46</v>
      </c>
      <c r="K1572" s="7" t="s">
        <v>481</v>
      </c>
      <c r="L1572" s="7" t="s">
        <v>46</v>
      </c>
      <c r="M1572" s="31">
        <v>45726</v>
      </c>
      <c r="N1572" s="7" t="s">
        <v>3328</v>
      </c>
      <c r="O1572" s="8">
        <v>2946</v>
      </c>
      <c r="P1572" s="24">
        <v>6629</v>
      </c>
      <c r="Q1572" s="22">
        <f>IF(COUNTIFS(A$2:A1572,A1572,I$2:I1572,I1572)=1,1,0)</f>
        <v>0</v>
      </c>
      <c r="R1572" s="22">
        <f t="shared" si="24"/>
        <v>7</v>
      </c>
      <c r="S1572" s="33">
        <f>IF(COUNTIF(O$2:O1572,O1572)=1,R1572,0)/2.5</f>
        <v>2.8</v>
      </c>
    </row>
    <row r="1573" spans="1:19" ht="18" customHeight="1" x14ac:dyDescent="0.25">
      <c r="A1573" s="7" t="s">
        <v>43</v>
      </c>
      <c r="B1573" s="8">
        <v>1</v>
      </c>
      <c r="C1573" s="9">
        <v>516</v>
      </c>
      <c r="D1573" s="29">
        <f>C1573+IF(INDEX('Справочник по %'!B:B,(MATCH(A1573,'Справочник по %'!A:A,0)))="кол-во",B1573*INDEX('Справочник по %'!C:C,(MATCH(A1573,'Справочник по %'!A:A,0))),ОТЧЕТ!C1573*INDEX('Справочник по %'!C:C,(MATCH(A1573,'Справочник по %'!A:A,0))))/100</f>
        <v>567.6</v>
      </c>
      <c r="E1573" s="29">
        <f>IF(ОТЧЕТ!A1573="SKU3",C1573+ОТЧЕТ!C1573*0.2,C1573+ОТЧЕТ!C1573*0.15)</f>
        <v>593.4</v>
      </c>
      <c r="F1573" s="7" t="s">
        <v>3326</v>
      </c>
      <c r="G1573" s="7">
        <v>4707025487</v>
      </c>
      <c r="H1573" s="20" t="s">
        <v>50</v>
      </c>
      <c r="I1573" s="22">
        <f>INDEX('Справочник Сети'!B:B,(MATCH(G1573,'Справочник Сети'!C:C,0)))</f>
        <v>0</v>
      </c>
      <c r="J1573" s="7" t="s">
        <v>83</v>
      </c>
      <c r="K1573" s="7" t="s">
        <v>1912</v>
      </c>
      <c r="L1573" s="7" t="s">
        <v>83</v>
      </c>
      <c r="M1573" s="31">
        <v>45715</v>
      </c>
      <c r="N1573" s="7" t="s">
        <v>3329</v>
      </c>
      <c r="O1573" s="8">
        <v>3334</v>
      </c>
      <c r="P1573" s="24">
        <v>6631</v>
      </c>
      <c r="Q1573" s="22">
        <f>IF(COUNTIFS(A$2:A1573,A1573,I$2:I1573,I1573)=1,1,0)</f>
        <v>0</v>
      </c>
      <c r="R1573" s="22">
        <f t="shared" si="24"/>
        <v>6</v>
      </c>
      <c r="S1573" s="33">
        <f>IF(COUNTIF(O$2:O1573,O1573)=1,R1573,0)/2.5</f>
        <v>2.4</v>
      </c>
    </row>
    <row r="1574" spans="1:19" ht="18" customHeight="1" x14ac:dyDescent="0.25">
      <c r="A1574" s="7" t="s">
        <v>43</v>
      </c>
      <c r="B1574" s="8">
        <v>1</v>
      </c>
      <c r="C1574" s="9">
        <v>440</v>
      </c>
      <c r="D1574" s="29">
        <f>C1574+IF(INDEX('Справочник по %'!B:B,(MATCH(A1574,'Справочник по %'!A:A,0)))="кол-во",B1574*INDEX('Справочник по %'!C:C,(MATCH(A1574,'Справочник по %'!A:A,0))),ОТЧЕТ!C1574*INDEX('Справочник по %'!C:C,(MATCH(A1574,'Справочник по %'!A:A,0))))/100</f>
        <v>484</v>
      </c>
      <c r="E1574" s="29">
        <f>IF(ОТЧЕТ!A1574="SKU3",C1574+ОТЧЕТ!C1574*0.2,C1574+ОТЧЕТ!C1574*0.15)</f>
        <v>506</v>
      </c>
      <c r="F1574" s="7" t="s">
        <v>3326</v>
      </c>
      <c r="G1574" s="7">
        <v>550700455672</v>
      </c>
      <c r="H1574" s="20" t="s">
        <v>50</v>
      </c>
      <c r="I1574" s="22">
        <f>INDEX('Справочник Сети'!B:B,(MATCH(G1574,'Справочник Сети'!C:C,0)))</f>
        <v>0</v>
      </c>
      <c r="J1574" s="7" t="s">
        <v>251</v>
      </c>
      <c r="K1574" s="7" t="s">
        <v>1202</v>
      </c>
      <c r="L1574" s="7" t="s">
        <v>251</v>
      </c>
      <c r="M1574" s="31">
        <v>45659</v>
      </c>
      <c r="N1574" s="7" t="s">
        <v>3330</v>
      </c>
      <c r="O1574" s="8">
        <v>2218</v>
      </c>
      <c r="P1574" s="24">
        <v>6632</v>
      </c>
      <c r="Q1574" s="22">
        <f>IF(COUNTIFS(A$2:A1574,A1574,I$2:I1574,I1574)=1,1,0)</f>
        <v>0</v>
      </c>
      <c r="R1574" s="22">
        <f t="shared" si="24"/>
        <v>2</v>
      </c>
      <c r="S1574" s="33">
        <f>IF(COUNTIF(O$2:O1574,O1574)=1,R1574,0)/2.5</f>
        <v>0.8</v>
      </c>
    </row>
    <row r="1575" spans="1:19" ht="18" customHeight="1" x14ac:dyDescent="0.25">
      <c r="A1575" s="7" t="s">
        <v>37</v>
      </c>
      <c r="B1575" s="8">
        <v>1</v>
      </c>
      <c r="C1575" s="9">
        <v>668.6</v>
      </c>
      <c r="D1575" s="29">
        <f>C1575+IF(INDEX('Справочник по %'!B:B,(MATCH(A1575,'Справочник по %'!A:A,0)))="кол-во",B1575*INDEX('Справочник по %'!C:C,(MATCH(A1575,'Справочник по %'!A:A,0))),ОТЧЕТ!C1575*INDEX('Справочник по %'!C:C,(MATCH(A1575,'Справочник по %'!A:A,0))))/100</f>
        <v>668.80000000000007</v>
      </c>
      <c r="E1575" s="29">
        <f>IF(ОТЧЕТ!A1575="SKU3",C1575+ОТЧЕТ!C1575*0.2,C1575+ОТЧЕТ!C1575*0.15)</f>
        <v>768.89</v>
      </c>
      <c r="F1575" s="7" t="s">
        <v>3326</v>
      </c>
      <c r="G1575" s="7">
        <v>1660127012</v>
      </c>
      <c r="H1575" s="20" t="s">
        <v>3331</v>
      </c>
      <c r="I1575" s="22" t="str">
        <f>INDEX('Справочник Сети'!B:B,(MATCH(G1575,'Справочник Сети'!C:C,0)))</f>
        <v>Столички</v>
      </c>
      <c r="J1575" s="7" t="s">
        <v>335</v>
      </c>
      <c r="K1575" s="7" t="s">
        <v>3244</v>
      </c>
      <c r="L1575" s="7" t="s">
        <v>335</v>
      </c>
      <c r="M1575" s="31">
        <v>45731</v>
      </c>
      <c r="N1575" s="7" t="s">
        <v>3332</v>
      </c>
      <c r="O1575" s="8">
        <v>1586</v>
      </c>
      <c r="P1575" s="24">
        <v>6635</v>
      </c>
      <c r="Q1575" s="22">
        <f>IF(COUNTIFS(A$2:A1575,A1575,I$2:I1575,I1575)=1,1,0)</f>
        <v>0</v>
      </c>
      <c r="R1575" s="22">
        <f t="shared" si="24"/>
        <v>1</v>
      </c>
      <c r="S1575" s="33">
        <f>IF(COUNTIF(O$2:O1575,O1575)=1,R1575,0)/2.5</f>
        <v>0.4</v>
      </c>
    </row>
    <row r="1576" spans="1:19" ht="18" customHeight="1" x14ac:dyDescent="0.25">
      <c r="A1576" s="7" t="s">
        <v>43</v>
      </c>
      <c r="B1576" s="8">
        <v>1</v>
      </c>
      <c r="C1576" s="9">
        <v>452</v>
      </c>
      <c r="D1576" s="29">
        <f>C1576+IF(INDEX('Справочник по %'!B:B,(MATCH(A1576,'Справочник по %'!A:A,0)))="кол-во",B1576*INDEX('Справочник по %'!C:C,(MATCH(A1576,'Справочник по %'!A:A,0))),ОТЧЕТ!C1576*INDEX('Справочник по %'!C:C,(MATCH(A1576,'Справочник по %'!A:A,0))))/100</f>
        <v>497.2</v>
      </c>
      <c r="E1576" s="29">
        <f>IF(ОТЧЕТ!A1576="SKU3",C1576+ОТЧЕТ!C1576*0.2,C1576+ОТЧЕТ!C1576*0.15)</f>
        <v>519.79999999999995</v>
      </c>
      <c r="F1576" s="7" t="s">
        <v>3326</v>
      </c>
      <c r="G1576" s="7">
        <v>2222896536</v>
      </c>
      <c r="H1576" s="20" t="s">
        <v>50</v>
      </c>
      <c r="I1576" s="22" t="str">
        <f>INDEX('Справочник Сети'!B:B,(MATCH(G1576,'Справочник Сети'!C:C,0)))</f>
        <v>Нео-фарм</v>
      </c>
      <c r="J1576" s="7" t="s">
        <v>372</v>
      </c>
      <c r="K1576" s="7" t="s">
        <v>2178</v>
      </c>
      <c r="L1576" s="7" t="s">
        <v>372</v>
      </c>
      <c r="M1576" s="31">
        <v>45730</v>
      </c>
      <c r="N1576" s="7" t="s">
        <v>3333</v>
      </c>
      <c r="O1576" s="8">
        <v>1918</v>
      </c>
      <c r="P1576" s="24">
        <v>6645</v>
      </c>
      <c r="Q1576" s="22">
        <f>IF(COUNTIFS(A$2:A1576,A1576,I$2:I1576,I1576)=1,1,0)</f>
        <v>0</v>
      </c>
      <c r="R1576" s="22">
        <f t="shared" si="24"/>
        <v>13</v>
      </c>
      <c r="S1576" s="33">
        <f>IF(COUNTIF(O$2:O1576,O1576)=1,R1576,0)/2.5</f>
        <v>0</v>
      </c>
    </row>
    <row r="1577" spans="1:19" ht="18" customHeight="1" x14ac:dyDescent="0.25">
      <c r="A1577" s="7" t="s">
        <v>43</v>
      </c>
      <c r="B1577" s="8">
        <v>1</v>
      </c>
      <c r="C1577" s="9">
        <v>452</v>
      </c>
      <c r="D1577" s="29">
        <f>C1577+IF(INDEX('Справочник по %'!B:B,(MATCH(A1577,'Справочник по %'!A:A,0)))="кол-во",B1577*INDEX('Справочник по %'!C:C,(MATCH(A1577,'Справочник по %'!A:A,0))),ОТЧЕТ!C1577*INDEX('Справочник по %'!C:C,(MATCH(A1577,'Справочник по %'!A:A,0))))/100</f>
        <v>497.2</v>
      </c>
      <c r="E1577" s="29">
        <f>IF(ОТЧЕТ!A1577="SKU3",C1577+ОТЧЕТ!C1577*0.2,C1577+ОТЧЕТ!C1577*0.15)</f>
        <v>519.79999999999995</v>
      </c>
      <c r="F1577" s="7" t="s">
        <v>3326</v>
      </c>
      <c r="G1577" s="7">
        <v>2222896536</v>
      </c>
      <c r="H1577" s="20" t="s">
        <v>50</v>
      </c>
      <c r="I1577" s="22" t="str">
        <f>INDEX('Справочник Сети'!B:B,(MATCH(G1577,'Справочник Сети'!C:C,0)))</f>
        <v>Нео-фарм</v>
      </c>
      <c r="J1577" s="7" t="s">
        <v>372</v>
      </c>
      <c r="K1577" s="7" t="s">
        <v>1579</v>
      </c>
      <c r="L1577" s="7" t="s">
        <v>372</v>
      </c>
      <c r="M1577" s="31">
        <v>45730</v>
      </c>
      <c r="N1577" s="7" t="s">
        <v>3334</v>
      </c>
      <c r="O1577" s="8">
        <v>1918</v>
      </c>
      <c r="P1577" s="24">
        <v>6646</v>
      </c>
      <c r="Q1577" s="22">
        <f>IF(COUNTIFS(A$2:A1577,A1577,I$2:I1577,I1577)=1,1,0)</f>
        <v>0</v>
      </c>
      <c r="R1577" s="22">
        <f t="shared" si="24"/>
        <v>13</v>
      </c>
      <c r="S1577" s="33">
        <f>IF(COUNTIF(O$2:O1577,O1577)=1,R1577,0)/2.5</f>
        <v>0</v>
      </c>
    </row>
    <row r="1578" spans="1:19" ht="18" customHeight="1" x14ac:dyDescent="0.25">
      <c r="A1578" s="7" t="s">
        <v>43</v>
      </c>
      <c r="B1578" s="8">
        <v>1</v>
      </c>
      <c r="C1578" s="9">
        <v>485</v>
      </c>
      <c r="D1578" s="29">
        <f>C1578+IF(INDEX('Справочник по %'!B:B,(MATCH(A1578,'Справочник по %'!A:A,0)))="кол-во",B1578*INDEX('Справочник по %'!C:C,(MATCH(A1578,'Справочник по %'!A:A,0))),ОТЧЕТ!C1578*INDEX('Справочник по %'!C:C,(MATCH(A1578,'Справочник по %'!A:A,0))))/100</f>
        <v>533.5</v>
      </c>
      <c r="E1578" s="29">
        <f>IF(ОТЧЕТ!A1578="SKU3",C1578+ОТЧЕТ!C1578*0.2,C1578+ОТЧЕТ!C1578*0.15)</f>
        <v>557.75</v>
      </c>
      <c r="F1578" s="7" t="s">
        <v>3335</v>
      </c>
      <c r="G1578" s="7">
        <v>5438110616</v>
      </c>
      <c r="H1578" s="20" t="s">
        <v>756</v>
      </c>
      <c r="I1578" s="22">
        <f>INDEX('Справочник Сети'!B:B,(MATCH(G1578,'Справочник Сети'!C:C,0)))</f>
        <v>0</v>
      </c>
      <c r="J1578" s="7" t="s">
        <v>255</v>
      </c>
      <c r="K1578" s="7" t="s">
        <v>2178</v>
      </c>
      <c r="L1578" s="7" t="s">
        <v>255</v>
      </c>
      <c r="M1578" s="31">
        <v>45713</v>
      </c>
      <c r="N1578" s="7" t="s">
        <v>3336</v>
      </c>
      <c r="O1578" s="8">
        <v>3433</v>
      </c>
      <c r="P1578" s="24">
        <v>6647</v>
      </c>
      <c r="Q1578" s="22">
        <f>IF(COUNTIFS(A$2:A1578,A1578,I$2:I1578,I1578)=1,1,0)</f>
        <v>0</v>
      </c>
      <c r="R1578" s="22">
        <f t="shared" si="24"/>
        <v>5</v>
      </c>
      <c r="S1578" s="33">
        <f>IF(COUNTIF(O$2:O1578,O1578)=1,R1578,0)/2.5</f>
        <v>0</v>
      </c>
    </row>
    <row r="1579" spans="1:19" ht="18" customHeight="1" x14ac:dyDescent="0.25">
      <c r="A1579" s="7" t="s">
        <v>43</v>
      </c>
      <c r="B1579" s="8">
        <v>1</v>
      </c>
      <c r="C1579" s="9">
        <v>390.4</v>
      </c>
      <c r="D1579" s="29">
        <f>C1579+IF(INDEX('Справочник по %'!B:B,(MATCH(A1579,'Справочник по %'!A:A,0)))="кол-во",B1579*INDEX('Справочник по %'!C:C,(MATCH(A1579,'Справочник по %'!A:A,0))),ОТЧЕТ!C1579*INDEX('Справочник по %'!C:C,(MATCH(A1579,'Справочник по %'!A:A,0))))/100</f>
        <v>429.44</v>
      </c>
      <c r="E1579" s="29">
        <f>IF(ОТЧЕТ!A1579="SKU3",C1579+ОТЧЕТ!C1579*0.2,C1579+ОТЧЕТ!C1579*0.15)</f>
        <v>448.96</v>
      </c>
      <c r="F1579" s="7" t="s">
        <v>3337</v>
      </c>
      <c r="G1579" s="7">
        <v>3801042576</v>
      </c>
      <c r="H1579" s="20" t="s">
        <v>64</v>
      </c>
      <c r="I1579" s="22" t="str">
        <f>INDEX('Справочник Сети'!B:B,(MATCH(G1579,'Справочник Сети'!C:C,0)))</f>
        <v>Планета здоровья</v>
      </c>
      <c r="J1579" s="7" t="s">
        <v>65</v>
      </c>
      <c r="K1579" s="7" t="s">
        <v>710</v>
      </c>
      <c r="L1579" s="7" t="s">
        <v>65</v>
      </c>
      <c r="M1579" s="31">
        <v>45717</v>
      </c>
      <c r="N1579" s="7" t="s">
        <v>3338</v>
      </c>
      <c r="O1579" s="8">
        <v>2890</v>
      </c>
      <c r="P1579" s="24">
        <v>6649</v>
      </c>
      <c r="Q1579" s="22">
        <f>IF(COUNTIFS(A$2:A1579,A1579,I$2:I1579,I1579)=1,1,0)</f>
        <v>0</v>
      </c>
      <c r="R1579" s="22">
        <f t="shared" si="24"/>
        <v>1</v>
      </c>
      <c r="S1579" s="33">
        <f>IF(COUNTIF(O$2:O1579,O1579)=1,R1579,0)/2.5</f>
        <v>0.4</v>
      </c>
    </row>
    <row r="1580" spans="1:19" ht="18" customHeight="1" x14ac:dyDescent="0.25">
      <c r="A1580" s="7" t="s">
        <v>37</v>
      </c>
      <c r="B1580" s="8">
        <v>1</v>
      </c>
      <c r="C1580" s="9">
        <v>565.29</v>
      </c>
      <c r="D1580" s="29">
        <f>C1580+IF(INDEX('Справочник по %'!B:B,(MATCH(A1580,'Справочник по %'!A:A,0)))="кол-во",B1580*INDEX('Справочник по %'!C:C,(MATCH(A1580,'Справочник по %'!A:A,0))),ОТЧЕТ!C1580*INDEX('Справочник по %'!C:C,(MATCH(A1580,'Справочник по %'!A:A,0))))/100</f>
        <v>565.49</v>
      </c>
      <c r="E1580" s="29">
        <f>IF(ОТЧЕТ!A1580="SKU3",C1580+ОТЧЕТ!C1580*0.2,C1580+ОТЧЕТ!C1580*0.15)</f>
        <v>650.08349999999996</v>
      </c>
      <c r="F1580" s="7" t="s">
        <v>3337</v>
      </c>
      <c r="G1580" s="7">
        <v>7720715037</v>
      </c>
      <c r="H1580" s="20" t="s">
        <v>50</v>
      </c>
      <c r="I1580" s="22">
        <f>INDEX('Справочник Сети'!B:B,(MATCH(G1580,'Справочник Сети'!C:C,0)))</f>
        <v>0</v>
      </c>
      <c r="J1580" s="7" t="s">
        <v>185</v>
      </c>
      <c r="K1580" s="7" t="s">
        <v>788</v>
      </c>
      <c r="L1580" s="7" t="s">
        <v>168</v>
      </c>
      <c r="M1580" s="31">
        <v>45676</v>
      </c>
      <c r="N1580" s="7" t="s">
        <v>3339</v>
      </c>
      <c r="O1580" s="8">
        <v>1034</v>
      </c>
      <c r="P1580" s="24">
        <v>6650</v>
      </c>
      <c r="Q1580" s="22">
        <f>IF(COUNTIFS(A$2:A1580,A1580,I$2:I1580,I1580)=1,1,0)</f>
        <v>0</v>
      </c>
      <c r="R1580" s="22">
        <f t="shared" si="24"/>
        <v>2</v>
      </c>
      <c r="S1580" s="33">
        <f>IF(COUNTIF(O$2:O1580,O1580)=1,R1580,0)/2.5</f>
        <v>0.8</v>
      </c>
    </row>
    <row r="1581" spans="1:19" ht="18" customHeight="1" x14ac:dyDescent="0.25">
      <c r="A1581" s="7" t="s">
        <v>43</v>
      </c>
      <c r="B1581" s="8">
        <v>1</v>
      </c>
      <c r="C1581" s="9">
        <v>486</v>
      </c>
      <c r="D1581" s="29">
        <f>C1581+IF(INDEX('Справочник по %'!B:B,(MATCH(A1581,'Справочник по %'!A:A,0)))="кол-во",B1581*INDEX('Справочник по %'!C:C,(MATCH(A1581,'Справочник по %'!A:A,0))),ОТЧЕТ!C1581*INDEX('Справочник по %'!C:C,(MATCH(A1581,'Справочник по %'!A:A,0))))/100</f>
        <v>534.6</v>
      </c>
      <c r="E1581" s="29">
        <f>IF(ОТЧЕТ!A1581="SKU3",C1581+ОТЧЕТ!C1581*0.2,C1581+ОТЧЕТ!C1581*0.15)</f>
        <v>558.9</v>
      </c>
      <c r="F1581" s="7" t="s">
        <v>3337</v>
      </c>
      <c r="G1581" s="7">
        <v>2543009225</v>
      </c>
      <c r="H1581" s="20" t="s">
        <v>3327</v>
      </c>
      <c r="I1581" s="22" t="str">
        <f>INDEX('Справочник Сети'!B:B,(MATCH(G1581,'Справочник Сети'!C:C,0)))</f>
        <v>Нео-фарм</v>
      </c>
      <c r="J1581" s="7" t="s">
        <v>46</v>
      </c>
      <c r="K1581" s="7" t="s">
        <v>1028</v>
      </c>
      <c r="L1581" s="7" t="s">
        <v>46</v>
      </c>
      <c r="M1581" s="31">
        <v>45726</v>
      </c>
      <c r="N1581" s="7" t="s">
        <v>3340</v>
      </c>
      <c r="O1581" s="8">
        <v>2946</v>
      </c>
      <c r="P1581" s="24">
        <v>6654</v>
      </c>
      <c r="Q1581" s="22">
        <f>IF(COUNTIFS(A$2:A1581,A1581,I$2:I1581,I1581)=1,1,0)</f>
        <v>0</v>
      </c>
      <c r="R1581" s="22">
        <f t="shared" si="24"/>
        <v>7</v>
      </c>
      <c r="S1581" s="33">
        <f>IF(COUNTIF(O$2:O1581,O1581)=1,R1581,0)/2.5</f>
        <v>0</v>
      </c>
    </row>
    <row r="1582" spans="1:19" ht="18" customHeight="1" x14ac:dyDescent="0.25">
      <c r="A1582" s="7" t="s">
        <v>43</v>
      </c>
      <c r="B1582" s="8">
        <v>1</v>
      </c>
      <c r="C1582" s="9">
        <v>430</v>
      </c>
      <c r="D1582" s="29">
        <f>C1582+IF(INDEX('Справочник по %'!B:B,(MATCH(A1582,'Справочник по %'!A:A,0)))="кол-во",B1582*INDEX('Справочник по %'!C:C,(MATCH(A1582,'Справочник по %'!A:A,0))),ОТЧЕТ!C1582*INDEX('Справочник по %'!C:C,(MATCH(A1582,'Справочник по %'!A:A,0))))/100</f>
        <v>473</v>
      </c>
      <c r="E1582" s="29">
        <f>IF(ОТЧЕТ!A1582="SKU3",C1582+ОТЧЕТ!C1582*0.2,C1582+ОТЧЕТ!C1582*0.15)</f>
        <v>494.5</v>
      </c>
      <c r="F1582" s="7" t="s">
        <v>3337</v>
      </c>
      <c r="G1582" s="7">
        <v>9102213935</v>
      </c>
      <c r="H1582" s="20" t="s">
        <v>2801</v>
      </c>
      <c r="I1582" s="22" t="str">
        <f>INDEX('Справочник Сети'!B:B,(MATCH(G1582,'Справочник Сети'!C:C,0)))</f>
        <v>Ригла</v>
      </c>
      <c r="J1582" s="7" t="s">
        <v>315</v>
      </c>
      <c r="K1582" s="7" t="s">
        <v>1912</v>
      </c>
      <c r="L1582" s="7" t="s">
        <v>315</v>
      </c>
      <c r="M1582" s="31">
        <v>45670</v>
      </c>
      <c r="N1582" s="7" t="s">
        <v>3341</v>
      </c>
      <c r="O1582" s="8">
        <v>12</v>
      </c>
      <c r="P1582" s="24">
        <v>6655</v>
      </c>
      <c r="Q1582" s="22">
        <f>IF(COUNTIFS(A$2:A1582,A1582,I$2:I1582,I1582)=1,1,0)</f>
        <v>0</v>
      </c>
      <c r="R1582" s="22">
        <f t="shared" si="24"/>
        <v>1</v>
      </c>
      <c r="S1582" s="33">
        <f>IF(COUNTIF(O$2:O1582,O1582)=1,R1582,0)/2.5</f>
        <v>0.4</v>
      </c>
    </row>
    <row r="1583" spans="1:19" ht="18" customHeight="1" x14ac:dyDescent="0.25">
      <c r="A1583" s="7" t="s">
        <v>43</v>
      </c>
      <c r="B1583" s="8">
        <v>1</v>
      </c>
      <c r="C1583" s="9">
        <v>454</v>
      </c>
      <c r="D1583" s="29">
        <f>C1583+IF(INDEX('Справочник по %'!B:B,(MATCH(A1583,'Справочник по %'!A:A,0)))="кол-во",B1583*INDEX('Справочник по %'!C:C,(MATCH(A1583,'Справочник по %'!A:A,0))),ОТЧЕТ!C1583*INDEX('Справочник по %'!C:C,(MATCH(A1583,'Справочник по %'!A:A,0))))/100</f>
        <v>499.4</v>
      </c>
      <c r="E1583" s="29">
        <f>IF(ОТЧЕТ!A1583="SKU3",C1583+ОТЧЕТ!C1583*0.2,C1583+ОТЧЕТ!C1583*0.15)</f>
        <v>522.1</v>
      </c>
      <c r="F1583" s="7" t="s">
        <v>3337</v>
      </c>
      <c r="G1583" s="7">
        <v>5903072982</v>
      </c>
      <c r="H1583" s="20" t="s">
        <v>39</v>
      </c>
      <c r="I1583" s="22" t="str">
        <f>INDEX('Справочник Сети'!B:B,(MATCH(G1583,'Справочник Сети'!C:C,0)))</f>
        <v>Планета здоровья</v>
      </c>
      <c r="J1583" s="7" t="s">
        <v>40</v>
      </c>
      <c r="K1583" s="7" t="s">
        <v>3342</v>
      </c>
      <c r="L1583" s="7" t="s">
        <v>40</v>
      </c>
      <c r="M1583" s="31">
        <v>45712</v>
      </c>
      <c r="N1583" s="7" t="s">
        <v>3343</v>
      </c>
      <c r="O1583" s="8">
        <v>3560</v>
      </c>
      <c r="P1583" s="24">
        <v>6657</v>
      </c>
      <c r="Q1583" s="22">
        <f>IF(COUNTIFS(A$2:A1583,A1583,I$2:I1583,I1583)=1,1,0)</f>
        <v>0</v>
      </c>
      <c r="R1583" s="22">
        <f t="shared" si="24"/>
        <v>2</v>
      </c>
      <c r="S1583" s="33">
        <f>IF(COUNTIF(O$2:O1583,O1583)=1,R1583,0)/2.5</f>
        <v>0.8</v>
      </c>
    </row>
    <row r="1584" spans="1:19" ht="18" customHeight="1" x14ac:dyDescent="0.25">
      <c r="A1584" s="7" t="s">
        <v>43</v>
      </c>
      <c r="B1584" s="8">
        <v>1</v>
      </c>
      <c r="C1584" s="9">
        <v>408</v>
      </c>
      <c r="D1584" s="29">
        <f>C1584+IF(INDEX('Справочник по %'!B:B,(MATCH(A1584,'Справочник по %'!A:A,0)))="кол-во",B1584*INDEX('Справочник по %'!C:C,(MATCH(A1584,'Справочник по %'!A:A,0))),ОТЧЕТ!C1584*INDEX('Справочник по %'!C:C,(MATCH(A1584,'Справочник по %'!A:A,0))))/100</f>
        <v>448.8</v>
      </c>
      <c r="E1584" s="29">
        <f>IF(ОТЧЕТ!A1584="SKU3",C1584+ОТЧЕТ!C1584*0.2,C1584+ОТЧЕТ!C1584*0.15)</f>
        <v>469.2</v>
      </c>
      <c r="F1584" s="7" t="s">
        <v>3337</v>
      </c>
      <c r="G1584" s="7">
        <v>5903072982</v>
      </c>
      <c r="H1584" s="20" t="s">
        <v>39</v>
      </c>
      <c r="I1584" s="22" t="str">
        <f>INDEX('Справочник Сети'!B:B,(MATCH(G1584,'Справочник Сети'!C:C,0)))</f>
        <v>Планета здоровья</v>
      </c>
      <c r="J1584" s="7" t="s">
        <v>40</v>
      </c>
      <c r="K1584" s="7" t="s">
        <v>2158</v>
      </c>
      <c r="L1584" s="7" t="s">
        <v>40</v>
      </c>
      <c r="M1584" s="31">
        <v>45712</v>
      </c>
      <c r="N1584" s="7" t="s">
        <v>3344</v>
      </c>
      <c r="O1584" s="8">
        <v>3560</v>
      </c>
      <c r="P1584" s="24">
        <v>6658</v>
      </c>
      <c r="Q1584" s="22">
        <f>IF(COUNTIFS(A$2:A1584,A1584,I$2:I1584,I1584)=1,1,0)</f>
        <v>0</v>
      </c>
      <c r="R1584" s="22">
        <f t="shared" si="24"/>
        <v>2</v>
      </c>
      <c r="S1584" s="33">
        <f>IF(COUNTIF(O$2:O1584,O1584)=1,R1584,0)/2.5</f>
        <v>0</v>
      </c>
    </row>
    <row r="1585" spans="1:19" ht="18" customHeight="1" x14ac:dyDescent="0.25">
      <c r="A1585" s="7" t="s">
        <v>43</v>
      </c>
      <c r="B1585" s="8">
        <v>1</v>
      </c>
      <c r="C1585" s="9">
        <v>481</v>
      </c>
      <c r="D1585" s="29">
        <f>C1585+IF(INDEX('Справочник по %'!B:B,(MATCH(A1585,'Справочник по %'!A:A,0)))="кол-во",B1585*INDEX('Справочник по %'!C:C,(MATCH(A1585,'Справочник по %'!A:A,0))),ОТЧЕТ!C1585*INDEX('Справочник по %'!C:C,(MATCH(A1585,'Справочник по %'!A:A,0))))/100</f>
        <v>529.1</v>
      </c>
      <c r="E1585" s="29">
        <f>IF(ОТЧЕТ!A1585="SKU3",C1585+ОТЧЕТ!C1585*0.2,C1585+ОТЧЕТ!C1585*0.15)</f>
        <v>553.15</v>
      </c>
      <c r="F1585" s="7" t="s">
        <v>3337</v>
      </c>
      <c r="G1585" s="7">
        <v>7705947629</v>
      </c>
      <c r="H1585" s="20" t="s">
        <v>50</v>
      </c>
      <c r="I1585" s="22" t="str">
        <f>INDEX('Справочник Сети'!B:B,(MATCH(G1585,'Справочник Сети'!C:C,0)))</f>
        <v>36,6</v>
      </c>
      <c r="J1585" s="7" t="s">
        <v>104</v>
      </c>
      <c r="K1585" s="7" t="s">
        <v>1072</v>
      </c>
      <c r="L1585" s="7" t="s">
        <v>104</v>
      </c>
      <c r="M1585" s="31">
        <v>45693</v>
      </c>
      <c r="N1585" s="7" t="s">
        <v>3345</v>
      </c>
      <c r="O1585" s="8">
        <v>1631</v>
      </c>
      <c r="P1585" s="24">
        <v>6660</v>
      </c>
      <c r="Q1585" s="22">
        <f>IF(COUNTIFS(A$2:A1585,A1585,I$2:I1585,I1585)=1,1,0)</f>
        <v>0</v>
      </c>
      <c r="R1585" s="22">
        <f t="shared" si="24"/>
        <v>5</v>
      </c>
      <c r="S1585" s="33">
        <f>IF(COUNTIF(O$2:O1585,O1585)=1,R1585,0)/2.5</f>
        <v>0</v>
      </c>
    </row>
    <row r="1586" spans="1:19" ht="18" customHeight="1" x14ac:dyDescent="0.25">
      <c r="A1586" s="7" t="s">
        <v>43</v>
      </c>
      <c r="B1586" s="8">
        <v>1</v>
      </c>
      <c r="C1586" s="9">
        <v>478</v>
      </c>
      <c r="D1586" s="29">
        <f>C1586+IF(INDEX('Справочник по %'!B:B,(MATCH(A1586,'Справочник по %'!A:A,0)))="кол-во",B1586*INDEX('Справочник по %'!C:C,(MATCH(A1586,'Справочник по %'!A:A,0))),ОТЧЕТ!C1586*INDEX('Справочник по %'!C:C,(MATCH(A1586,'Справочник по %'!A:A,0))))/100</f>
        <v>525.79999999999995</v>
      </c>
      <c r="E1586" s="29">
        <f>IF(ОТЧЕТ!A1586="SKU3",C1586+ОТЧЕТ!C1586*0.2,C1586+ОТЧЕТ!C1586*0.15)</f>
        <v>549.70000000000005</v>
      </c>
      <c r="F1586" s="7" t="s">
        <v>3337</v>
      </c>
      <c r="G1586" s="7">
        <v>9724191998</v>
      </c>
      <c r="H1586" s="20" t="s">
        <v>50</v>
      </c>
      <c r="I1586" s="22" t="str">
        <f>INDEX('Справочник Сети'!B:B,(MATCH(G1586,'Справочник Сети'!C:C,0)))</f>
        <v>Столички</v>
      </c>
      <c r="J1586" s="7" t="s">
        <v>74</v>
      </c>
      <c r="K1586" s="7" t="s">
        <v>2063</v>
      </c>
      <c r="L1586" s="7" t="s">
        <v>239</v>
      </c>
      <c r="M1586" s="31">
        <v>45662</v>
      </c>
      <c r="N1586" s="7" t="s">
        <v>3346</v>
      </c>
      <c r="O1586" s="8">
        <v>867</v>
      </c>
      <c r="P1586" s="24">
        <v>6661</v>
      </c>
      <c r="Q1586" s="22">
        <f>IF(COUNTIFS(A$2:A1586,A1586,I$2:I1586,I1586)=1,1,0)</f>
        <v>0</v>
      </c>
      <c r="R1586" s="22">
        <f t="shared" si="24"/>
        <v>3</v>
      </c>
      <c r="S1586" s="33">
        <f>IF(COUNTIF(O$2:O1586,O1586)=1,R1586,0)/2.5</f>
        <v>0</v>
      </c>
    </row>
    <row r="1587" spans="1:19" ht="18" customHeight="1" x14ac:dyDescent="0.25">
      <c r="A1587" s="7" t="s">
        <v>43</v>
      </c>
      <c r="B1587" s="8">
        <v>1</v>
      </c>
      <c r="C1587" s="9">
        <v>450</v>
      </c>
      <c r="D1587" s="29">
        <f>C1587+IF(INDEX('Справочник по %'!B:B,(MATCH(A1587,'Справочник по %'!A:A,0)))="кол-во",B1587*INDEX('Справочник по %'!C:C,(MATCH(A1587,'Справочник по %'!A:A,0))),ОТЧЕТ!C1587*INDEX('Справочник по %'!C:C,(MATCH(A1587,'Справочник по %'!A:A,0))))/100</f>
        <v>495</v>
      </c>
      <c r="E1587" s="29">
        <f>IF(ОТЧЕТ!A1587="SKU3",C1587+ОТЧЕТ!C1587*0.2,C1587+ОТЧЕТ!C1587*0.15)</f>
        <v>517.5</v>
      </c>
      <c r="F1587" s="7" t="s">
        <v>3337</v>
      </c>
      <c r="G1587" s="7">
        <v>3811464778</v>
      </c>
      <c r="H1587" s="20" t="s">
        <v>750</v>
      </c>
      <c r="I1587" s="22">
        <f>INDEX('Справочник Сети'!B:B,(MATCH(G1587,'Справочник Сети'!C:C,0)))</f>
        <v>0</v>
      </c>
      <c r="J1587" s="7" t="s">
        <v>155</v>
      </c>
      <c r="K1587" s="7" t="s">
        <v>379</v>
      </c>
      <c r="L1587" s="7" t="s">
        <v>155</v>
      </c>
      <c r="M1587" s="31">
        <v>45716</v>
      </c>
      <c r="N1587" s="7" t="s">
        <v>3347</v>
      </c>
      <c r="O1587" s="8">
        <v>223</v>
      </c>
      <c r="P1587" s="24">
        <v>6663</v>
      </c>
      <c r="Q1587" s="22">
        <f>IF(COUNTIFS(A$2:A1587,A1587,I$2:I1587,I1587)=1,1,0)</f>
        <v>0</v>
      </c>
      <c r="R1587" s="22">
        <f t="shared" si="24"/>
        <v>3</v>
      </c>
      <c r="S1587" s="33">
        <f>IF(COUNTIF(O$2:O1587,O1587)=1,R1587,0)/2.5</f>
        <v>0</v>
      </c>
    </row>
    <row r="1588" spans="1:19" ht="18" customHeight="1" x14ac:dyDescent="0.25">
      <c r="A1588" s="7" t="s">
        <v>43</v>
      </c>
      <c r="B1588" s="8">
        <v>1</v>
      </c>
      <c r="C1588" s="9">
        <v>420</v>
      </c>
      <c r="D1588" s="29">
        <f>C1588+IF(INDEX('Справочник по %'!B:B,(MATCH(A1588,'Справочник по %'!A:A,0)))="кол-во",B1588*INDEX('Справочник по %'!C:C,(MATCH(A1588,'Справочник по %'!A:A,0))),ОТЧЕТ!C1588*INDEX('Справочник по %'!C:C,(MATCH(A1588,'Справочник по %'!A:A,0))))/100</f>
        <v>462</v>
      </c>
      <c r="E1588" s="29">
        <f>IF(ОТЧЕТ!A1588="SKU3",C1588+ОТЧЕТ!C1588*0.2,C1588+ОТЧЕТ!C1588*0.15)</f>
        <v>483</v>
      </c>
      <c r="F1588" s="7" t="s">
        <v>3337</v>
      </c>
      <c r="G1588" s="7">
        <v>7801709313</v>
      </c>
      <c r="H1588" s="20" t="s">
        <v>50</v>
      </c>
      <c r="I1588" s="22" t="str">
        <f>INDEX('Справочник Сети'!B:B,(MATCH(G1588,'Справочник Сети'!C:C,0)))</f>
        <v>Ригла</v>
      </c>
      <c r="J1588" s="7" t="s">
        <v>353</v>
      </c>
      <c r="K1588" s="7" t="s">
        <v>3348</v>
      </c>
      <c r="L1588" s="7" t="s">
        <v>353</v>
      </c>
      <c r="M1588" s="31">
        <v>45672</v>
      </c>
      <c r="N1588" s="7" t="s">
        <v>3349</v>
      </c>
      <c r="O1588" s="8">
        <v>3014</v>
      </c>
      <c r="P1588" s="24">
        <v>6665</v>
      </c>
      <c r="Q1588" s="22">
        <f>IF(COUNTIFS(A$2:A1588,A1588,I$2:I1588,I1588)=1,1,0)</f>
        <v>0</v>
      </c>
      <c r="R1588" s="22">
        <f t="shared" si="24"/>
        <v>3</v>
      </c>
      <c r="S1588" s="33">
        <f>IF(COUNTIF(O$2:O1588,O1588)=1,R1588,0)/2.5</f>
        <v>1.2</v>
      </c>
    </row>
    <row r="1589" spans="1:19" ht="18" customHeight="1" x14ac:dyDescent="0.25">
      <c r="A1589" s="7" t="s">
        <v>37</v>
      </c>
      <c r="B1589" s="8">
        <v>1</v>
      </c>
      <c r="C1589" s="9">
        <v>589</v>
      </c>
      <c r="D1589" s="29">
        <f>C1589+IF(INDEX('Справочник по %'!B:B,(MATCH(A1589,'Справочник по %'!A:A,0)))="кол-во",B1589*INDEX('Справочник по %'!C:C,(MATCH(A1589,'Справочник по %'!A:A,0))),ОТЧЕТ!C1589*INDEX('Справочник по %'!C:C,(MATCH(A1589,'Справочник по %'!A:A,0))))/100</f>
        <v>589.20000000000005</v>
      </c>
      <c r="E1589" s="29">
        <f>IF(ОТЧЕТ!A1589="SKU3",C1589+ОТЧЕТ!C1589*0.2,C1589+ОТЧЕТ!C1589*0.15)</f>
        <v>677.35</v>
      </c>
      <c r="F1589" s="7" t="s">
        <v>3337</v>
      </c>
      <c r="G1589" s="7">
        <v>7720715037</v>
      </c>
      <c r="H1589" s="20" t="s">
        <v>50</v>
      </c>
      <c r="I1589" s="22">
        <f>INDEX('Справочник Сети'!B:B,(MATCH(G1589,'Справочник Сети'!C:C,0)))</f>
        <v>0</v>
      </c>
      <c r="J1589" s="7" t="s">
        <v>185</v>
      </c>
      <c r="K1589" s="7" t="s">
        <v>3350</v>
      </c>
      <c r="L1589" s="7" t="s">
        <v>168</v>
      </c>
      <c r="M1589" s="31">
        <v>45676</v>
      </c>
      <c r="N1589" s="7" t="s">
        <v>3351</v>
      </c>
      <c r="O1589" s="8">
        <v>1034</v>
      </c>
      <c r="P1589" s="24">
        <v>6667</v>
      </c>
      <c r="Q1589" s="22">
        <f>IF(COUNTIFS(A$2:A1589,A1589,I$2:I1589,I1589)=1,1,0)</f>
        <v>0</v>
      </c>
      <c r="R1589" s="22">
        <f t="shared" si="24"/>
        <v>2</v>
      </c>
      <c r="S1589" s="33">
        <f>IF(COUNTIF(O$2:O1589,O1589)=1,R1589,0)/2.5</f>
        <v>0</v>
      </c>
    </row>
    <row r="1590" spans="1:19" ht="18" customHeight="1" x14ac:dyDescent="0.25">
      <c r="A1590" s="7" t="s">
        <v>43</v>
      </c>
      <c r="B1590" s="8">
        <v>1</v>
      </c>
      <c r="C1590" s="9">
        <v>434.27</v>
      </c>
      <c r="D1590" s="29">
        <f>C1590+IF(INDEX('Справочник по %'!B:B,(MATCH(A1590,'Справочник по %'!A:A,0)))="кол-во",B1590*INDEX('Справочник по %'!C:C,(MATCH(A1590,'Справочник по %'!A:A,0))),ОТЧЕТ!C1590*INDEX('Справочник по %'!C:C,(MATCH(A1590,'Справочник по %'!A:A,0))))/100</f>
        <v>477.697</v>
      </c>
      <c r="E1590" s="29">
        <f>IF(ОТЧЕТ!A1590="SKU3",C1590+ОТЧЕТ!C1590*0.2,C1590+ОТЧЕТ!C1590*0.15)</f>
        <v>499.41049999999996</v>
      </c>
      <c r="F1590" s="7" t="s">
        <v>3337</v>
      </c>
      <c r="G1590" s="7">
        <v>2222896536</v>
      </c>
      <c r="H1590" s="20" t="s">
        <v>50</v>
      </c>
      <c r="I1590" s="22" t="str">
        <f>INDEX('Справочник Сети'!B:B,(MATCH(G1590,'Справочник Сети'!C:C,0)))</f>
        <v>Нео-фарм</v>
      </c>
      <c r="J1590" s="7" t="s">
        <v>372</v>
      </c>
      <c r="K1590" s="7" t="s">
        <v>2057</v>
      </c>
      <c r="L1590" s="7" t="s">
        <v>372</v>
      </c>
      <c r="M1590" s="31">
        <v>45730</v>
      </c>
      <c r="N1590" s="7" t="s">
        <v>3352</v>
      </c>
      <c r="O1590" s="8">
        <v>1918</v>
      </c>
      <c r="P1590" s="24">
        <v>6668</v>
      </c>
      <c r="Q1590" s="22">
        <f>IF(COUNTIFS(A$2:A1590,A1590,I$2:I1590,I1590)=1,1,0)</f>
        <v>0</v>
      </c>
      <c r="R1590" s="22">
        <f t="shared" si="24"/>
        <v>13</v>
      </c>
      <c r="S1590" s="33">
        <f>IF(COUNTIF(O$2:O1590,O1590)=1,R1590,0)/2.5</f>
        <v>0</v>
      </c>
    </row>
    <row r="1591" spans="1:19" ht="18" customHeight="1" x14ac:dyDescent="0.25">
      <c r="A1591" s="7" t="s">
        <v>43</v>
      </c>
      <c r="B1591" s="8">
        <v>1</v>
      </c>
      <c r="C1591" s="9">
        <v>327</v>
      </c>
      <c r="D1591" s="29">
        <f>C1591+IF(INDEX('Справочник по %'!B:B,(MATCH(A1591,'Справочник по %'!A:A,0)))="кол-во",B1591*INDEX('Справочник по %'!C:C,(MATCH(A1591,'Справочник по %'!A:A,0))),ОТЧЕТ!C1591*INDEX('Справочник по %'!C:C,(MATCH(A1591,'Справочник по %'!A:A,0))))/100</f>
        <v>359.7</v>
      </c>
      <c r="E1591" s="29">
        <f>IF(ОТЧЕТ!A1591="SKU3",C1591+ОТЧЕТ!C1591*0.2,C1591+ОТЧЕТ!C1591*0.15)</f>
        <v>376.05</v>
      </c>
      <c r="F1591" s="7" t="s">
        <v>3353</v>
      </c>
      <c r="G1591" s="7">
        <v>7724211288</v>
      </c>
      <c r="H1591" s="20" t="s">
        <v>50</v>
      </c>
      <c r="I1591" s="22" t="str">
        <f>INDEX('Справочник Сети'!B:B,(MATCH(G1591,'Справочник Сети'!C:C,0)))</f>
        <v>Планета здоровья</v>
      </c>
      <c r="J1591" s="7" t="s">
        <v>185</v>
      </c>
      <c r="K1591" s="7" t="s">
        <v>305</v>
      </c>
      <c r="L1591" s="7" t="s">
        <v>185</v>
      </c>
      <c r="M1591" s="31">
        <v>45675</v>
      </c>
      <c r="N1591" s="7" t="s">
        <v>3354</v>
      </c>
      <c r="O1591" s="8">
        <v>2370</v>
      </c>
      <c r="P1591" s="24">
        <v>6670</v>
      </c>
      <c r="Q1591" s="22">
        <f>IF(COUNTIFS(A$2:A1591,A1591,I$2:I1591,I1591)=1,1,0)</f>
        <v>0</v>
      </c>
      <c r="R1591" s="22">
        <f t="shared" si="24"/>
        <v>2</v>
      </c>
      <c r="S1591" s="33">
        <f>IF(COUNTIF(O$2:O1591,O1591)=1,R1591,0)/2.5</f>
        <v>0.8</v>
      </c>
    </row>
    <row r="1592" spans="1:19" ht="18" customHeight="1" x14ac:dyDescent="0.25">
      <c r="A1592" s="7" t="s">
        <v>43</v>
      </c>
      <c r="B1592" s="8">
        <v>1</v>
      </c>
      <c r="C1592" s="9">
        <v>405</v>
      </c>
      <c r="D1592" s="29">
        <f>C1592+IF(INDEX('Справочник по %'!B:B,(MATCH(A1592,'Справочник по %'!A:A,0)))="кол-во",B1592*INDEX('Справочник по %'!C:C,(MATCH(A1592,'Справочник по %'!A:A,0))),ОТЧЕТ!C1592*INDEX('Справочник по %'!C:C,(MATCH(A1592,'Справочник по %'!A:A,0))))/100</f>
        <v>445.5</v>
      </c>
      <c r="E1592" s="29">
        <f>IF(ОТЧЕТ!A1592="SKU3",C1592+ОТЧЕТ!C1592*0.2,C1592+ОТЧЕТ!C1592*0.15)</f>
        <v>465.75</v>
      </c>
      <c r="F1592" s="7" t="s">
        <v>3355</v>
      </c>
      <c r="G1592" s="7">
        <v>1513065326</v>
      </c>
      <c r="H1592" s="20" t="s">
        <v>3356</v>
      </c>
      <c r="I1592" s="22">
        <f>INDEX('Справочник Сети'!B:B,(MATCH(G1592,'Справочник Сети'!C:C,0)))</f>
        <v>0</v>
      </c>
      <c r="J1592" s="7" t="s">
        <v>335</v>
      </c>
      <c r="K1592" s="7" t="s">
        <v>1469</v>
      </c>
      <c r="L1592" s="7" t="s">
        <v>335</v>
      </c>
      <c r="M1592" s="31">
        <v>45731</v>
      </c>
      <c r="N1592" s="7" t="s">
        <v>3357</v>
      </c>
      <c r="O1592" s="8">
        <v>85</v>
      </c>
      <c r="P1592" s="24">
        <v>6671</v>
      </c>
      <c r="Q1592" s="22">
        <f>IF(COUNTIFS(A$2:A1592,A1592,I$2:I1592,I1592)=1,1,0)</f>
        <v>0</v>
      </c>
      <c r="R1592" s="22">
        <f t="shared" si="24"/>
        <v>1</v>
      </c>
      <c r="S1592" s="33">
        <f>IF(COUNTIF(O$2:O1592,O1592)=1,R1592,0)/2.5</f>
        <v>0.4</v>
      </c>
    </row>
    <row r="1593" spans="1:19" ht="18" customHeight="1" x14ac:dyDescent="0.25">
      <c r="A1593" s="7" t="s">
        <v>37</v>
      </c>
      <c r="B1593" s="8">
        <v>1</v>
      </c>
      <c r="C1593" s="9">
        <v>578</v>
      </c>
      <c r="D1593" s="29">
        <f>C1593+IF(INDEX('Справочник по %'!B:B,(MATCH(A1593,'Справочник по %'!A:A,0)))="кол-во",B1593*INDEX('Справочник по %'!C:C,(MATCH(A1593,'Справочник по %'!A:A,0))),ОТЧЕТ!C1593*INDEX('Справочник по %'!C:C,(MATCH(A1593,'Справочник по %'!A:A,0))))/100</f>
        <v>578.20000000000005</v>
      </c>
      <c r="E1593" s="29">
        <f>IF(ОТЧЕТ!A1593="SKU3",C1593+ОТЧЕТ!C1593*0.2,C1593+ОТЧЕТ!C1593*0.15)</f>
        <v>664.7</v>
      </c>
      <c r="F1593" s="7" t="s">
        <v>3358</v>
      </c>
      <c r="G1593" s="7">
        <v>2310096546</v>
      </c>
      <c r="H1593" s="20" t="s">
        <v>69</v>
      </c>
      <c r="I1593" s="22" t="str">
        <f>INDEX('Справочник Сети'!B:B,(MATCH(G1593,'Справочник Сети'!C:C,0)))</f>
        <v>36,6</v>
      </c>
      <c r="J1593" s="7" t="s">
        <v>57</v>
      </c>
      <c r="K1593" s="7" t="s">
        <v>3359</v>
      </c>
      <c r="L1593" s="7" t="s">
        <v>57</v>
      </c>
      <c r="M1593" s="31">
        <v>45729</v>
      </c>
      <c r="N1593" s="7" t="s">
        <v>3360</v>
      </c>
      <c r="O1593" s="8">
        <v>2263</v>
      </c>
      <c r="P1593" s="24">
        <v>6672</v>
      </c>
      <c r="Q1593" s="22">
        <f>IF(COUNTIFS(A$2:A1593,A1593,I$2:I1593,I1593)=1,1,0)</f>
        <v>0</v>
      </c>
      <c r="R1593" s="22">
        <f t="shared" si="24"/>
        <v>3</v>
      </c>
      <c r="S1593" s="33">
        <f>IF(COUNTIF(O$2:O1593,O1593)=1,R1593,0)/2.5</f>
        <v>0</v>
      </c>
    </row>
    <row r="1594" spans="1:19" ht="18" customHeight="1" x14ac:dyDescent="0.25">
      <c r="A1594" s="7" t="s">
        <v>43</v>
      </c>
      <c r="B1594" s="8">
        <v>1</v>
      </c>
      <c r="C1594" s="9">
        <v>397</v>
      </c>
      <c r="D1594" s="29">
        <f>C1594+IF(INDEX('Справочник по %'!B:B,(MATCH(A1594,'Справочник по %'!A:A,0)))="кол-во",B1594*INDEX('Справочник по %'!C:C,(MATCH(A1594,'Справочник по %'!A:A,0))),ОТЧЕТ!C1594*INDEX('Справочник по %'!C:C,(MATCH(A1594,'Справочник по %'!A:A,0))))/100</f>
        <v>436.7</v>
      </c>
      <c r="E1594" s="29">
        <f>IF(ОТЧЕТ!A1594="SKU3",C1594+ОТЧЕТ!C1594*0.2,C1594+ОТЧЕТ!C1594*0.15)</f>
        <v>456.55</v>
      </c>
      <c r="F1594" s="7" t="s">
        <v>3361</v>
      </c>
      <c r="G1594" s="7">
        <v>7732121736</v>
      </c>
      <c r="H1594" s="20" t="s">
        <v>3362</v>
      </c>
      <c r="I1594" s="22" t="str">
        <f>INDEX('Справочник Сети'!B:B,(MATCH(G1594,'Справочник Сети'!C:C,0)))</f>
        <v>Планета здоровья</v>
      </c>
      <c r="J1594" s="7" t="s">
        <v>149</v>
      </c>
      <c r="K1594" s="7" t="s">
        <v>1274</v>
      </c>
      <c r="L1594" s="7" t="s">
        <v>149</v>
      </c>
      <c r="M1594" s="31">
        <v>45673</v>
      </c>
      <c r="N1594" s="7" t="s">
        <v>3363</v>
      </c>
      <c r="O1594" s="8">
        <v>3046</v>
      </c>
      <c r="P1594" s="24">
        <v>6675</v>
      </c>
      <c r="Q1594" s="22">
        <f>IF(COUNTIFS(A$2:A1594,A1594,I$2:I1594,I1594)=1,1,0)</f>
        <v>0</v>
      </c>
      <c r="R1594" s="22">
        <f t="shared" si="24"/>
        <v>7</v>
      </c>
      <c r="S1594" s="33">
        <f>IF(COUNTIF(O$2:O1594,O1594)=1,R1594,0)/2.5</f>
        <v>2.8</v>
      </c>
    </row>
    <row r="1595" spans="1:19" ht="18" customHeight="1" x14ac:dyDescent="0.25">
      <c r="A1595" s="7" t="s">
        <v>37</v>
      </c>
      <c r="B1595" s="8">
        <v>1</v>
      </c>
      <c r="C1595" s="9">
        <v>568</v>
      </c>
      <c r="D1595" s="29">
        <f>C1595+IF(INDEX('Справочник по %'!B:B,(MATCH(A1595,'Справочник по %'!A:A,0)))="кол-во",B1595*INDEX('Справочник по %'!C:C,(MATCH(A1595,'Справочник по %'!A:A,0))),ОТЧЕТ!C1595*INDEX('Справочник по %'!C:C,(MATCH(A1595,'Справочник по %'!A:A,0))))/100</f>
        <v>568.20000000000005</v>
      </c>
      <c r="E1595" s="29">
        <f>IF(ОТЧЕТ!A1595="SKU3",C1595+ОТЧЕТ!C1595*0.2,C1595+ОТЧЕТ!C1595*0.15)</f>
        <v>653.20000000000005</v>
      </c>
      <c r="F1595" s="7" t="s">
        <v>3361</v>
      </c>
      <c r="G1595" s="7">
        <v>7732121736</v>
      </c>
      <c r="H1595" s="20" t="s">
        <v>3362</v>
      </c>
      <c r="I1595" s="22" t="str">
        <f>INDEX('Справочник Сети'!B:B,(MATCH(G1595,'Справочник Сети'!C:C,0)))</f>
        <v>Планета здоровья</v>
      </c>
      <c r="J1595" s="7" t="s">
        <v>149</v>
      </c>
      <c r="K1595" s="7" t="s">
        <v>947</v>
      </c>
      <c r="L1595" s="7" t="s">
        <v>149</v>
      </c>
      <c r="M1595" s="31">
        <v>45673</v>
      </c>
      <c r="N1595" s="7" t="s">
        <v>3364</v>
      </c>
      <c r="O1595" s="8">
        <v>3046</v>
      </c>
      <c r="P1595" s="24">
        <v>6677</v>
      </c>
      <c r="Q1595" s="22">
        <f>IF(COUNTIFS(A$2:A1595,A1595,I$2:I1595,I1595)=1,1,0)</f>
        <v>0</v>
      </c>
      <c r="R1595" s="22">
        <f t="shared" si="24"/>
        <v>7</v>
      </c>
      <c r="S1595" s="33">
        <f>IF(COUNTIF(O$2:O1595,O1595)=1,R1595,0)/2.5</f>
        <v>0</v>
      </c>
    </row>
    <row r="1596" spans="1:19" ht="18" customHeight="1" x14ac:dyDescent="0.25">
      <c r="A1596" s="7" t="s">
        <v>37</v>
      </c>
      <c r="B1596" s="8">
        <v>1</v>
      </c>
      <c r="C1596" s="9">
        <v>554</v>
      </c>
      <c r="D1596" s="29">
        <f>C1596+IF(INDEX('Справочник по %'!B:B,(MATCH(A1596,'Справочник по %'!A:A,0)))="кол-во",B1596*INDEX('Справочник по %'!C:C,(MATCH(A1596,'Справочник по %'!A:A,0))),ОТЧЕТ!C1596*INDEX('Справочник по %'!C:C,(MATCH(A1596,'Справочник по %'!A:A,0))))/100</f>
        <v>554.20000000000005</v>
      </c>
      <c r="E1596" s="29">
        <f>IF(ОТЧЕТ!A1596="SKU3",C1596+ОТЧЕТ!C1596*0.2,C1596+ОТЧЕТ!C1596*0.15)</f>
        <v>637.1</v>
      </c>
      <c r="F1596" s="7" t="s">
        <v>3365</v>
      </c>
      <c r="G1596" s="7">
        <v>7706795062</v>
      </c>
      <c r="H1596" s="20" t="s">
        <v>3366</v>
      </c>
      <c r="I1596" s="22" t="str">
        <f>INDEX('Справочник Сети'!B:B,(MATCH(G1596,'Справочник Сети'!C:C,0)))</f>
        <v>Планета здоровья</v>
      </c>
      <c r="J1596" s="7" t="s">
        <v>87</v>
      </c>
      <c r="K1596" s="7" t="s">
        <v>2093</v>
      </c>
      <c r="L1596" s="7" t="s">
        <v>87</v>
      </c>
      <c r="M1596" s="31">
        <v>45691</v>
      </c>
      <c r="N1596" s="7" t="s">
        <v>3367</v>
      </c>
      <c r="O1596" s="8">
        <v>1951</v>
      </c>
      <c r="P1596" s="24">
        <v>6682</v>
      </c>
      <c r="Q1596" s="22">
        <f>IF(COUNTIFS(A$2:A1596,A1596,I$2:I1596,I1596)=1,1,0)</f>
        <v>0</v>
      </c>
      <c r="R1596" s="22">
        <f t="shared" si="24"/>
        <v>2</v>
      </c>
      <c r="S1596" s="33">
        <f>IF(COUNTIF(O$2:O1596,O1596)=1,R1596,0)/2.5</f>
        <v>0.8</v>
      </c>
    </row>
    <row r="1597" spans="1:19" ht="18" customHeight="1" x14ac:dyDescent="0.25">
      <c r="A1597" s="7" t="s">
        <v>43</v>
      </c>
      <c r="B1597" s="8">
        <v>1</v>
      </c>
      <c r="C1597" s="9">
        <v>444</v>
      </c>
      <c r="D1597" s="29">
        <f>C1597+IF(INDEX('Справочник по %'!B:B,(MATCH(A1597,'Справочник по %'!A:A,0)))="кол-во",B1597*INDEX('Справочник по %'!C:C,(MATCH(A1597,'Справочник по %'!A:A,0))),ОТЧЕТ!C1597*INDEX('Справочник по %'!C:C,(MATCH(A1597,'Справочник по %'!A:A,0))))/100</f>
        <v>488.4</v>
      </c>
      <c r="E1597" s="29">
        <f>IF(ОТЧЕТ!A1597="SKU3",C1597+ОТЧЕТ!C1597*0.2,C1597+ОТЧЕТ!C1597*0.15)</f>
        <v>510.6</v>
      </c>
      <c r="F1597" s="7" t="s">
        <v>3365</v>
      </c>
      <c r="G1597" s="7">
        <v>2373007595</v>
      </c>
      <c r="H1597" s="20" t="s">
        <v>3368</v>
      </c>
      <c r="I1597" s="22" t="str">
        <f>INDEX('Справочник Сети'!B:B,(MATCH(G1597,'Справочник Сети'!C:C,0)))</f>
        <v>Планета здоровья</v>
      </c>
      <c r="J1597" s="7" t="s">
        <v>96</v>
      </c>
      <c r="K1597" s="7" t="s">
        <v>3369</v>
      </c>
      <c r="L1597" s="7" t="s">
        <v>96</v>
      </c>
      <c r="M1597" s="31">
        <v>45727</v>
      </c>
      <c r="N1597" s="7" t="s">
        <v>3370</v>
      </c>
      <c r="O1597" s="8">
        <v>2057</v>
      </c>
      <c r="P1597" s="24">
        <v>6683</v>
      </c>
      <c r="Q1597" s="22">
        <f>IF(COUNTIFS(A$2:A1597,A1597,I$2:I1597,I1597)=1,1,0)</f>
        <v>0</v>
      </c>
      <c r="R1597" s="22">
        <f t="shared" si="24"/>
        <v>1</v>
      </c>
      <c r="S1597" s="33">
        <f>IF(COUNTIF(O$2:O1597,O1597)=1,R1597,0)/2.5</f>
        <v>0.4</v>
      </c>
    </row>
    <row r="1598" spans="1:19" ht="18" customHeight="1" x14ac:dyDescent="0.25">
      <c r="A1598" s="7" t="s">
        <v>37</v>
      </c>
      <c r="B1598" s="8">
        <v>1</v>
      </c>
      <c r="C1598" s="9">
        <v>544.83000000000004</v>
      </c>
      <c r="D1598" s="29">
        <f>C1598+IF(INDEX('Справочник по %'!B:B,(MATCH(A1598,'Справочник по %'!A:A,0)))="кол-во",B1598*INDEX('Справочник по %'!C:C,(MATCH(A1598,'Справочник по %'!A:A,0))),ОТЧЕТ!C1598*INDEX('Справочник по %'!C:C,(MATCH(A1598,'Справочник по %'!A:A,0))))/100</f>
        <v>545.03000000000009</v>
      </c>
      <c r="E1598" s="29">
        <f>IF(ОТЧЕТ!A1598="SKU3",C1598+ОТЧЕТ!C1598*0.2,C1598+ОТЧЕТ!C1598*0.15)</f>
        <v>626.55450000000008</v>
      </c>
      <c r="F1598" s="7" t="s">
        <v>3371</v>
      </c>
      <c r="G1598" s="7">
        <v>5610242970</v>
      </c>
      <c r="H1598" s="20" t="s">
        <v>2237</v>
      </c>
      <c r="I1598" s="22">
        <f>INDEX('Справочник Сети'!B:B,(MATCH(G1598,'Справочник Сети'!C:C,0)))</f>
        <v>0</v>
      </c>
      <c r="J1598" s="7" t="s">
        <v>255</v>
      </c>
      <c r="K1598" s="7" t="s">
        <v>1539</v>
      </c>
      <c r="L1598" s="7" t="s">
        <v>255</v>
      </c>
      <c r="M1598" s="31">
        <v>45713</v>
      </c>
      <c r="N1598" s="7" t="s">
        <v>3372</v>
      </c>
      <c r="O1598" s="8">
        <v>253</v>
      </c>
      <c r="P1598" s="24">
        <v>6690</v>
      </c>
      <c r="Q1598" s="22">
        <f>IF(COUNTIFS(A$2:A1598,A1598,I$2:I1598,I1598)=1,1,0)</f>
        <v>0</v>
      </c>
      <c r="R1598" s="22">
        <f t="shared" si="24"/>
        <v>2</v>
      </c>
      <c r="S1598" s="33">
        <f>IF(COUNTIF(O$2:O1598,O1598)=1,R1598,0)/2.5</f>
        <v>0</v>
      </c>
    </row>
    <row r="1599" spans="1:19" ht="18" customHeight="1" x14ac:dyDescent="0.25">
      <c r="A1599" s="7" t="s">
        <v>37</v>
      </c>
      <c r="B1599" s="8">
        <v>1</v>
      </c>
      <c r="C1599" s="9">
        <v>652</v>
      </c>
      <c r="D1599" s="29">
        <f>C1599+IF(INDEX('Справочник по %'!B:B,(MATCH(A1599,'Справочник по %'!A:A,0)))="кол-во",B1599*INDEX('Справочник по %'!C:C,(MATCH(A1599,'Справочник по %'!A:A,0))),ОТЧЕТ!C1599*INDEX('Справочник по %'!C:C,(MATCH(A1599,'Справочник по %'!A:A,0))))/100</f>
        <v>652.20000000000005</v>
      </c>
      <c r="E1599" s="29">
        <f>IF(ОТЧЕТ!A1599="SKU3",C1599+ОТЧЕТ!C1599*0.2,C1599+ОТЧЕТ!C1599*0.15)</f>
        <v>749.8</v>
      </c>
      <c r="F1599" s="7" t="s">
        <v>3373</v>
      </c>
      <c r="G1599" s="7">
        <v>7704729709</v>
      </c>
      <c r="H1599" s="20" t="s">
        <v>64</v>
      </c>
      <c r="I1599" s="22">
        <f>INDEX('Справочник Сети'!B:B,(MATCH(G1599,'Справочник Сети'!C:C,0)))</f>
        <v>0</v>
      </c>
      <c r="J1599" s="7" t="s">
        <v>104</v>
      </c>
      <c r="K1599" s="7" t="s">
        <v>1220</v>
      </c>
      <c r="L1599" s="7" t="s">
        <v>104</v>
      </c>
      <c r="M1599" s="31">
        <v>45693</v>
      </c>
      <c r="N1599" s="7" t="s">
        <v>3374</v>
      </c>
      <c r="O1599" s="8">
        <v>833</v>
      </c>
      <c r="P1599" s="24">
        <v>6693</v>
      </c>
      <c r="Q1599" s="22">
        <f>IF(COUNTIFS(A$2:A1599,A1599,I$2:I1599,I1599)=1,1,0)</f>
        <v>0</v>
      </c>
      <c r="R1599" s="22">
        <f t="shared" si="24"/>
        <v>6</v>
      </c>
      <c r="S1599" s="33">
        <f>IF(COUNTIF(O$2:O1599,O1599)=1,R1599,0)/2.5</f>
        <v>0</v>
      </c>
    </row>
    <row r="1600" spans="1:19" ht="18" customHeight="1" x14ac:dyDescent="0.25">
      <c r="A1600" s="7" t="s">
        <v>43</v>
      </c>
      <c r="B1600" s="8">
        <v>1</v>
      </c>
      <c r="C1600" s="9">
        <v>396</v>
      </c>
      <c r="D1600" s="29">
        <f>C1600+IF(INDEX('Справочник по %'!B:B,(MATCH(A1600,'Справочник по %'!A:A,0)))="кол-во",B1600*INDEX('Справочник по %'!C:C,(MATCH(A1600,'Справочник по %'!A:A,0))),ОТЧЕТ!C1600*INDEX('Справочник по %'!C:C,(MATCH(A1600,'Справочник по %'!A:A,0))))/100</f>
        <v>435.6</v>
      </c>
      <c r="E1600" s="29">
        <f>IF(ОТЧЕТ!A1600="SKU3",C1600+ОТЧЕТ!C1600*0.2,C1600+ОТЧЕТ!C1600*0.15)</f>
        <v>455.4</v>
      </c>
      <c r="F1600" s="7" t="s">
        <v>3375</v>
      </c>
      <c r="G1600" s="7">
        <v>7840411560</v>
      </c>
      <c r="H1600" s="20" t="s">
        <v>1193</v>
      </c>
      <c r="I1600" s="22" t="str">
        <f>INDEX('Справочник Сети'!B:B,(MATCH(G1600,'Справочник Сети'!C:C,0)))</f>
        <v>Столички</v>
      </c>
      <c r="J1600" s="7" t="s">
        <v>315</v>
      </c>
      <c r="K1600" s="7" t="s">
        <v>1459</v>
      </c>
      <c r="L1600" s="7" t="s">
        <v>315</v>
      </c>
      <c r="M1600" s="31">
        <v>45670</v>
      </c>
      <c r="N1600" s="7" t="s">
        <v>3376</v>
      </c>
      <c r="O1600" s="8">
        <v>720</v>
      </c>
      <c r="P1600" s="24">
        <v>6694</v>
      </c>
      <c r="Q1600" s="22">
        <f>IF(COUNTIFS(A$2:A1600,A1600,I$2:I1600,I1600)=1,1,0)</f>
        <v>0</v>
      </c>
      <c r="R1600" s="22">
        <f t="shared" si="24"/>
        <v>3</v>
      </c>
      <c r="S1600" s="33">
        <f>IF(COUNTIF(O$2:O1600,O1600)=1,R1600,0)/2.5</f>
        <v>0</v>
      </c>
    </row>
    <row r="1601" spans="1:19" ht="18" customHeight="1" x14ac:dyDescent="0.25">
      <c r="A1601" s="7" t="s">
        <v>43</v>
      </c>
      <c r="B1601" s="8">
        <v>1</v>
      </c>
      <c r="C1601" s="9">
        <v>432</v>
      </c>
      <c r="D1601" s="29">
        <f>C1601+IF(INDEX('Справочник по %'!B:B,(MATCH(A1601,'Справочник по %'!A:A,0)))="кол-во",B1601*INDEX('Справочник по %'!C:C,(MATCH(A1601,'Справочник по %'!A:A,0))),ОТЧЕТ!C1601*INDEX('Справочник по %'!C:C,(MATCH(A1601,'Справочник по %'!A:A,0))))/100</f>
        <v>475.2</v>
      </c>
      <c r="E1601" s="29">
        <f>IF(ОТЧЕТ!A1601="SKU3",C1601+ОТЧЕТ!C1601*0.2,C1601+ОТЧЕТ!C1601*0.15)</f>
        <v>496.8</v>
      </c>
      <c r="F1601" s="7" t="s">
        <v>3375</v>
      </c>
      <c r="G1601" s="7">
        <v>2539096225</v>
      </c>
      <c r="H1601" s="20" t="s">
        <v>384</v>
      </c>
      <c r="I1601" s="22" t="str">
        <f>INDEX('Справочник Сети'!B:B,(MATCH(G1601,'Справочник Сети'!C:C,0)))</f>
        <v>36,6</v>
      </c>
      <c r="J1601" s="7" t="s">
        <v>46</v>
      </c>
      <c r="K1601" s="7" t="s">
        <v>100</v>
      </c>
      <c r="L1601" s="7" t="s">
        <v>46</v>
      </c>
      <c r="M1601" s="31">
        <v>45726</v>
      </c>
      <c r="N1601" s="7" t="s">
        <v>3377</v>
      </c>
      <c r="O1601" s="8">
        <v>3398</v>
      </c>
      <c r="P1601" s="24">
        <v>6695</v>
      </c>
      <c r="Q1601" s="22">
        <f>IF(COUNTIFS(A$2:A1601,A1601,I$2:I1601,I1601)=1,1,0)</f>
        <v>0</v>
      </c>
      <c r="R1601" s="22">
        <f t="shared" si="24"/>
        <v>4</v>
      </c>
      <c r="S1601" s="33">
        <f>IF(COUNTIF(O$2:O1601,O1601)=1,R1601,0)/2.5</f>
        <v>0</v>
      </c>
    </row>
    <row r="1602" spans="1:19" ht="18" customHeight="1" x14ac:dyDescent="0.25">
      <c r="A1602" s="7" t="s">
        <v>43</v>
      </c>
      <c r="B1602" s="8">
        <v>1</v>
      </c>
      <c r="C1602" s="9">
        <v>468</v>
      </c>
      <c r="D1602" s="29">
        <f>C1602+IF(INDEX('Справочник по %'!B:B,(MATCH(A1602,'Справочник по %'!A:A,0)))="кол-во",B1602*INDEX('Справочник по %'!C:C,(MATCH(A1602,'Справочник по %'!A:A,0))),ОТЧЕТ!C1602*INDEX('Справочник по %'!C:C,(MATCH(A1602,'Справочник по %'!A:A,0))))/100</f>
        <v>514.79999999999995</v>
      </c>
      <c r="E1602" s="29">
        <f>IF(ОТЧЕТ!A1602="SKU3",C1602+ОТЧЕТ!C1602*0.2,C1602+ОТЧЕТ!C1602*0.15)</f>
        <v>538.20000000000005</v>
      </c>
      <c r="F1602" s="7" t="s">
        <v>3375</v>
      </c>
      <c r="G1602" s="7">
        <v>2222896536</v>
      </c>
      <c r="H1602" s="20" t="s">
        <v>50</v>
      </c>
      <c r="I1602" s="22" t="str">
        <f>INDEX('Справочник Сети'!B:B,(MATCH(G1602,'Справочник Сети'!C:C,0)))</f>
        <v>Нео-фарм</v>
      </c>
      <c r="J1602" s="7" t="s">
        <v>372</v>
      </c>
      <c r="K1602" s="7" t="s">
        <v>732</v>
      </c>
      <c r="L1602" s="7" t="s">
        <v>372</v>
      </c>
      <c r="M1602" s="31">
        <v>45730</v>
      </c>
      <c r="N1602" s="7" t="s">
        <v>3378</v>
      </c>
      <c r="O1602" s="8">
        <v>1918</v>
      </c>
      <c r="P1602" s="24">
        <v>6698</v>
      </c>
      <c r="Q1602" s="22">
        <f>IF(COUNTIFS(A$2:A1602,A1602,I$2:I1602,I1602)=1,1,0)</f>
        <v>0</v>
      </c>
      <c r="R1602" s="22">
        <f t="shared" si="24"/>
        <v>13</v>
      </c>
      <c r="S1602" s="33">
        <f>IF(COUNTIF(O$2:O1602,O1602)=1,R1602,0)/2.5</f>
        <v>0</v>
      </c>
    </row>
    <row r="1603" spans="1:19" ht="18" customHeight="1" x14ac:dyDescent="0.25">
      <c r="A1603" s="7" t="s">
        <v>43</v>
      </c>
      <c r="B1603" s="8">
        <v>1</v>
      </c>
      <c r="C1603" s="9">
        <v>463</v>
      </c>
      <c r="D1603" s="29">
        <f>C1603+IF(INDEX('Справочник по %'!B:B,(MATCH(A1603,'Справочник по %'!A:A,0)))="кол-во",B1603*INDEX('Справочник по %'!C:C,(MATCH(A1603,'Справочник по %'!A:A,0))),ОТЧЕТ!C1603*INDEX('Справочник по %'!C:C,(MATCH(A1603,'Справочник по %'!A:A,0))))/100</f>
        <v>509.3</v>
      </c>
      <c r="E1603" s="29">
        <f>IF(ОТЧЕТ!A1603="SKU3",C1603+ОТЧЕТ!C1603*0.2,C1603+ОТЧЕТ!C1603*0.15)</f>
        <v>532.45000000000005</v>
      </c>
      <c r="F1603" s="7" t="s">
        <v>3379</v>
      </c>
      <c r="G1603" s="7">
        <v>5406844981</v>
      </c>
      <c r="H1603" s="20" t="s">
        <v>3380</v>
      </c>
      <c r="I1603" s="22">
        <f>INDEX('Справочник Сети'!B:B,(MATCH(G1603,'Справочник Сети'!C:C,0)))</f>
        <v>0</v>
      </c>
      <c r="J1603" s="7" t="s">
        <v>255</v>
      </c>
      <c r="K1603" s="7" t="s">
        <v>2503</v>
      </c>
      <c r="L1603" s="7" t="s">
        <v>92</v>
      </c>
      <c r="M1603" s="31">
        <v>45714</v>
      </c>
      <c r="N1603" s="7" t="s">
        <v>3381</v>
      </c>
      <c r="O1603" s="8">
        <v>1473</v>
      </c>
      <c r="P1603" s="24">
        <v>6703</v>
      </c>
      <c r="Q1603" s="22">
        <f>IF(COUNTIFS(A$2:A1603,A1603,I$2:I1603,I1603)=1,1,0)</f>
        <v>0</v>
      </c>
      <c r="R1603" s="22">
        <f t="shared" ref="R1603:R1666" si="25">COUNTIF(O:O,O1603)</f>
        <v>1</v>
      </c>
      <c r="S1603" s="33">
        <f>IF(COUNTIF(O$2:O1603,O1603)=1,R1603,0)/2.5</f>
        <v>0.4</v>
      </c>
    </row>
    <row r="1604" spans="1:19" ht="18" customHeight="1" x14ac:dyDescent="0.25">
      <c r="A1604" s="7" t="s">
        <v>43</v>
      </c>
      <c r="B1604" s="8">
        <v>1</v>
      </c>
      <c r="C1604" s="9">
        <v>470</v>
      </c>
      <c r="D1604" s="29">
        <f>C1604+IF(INDEX('Справочник по %'!B:B,(MATCH(A1604,'Справочник по %'!A:A,0)))="кол-во",B1604*INDEX('Справочник по %'!C:C,(MATCH(A1604,'Справочник по %'!A:A,0))),ОТЧЕТ!C1604*INDEX('Справочник по %'!C:C,(MATCH(A1604,'Справочник по %'!A:A,0))))/100</f>
        <v>517</v>
      </c>
      <c r="E1604" s="29">
        <f>IF(ОТЧЕТ!A1604="SKU3",C1604+ОТЧЕТ!C1604*0.2,C1604+ОТЧЕТ!C1604*0.15)</f>
        <v>540.5</v>
      </c>
      <c r="F1604" s="7" t="s">
        <v>3382</v>
      </c>
      <c r="G1604" s="7">
        <v>2301097462</v>
      </c>
      <c r="H1604" s="20" t="s">
        <v>50</v>
      </c>
      <c r="I1604" s="22">
        <f>INDEX('Справочник Сети'!B:B,(MATCH(G1604,'Справочник Сети'!C:C,0)))</f>
        <v>0</v>
      </c>
      <c r="J1604" s="7" t="s">
        <v>372</v>
      </c>
      <c r="K1604" s="7" t="s">
        <v>3383</v>
      </c>
      <c r="L1604" s="7" t="s">
        <v>372</v>
      </c>
      <c r="M1604" s="31">
        <v>45730</v>
      </c>
      <c r="N1604" s="7" t="s">
        <v>3384</v>
      </c>
      <c r="O1604" s="8">
        <v>3621</v>
      </c>
      <c r="P1604" s="24">
        <v>6705</v>
      </c>
      <c r="Q1604" s="22">
        <f>IF(COUNTIFS(A$2:A1604,A1604,I$2:I1604,I1604)=1,1,0)</f>
        <v>0</v>
      </c>
      <c r="R1604" s="22">
        <f t="shared" si="25"/>
        <v>1</v>
      </c>
      <c r="S1604" s="33">
        <f>IF(COUNTIF(O$2:O1604,O1604)=1,R1604,0)/2.5</f>
        <v>0.4</v>
      </c>
    </row>
    <row r="1605" spans="1:19" ht="18" customHeight="1" x14ac:dyDescent="0.25">
      <c r="A1605" s="7" t="s">
        <v>43</v>
      </c>
      <c r="B1605" s="8">
        <v>1</v>
      </c>
      <c r="C1605" s="9">
        <v>399</v>
      </c>
      <c r="D1605" s="29">
        <f>C1605+IF(INDEX('Справочник по %'!B:B,(MATCH(A1605,'Справочник по %'!A:A,0)))="кол-во",B1605*INDEX('Справочник по %'!C:C,(MATCH(A1605,'Справочник по %'!A:A,0))),ОТЧЕТ!C1605*INDEX('Справочник по %'!C:C,(MATCH(A1605,'Справочник по %'!A:A,0))))/100</f>
        <v>438.9</v>
      </c>
      <c r="E1605" s="29">
        <f>IF(ОТЧЕТ!A1605="SKU3",C1605+ОТЧЕТ!C1605*0.2,C1605+ОТЧЕТ!C1605*0.15)</f>
        <v>458.85</v>
      </c>
      <c r="F1605" s="7" t="s">
        <v>3382</v>
      </c>
      <c r="G1605" s="7">
        <v>3123296586</v>
      </c>
      <c r="H1605" s="20" t="s">
        <v>50</v>
      </c>
      <c r="I1605" s="22" t="str">
        <f>INDEX('Справочник Сети'!B:B,(MATCH(G1605,'Справочник Сети'!C:C,0)))</f>
        <v>Столички</v>
      </c>
      <c r="J1605" s="7" t="s">
        <v>193</v>
      </c>
      <c r="K1605" s="7" t="s">
        <v>2203</v>
      </c>
      <c r="L1605" s="7" t="s">
        <v>193</v>
      </c>
      <c r="M1605" s="31">
        <v>45718</v>
      </c>
      <c r="N1605" s="7" t="s">
        <v>3385</v>
      </c>
      <c r="O1605" s="8">
        <v>3050</v>
      </c>
      <c r="P1605" s="24">
        <v>6710</v>
      </c>
      <c r="Q1605" s="22">
        <f>IF(COUNTIFS(A$2:A1605,A1605,I$2:I1605,I1605)=1,1,0)</f>
        <v>0</v>
      </c>
      <c r="R1605" s="22">
        <f t="shared" si="25"/>
        <v>10</v>
      </c>
      <c r="S1605" s="33">
        <f>IF(COUNTIF(O$2:O1605,O1605)=1,R1605,0)/2.5</f>
        <v>0</v>
      </c>
    </row>
    <row r="1606" spans="1:19" ht="18" customHeight="1" x14ac:dyDescent="0.25">
      <c r="A1606" s="7" t="s">
        <v>43</v>
      </c>
      <c r="B1606" s="8">
        <v>1</v>
      </c>
      <c r="C1606" s="9">
        <v>471.5</v>
      </c>
      <c r="D1606" s="29">
        <f>C1606+IF(INDEX('Справочник по %'!B:B,(MATCH(A1606,'Справочник по %'!A:A,0)))="кол-во",B1606*INDEX('Справочник по %'!C:C,(MATCH(A1606,'Справочник по %'!A:A,0))),ОТЧЕТ!C1606*INDEX('Справочник по %'!C:C,(MATCH(A1606,'Справочник по %'!A:A,0))))/100</f>
        <v>518.65</v>
      </c>
      <c r="E1606" s="29">
        <f>IF(ОТЧЕТ!A1606="SKU3",C1606+ОТЧЕТ!C1606*0.2,C1606+ОТЧЕТ!C1606*0.15)</f>
        <v>542.22500000000002</v>
      </c>
      <c r="F1606" s="7" t="s">
        <v>3382</v>
      </c>
      <c r="G1606" s="7">
        <v>7805180253</v>
      </c>
      <c r="H1606" s="20" t="s">
        <v>50</v>
      </c>
      <c r="I1606" s="22">
        <f>INDEX('Справочник Сети'!B:B,(MATCH(G1606,'Справочник Сети'!C:C,0)))</f>
        <v>0</v>
      </c>
      <c r="J1606" s="7" t="s">
        <v>353</v>
      </c>
      <c r="K1606" s="7" t="s">
        <v>2089</v>
      </c>
      <c r="L1606" s="7" t="s">
        <v>353</v>
      </c>
      <c r="M1606" s="31">
        <v>45672</v>
      </c>
      <c r="N1606" s="7" t="s">
        <v>3386</v>
      </c>
      <c r="O1606" s="8">
        <v>2008</v>
      </c>
      <c r="P1606" s="24">
        <v>6711</v>
      </c>
      <c r="Q1606" s="22">
        <f>IF(COUNTIFS(A$2:A1606,A1606,I$2:I1606,I1606)=1,1,0)</f>
        <v>0</v>
      </c>
      <c r="R1606" s="22">
        <f t="shared" si="25"/>
        <v>2</v>
      </c>
      <c r="S1606" s="33">
        <f>IF(COUNTIF(O$2:O1606,O1606)=1,R1606,0)/2.5</f>
        <v>0</v>
      </c>
    </row>
    <row r="1607" spans="1:19" ht="18" customHeight="1" x14ac:dyDescent="0.25">
      <c r="A1607" s="7" t="s">
        <v>43</v>
      </c>
      <c r="B1607" s="8">
        <v>1</v>
      </c>
      <c r="C1607" s="9">
        <v>486</v>
      </c>
      <c r="D1607" s="29">
        <f>C1607+IF(INDEX('Справочник по %'!B:B,(MATCH(A1607,'Справочник по %'!A:A,0)))="кол-во",B1607*INDEX('Справочник по %'!C:C,(MATCH(A1607,'Справочник по %'!A:A,0))),ОТЧЕТ!C1607*INDEX('Справочник по %'!C:C,(MATCH(A1607,'Справочник по %'!A:A,0))))/100</f>
        <v>534.6</v>
      </c>
      <c r="E1607" s="29">
        <f>IF(ОТЧЕТ!A1607="SKU3",C1607+ОТЧЕТ!C1607*0.2,C1607+ОТЧЕТ!C1607*0.15)</f>
        <v>558.9</v>
      </c>
      <c r="F1607" s="7" t="s">
        <v>3382</v>
      </c>
      <c r="G1607" s="7">
        <v>2543009225</v>
      </c>
      <c r="H1607" s="20" t="s">
        <v>3327</v>
      </c>
      <c r="I1607" s="22" t="str">
        <f>INDEX('Справочник Сети'!B:B,(MATCH(G1607,'Справочник Сети'!C:C,0)))</f>
        <v>Нео-фарм</v>
      </c>
      <c r="J1607" s="7" t="s">
        <v>46</v>
      </c>
      <c r="K1607" s="7" t="s">
        <v>337</v>
      </c>
      <c r="L1607" s="7" t="s">
        <v>46</v>
      </c>
      <c r="M1607" s="31">
        <v>45726</v>
      </c>
      <c r="N1607" s="7" t="s">
        <v>3387</v>
      </c>
      <c r="O1607" s="8">
        <v>2946</v>
      </c>
      <c r="P1607" s="24">
        <v>6716</v>
      </c>
      <c r="Q1607" s="22">
        <f>IF(COUNTIFS(A$2:A1607,A1607,I$2:I1607,I1607)=1,1,0)</f>
        <v>0</v>
      </c>
      <c r="R1607" s="22">
        <f t="shared" si="25"/>
        <v>7</v>
      </c>
      <c r="S1607" s="33">
        <f>IF(COUNTIF(O$2:O1607,O1607)=1,R1607,0)/2.5</f>
        <v>0</v>
      </c>
    </row>
    <row r="1608" spans="1:19" ht="18" customHeight="1" x14ac:dyDescent="0.25">
      <c r="A1608" s="7" t="s">
        <v>43</v>
      </c>
      <c r="B1608" s="8">
        <v>1</v>
      </c>
      <c r="C1608" s="9">
        <v>455.72</v>
      </c>
      <c r="D1608" s="29">
        <f>C1608+IF(INDEX('Справочник по %'!B:B,(MATCH(A1608,'Справочник по %'!A:A,0)))="кол-во",B1608*INDEX('Справочник по %'!C:C,(MATCH(A1608,'Справочник по %'!A:A,0))),ОТЧЕТ!C1608*INDEX('Справочник по %'!C:C,(MATCH(A1608,'Справочник по %'!A:A,0))))/100</f>
        <v>501.29200000000003</v>
      </c>
      <c r="E1608" s="29">
        <f>IF(ОТЧЕТ!A1608="SKU3",C1608+ОТЧЕТ!C1608*0.2,C1608+ОТЧЕТ!C1608*0.15)</f>
        <v>524.07799999999997</v>
      </c>
      <c r="F1608" s="7" t="s">
        <v>3382</v>
      </c>
      <c r="G1608" s="7">
        <v>4632047297</v>
      </c>
      <c r="H1608" s="20" t="s">
        <v>3052</v>
      </c>
      <c r="I1608" s="22">
        <f>INDEX('Справочник Сети'!B:B,(MATCH(G1608,'Справочник Сети'!C:C,0)))</f>
        <v>0</v>
      </c>
      <c r="J1608" s="7" t="s">
        <v>155</v>
      </c>
      <c r="K1608" s="7" t="s">
        <v>3388</v>
      </c>
      <c r="L1608" s="7" t="s">
        <v>155</v>
      </c>
      <c r="M1608" s="31">
        <v>45716</v>
      </c>
      <c r="N1608" s="7" t="s">
        <v>3389</v>
      </c>
      <c r="O1608" s="8">
        <v>1047</v>
      </c>
      <c r="P1608" s="24">
        <v>6717</v>
      </c>
      <c r="Q1608" s="22">
        <f>IF(COUNTIFS(A$2:A1608,A1608,I$2:I1608,I1608)=1,1,0)</f>
        <v>0</v>
      </c>
      <c r="R1608" s="22">
        <f t="shared" si="25"/>
        <v>6</v>
      </c>
      <c r="S1608" s="33">
        <f>IF(COUNTIF(O$2:O1608,O1608)=1,R1608,0)/2.5</f>
        <v>0</v>
      </c>
    </row>
    <row r="1609" spans="1:19" ht="18" customHeight="1" x14ac:dyDescent="0.25">
      <c r="A1609" s="7" t="s">
        <v>37</v>
      </c>
      <c r="B1609" s="8">
        <v>1</v>
      </c>
      <c r="C1609" s="9">
        <v>560</v>
      </c>
      <c r="D1609" s="29">
        <f>C1609+IF(INDEX('Справочник по %'!B:B,(MATCH(A1609,'Справочник по %'!A:A,0)))="кол-во",B1609*INDEX('Справочник по %'!C:C,(MATCH(A1609,'Справочник по %'!A:A,0))),ОТЧЕТ!C1609*INDEX('Справочник по %'!C:C,(MATCH(A1609,'Справочник по %'!A:A,0))))/100</f>
        <v>560.20000000000005</v>
      </c>
      <c r="E1609" s="29">
        <f>IF(ОТЧЕТ!A1609="SKU3",C1609+ОТЧЕТ!C1609*0.2,C1609+ОТЧЕТ!C1609*0.15)</f>
        <v>644</v>
      </c>
      <c r="F1609" s="7" t="s">
        <v>3382</v>
      </c>
      <c r="G1609" s="7">
        <v>7706795062</v>
      </c>
      <c r="H1609" s="20" t="s">
        <v>1801</v>
      </c>
      <c r="I1609" s="22" t="str">
        <f>INDEX('Справочник Сети'!B:B,(MATCH(G1609,'Справочник Сети'!C:C,0)))</f>
        <v>Планета здоровья</v>
      </c>
      <c r="J1609" s="7" t="s">
        <v>87</v>
      </c>
      <c r="K1609" s="7" t="s">
        <v>1473</v>
      </c>
      <c r="L1609" s="7" t="s">
        <v>87</v>
      </c>
      <c r="M1609" s="31">
        <v>45691</v>
      </c>
      <c r="N1609" s="7" t="s">
        <v>1477</v>
      </c>
      <c r="O1609" s="8">
        <v>2053</v>
      </c>
      <c r="P1609" s="24">
        <v>6719</v>
      </c>
      <c r="Q1609" s="22">
        <f>IF(COUNTIFS(A$2:A1609,A1609,I$2:I1609,I1609)=1,1,0)</f>
        <v>0</v>
      </c>
      <c r="R1609" s="22">
        <f t="shared" si="25"/>
        <v>2</v>
      </c>
      <c r="S1609" s="33">
        <f>IF(COUNTIF(O$2:O1609,O1609)=1,R1609,0)/2.5</f>
        <v>0.8</v>
      </c>
    </row>
    <row r="1610" spans="1:19" ht="18" customHeight="1" x14ac:dyDescent="0.25">
      <c r="A1610" s="7" t="s">
        <v>43</v>
      </c>
      <c r="B1610" s="8">
        <v>1</v>
      </c>
      <c r="C1610" s="9">
        <v>492</v>
      </c>
      <c r="D1610" s="29">
        <f>C1610+IF(INDEX('Справочник по %'!B:B,(MATCH(A1610,'Справочник по %'!A:A,0)))="кол-во",B1610*INDEX('Справочник по %'!C:C,(MATCH(A1610,'Справочник по %'!A:A,0))),ОТЧЕТ!C1610*INDEX('Справочник по %'!C:C,(MATCH(A1610,'Справочник по %'!A:A,0))))/100</f>
        <v>541.20000000000005</v>
      </c>
      <c r="E1610" s="29">
        <f>IF(ОТЧЕТ!A1610="SKU3",C1610+ОТЧЕТ!C1610*0.2,C1610+ОТЧЕТ!C1610*0.15)</f>
        <v>565.79999999999995</v>
      </c>
      <c r="F1610" s="7" t="s">
        <v>3382</v>
      </c>
      <c r="G1610" s="7">
        <v>2543009225</v>
      </c>
      <c r="H1610" s="20" t="s">
        <v>3390</v>
      </c>
      <c r="I1610" s="22" t="str">
        <f>INDEX('Справочник Сети'!B:B,(MATCH(G1610,'Справочник Сети'!C:C,0)))</f>
        <v>Нео-фарм</v>
      </c>
      <c r="J1610" s="7" t="s">
        <v>46</v>
      </c>
      <c r="K1610" s="7" t="s">
        <v>3391</v>
      </c>
      <c r="L1610" s="7" t="s">
        <v>46</v>
      </c>
      <c r="M1610" s="31">
        <v>45726</v>
      </c>
      <c r="N1610" s="7" t="s">
        <v>3392</v>
      </c>
      <c r="O1610" s="8">
        <v>2518</v>
      </c>
      <c r="P1610" s="24">
        <v>6720</v>
      </c>
      <c r="Q1610" s="22">
        <f>IF(COUNTIFS(A$2:A1610,A1610,I$2:I1610,I1610)=1,1,0)</f>
        <v>0</v>
      </c>
      <c r="R1610" s="22">
        <f t="shared" si="25"/>
        <v>6</v>
      </c>
      <c r="S1610" s="33">
        <f>IF(COUNTIF(O$2:O1610,O1610)=1,R1610,0)/2.5</f>
        <v>0</v>
      </c>
    </row>
    <row r="1611" spans="1:19" ht="18" customHeight="1" x14ac:dyDescent="0.25">
      <c r="A1611" s="7" t="s">
        <v>43</v>
      </c>
      <c r="B1611" s="8">
        <v>1</v>
      </c>
      <c r="C1611" s="9">
        <v>423</v>
      </c>
      <c r="D1611" s="29">
        <f>C1611+IF(INDEX('Справочник по %'!B:B,(MATCH(A1611,'Справочник по %'!A:A,0)))="кол-во",B1611*INDEX('Справочник по %'!C:C,(MATCH(A1611,'Справочник по %'!A:A,0))),ОТЧЕТ!C1611*INDEX('Справочник по %'!C:C,(MATCH(A1611,'Справочник по %'!A:A,0))))/100</f>
        <v>465.3</v>
      </c>
      <c r="E1611" s="29">
        <f>IF(ОТЧЕТ!A1611="SKU3",C1611+ОТЧЕТ!C1611*0.2,C1611+ОТЧЕТ!C1611*0.15)</f>
        <v>486.45</v>
      </c>
      <c r="F1611" s="7" t="s">
        <v>3382</v>
      </c>
      <c r="G1611" s="7">
        <v>5902058784</v>
      </c>
      <c r="H1611" s="20" t="s">
        <v>39</v>
      </c>
      <c r="I1611" s="22" t="str">
        <f>INDEX('Справочник Сети'!B:B,(MATCH(G1611,'Справочник Сети'!C:C,0)))</f>
        <v>Планета здоровья</v>
      </c>
      <c r="J1611" s="7" t="s">
        <v>40</v>
      </c>
      <c r="K1611" s="7" t="s">
        <v>2164</v>
      </c>
      <c r="L1611" s="7" t="s">
        <v>40</v>
      </c>
      <c r="M1611" s="31">
        <v>45712</v>
      </c>
      <c r="N1611" s="7" t="s">
        <v>3393</v>
      </c>
      <c r="O1611" s="8">
        <v>2569</v>
      </c>
      <c r="P1611" s="24">
        <v>6723</v>
      </c>
      <c r="Q1611" s="22">
        <f>IF(COUNTIFS(A$2:A1611,A1611,I$2:I1611,I1611)=1,1,0)</f>
        <v>0</v>
      </c>
      <c r="R1611" s="22">
        <f t="shared" si="25"/>
        <v>2</v>
      </c>
      <c r="S1611" s="33">
        <f>IF(COUNTIF(O$2:O1611,O1611)=1,R1611,0)/2.5</f>
        <v>0.8</v>
      </c>
    </row>
    <row r="1612" spans="1:19" ht="18" customHeight="1" x14ac:dyDescent="0.25">
      <c r="A1612" s="7" t="s">
        <v>43</v>
      </c>
      <c r="B1612" s="8">
        <v>1</v>
      </c>
      <c r="C1612" s="9">
        <v>406</v>
      </c>
      <c r="D1612" s="29">
        <f>C1612+IF(INDEX('Справочник по %'!B:B,(MATCH(A1612,'Справочник по %'!A:A,0)))="кол-во",B1612*INDEX('Справочник по %'!C:C,(MATCH(A1612,'Справочник по %'!A:A,0))),ОТЧЕТ!C1612*INDEX('Справочник по %'!C:C,(MATCH(A1612,'Справочник по %'!A:A,0))))/100</f>
        <v>446.6</v>
      </c>
      <c r="E1612" s="29">
        <f>IF(ОТЧЕТ!A1612="SKU3",C1612+ОТЧЕТ!C1612*0.2,C1612+ОТЧЕТ!C1612*0.15)</f>
        <v>466.9</v>
      </c>
      <c r="F1612" s="7" t="s">
        <v>3382</v>
      </c>
      <c r="G1612" s="7">
        <v>7704865540</v>
      </c>
      <c r="H1612" s="20" t="s">
        <v>91</v>
      </c>
      <c r="I1612" s="22" t="str">
        <f>INDEX('Справочник Сети'!B:B,(MATCH(G1612,'Справочник Сети'!C:C,0)))</f>
        <v>Столички</v>
      </c>
      <c r="J1612" s="7" t="s">
        <v>104</v>
      </c>
      <c r="K1612" s="7" t="s">
        <v>1113</v>
      </c>
      <c r="L1612" s="7" t="s">
        <v>104</v>
      </c>
      <c r="M1612" s="31">
        <v>45693</v>
      </c>
      <c r="N1612" s="7" t="s">
        <v>3394</v>
      </c>
      <c r="O1612" s="8">
        <v>885</v>
      </c>
      <c r="P1612" s="24">
        <v>6728</v>
      </c>
      <c r="Q1612" s="22">
        <f>IF(COUNTIFS(A$2:A1612,A1612,I$2:I1612,I1612)=1,1,0)</f>
        <v>0</v>
      </c>
      <c r="R1612" s="22">
        <f t="shared" si="25"/>
        <v>1</v>
      </c>
      <c r="S1612" s="33">
        <f>IF(COUNTIF(O$2:O1612,O1612)=1,R1612,0)/2.5</f>
        <v>0.4</v>
      </c>
    </row>
    <row r="1613" spans="1:19" ht="18" customHeight="1" x14ac:dyDescent="0.25">
      <c r="A1613" s="7" t="s">
        <v>37</v>
      </c>
      <c r="B1613" s="8">
        <v>1</v>
      </c>
      <c r="C1613" s="9">
        <v>549</v>
      </c>
      <c r="D1613" s="29">
        <f>C1613+IF(INDEX('Справочник по %'!B:B,(MATCH(A1613,'Справочник по %'!A:A,0)))="кол-во",B1613*INDEX('Справочник по %'!C:C,(MATCH(A1613,'Справочник по %'!A:A,0))),ОТЧЕТ!C1613*INDEX('Справочник по %'!C:C,(MATCH(A1613,'Справочник по %'!A:A,0))))/100</f>
        <v>549.20000000000005</v>
      </c>
      <c r="E1613" s="29">
        <f>IF(ОТЧЕТ!A1613="SKU3",C1613+ОТЧЕТ!C1613*0.2,C1613+ОТЧЕТ!C1613*0.15)</f>
        <v>631.35</v>
      </c>
      <c r="F1613" s="7" t="s">
        <v>3395</v>
      </c>
      <c r="G1613" s="7">
        <v>275912643</v>
      </c>
      <c r="H1613" s="20" t="s">
        <v>2290</v>
      </c>
      <c r="I1613" s="22">
        <f>INDEX('Справочник Сети'!B:B,(MATCH(G1613,'Справочник Сети'!C:C,0)))</f>
        <v>0</v>
      </c>
      <c r="J1613" s="7" t="s">
        <v>362</v>
      </c>
      <c r="K1613" s="7" t="s">
        <v>508</v>
      </c>
      <c r="L1613" s="7" t="s">
        <v>362</v>
      </c>
      <c r="M1613" s="31">
        <v>45732</v>
      </c>
      <c r="N1613" s="7" t="s">
        <v>3396</v>
      </c>
      <c r="O1613" s="8">
        <v>1077</v>
      </c>
      <c r="P1613" s="24">
        <v>6731</v>
      </c>
      <c r="Q1613" s="22">
        <f>IF(COUNTIFS(A$2:A1613,A1613,I$2:I1613,I1613)=1,1,0)</f>
        <v>0</v>
      </c>
      <c r="R1613" s="22">
        <f t="shared" si="25"/>
        <v>6</v>
      </c>
      <c r="S1613" s="33">
        <f>IF(COUNTIF(O$2:O1613,O1613)=1,R1613,0)/2.5</f>
        <v>0</v>
      </c>
    </row>
    <row r="1614" spans="1:19" ht="18" customHeight="1" x14ac:dyDescent="0.25">
      <c r="A1614" s="7" t="s">
        <v>43</v>
      </c>
      <c r="B1614" s="8">
        <v>1</v>
      </c>
      <c r="C1614" s="9">
        <v>414</v>
      </c>
      <c r="D1614" s="29">
        <f>C1614+IF(INDEX('Справочник по %'!B:B,(MATCH(A1614,'Справочник по %'!A:A,0)))="кол-во",B1614*INDEX('Справочник по %'!C:C,(MATCH(A1614,'Справочник по %'!A:A,0))),ОТЧЕТ!C1614*INDEX('Справочник по %'!C:C,(MATCH(A1614,'Справочник по %'!A:A,0))))/100</f>
        <v>455.4</v>
      </c>
      <c r="E1614" s="29">
        <f>IF(ОТЧЕТ!A1614="SKU3",C1614+ОТЧЕТ!C1614*0.2,C1614+ОТЧЕТ!C1614*0.15)</f>
        <v>476.1</v>
      </c>
      <c r="F1614" s="7" t="s">
        <v>3395</v>
      </c>
      <c r="G1614" s="7">
        <v>2722060740</v>
      </c>
      <c r="H1614" s="20" t="s">
        <v>50</v>
      </c>
      <c r="I1614" s="22">
        <f>INDEX('Справочник Сети'!B:B,(MATCH(G1614,'Справочник Сети'!C:C,0)))</f>
        <v>0</v>
      </c>
      <c r="J1614" s="7" t="s">
        <v>51</v>
      </c>
      <c r="K1614" s="7" t="s">
        <v>873</v>
      </c>
      <c r="L1614" s="7" t="s">
        <v>46</v>
      </c>
      <c r="M1614" s="31">
        <v>45726</v>
      </c>
      <c r="N1614" s="7" t="s">
        <v>3397</v>
      </c>
      <c r="O1614" s="8">
        <v>2630</v>
      </c>
      <c r="P1614" s="24">
        <v>6732</v>
      </c>
      <c r="Q1614" s="22">
        <f>IF(COUNTIFS(A$2:A1614,A1614,I$2:I1614,I1614)=1,1,0)</f>
        <v>0</v>
      </c>
      <c r="R1614" s="22">
        <f t="shared" si="25"/>
        <v>23</v>
      </c>
      <c r="S1614" s="33">
        <f>IF(COUNTIF(O$2:O1614,O1614)=1,R1614,0)/2.5</f>
        <v>0</v>
      </c>
    </row>
    <row r="1615" spans="1:19" ht="18" customHeight="1" x14ac:dyDescent="0.25">
      <c r="A1615" s="7" t="s">
        <v>43</v>
      </c>
      <c r="B1615" s="8">
        <v>1</v>
      </c>
      <c r="C1615" s="9">
        <v>450</v>
      </c>
      <c r="D1615" s="29">
        <f>C1615+IF(INDEX('Справочник по %'!B:B,(MATCH(A1615,'Справочник по %'!A:A,0)))="кол-во",B1615*INDEX('Справочник по %'!C:C,(MATCH(A1615,'Справочник по %'!A:A,0))),ОТЧЕТ!C1615*INDEX('Справочник по %'!C:C,(MATCH(A1615,'Справочник по %'!A:A,0))))/100</f>
        <v>495</v>
      </c>
      <c r="E1615" s="29">
        <f>IF(ОТЧЕТ!A1615="SKU3",C1615+ОТЧЕТ!C1615*0.2,C1615+ОТЧЕТ!C1615*0.15)</f>
        <v>517.5</v>
      </c>
      <c r="F1615" s="7" t="s">
        <v>3398</v>
      </c>
      <c r="G1615" s="7">
        <v>7704865540</v>
      </c>
      <c r="H1615" s="20" t="s">
        <v>91</v>
      </c>
      <c r="I1615" s="22" t="str">
        <f>INDEX('Справочник Сети'!B:B,(MATCH(G1615,'Справочник Сети'!C:C,0)))</f>
        <v>Столички</v>
      </c>
      <c r="J1615" s="7" t="s">
        <v>104</v>
      </c>
      <c r="K1615" s="7" t="s">
        <v>388</v>
      </c>
      <c r="L1615" s="7" t="s">
        <v>104</v>
      </c>
      <c r="M1615" s="31">
        <v>45693</v>
      </c>
      <c r="N1615" s="7" t="s">
        <v>3399</v>
      </c>
      <c r="O1615" s="8">
        <v>1875</v>
      </c>
      <c r="P1615" s="24">
        <v>6739</v>
      </c>
      <c r="Q1615" s="22">
        <f>IF(COUNTIFS(A$2:A1615,A1615,I$2:I1615,I1615)=1,1,0)</f>
        <v>0</v>
      </c>
      <c r="R1615" s="22">
        <f t="shared" si="25"/>
        <v>2</v>
      </c>
      <c r="S1615" s="33">
        <f>IF(COUNTIF(O$2:O1615,O1615)=1,R1615,0)/2.5</f>
        <v>0</v>
      </c>
    </row>
    <row r="1616" spans="1:19" ht="18" customHeight="1" x14ac:dyDescent="0.25">
      <c r="A1616" s="7" t="s">
        <v>43</v>
      </c>
      <c r="B1616" s="8">
        <v>1</v>
      </c>
      <c r="C1616" s="9">
        <v>373</v>
      </c>
      <c r="D1616" s="29">
        <f>C1616+IF(INDEX('Справочник по %'!B:B,(MATCH(A1616,'Справочник по %'!A:A,0)))="кол-во",B1616*INDEX('Справочник по %'!C:C,(MATCH(A1616,'Справочник по %'!A:A,0))),ОТЧЕТ!C1616*INDEX('Справочник по %'!C:C,(MATCH(A1616,'Справочник по %'!A:A,0))))/100</f>
        <v>410.3</v>
      </c>
      <c r="E1616" s="29">
        <f>IF(ОТЧЕТ!A1616="SKU3",C1616+ОТЧЕТ!C1616*0.2,C1616+ОТЧЕТ!C1616*0.15)</f>
        <v>428.95</v>
      </c>
      <c r="F1616" s="7" t="s">
        <v>3400</v>
      </c>
      <c r="G1616" s="7">
        <v>7728339546</v>
      </c>
      <c r="H1616" s="20" t="s">
        <v>3401</v>
      </c>
      <c r="I1616" s="22" t="str">
        <f>INDEX('Справочник Сети'!B:B,(MATCH(G1616,'Справочник Сети'!C:C,0)))</f>
        <v>Планета здоровья</v>
      </c>
      <c r="J1616" s="7" t="s">
        <v>142</v>
      </c>
      <c r="K1616" s="7" t="s">
        <v>2085</v>
      </c>
      <c r="L1616" s="7" t="s">
        <v>142</v>
      </c>
      <c r="M1616" s="31">
        <v>45674</v>
      </c>
      <c r="N1616" s="7" t="s">
        <v>3402</v>
      </c>
      <c r="O1616" s="8">
        <v>1465</v>
      </c>
      <c r="P1616" s="24">
        <v>6743</v>
      </c>
      <c r="Q1616" s="22">
        <f>IF(COUNTIFS(A$2:A1616,A1616,I$2:I1616,I1616)=1,1,0)</f>
        <v>0</v>
      </c>
      <c r="R1616" s="22">
        <f t="shared" si="25"/>
        <v>1</v>
      </c>
      <c r="S1616" s="33">
        <f>IF(COUNTIF(O$2:O1616,O1616)=1,R1616,0)/2.5</f>
        <v>0.4</v>
      </c>
    </row>
    <row r="1617" spans="1:19" ht="18" customHeight="1" x14ac:dyDescent="0.25">
      <c r="A1617" s="7" t="s">
        <v>43</v>
      </c>
      <c r="B1617" s="8">
        <v>1</v>
      </c>
      <c r="C1617" s="9">
        <v>598.29999999999995</v>
      </c>
      <c r="D1617" s="29">
        <f>C1617+IF(INDEX('Справочник по %'!B:B,(MATCH(A1617,'Справочник по %'!A:A,0)))="кол-во",B1617*INDEX('Справочник по %'!C:C,(MATCH(A1617,'Справочник по %'!A:A,0))),ОТЧЕТ!C1617*INDEX('Справочник по %'!C:C,(MATCH(A1617,'Справочник по %'!A:A,0))))/100</f>
        <v>658.13</v>
      </c>
      <c r="E1617" s="29">
        <f>IF(ОТЧЕТ!A1617="SKU3",C1617+ОТЧЕТ!C1617*0.2,C1617+ОТЧЕТ!C1617*0.15)</f>
        <v>688.04499999999996</v>
      </c>
      <c r="F1617" s="7" t="s">
        <v>3403</v>
      </c>
      <c r="G1617" s="7">
        <v>2310230255</v>
      </c>
      <c r="H1617" s="20" t="s">
        <v>683</v>
      </c>
      <c r="I1617" s="22">
        <f>INDEX('Справочник Сети'!B:B,(MATCH(G1617,'Справочник Сети'!C:C,0)))</f>
        <v>0</v>
      </c>
      <c r="J1617" s="7" t="s">
        <v>70</v>
      </c>
      <c r="K1617" s="7" t="s">
        <v>3404</v>
      </c>
      <c r="L1617" s="7" t="s">
        <v>70</v>
      </c>
      <c r="M1617" s="31">
        <v>45728</v>
      </c>
      <c r="N1617" s="7" t="s">
        <v>3405</v>
      </c>
      <c r="O1617" s="8">
        <v>1539</v>
      </c>
      <c r="P1617" s="24">
        <v>6744</v>
      </c>
      <c r="Q1617" s="22">
        <f>IF(COUNTIFS(A$2:A1617,A1617,I$2:I1617,I1617)=1,1,0)</f>
        <v>0</v>
      </c>
      <c r="R1617" s="22">
        <f t="shared" si="25"/>
        <v>2</v>
      </c>
      <c r="S1617" s="33">
        <f>IF(COUNTIF(O$2:O1617,O1617)=1,R1617,0)/2.5</f>
        <v>0.8</v>
      </c>
    </row>
    <row r="1618" spans="1:19" ht="18" customHeight="1" x14ac:dyDescent="0.25">
      <c r="A1618" s="7" t="s">
        <v>43</v>
      </c>
      <c r="B1618" s="8">
        <v>1</v>
      </c>
      <c r="C1618" s="9">
        <v>405.9</v>
      </c>
      <c r="D1618" s="29">
        <f>C1618+IF(INDEX('Справочник по %'!B:B,(MATCH(A1618,'Справочник по %'!A:A,0)))="кол-во",B1618*INDEX('Справочник по %'!C:C,(MATCH(A1618,'Справочник по %'!A:A,0))),ОТЧЕТ!C1618*INDEX('Справочник по %'!C:C,(MATCH(A1618,'Справочник по %'!A:A,0))))/100</f>
        <v>446.49</v>
      </c>
      <c r="E1618" s="29">
        <f>IF(ОТЧЕТ!A1618="SKU3",C1618+ОТЧЕТ!C1618*0.2,C1618+ОТЧЕТ!C1618*0.15)</f>
        <v>466.78499999999997</v>
      </c>
      <c r="F1618" s="7" t="s">
        <v>3406</v>
      </c>
      <c r="G1618" s="7">
        <v>2703082561</v>
      </c>
      <c r="H1618" s="20" t="s">
        <v>50</v>
      </c>
      <c r="I1618" s="22" t="str">
        <f>INDEX('Справочник Сети'!B:B,(MATCH(G1618,'Справочник Сети'!C:C,0)))</f>
        <v>Столички</v>
      </c>
      <c r="J1618" s="7" t="s">
        <v>46</v>
      </c>
      <c r="K1618" s="7" t="s">
        <v>3063</v>
      </c>
      <c r="L1618" s="7" t="s">
        <v>46</v>
      </c>
      <c r="M1618" s="31">
        <v>45726</v>
      </c>
      <c r="N1618" s="7" t="s">
        <v>2156</v>
      </c>
      <c r="O1618" s="8">
        <v>3811</v>
      </c>
      <c r="P1618" s="24">
        <v>6746</v>
      </c>
      <c r="Q1618" s="22">
        <f>IF(COUNTIFS(A$2:A1618,A1618,I$2:I1618,I1618)=1,1,0)</f>
        <v>0</v>
      </c>
      <c r="R1618" s="22">
        <f t="shared" si="25"/>
        <v>1</v>
      </c>
      <c r="S1618" s="33">
        <f>IF(COUNTIF(O$2:O1618,O1618)=1,R1618,0)/2.5</f>
        <v>0.4</v>
      </c>
    </row>
    <row r="1619" spans="1:19" ht="18" customHeight="1" x14ac:dyDescent="0.25">
      <c r="A1619" s="7" t="s">
        <v>43</v>
      </c>
      <c r="B1619" s="8">
        <v>1</v>
      </c>
      <c r="C1619" s="9">
        <v>445</v>
      </c>
      <c r="D1619" s="29">
        <f>C1619+IF(INDEX('Справочник по %'!B:B,(MATCH(A1619,'Справочник по %'!A:A,0)))="кол-во",B1619*INDEX('Справочник по %'!C:C,(MATCH(A1619,'Справочник по %'!A:A,0))),ОТЧЕТ!C1619*INDEX('Справочник по %'!C:C,(MATCH(A1619,'Справочник по %'!A:A,0))))/100</f>
        <v>489.5</v>
      </c>
      <c r="E1619" s="29">
        <f>IF(ОТЧЕТ!A1619="SKU3",C1619+ОТЧЕТ!C1619*0.2,C1619+ОТЧЕТ!C1619*0.15)</f>
        <v>511.75</v>
      </c>
      <c r="F1619" s="7" t="s">
        <v>3406</v>
      </c>
      <c r="G1619" s="7">
        <v>7801162790</v>
      </c>
      <c r="H1619" s="20" t="s">
        <v>50</v>
      </c>
      <c r="I1619" s="22" t="str">
        <f>INDEX('Справочник Сети'!B:B,(MATCH(G1619,'Справочник Сети'!C:C,0)))</f>
        <v>Ригла</v>
      </c>
      <c r="J1619" s="7" t="s">
        <v>353</v>
      </c>
      <c r="K1619" s="7" t="s">
        <v>976</v>
      </c>
      <c r="L1619" s="7" t="s">
        <v>353</v>
      </c>
      <c r="M1619" s="31">
        <v>45672</v>
      </c>
      <c r="N1619" s="7" t="s">
        <v>3407</v>
      </c>
      <c r="O1619" s="8">
        <v>1635</v>
      </c>
      <c r="P1619" s="24">
        <v>6750</v>
      </c>
      <c r="Q1619" s="22">
        <f>IF(COUNTIFS(A$2:A1619,A1619,I$2:I1619,I1619)=1,1,0)</f>
        <v>0</v>
      </c>
      <c r="R1619" s="22">
        <f t="shared" si="25"/>
        <v>2</v>
      </c>
      <c r="S1619" s="33">
        <f>IF(COUNTIF(O$2:O1619,O1619)=1,R1619,0)/2.5</f>
        <v>0.8</v>
      </c>
    </row>
    <row r="1620" spans="1:19" ht="18" customHeight="1" x14ac:dyDescent="0.25">
      <c r="A1620" s="7" t="s">
        <v>43</v>
      </c>
      <c r="B1620" s="8">
        <v>1</v>
      </c>
      <c r="C1620" s="9">
        <v>459.42</v>
      </c>
      <c r="D1620" s="29">
        <f>C1620+IF(INDEX('Справочник по %'!B:B,(MATCH(A1620,'Справочник по %'!A:A,0)))="кол-во",B1620*INDEX('Справочник по %'!C:C,(MATCH(A1620,'Справочник по %'!A:A,0))),ОТЧЕТ!C1620*INDEX('Справочник по %'!C:C,(MATCH(A1620,'Справочник по %'!A:A,0))))/100</f>
        <v>505.36200000000002</v>
      </c>
      <c r="E1620" s="29">
        <f>IF(ОТЧЕТ!A1620="SKU3",C1620+ОТЧЕТ!C1620*0.2,C1620+ОТЧЕТ!C1620*0.15)</f>
        <v>528.33299999999997</v>
      </c>
      <c r="F1620" s="7" t="s">
        <v>3406</v>
      </c>
      <c r="G1620" s="7">
        <v>5408026558</v>
      </c>
      <c r="H1620" s="20" t="s">
        <v>50</v>
      </c>
      <c r="I1620" s="22">
        <f>INDEX('Справочник Сети'!B:B,(MATCH(G1620,'Справочник Сети'!C:C,0)))</f>
        <v>0</v>
      </c>
      <c r="J1620" s="7" t="s">
        <v>255</v>
      </c>
      <c r="K1620" s="7" t="s">
        <v>788</v>
      </c>
      <c r="L1620" s="7" t="s">
        <v>92</v>
      </c>
      <c r="M1620" s="31">
        <v>45714</v>
      </c>
      <c r="N1620" s="7" t="s">
        <v>3408</v>
      </c>
      <c r="O1620" s="8">
        <v>1843</v>
      </c>
      <c r="P1620" s="24">
        <v>6752</v>
      </c>
      <c r="Q1620" s="22">
        <f>IF(COUNTIFS(A$2:A1620,A1620,I$2:I1620,I1620)=1,1,0)</f>
        <v>0</v>
      </c>
      <c r="R1620" s="22">
        <f t="shared" si="25"/>
        <v>2</v>
      </c>
      <c r="S1620" s="33">
        <f>IF(COUNTIF(O$2:O1620,O1620)=1,R1620,0)/2.5</f>
        <v>0.8</v>
      </c>
    </row>
    <row r="1621" spans="1:19" ht="18" customHeight="1" x14ac:dyDescent="0.25">
      <c r="A1621" s="7" t="s">
        <v>43</v>
      </c>
      <c r="B1621" s="8">
        <v>1</v>
      </c>
      <c r="C1621" s="9">
        <v>399</v>
      </c>
      <c r="D1621" s="29">
        <f>C1621+IF(INDEX('Справочник по %'!B:B,(MATCH(A1621,'Справочник по %'!A:A,0)))="кол-во",B1621*INDEX('Справочник по %'!C:C,(MATCH(A1621,'Справочник по %'!A:A,0))),ОТЧЕТ!C1621*INDEX('Справочник по %'!C:C,(MATCH(A1621,'Справочник по %'!A:A,0))))/100</f>
        <v>438.9</v>
      </c>
      <c r="E1621" s="29">
        <f>IF(ОТЧЕТ!A1621="SKU3",C1621+ОТЧЕТ!C1621*0.2,C1621+ОТЧЕТ!C1621*0.15)</f>
        <v>458.85</v>
      </c>
      <c r="F1621" s="7" t="s">
        <v>3406</v>
      </c>
      <c r="G1621" s="7">
        <v>7706795062</v>
      </c>
      <c r="H1621" s="20" t="s">
        <v>3409</v>
      </c>
      <c r="I1621" s="22" t="str">
        <f>INDEX('Справочник Сети'!B:B,(MATCH(G1621,'Справочник Сети'!C:C,0)))</f>
        <v>Планета здоровья</v>
      </c>
      <c r="J1621" s="7" t="s">
        <v>87</v>
      </c>
      <c r="K1621" s="7" t="s">
        <v>1507</v>
      </c>
      <c r="L1621" s="7" t="s">
        <v>87</v>
      </c>
      <c r="M1621" s="31">
        <v>45691</v>
      </c>
      <c r="N1621" s="7" t="s">
        <v>2781</v>
      </c>
      <c r="O1621" s="8">
        <v>3080</v>
      </c>
      <c r="P1621" s="24">
        <v>6753</v>
      </c>
      <c r="Q1621" s="22">
        <f>IF(COUNTIFS(A$2:A1621,A1621,I$2:I1621,I1621)=1,1,0)</f>
        <v>0</v>
      </c>
      <c r="R1621" s="22">
        <f t="shared" si="25"/>
        <v>1</v>
      </c>
      <c r="S1621" s="33">
        <f>IF(COUNTIF(O$2:O1621,O1621)=1,R1621,0)/2.5</f>
        <v>0.4</v>
      </c>
    </row>
    <row r="1622" spans="1:19" ht="18" customHeight="1" x14ac:dyDescent="0.25">
      <c r="A1622" s="7" t="s">
        <v>43</v>
      </c>
      <c r="B1622" s="8">
        <v>1</v>
      </c>
      <c r="C1622" s="9">
        <v>393</v>
      </c>
      <c r="D1622" s="29">
        <f>C1622+IF(INDEX('Справочник по %'!B:B,(MATCH(A1622,'Справочник по %'!A:A,0)))="кол-во",B1622*INDEX('Справочник по %'!C:C,(MATCH(A1622,'Справочник по %'!A:A,0))),ОТЧЕТ!C1622*INDEX('Справочник по %'!C:C,(MATCH(A1622,'Справочник по %'!A:A,0))))/100</f>
        <v>432.3</v>
      </c>
      <c r="E1622" s="29">
        <f>IF(ОТЧЕТ!A1622="SKU3",C1622+ОТЧЕТ!C1622*0.2,C1622+ОТЧЕТ!C1622*0.15)</f>
        <v>451.95</v>
      </c>
      <c r="F1622" s="7" t="s">
        <v>3406</v>
      </c>
      <c r="G1622" s="7">
        <v>7732121736</v>
      </c>
      <c r="H1622" s="20" t="s">
        <v>1744</v>
      </c>
      <c r="I1622" s="22" t="str">
        <f>INDEX('Справочник Сети'!B:B,(MATCH(G1622,'Справочник Сети'!C:C,0)))</f>
        <v>Планета здоровья</v>
      </c>
      <c r="J1622" s="7" t="s">
        <v>149</v>
      </c>
      <c r="K1622" s="7" t="s">
        <v>3277</v>
      </c>
      <c r="L1622" s="7" t="s">
        <v>149</v>
      </c>
      <c r="M1622" s="31">
        <v>45673</v>
      </c>
      <c r="N1622" s="7" t="s">
        <v>3410</v>
      </c>
      <c r="O1622" s="8">
        <v>3665</v>
      </c>
      <c r="P1622" s="24">
        <v>6755</v>
      </c>
      <c r="Q1622" s="22">
        <f>IF(COUNTIFS(A$2:A1622,A1622,I$2:I1622,I1622)=1,1,0)</f>
        <v>0</v>
      </c>
      <c r="R1622" s="22">
        <f t="shared" si="25"/>
        <v>1</v>
      </c>
      <c r="S1622" s="33">
        <f>IF(COUNTIF(O$2:O1622,O1622)=1,R1622,0)/2.5</f>
        <v>0.4</v>
      </c>
    </row>
    <row r="1623" spans="1:19" ht="18" customHeight="1" x14ac:dyDescent="0.25">
      <c r="A1623" s="7" t="s">
        <v>43</v>
      </c>
      <c r="B1623" s="8">
        <v>1</v>
      </c>
      <c r="C1623" s="9">
        <v>478.8</v>
      </c>
      <c r="D1623" s="29">
        <f>C1623+IF(INDEX('Справочник по %'!B:B,(MATCH(A1623,'Справочник по %'!A:A,0)))="кол-во",B1623*INDEX('Справочник по %'!C:C,(MATCH(A1623,'Справочник по %'!A:A,0))),ОТЧЕТ!C1623*INDEX('Справочник по %'!C:C,(MATCH(A1623,'Справочник по %'!A:A,0))))/100</f>
        <v>526.68000000000006</v>
      </c>
      <c r="E1623" s="29">
        <f>IF(ОТЧЕТ!A1623="SKU3",C1623+ОТЧЕТ!C1623*0.2,C1623+ОТЧЕТ!C1623*0.15)</f>
        <v>550.62</v>
      </c>
      <c r="F1623" s="7" t="s">
        <v>3411</v>
      </c>
      <c r="G1623" s="7">
        <v>5262292840</v>
      </c>
      <c r="H1623" s="20" t="s">
        <v>50</v>
      </c>
      <c r="I1623" s="22" t="str">
        <f>INDEX('Справочник Сети'!B:B,(MATCH(G1623,'Справочник Сети'!C:C,0)))</f>
        <v>Ригла</v>
      </c>
      <c r="J1623" s="7" t="s">
        <v>92</v>
      </c>
      <c r="K1623" s="7" t="s">
        <v>416</v>
      </c>
      <c r="L1623" s="7" t="s">
        <v>92</v>
      </c>
      <c r="M1623" s="31">
        <v>45714</v>
      </c>
      <c r="N1623" s="7" t="s">
        <v>3412</v>
      </c>
      <c r="O1623" s="8">
        <v>2467</v>
      </c>
      <c r="P1623" s="24">
        <v>6757</v>
      </c>
      <c r="Q1623" s="22">
        <f>IF(COUNTIFS(A$2:A1623,A1623,I$2:I1623,I1623)=1,1,0)</f>
        <v>0</v>
      </c>
      <c r="R1623" s="22">
        <f t="shared" si="25"/>
        <v>2</v>
      </c>
      <c r="S1623" s="33">
        <f>IF(COUNTIF(O$2:O1623,O1623)=1,R1623,0)/2.5</f>
        <v>0</v>
      </c>
    </row>
    <row r="1624" spans="1:19" ht="18" customHeight="1" x14ac:dyDescent="0.25">
      <c r="A1624" s="7" t="s">
        <v>37</v>
      </c>
      <c r="B1624" s="8">
        <v>1</v>
      </c>
      <c r="C1624" s="9">
        <v>680</v>
      </c>
      <c r="D1624" s="29">
        <f>C1624+IF(INDEX('Справочник по %'!B:B,(MATCH(A1624,'Справочник по %'!A:A,0)))="кол-во",B1624*INDEX('Справочник по %'!C:C,(MATCH(A1624,'Справочник по %'!A:A,0))),ОТЧЕТ!C1624*INDEX('Справочник по %'!C:C,(MATCH(A1624,'Справочник по %'!A:A,0))))/100</f>
        <v>680.2</v>
      </c>
      <c r="E1624" s="29">
        <f>IF(ОТЧЕТ!A1624="SKU3",C1624+ОТЧЕТ!C1624*0.2,C1624+ОТЧЕТ!C1624*0.15)</f>
        <v>782</v>
      </c>
      <c r="F1624" s="7" t="s">
        <v>3411</v>
      </c>
      <c r="G1624" s="7">
        <v>7816221906</v>
      </c>
      <c r="H1624" s="20" t="s">
        <v>50</v>
      </c>
      <c r="I1624" s="22" t="str">
        <f>INDEX('Справочник Сети'!B:B,(MATCH(G1624,'Справочник Сети'!C:C,0)))</f>
        <v>Ригла</v>
      </c>
      <c r="J1624" s="7" t="s">
        <v>121</v>
      </c>
      <c r="K1624" s="7" t="s">
        <v>3413</v>
      </c>
      <c r="L1624" s="7" t="s">
        <v>121</v>
      </c>
      <c r="M1624" s="31">
        <v>45671</v>
      </c>
      <c r="N1624" s="7" t="s">
        <v>3414</v>
      </c>
      <c r="O1624" s="8">
        <v>1412</v>
      </c>
      <c r="P1624" s="24">
        <v>6758</v>
      </c>
      <c r="Q1624" s="22">
        <f>IF(COUNTIFS(A$2:A1624,A1624,I$2:I1624,I1624)=1,1,0)</f>
        <v>0</v>
      </c>
      <c r="R1624" s="22">
        <f t="shared" si="25"/>
        <v>2</v>
      </c>
      <c r="S1624" s="33">
        <f>IF(COUNTIF(O$2:O1624,O1624)=1,R1624,0)/2.5</f>
        <v>0.8</v>
      </c>
    </row>
    <row r="1625" spans="1:19" ht="18" customHeight="1" x14ac:dyDescent="0.25">
      <c r="A1625" s="7" t="s">
        <v>43</v>
      </c>
      <c r="B1625" s="8">
        <v>1</v>
      </c>
      <c r="C1625" s="9">
        <v>379.8</v>
      </c>
      <c r="D1625" s="29">
        <f>C1625+IF(INDEX('Справочник по %'!B:B,(MATCH(A1625,'Справочник по %'!A:A,0)))="кол-во",B1625*INDEX('Справочник по %'!C:C,(MATCH(A1625,'Справочник по %'!A:A,0))),ОТЧЕТ!C1625*INDEX('Справочник по %'!C:C,(MATCH(A1625,'Справочник по %'!A:A,0))))/100</f>
        <v>417.78000000000003</v>
      </c>
      <c r="E1625" s="29">
        <f>IF(ОТЧЕТ!A1625="SKU3",C1625+ОТЧЕТ!C1625*0.2,C1625+ОТЧЕТ!C1625*0.15)</f>
        <v>436.77</v>
      </c>
      <c r="F1625" s="7" t="s">
        <v>3411</v>
      </c>
      <c r="G1625" s="7">
        <v>2466189073</v>
      </c>
      <c r="H1625" s="20" t="s">
        <v>450</v>
      </c>
      <c r="I1625" s="22" t="str">
        <f>INDEX('Справочник Сети'!B:B,(MATCH(G1625,'Справочник Сети'!C:C,0)))</f>
        <v>Нео-фарм</v>
      </c>
      <c r="J1625" s="7" t="s">
        <v>96</v>
      </c>
      <c r="K1625" s="7" t="s">
        <v>627</v>
      </c>
      <c r="L1625" s="7" t="s">
        <v>96</v>
      </c>
      <c r="M1625" s="31">
        <v>45727</v>
      </c>
      <c r="N1625" s="7" t="s">
        <v>3415</v>
      </c>
      <c r="O1625" s="8">
        <v>308</v>
      </c>
      <c r="P1625" s="24">
        <v>6760</v>
      </c>
      <c r="Q1625" s="22">
        <f>IF(COUNTIFS(A$2:A1625,A1625,I$2:I1625,I1625)=1,1,0)</f>
        <v>0</v>
      </c>
      <c r="R1625" s="22">
        <f t="shared" si="25"/>
        <v>2</v>
      </c>
      <c r="S1625" s="33">
        <f>IF(COUNTIF(O$2:O1625,O1625)=1,R1625,0)/2.5</f>
        <v>0</v>
      </c>
    </row>
    <row r="1626" spans="1:19" ht="18" customHeight="1" x14ac:dyDescent="0.25">
      <c r="A1626" s="7" t="s">
        <v>43</v>
      </c>
      <c r="B1626" s="8">
        <v>1</v>
      </c>
      <c r="C1626" s="9">
        <v>429.42</v>
      </c>
      <c r="D1626" s="29">
        <f>C1626+IF(INDEX('Справочник по %'!B:B,(MATCH(A1626,'Справочник по %'!A:A,0)))="кол-во",B1626*INDEX('Справочник по %'!C:C,(MATCH(A1626,'Справочник по %'!A:A,0))),ОТЧЕТ!C1626*INDEX('Справочник по %'!C:C,(MATCH(A1626,'Справочник по %'!A:A,0))))/100</f>
        <v>472.36200000000002</v>
      </c>
      <c r="E1626" s="29">
        <f>IF(ОТЧЕТ!A1626="SKU3",C1626+ОТЧЕТ!C1626*0.2,C1626+ОТЧЕТ!C1626*0.15)</f>
        <v>493.83300000000003</v>
      </c>
      <c r="F1626" s="7" t="s">
        <v>3416</v>
      </c>
      <c r="G1626" s="7">
        <v>7709068298</v>
      </c>
      <c r="H1626" s="20" t="s">
        <v>1485</v>
      </c>
      <c r="I1626" s="22" t="str">
        <f>INDEX('Справочник Сети'!B:B,(MATCH(G1626,'Справочник Сети'!C:C,0)))</f>
        <v>36,6</v>
      </c>
      <c r="J1626" s="7" t="s">
        <v>504</v>
      </c>
      <c r="K1626" s="7" t="s">
        <v>373</v>
      </c>
      <c r="L1626" s="7" t="s">
        <v>504</v>
      </c>
      <c r="M1626" s="31">
        <v>45690</v>
      </c>
      <c r="N1626" s="7" t="s">
        <v>3417</v>
      </c>
      <c r="O1626" s="8">
        <v>2017</v>
      </c>
      <c r="P1626" s="24">
        <v>6764</v>
      </c>
      <c r="Q1626" s="22">
        <f>IF(COUNTIFS(A$2:A1626,A1626,I$2:I1626,I1626)=1,1,0)</f>
        <v>0</v>
      </c>
      <c r="R1626" s="22">
        <f t="shared" si="25"/>
        <v>1</v>
      </c>
      <c r="S1626" s="33">
        <f>IF(COUNTIF(O$2:O1626,O1626)=1,R1626,0)/2.5</f>
        <v>0.4</v>
      </c>
    </row>
    <row r="1627" spans="1:19" ht="18" customHeight="1" x14ac:dyDescent="0.25">
      <c r="A1627" s="7" t="s">
        <v>43</v>
      </c>
      <c r="B1627" s="8">
        <v>1</v>
      </c>
      <c r="C1627" s="9">
        <v>473</v>
      </c>
      <c r="D1627" s="29">
        <f>C1627+IF(INDEX('Справочник по %'!B:B,(MATCH(A1627,'Справочник по %'!A:A,0)))="кол-во",B1627*INDEX('Справочник по %'!C:C,(MATCH(A1627,'Справочник по %'!A:A,0))),ОТЧЕТ!C1627*INDEX('Справочник по %'!C:C,(MATCH(A1627,'Справочник по %'!A:A,0))))/100</f>
        <v>520.29999999999995</v>
      </c>
      <c r="E1627" s="29">
        <f>IF(ОТЧЕТ!A1627="SKU3",C1627+ОТЧЕТ!C1627*0.2,C1627+ОТЧЕТ!C1627*0.15)</f>
        <v>543.95000000000005</v>
      </c>
      <c r="F1627" s="7" t="s">
        <v>3418</v>
      </c>
      <c r="G1627" s="7">
        <v>6168072366</v>
      </c>
      <c r="H1627" s="20" t="s">
        <v>1881</v>
      </c>
      <c r="I1627" s="22">
        <f>INDEX('Справочник Сети'!B:B,(MATCH(G1627,'Справочник Сети'!C:C,0)))</f>
        <v>0</v>
      </c>
      <c r="J1627" s="7" t="s">
        <v>203</v>
      </c>
      <c r="K1627" s="7" t="s">
        <v>3388</v>
      </c>
      <c r="L1627" s="7" t="s">
        <v>203</v>
      </c>
      <c r="M1627" s="31">
        <v>45696</v>
      </c>
      <c r="N1627" s="7" t="s">
        <v>3419</v>
      </c>
      <c r="O1627" s="8">
        <v>3213</v>
      </c>
      <c r="P1627" s="24">
        <v>6768</v>
      </c>
      <c r="Q1627" s="22">
        <f>IF(COUNTIFS(A$2:A1627,A1627,I$2:I1627,I1627)=1,1,0)</f>
        <v>0</v>
      </c>
      <c r="R1627" s="22">
        <f t="shared" si="25"/>
        <v>1</v>
      </c>
      <c r="S1627" s="33">
        <f>IF(COUNTIF(O$2:O1627,O1627)=1,R1627,0)/2.5</f>
        <v>0.4</v>
      </c>
    </row>
    <row r="1628" spans="1:19" ht="18" customHeight="1" x14ac:dyDescent="0.25">
      <c r="A1628" s="7" t="s">
        <v>37</v>
      </c>
      <c r="B1628" s="8">
        <v>1</v>
      </c>
      <c r="C1628" s="9">
        <v>619.9</v>
      </c>
      <c r="D1628" s="29">
        <f>C1628+IF(INDEX('Справочник по %'!B:B,(MATCH(A1628,'Справочник по %'!A:A,0)))="кол-во",B1628*INDEX('Справочник по %'!C:C,(MATCH(A1628,'Справочник по %'!A:A,0))),ОТЧЕТ!C1628*INDEX('Справочник по %'!C:C,(MATCH(A1628,'Справочник по %'!A:A,0))))/100</f>
        <v>620.1</v>
      </c>
      <c r="E1628" s="29">
        <f>IF(ОТЧЕТ!A1628="SKU3",C1628+ОТЧЕТ!C1628*0.2,C1628+ОТЧЕТ!C1628*0.15)</f>
        <v>712.88499999999999</v>
      </c>
      <c r="F1628" s="7" t="s">
        <v>3420</v>
      </c>
      <c r="G1628" s="7">
        <v>1659064696</v>
      </c>
      <c r="H1628" s="20" t="s">
        <v>3421</v>
      </c>
      <c r="I1628" s="22" t="str">
        <f>INDEX('Справочник Сети'!B:B,(MATCH(G1628,'Справочник Сети'!C:C,0)))</f>
        <v>Планета здоровья</v>
      </c>
      <c r="J1628" s="7" t="s">
        <v>335</v>
      </c>
      <c r="K1628" s="7" t="s">
        <v>2315</v>
      </c>
      <c r="L1628" s="7" t="s">
        <v>335</v>
      </c>
      <c r="M1628" s="31">
        <v>45731</v>
      </c>
      <c r="N1628" s="7" t="s">
        <v>3422</v>
      </c>
      <c r="O1628" s="8">
        <v>2106</v>
      </c>
      <c r="P1628" s="24">
        <v>6785</v>
      </c>
      <c r="Q1628" s="22">
        <f>IF(COUNTIFS(A$2:A1628,A1628,I$2:I1628,I1628)=1,1,0)</f>
        <v>0</v>
      </c>
      <c r="R1628" s="22">
        <f t="shared" si="25"/>
        <v>2</v>
      </c>
      <c r="S1628" s="33">
        <f>IF(COUNTIF(O$2:O1628,O1628)=1,R1628,0)/2.5</f>
        <v>0.8</v>
      </c>
    </row>
    <row r="1629" spans="1:19" ht="18" customHeight="1" x14ac:dyDescent="0.25">
      <c r="A1629" s="7" t="s">
        <v>43</v>
      </c>
      <c r="B1629" s="8">
        <v>1</v>
      </c>
      <c r="C1629" s="9">
        <v>636</v>
      </c>
      <c r="D1629" s="29">
        <f>C1629+IF(INDEX('Справочник по %'!B:B,(MATCH(A1629,'Справочник по %'!A:A,0)))="кол-во",B1629*INDEX('Справочник по %'!C:C,(MATCH(A1629,'Справочник по %'!A:A,0))),ОТЧЕТ!C1629*INDEX('Справочник по %'!C:C,(MATCH(A1629,'Справочник по %'!A:A,0))))/100</f>
        <v>699.6</v>
      </c>
      <c r="E1629" s="29">
        <f>IF(ОТЧЕТ!A1629="SKU3",C1629+ОТЧЕТ!C1629*0.2,C1629+ОТЧЕТ!C1629*0.15)</f>
        <v>731.4</v>
      </c>
      <c r="F1629" s="7" t="s">
        <v>3420</v>
      </c>
      <c r="G1629" s="7">
        <v>7802611649</v>
      </c>
      <c r="H1629" s="20" t="s">
        <v>3423</v>
      </c>
      <c r="I1629" s="22" t="str">
        <f>INDEX('Справочник Сети'!B:B,(MATCH(G1629,'Справочник Сети'!C:C,0)))</f>
        <v>Планета здоровья</v>
      </c>
      <c r="J1629" s="7" t="s">
        <v>353</v>
      </c>
      <c r="K1629" s="7" t="s">
        <v>1082</v>
      </c>
      <c r="L1629" s="7" t="s">
        <v>353</v>
      </c>
      <c r="M1629" s="31">
        <v>45672</v>
      </c>
      <c r="N1629" s="7" t="s">
        <v>3424</v>
      </c>
      <c r="O1629" s="8">
        <v>2556</v>
      </c>
      <c r="P1629" s="24">
        <v>6789</v>
      </c>
      <c r="Q1629" s="22">
        <f>IF(COUNTIFS(A$2:A1629,A1629,I$2:I1629,I1629)=1,1,0)</f>
        <v>0</v>
      </c>
      <c r="R1629" s="22">
        <f t="shared" si="25"/>
        <v>1</v>
      </c>
      <c r="S1629" s="33">
        <f>IF(COUNTIF(O$2:O1629,O1629)=1,R1629,0)/2.5</f>
        <v>0.4</v>
      </c>
    </row>
    <row r="1630" spans="1:19" ht="18" customHeight="1" x14ac:dyDescent="0.25">
      <c r="A1630" s="7" t="s">
        <v>43</v>
      </c>
      <c r="B1630" s="8">
        <v>1</v>
      </c>
      <c r="C1630" s="9">
        <v>451</v>
      </c>
      <c r="D1630" s="29">
        <f>C1630+IF(INDEX('Справочник по %'!B:B,(MATCH(A1630,'Справочник по %'!A:A,0)))="кол-во",B1630*INDEX('Справочник по %'!C:C,(MATCH(A1630,'Справочник по %'!A:A,0))),ОТЧЕТ!C1630*INDEX('Справочник по %'!C:C,(MATCH(A1630,'Справочник по %'!A:A,0))))/100</f>
        <v>496.1</v>
      </c>
      <c r="E1630" s="29">
        <f>IF(ОТЧЕТ!A1630="SKU3",C1630+ОТЧЕТ!C1630*0.2,C1630+ОТЧЕТ!C1630*0.15)</f>
        <v>518.65</v>
      </c>
      <c r="F1630" s="7" t="s">
        <v>3420</v>
      </c>
      <c r="G1630" s="7">
        <v>6726022848</v>
      </c>
      <c r="H1630" s="20" t="s">
        <v>69</v>
      </c>
      <c r="I1630" s="22">
        <f>INDEX('Справочник Сети'!B:B,(MATCH(G1630,'Справочник Сети'!C:C,0)))</f>
        <v>0</v>
      </c>
      <c r="J1630" s="7" t="s">
        <v>106</v>
      </c>
      <c r="K1630" s="7" t="s">
        <v>521</v>
      </c>
      <c r="L1630" s="7" t="s">
        <v>106</v>
      </c>
      <c r="M1630" s="31">
        <v>45694</v>
      </c>
      <c r="N1630" s="7" t="s">
        <v>3425</v>
      </c>
      <c r="O1630" s="8">
        <v>595</v>
      </c>
      <c r="P1630" s="24">
        <v>6790</v>
      </c>
      <c r="Q1630" s="22">
        <f>IF(COUNTIFS(A$2:A1630,A1630,I$2:I1630,I1630)=1,1,0)</f>
        <v>0</v>
      </c>
      <c r="R1630" s="22">
        <f t="shared" si="25"/>
        <v>1</v>
      </c>
      <c r="S1630" s="33">
        <f>IF(COUNTIF(O$2:O1630,O1630)=1,R1630,0)/2.5</f>
        <v>0.4</v>
      </c>
    </row>
    <row r="1631" spans="1:19" ht="18" customHeight="1" x14ac:dyDescent="0.25">
      <c r="A1631" s="7" t="s">
        <v>43</v>
      </c>
      <c r="B1631" s="8">
        <v>1</v>
      </c>
      <c r="C1631" s="9">
        <v>400</v>
      </c>
      <c r="D1631" s="29">
        <f>C1631+IF(INDEX('Справочник по %'!B:B,(MATCH(A1631,'Справочник по %'!A:A,0)))="кол-во",B1631*INDEX('Справочник по %'!C:C,(MATCH(A1631,'Справочник по %'!A:A,0))),ОТЧЕТ!C1631*INDEX('Справочник по %'!C:C,(MATCH(A1631,'Справочник по %'!A:A,0))))/100</f>
        <v>440</v>
      </c>
      <c r="E1631" s="29">
        <f>IF(ОТЧЕТ!A1631="SKU3",C1631+ОТЧЕТ!C1631*0.2,C1631+ОТЧЕТ!C1631*0.15)</f>
        <v>460</v>
      </c>
      <c r="F1631" s="7" t="s">
        <v>3420</v>
      </c>
      <c r="G1631" s="7">
        <v>2225105670</v>
      </c>
      <c r="H1631" s="20" t="s">
        <v>69</v>
      </c>
      <c r="I1631" s="22" t="str">
        <f>INDEX('Справочник Сети'!B:B,(MATCH(G1631,'Справочник Сети'!C:C,0)))</f>
        <v>Столички</v>
      </c>
      <c r="J1631" s="7" t="s">
        <v>372</v>
      </c>
      <c r="K1631" s="7" t="s">
        <v>830</v>
      </c>
      <c r="L1631" s="7" t="s">
        <v>372</v>
      </c>
      <c r="M1631" s="31">
        <v>45730</v>
      </c>
      <c r="N1631" s="7" t="s">
        <v>3426</v>
      </c>
      <c r="O1631" s="8">
        <v>1187</v>
      </c>
      <c r="P1631" s="24">
        <v>6792</v>
      </c>
      <c r="Q1631" s="22">
        <f>IF(COUNTIFS(A$2:A1631,A1631,I$2:I1631,I1631)=1,1,0)</f>
        <v>0</v>
      </c>
      <c r="R1631" s="22">
        <f t="shared" si="25"/>
        <v>3</v>
      </c>
      <c r="S1631" s="33">
        <f>IF(COUNTIF(O$2:O1631,O1631)=1,R1631,0)/2.5</f>
        <v>0</v>
      </c>
    </row>
    <row r="1632" spans="1:19" ht="18" customHeight="1" x14ac:dyDescent="0.25">
      <c r="A1632" s="7" t="s">
        <v>43</v>
      </c>
      <c r="B1632" s="8">
        <v>1</v>
      </c>
      <c r="C1632" s="9">
        <v>494</v>
      </c>
      <c r="D1632" s="29">
        <f>C1632+IF(INDEX('Справочник по %'!B:B,(MATCH(A1632,'Справочник по %'!A:A,0)))="кол-во",B1632*INDEX('Справочник по %'!C:C,(MATCH(A1632,'Справочник по %'!A:A,0))),ОТЧЕТ!C1632*INDEX('Справочник по %'!C:C,(MATCH(A1632,'Справочник по %'!A:A,0))))/100</f>
        <v>543.4</v>
      </c>
      <c r="E1632" s="29">
        <f>IF(ОТЧЕТ!A1632="SKU3",C1632+ОТЧЕТ!C1632*0.2,C1632+ОТЧЕТ!C1632*0.15)</f>
        <v>568.1</v>
      </c>
      <c r="F1632" s="7" t="s">
        <v>3420</v>
      </c>
      <c r="G1632" s="7">
        <v>5408026558</v>
      </c>
      <c r="H1632" s="20" t="s">
        <v>50</v>
      </c>
      <c r="I1632" s="22">
        <f>INDEX('Справочник Сети'!B:B,(MATCH(G1632,'Справочник Сети'!C:C,0)))</f>
        <v>0</v>
      </c>
      <c r="J1632" s="7" t="s">
        <v>255</v>
      </c>
      <c r="K1632" s="7" t="s">
        <v>3427</v>
      </c>
      <c r="L1632" s="7" t="s">
        <v>92</v>
      </c>
      <c r="M1632" s="31">
        <v>45714</v>
      </c>
      <c r="N1632" s="7" t="s">
        <v>3428</v>
      </c>
      <c r="O1632" s="8">
        <v>1843</v>
      </c>
      <c r="P1632" s="24">
        <v>6796</v>
      </c>
      <c r="Q1632" s="22">
        <f>IF(COUNTIFS(A$2:A1632,A1632,I$2:I1632,I1632)=1,1,0)</f>
        <v>0</v>
      </c>
      <c r="R1632" s="22">
        <f t="shared" si="25"/>
        <v>2</v>
      </c>
      <c r="S1632" s="33">
        <f>IF(COUNTIF(O$2:O1632,O1632)=1,R1632,0)/2.5</f>
        <v>0</v>
      </c>
    </row>
    <row r="1633" spans="1:19" ht="18" customHeight="1" x14ac:dyDescent="0.25">
      <c r="A1633" s="7" t="s">
        <v>37</v>
      </c>
      <c r="B1633" s="8">
        <v>1</v>
      </c>
      <c r="C1633" s="9">
        <v>629.9</v>
      </c>
      <c r="D1633" s="29">
        <f>C1633+IF(INDEX('Справочник по %'!B:B,(MATCH(A1633,'Справочник по %'!A:A,0)))="кол-во",B1633*INDEX('Справочник по %'!C:C,(MATCH(A1633,'Справочник по %'!A:A,0))),ОТЧЕТ!C1633*INDEX('Справочник по %'!C:C,(MATCH(A1633,'Справочник по %'!A:A,0))))/100</f>
        <v>630.1</v>
      </c>
      <c r="E1633" s="29">
        <f>IF(ОТЧЕТ!A1633="SKU3",C1633+ОТЧЕТ!C1633*0.2,C1633+ОТЧЕТ!C1633*0.15)</f>
        <v>724.38499999999999</v>
      </c>
      <c r="F1633" s="7" t="s">
        <v>3429</v>
      </c>
      <c r="G1633" s="7">
        <v>1659064696</v>
      </c>
      <c r="H1633" s="20" t="s">
        <v>3421</v>
      </c>
      <c r="I1633" s="22" t="str">
        <f>INDEX('Справочник Сети'!B:B,(MATCH(G1633,'Справочник Сети'!C:C,0)))</f>
        <v>Планета здоровья</v>
      </c>
      <c r="J1633" s="7" t="s">
        <v>335</v>
      </c>
      <c r="K1633" s="7" t="s">
        <v>453</v>
      </c>
      <c r="L1633" s="7" t="s">
        <v>335</v>
      </c>
      <c r="M1633" s="31">
        <v>45731</v>
      </c>
      <c r="N1633" s="7" t="s">
        <v>3430</v>
      </c>
      <c r="O1633" s="8">
        <v>2106</v>
      </c>
      <c r="P1633" s="24">
        <v>6797</v>
      </c>
      <c r="Q1633" s="22">
        <f>IF(COUNTIFS(A$2:A1633,A1633,I$2:I1633,I1633)=1,1,0)</f>
        <v>0</v>
      </c>
      <c r="R1633" s="22">
        <f t="shared" si="25"/>
        <v>2</v>
      </c>
      <c r="S1633" s="33">
        <f>IF(COUNTIF(O$2:O1633,O1633)=1,R1633,0)/2.5</f>
        <v>0</v>
      </c>
    </row>
    <row r="1634" spans="1:19" ht="18" customHeight="1" x14ac:dyDescent="0.25">
      <c r="A1634" s="7" t="s">
        <v>43</v>
      </c>
      <c r="B1634" s="8">
        <v>1</v>
      </c>
      <c r="C1634" s="9">
        <v>486</v>
      </c>
      <c r="D1634" s="29">
        <f>C1634+IF(INDEX('Справочник по %'!B:B,(MATCH(A1634,'Справочник по %'!A:A,0)))="кол-во",B1634*INDEX('Справочник по %'!C:C,(MATCH(A1634,'Справочник по %'!A:A,0))),ОТЧЕТ!C1634*INDEX('Справочник по %'!C:C,(MATCH(A1634,'Справочник по %'!A:A,0))))/100</f>
        <v>534.6</v>
      </c>
      <c r="E1634" s="29">
        <f>IF(ОТЧЕТ!A1634="SKU3",C1634+ОТЧЕТ!C1634*0.2,C1634+ОТЧЕТ!C1634*0.15)</f>
        <v>558.9</v>
      </c>
      <c r="F1634" s="7" t="s">
        <v>3431</v>
      </c>
      <c r="G1634" s="7">
        <v>4632170357</v>
      </c>
      <c r="H1634" s="20" t="s">
        <v>153</v>
      </c>
      <c r="I1634" s="22" t="str">
        <f>INDEX('Справочник Сети'!B:B,(MATCH(G1634,'Справочник Сети'!C:C,0)))</f>
        <v>Столички</v>
      </c>
      <c r="J1634" s="7" t="s">
        <v>83</v>
      </c>
      <c r="K1634" s="7" t="s">
        <v>453</v>
      </c>
      <c r="L1634" s="7" t="s">
        <v>155</v>
      </c>
      <c r="M1634" s="31">
        <v>45716</v>
      </c>
      <c r="N1634" s="7" t="s">
        <v>3432</v>
      </c>
      <c r="O1634" s="8">
        <v>3027</v>
      </c>
      <c r="P1634" s="24">
        <v>6798</v>
      </c>
      <c r="Q1634" s="22">
        <f>IF(COUNTIFS(A$2:A1634,A1634,I$2:I1634,I1634)=1,1,0)</f>
        <v>0</v>
      </c>
      <c r="R1634" s="22">
        <f t="shared" si="25"/>
        <v>2</v>
      </c>
      <c r="S1634" s="33">
        <f>IF(COUNTIF(O$2:O1634,O1634)=1,R1634,0)/2.5</f>
        <v>0.8</v>
      </c>
    </row>
    <row r="1635" spans="1:19" ht="18" customHeight="1" x14ac:dyDescent="0.25">
      <c r="A1635" s="7" t="s">
        <v>43</v>
      </c>
      <c r="B1635" s="8">
        <v>1</v>
      </c>
      <c r="C1635" s="9">
        <v>401</v>
      </c>
      <c r="D1635" s="29">
        <f>C1635+IF(INDEX('Справочник по %'!B:B,(MATCH(A1635,'Справочник по %'!A:A,0)))="кол-во",B1635*INDEX('Справочник по %'!C:C,(MATCH(A1635,'Справочник по %'!A:A,0))),ОТЧЕТ!C1635*INDEX('Справочник по %'!C:C,(MATCH(A1635,'Справочник по %'!A:A,0))))/100</f>
        <v>441.1</v>
      </c>
      <c r="E1635" s="29">
        <f>IF(ОТЧЕТ!A1635="SKU3",C1635+ОТЧЕТ!C1635*0.2,C1635+ОТЧЕТ!C1635*0.15)</f>
        <v>461.15</v>
      </c>
      <c r="F1635" s="7" t="s">
        <v>3431</v>
      </c>
      <c r="G1635" s="7">
        <v>5752042253</v>
      </c>
      <c r="H1635" s="20" t="s">
        <v>50</v>
      </c>
      <c r="I1635" s="22" t="str">
        <f>INDEX('Справочник Сети'!B:B,(MATCH(G1635,'Справочник Сети'!C:C,0)))</f>
        <v>Ригла</v>
      </c>
      <c r="J1635" s="7" t="s">
        <v>40</v>
      </c>
      <c r="K1635" s="7" t="s">
        <v>917</v>
      </c>
      <c r="L1635" s="7" t="s">
        <v>255</v>
      </c>
      <c r="M1635" s="31">
        <v>45713</v>
      </c>
      <c r="N1635" s="7" t="s">
        <v>3433</v>
      </c>
      <c r="O1635" s="8">
        <v>3584</v>
      </c>
      <c r="P1635" s="24">
        <v>6801</v>
      </c>
      <c r="Q1635" s="22">
        <f>IF(COUNTIFS(A$2:A1635,A1635,I$2:I1635,I1635)=1,1,0)</f>
        <v>0</v>
      </c>
      <c r="R1635" s="22">
        <f t="shared" si="25"/>
        <v>5</v>
      </c>
      <c r="S1635" s="33">
        <f>IF(COUNTIF(O$2:O1635,O1635)=1,R1635,0)/2.5</f>
        <v>0</v>
      </c>
    </row>
    <row r="1636" spans="1:19" ht="18" customHeight="1" x14ac:dyDescent="0.25">
      <c r="A1636" s="7" t="s">
        <v>43</v>
      </c>
      <c r="B1636" s="8">
        <v>1</v>
      </c>
      <c r="C1636" s="9">
        <v>392</v>
      </c>
      <c r="D1636" s="29">
        <f>C1636+IF(INDEX('Справочник по %'!B:B,(MATCH(A1636,'Справочник по %'!A:A,0)))="кол-во",B1636*INDEX('Справочник по %'!C:C,(MATCH(A1636,'Справочник по %'!A:A,0))),ОТЧЕТ!C1636*INDEX('Справочник по %'!C:C,(MATCH(A1636,'Справочник по %'!A:A,0))))/100</f>
        <v>431.2</v>
      </c>
      <c r="E1636" s="29">
        <f>IF(ОТЧЕТ!A1636="SKU3",C1636+ОТЧЕТ!C1636*0.2,C1636+ОТЧЕТ!C1636*0.15)</f>
        <v>450.8</v>
      </c>
      <c r="F1636" s="7" t="s">
        <v>3434</v>
      </c>
      <c r="G1636" s="7">
        <v>7706795062</v>
      </c>
      <c r="H1636" s="20" t="s">
        <v>233</v>
      </c>
      <c r="I1636" s="22" t="str">
        <f>INDEX('Справочник Сети'!B:B,(MATCH(G1636,'Справочник Сети'!C:C,0)))</f>
        <v>Планета здоровья</v>
      </c>
      <c r="J1636" s="7" t="s">
        <v>87</v>
      </c>
      <c r="K1636" s="7" t="s">
        <v>558</v>
      </c>
      <c r="L1636" s="7" t="s">
        <v>87</v>
      </c>
      <c r="M1636" s="31">
        <v>45691</v>
      </c>
      <c r="N1636" s="7" t="s">
        <v>3435</v>
      </c>
      <c r="O1636" s="8">
        <v>1796</v>
      </c>
      <c r="P1636" s="24">
        <v>6804</v>
      </c>
      <c r="Q1636" s="22">
        <f>IF(COUNTIFS(A$2:A1636,A1636,I$2:I1636,I1636)=1,1,0)</f>
        <v>0</v>
      </c>
      <c r="R1636" s="22">
        <f t="shared" si="25"/>
        <v>8</v>
      </c>
      <c r="S1636" s="33">
        <f>IF(COUNTIF(O$2:O1636,O1636)=1,R1636,0)/2.5</f>
        <v>0</v>
      </c>
    </row>
    <row r="1637" spans="1:19" ht="18" customHeight="1" x14ac:dyDescent="0.25">
      <c r="A1637" s="7" t="s">
        <v>43</v>
      </c>
      <c r="B1637" s="8">
        <v>1</v>
      </c>
      <c r="C1637" s="9">
        <v>439.83</v>
      </c>
      <c r="D1637" s="29">
        <f>C1637+IF(INDEX('Справочник по %'!B:B,(MATCH(A1637,'Справочник по %'!A:A,0)))="кол-во",B1637*INDEX('Справочник по %'!C:C,(MATCH(A1637,'Справочник по %'!A:A,0))),ОТЧЕТ!C1637*INDEX('Справочник по %'!C:C,(MATCH(A1637,'Справочник по %'!A:A,0))))/100</f>
        <v>483.81299999999999</v>
      </c>
      <c r="E1637" s="29">
        <f>IF(ОТЧЕТ!A1637="SKU3",C1637+ОТЧЕТ!C1637*0.2,C1637+ОТЧЕТ!C1637*0.15)</f>
        <v>505.80449999999996</v>
      </c>
      <c r="F1637" s="7" t="s">
        <v>3434</v>
      </c>
      <c r="G1637" s="7">
        <v>550704589807</v>
      </c>
      <c r="H1637" s="20" t="s">
        <v>50</v>
      </c>
      <c r="I1637" s="22" t="str">
        <f>INDEX('Справочник Сети'!B:B,(MATCH(G1637,'Справочник Сети'!C:C,0)))</f>
        <v>Столички</v>
      </c>
      <c r="J1637" s="7" t="s">
        <v>251</v>
      </c>
      <c r="K1637" s="7" t="s">
        <v>3436</v>
      </c>
      <c r="L1637" s="7" t="s">
        <v>251</v>
      </c>
      <c r="M1637" s="31">
        <v>45659</v>
      </c>
      <c r="N1637" s="7" t="s">
        <v>3437</v>
      </c>
      <c r="O1637" s="8">
        <v>554</v>
      </c>
      <c r="P1637" s="24">
        <v>6806</v>
      </c>
      <c r="Q1637" s="22">
        <f>IF(COUNTIFS(A$2:A1637,A1637,I$2:I1637,I1637)=1,1,0)</f>
        <v>0</v>
      </c>
      <c r="R1637" s="22">
        <f t="shared" si="25"/>
        <v>5</v>
      </c>
      <c r="S1637" s="33">
        <f>IF(COUNTIF(O$2:O1637,O1637)=1,R1637,0)/2.5</f>
        <v>0</v>
      </c>
    </row>
    <row r="1638" spans="1:19" ht="18" customHeight="1" x14ac:dyDescent="0.25">
      <c r="A1638" s="7" t="s">
        <v>43</v>
      </c>
      <c r="B1638" s="8">
        <v>1</v>
      </c>
      <c r="C1638" s="9">
        <v>430</v>
      </c>
      <c r="D1638" s="29">
        <f>C1638+IF(INDEX('Справочник по %'!B:B,(MATCH(A1638,'Справочник по %'!A:A,0)))="кол-во",B1638*INDEX('Справочник по %'!C:C,(MATCH(A1638,'Справочник по %'!A:A,0))),ОТЧЕТ!C1638*INDEX('Справочник по %'!C:C,(MATCH(A1638,'Справочник по %'!A:A,0))))/100</f>
        <v>473</v>
      </c>
      <c r="E1638" s="29">
        <f>IF(ОТЧЕТ!A1638="SKU3",C1638+ОТЧЕТ!C1638*0.2,C1638+ОТЧЕТ!C1638*0.15)</f>
        <v>494.5</v>
      </c>
      <c r="F1638" s="7" t="s">
        <v>3434</v>
      </c>
      <c r="G1638" s="7">
        <v>9102213935</v>
      </c>
      <c r="H1638" s="20" t="s">
        <v>868</v>
      </c>
      <c r="I1638" s="22" t="str">
        <f>INDEX('Справочник Сети'!B:B,(MATCH(G1638,'Справочник Сети'!C:C,0)))</f>
        <v>Ригла</v>
      </c>
      <c r="J1638" s="7" t="s">
        <v>315</v>
      </c>
      <c r="K1638" s="7" t="s">
        <v>1033</v>
      </c>
      <c r="L1638" s="7" t="s">
        <v>315</v>
      </c>
      <c r="M1638" s="31">
        <v>45670</v>
      </c>
      <c r="N1638" s="7" t="s">
        <v>3438</v>
      </c>
      <c r="O1638" s="8">
        <v>550</v>
      </c>
      <c r="P1638" s="24">
        <v>6807</v>
      </c>
      <c r="Q1638" s="22">
        <f>IF(COUNTIFS(A$2:A1638,A1638,I$2:I1638,I1638)=1,1,0)</f>
        <v>0</v>
      </c>
      <c r="R1638" s="22">
        <f t="shared" si="25"/>
        <v>3</v>
      </c>
      <c r="S1638" s="33">
        <f>IF(COUNTIF(O$2:O1638,O1638)=1,R1638,0)/2.5</f>
        <v>0</v>
      </c>
    </row>
    <row r="1639" spans="1:19" ht="18" customHeight="1" x14ac:dyDescent="0.25">
      <c r="A1639" s="7" t="s">
        <v>146</v>
      </c>
      <c r="B1639" s="8">
        <v>1</v>
      </c>
      <c r="C1639" s="9">
        <v>690</v>
      </c>
      <c r="D1639" s="29">
        <f>C1639+IF(INDEX('Справочник по %'!B:B,(MATCH(A1639,'Справочник по %'!A:A,0)))="кол-во",B1639*INDEX('Справочник по %'!C:C,(MATCH(A1639,'Справочник по %'!A:A,0))),ОТЧЕТ!C1639*INDEX('Справочник по %'!C:C,(MATCH(A1639,'Справочник по %'!A:A,0))))/100</f>
        <v>793.5</v>
      </c>
      <c r="E1639" s="29">
        <f>IF(ОТЧЕТ!A1639="SKU3",C1639+ОТЧЕТ!C1639*0.2,C1639+ОТЧЕТ!C1639*0.15)</f>
        <v>828</v>
      </c>
      <c r="F1639" s="7" t="s">
        <v>3434</v>
      </c>
      <c r="G1639" s="7">
        <v>9725063558</v>
      </c>
      <c r="H1639" s="20" t="s">
        <v>91</v>
      </c>
      <c r="I1639" s="22">
        <f>INDEX('Справочник Сети'!B:B,(MATCH(G1639,'Справочник Сети'!C:C,0)))</f>
        <v>0</v>
      </c>
      <c r="J1639" s="7" t="s">
        <v>74</v>
      </c>
      <c r="K1639" s="7" t="s">
        <v>2209</v>
      </c>
      <c r="L1639" s="7" t="s">
        <v>239</v>
      </c>
      <c r="M1639" s="31">
        <v>45662</v>
      </c>
      <c r="N1639" s="7" t="s">
        <v>3439</v>
      </c>
      <c r="O1639" s="8">
        <v>3630</v>
      </c>
      <c r="P1639" s="24">
        <v>6809</v>
      </c>
      <c r="Q1639" s="22">
        <f>IF(COUNTIFS(A$2:A1639,A1639,I$2:I1639,I1639)=1,1,0)</f>
        <v>0</v>
      </c>
      <c r="R1639" s="22">
        <f t="shared" si="25"/>
        <v>1</v>
      </c>
      <c r="S1639" s="33">
        <f>IF(COUNTIF(O$2:O1639,O1639)=1,R1639,0)/2.5</f>
        <v>0.4</v>
      </c>
    </row>
    <row r="1640" spans="1:19" ht="18" customHeight="1" x14ac:dyDescent="0.25">
      <c r="A1640" s="7" t="s">
        <v>37</v>
      </c>
      <c r="B1640" s="8">
        <v>1</v>
      </c>
      <c r="C1640" s="9">
        <v>673</v>
      </c>
      <c r="D1640" s="29">
        <f>C1640+IF(INDEX('Справочник по %'!B:B,(MATCH(A1640,'Справочник по %'!A:A,0)))="кол-во",B1640*INDEX('Справочник по %'!C:C,(MATCH(A1640,'Справочник по %'!A:A,0))),ОТЧЕТ!C1640*INDEX('Справочник по %'!C:C,(MATCH(A1640,'Справочник по %'!A:A,0))))/100</f>
        <v>673.2</v>
      </c>
      <c r="E1640" s="29">
        <f>IF(ОТЧЕТ!A1640="SKU3",C1640+ОТЧЕТ!C1640*0.2,C1640+ОТЧЕТ!C1640*0.15)</f>
        <v>773.95</v>
      </c>
      <c r="F1640" s="7" t="s">
        <v>3434</v>
      </c>
      <c r="G1640" s="7">
        <v>7839300921</v>
      </c>
      <c r="H1640" s="20" t="s">
        <v>50</v>
      </c>
      <c r="I1640" s="22" t="str">
        <f>INDEX('Справочник Сети'!B:B,(MATCH(G1640,'Справочник Сети'!C:C,0)))</f>
        <v>Планета здоровья</v>
      </c>
      <c r="J1640" s="7" t="s">
        <v>121</v>
      </c>
      <c r="K1640" s="7" t="s">
        <v>1022</v>
      </c>
      <c r="L1640" s="7" t="s">
        <v>121</v>
      </c>
      <c r="M1640" s="31">
        <v>45671</v>
      </c>
      <c r="N1640" s="7" t="s">
        <v>3440</v>
      </c>
      <c r="O1640" s="8">
        <v>272</v>
      </c>
      <c r="P1640" s="24">
        <v>6811</v>
      </c>
      <c r="Q1640" s="22">
        <f>IF(COUNTIFS(A$2:A1640,A1640,I$2:I1640,I1640)=1,1,0)</f>
        <v>0</v>
      </c>
      <c r="R1640" s="22">
        <f t="shared" si="25"/>
        <v>1</v>
      </c>
      <c r="S1640" s="33">
        <f>IF(COUNTIF(O$2:O1640,O1640)=1,R1640,0)/2.5</f>
        <v>0.4</v>
      </c>
    </row>
    <row r="1641" spans="1:19" ht="18" customHeight="1" x14ac:dyDescent="0.25">
      <c r="A1641" s="7" t="s">
        <v>37</v>
      </c>
      <c r="B1641" s="8">
        <v>1</v>
      </c>
      <c r="C1641" s="9">
        <v>649</v>
      </c>
      <c r="D1641" s="29">
        <f>C1641+IF(INDEX('Справочник по %'!B:B,(MATCH(A1641,'Справочник по %'!A:A,0)))="кол-во",B1641*INDEX('Справочник по %'!C:C,(MATCH(A1641,'Справочник по %'!A:A,0))),ОТЧЕТ!C1641*INDEX('Справочник по %'!C:C,(MATCH(A1641,'Справочник по %'!A:A,0))))/100</f>
        <v>649.20000000000005</v>
      </c>
      <c r="E1641" s="29">
        <f>IF(ОТЧЕТ!A1641="SKU3",C1641+ОТЧЕТ!C1641*0.2,C1641+ОТЧЕТ!C1641*0.15)</f>
        <v>746.35</v>
      </c>
      <c r="F1641" s="7" t="s">
        <v>3434</v>
      </c>
      <c r="G1641" s="7">
        <v>7818009091</v>
      </c>
      <c r="H1641" s="20" t="s">
        <v>50</v>
      </c>
      <c r="I1641" s="22" t="str">
        <f>INDEX('Справочник Сети'!B:B,(MATCH(G1641,'Справочник Сети'!C:C,0)))</f>
        <v>Столички</v>
      </c>
      <c r="J1641" s="7" t="s">
        <v>121</v>
      </c>
      <c r="K1641" s="7" t="s">
        <v>544</v>
      </c>
      <c r="L1641" s="7" t="s">
        <v>121</v>
      </c>
      <c r="M1641" s="31">
        <v>45671</v>
      </c>
      <c r="N1641" s="7" t="s">
        <v>3441</v>
      </c>
      <c r="O1641" s="8">
        <v>1575</v>
      </c>
      <c r="P1641" s="24">
        <v>6815</v>
      </c>
      <c r="Q1641" s="22">
        <f>IF(COUNTIFS(A$2:A1641,A1641,I$2:I1641,I1641)=1,1,0)</f>
        <v>0</v>
      </c>
      <c r="R1641" s="22">
        <f t="shared" si="25"/>
        <v>2</v>
      </c>
      <c r="S1641" s="33">
        <f>IF(COUNTIF(O$2:O1641,O1641)=1,R1641,0)/2.5</f>
        <v>0</v>
      </c>
    </row>
    <row r="1642" spans="1:19" ht="18" customHeight="1" x14ac:dyDescent="0.25">
      <c r="A1642" s="7" t="s">
        <v>37</v>
      </c>
      <c r="B1642" s="8">
        <v>1</v>
      </c>
      <c r="C1642" s="9">
        <v>598.4</v>
      </c>
      <c r="D1642" s="29">
        <f>C1642+IF(INDEX('Справочник по %'!B:B,(MATCH(A1642,'Справочник по %'!A:A,0)))="кол-во",B1642*INDEX('Справочник по %'!C:C,(MATCH(A1642,'Справочник по %'!A:A,0))),ОТЧЕТ!C1642*INDEX('Справочник по %'!C:C,(MATCH(A1642,'Справочник по %'!A:A,0))))/100</f>
        <v>598.6</v>
      </c>
      <c r="E1642" s="29">
        <f>IF(ОТЧЕТ!A1642="SKU3",C1642+ОТЧЕТ!C1642*0.2,C1642+ОТЧЕТ!C1642*0.15)</f>
        <v>688.16</v>
      </c>
      <c r="F1642" s="7" t="s">
        <v>3434</v>
      </c>
      <c r="G1642" s="7">
        <v>7840411560</v>
      </c>
      <c r="H1642" s="20" t="s">
        <v>3442</v>
      </c>
      <c r="I1642" s="22" t="str">
        <f>INDEX('Справочник Сети'!B:B,(MATCH(G1642,'Справочник Сети'!C:C,0)))</f>
        <v>Столички</v>
      </c>
      <c r="J1642" s="7" t="s">
        <v>315</v>
      </c>
      <c r="K1642" s="7" t="s">
        <v>544</v>
      </c>
      <c r="L1642" s="7" t="s">
        <v>315</v>
      </c>
      <c r="M1642" s="31">
        <v>45670</v>
      </c>
      <c r="N1642" s="7" t="s">
        <v>3443</v>
      </c>
      <c r="O1642" s="8">
        <v>2000</v>
      </c>
      <c r="P1642" s="24">
        <v>6816</v>
      </c>
      <c r="Q1642" s="22">
        <f>IF(COUNTIFS(A$2:A1642,A1642,I$2:I1642,I1642)=1,1,0)</f>
        <v>0</v>
      </c>
      <c r="R1642" s="22">
        <f t="shared" si="25"/>
        <v>1</v>
      </c>
      <c r="S1642" s="33">
        <f>IF(COUNTIF(O$2:O1642,O1642)=1,R1642,0)/2.5</f>
        <v>0.4</v>
      </c>
    </row>
    <row r="1643" spans="1:19" ht="18" customHeight="1" x14ac:dyDescent="0.25">
      <c r="A1643" s="7" t="s">
        <v>43</v>
      </c>
      <c r="B1643" s="8">
        <v>1</v>
      </c>
      <c r="C1643" s="9">
        <v>342.4</v>
      </c>
      <c r="D1643" s="29">
        <f>C1643+IF(INDEX('Справочник по %'!B:B,(MATCH(A1643,'Справочник по %'!A:A,0)))="кол-во",B1643*INDEX('Справочник по %'!C:C,(MATCH(A1643,'Справочник по %'!A:A,0))),ОТЧЕТ!C1643*INDEX('Справочник по %'!C:C,(MATCH(A1643,'Справочник по %'!A:A,0))))/100</f>
        <v>376.64</v>
      </c>
      <c r="E1643" s="29">
        <f>IF(ОТЧЕТ!A1643="SKU3",C1643+ОТЧЕТ!C1643*0.2,C1643+ОТЧЕТ!C1643*0.15)</f>
        <v>393.76</v>
      </c>
      <c r="F1643" s="7" t="s">
        <v>3434</v>
      </c>
      <c r="G1643" s="7">
        <v>4632192826</v>
      </c>
      <c r="H1643" s="20" t="s">
        <v>3444</v>
      </c>
      <c r="I1643" s="22">
        <f>INDEX('Справочник Сети'!B:B,(MATCH(G1643,'Справочник Сети'!C:C,0)))</f>
        <v>0</v>
      </c>
      <c r="J1643" s="7" t="s">
        <v>83</v>
      </c>
      <c r="K1643" s="7" t="s">
        <v>2043</v>
      </c>
      <c r="L1643" s="7" t="s">
        <v>155</v>
      </c>
      <c r="M1643" s="31">
        <v>45716</v>
      </c>
      <c r="N1643" s="7" t="s">
        <v>2576</v>
      </c>
      <c r="O1643" s="8">
        <v>3689</v>
      </c>
      <c r="P1643" s="24">
        <v>6817</v>
      </c>
      <c r="Q1643" s="22">
        <f>IF(COUNTIFS(A$2:A1643,A1643,I$2:I1643,I1643)=1,1,0)</f>
        <v>0</v>
      </c>
      <c r="R1643" s="22">
        <f t="shared" si="25"/>
        <v>6</v>
      </c>
      <c r="S1643" s="33">
        <f>IF(COUNTIF(O$2:O1643,O1643)=1,R1643,0)/2.5</f>
        <v>2.4</v>
      </c>
    </row>
    <row r="1644" spans="1:19" ht="18" customHeight="1" x14ac:dyDescent="0.25">
      <c r="A1644" s="7" t="s">
        <v>43</v>
      </c>
      <c r="B1644" s="8">
        <v>1</v>
      </c>
      <c r="C1644" s="9">
        <v>335.6</v>
      </c>
      <c r="D1644" s="29">
        <f>C1644+IF(INDEX('Справочник по %'!B:B,(MATCH(A1644,'Справочник по %'!A:A,0)))="кол-во",B1644*INDEX('Справочник по %'!C:C,(MATCH(A1644,'Справочник по %'!A:A,0))),ОТЧЕТ!C1644*INDEX('Справочник по %'!C:C,(MATCH(A1644,'Справочник по %'!A:A,0))))/100</f>
        <v>369.16</v>
      </c>
      <c r="E1644" s="29">
        <f>IF(ОТЧЕТ!A1644="SKU3",C1644+ОТЧЕТ!C1644*0.2,C1644+ОТЧЕТ!C1644*0.15)</f>
        <v>385.94000000000005</v>
      </c>
      <c r="F1644" s="7" t="s">
        <v>3445</v>
      </c>
      <c r="G1644" s="7">
        <v>4632192826</v>
      </c>
      <c r="H1644" s="20" t="s">
        <v>3444</v>
      </c>
      <c r="I1644" s="22">
        <f>INDEX('Справочник Сети'!B:B,(MATCH(G1644,'Справочник Сети'!C:C,0)))</f>
        <v>0</v>
      </c>
      <c r="J1644" s="7" t="s">
        <v>83</v>
      </c>
      <c r="K1644" s="7" t="s">
        <v>2043</v>
      </c>
      <c r="L1644" s="7" t="s">
        <v>155</v>
      </c>
      <c r="M1644" s="31">
        <v>45716</v>
      </c>
      <c r="N1644" s="7" t="s">
        <v>2576</v>
      </c>
      <c r="O1644" s="8">
        <v>3689</v>
      </c>
      <c r="P1644" s="24">
        <v>6817</v>
      </c>
      <c r="Q1644" s="22">
        <f>IF(COUNTIFS(A$2:A1644,A1644,I$2:I1644,I1644)=1,1,0)</f>
        <v>0</v>
      </c>
      <c r="R1644" s="22">
        <f t="shared" si="25"/>
        <v>6</v>
      </c>
      <c r="S1644" s="33">
        <f>IF(COUNTIF(O$2:O1644,O1644)=1,R1644,0)/2.5</f>
        <v>0</v>
      </c>
    </row>
    <row r="1645" spans="1:19" ht="18" customHeight="1" x14ac:dyDescent="0.25">
      <c r="A1645" s="7" t="s">
        <v>43</v>
      </c>
      <c r="B1645" s="8">
        <v>1</v>
      </c>
      <c r="C1645" s="9">
        <v>311.64999999999998</v>
      </c>
      <c r="D1645" s="29">
        <f>C1645+IF(INDEX('Справочник по %'!B:B,(MATCH(A1645,'Справочник по %'!A:A,0)))="кол-во",B1645*INDEX('Справочник по %'!C:C,(MATCH(A1645,'Справочник по %'!A:A,0))),ОТЧЕТ!C1645*INDEX('Справочник по %'!C:C,(MATCH(A1645,'Справочник по %'!A:A,0))))/100</f>
        <v>342.815</v>
      </c>
      <c r="E1645" s="29">
        <f>IF(ОТЧЕТ!A1645="SKU3",C1645+ОТЧЕТ!C1645*0.2,C1645+ОТЧЕТ!C1645*0.15)</f>
        <v>358.39749999999998</v>
      </c>
      <c r="F1645" s="7" t="s">
        <v>3445</v>
      </c>
      <c r="G1645" s="7">
        <v>2801016937</v>
      </c>
      <c r="H1645" s="20" t="s">
        <v>3446</v>
      </c>
      <c r="I1645" s="22" t="str">
        <f>INDEX('Справочник Сети'!B:B,(MATCH(G1645,'Справочник Сети'!C:C,0)))</f>
        <v>Столички</v>
      </c>
      <c r="J1645" s="7" t="s">
        <v>193</v>
      </c>
      <c r="K1645" s="7" t="s">
        <v>609</v>
      </c>
      <c r="L1645" s="7" t="s">
        <v>193</v>
      </c>
      <c r="M1645" s="31">
        <v>45718</v>
      </c>
      <c r="N1645" s="7" t="s">
        <v>3447</v>
      </c>
      <c r="O1645" s="8">
        <v>2930</v>
      </c>
      <c r="P1645" s="24">
        <v>6819</v>
      </c>
      <c r="Q1645" s="22">
        <f>IF(COUNTIFS(A$2:A1645,A1645,I$2:I1645,I1645)=1,1,0)</f>
        <v>0</v>
      </c>
      <c r="R1645" s="22">
        <f t="shared" si="25"/>
        <v>1</v>
      </c>
      <c r="S1645" s="33">
        <f>IF(COUNTIF(O$2:O1645,O1645)=1,R1645,0)/2.5</f>
        <v>0.4</v>
      </c>
    </row>
    <row r="1646" spans="1:19" ht="18" customHeight="1" x14ac:dyDescent="0.25">
      <c r="A1646" s="7" t="s">
        <v>43</v>
      </c>
      <c r="B1646" s="8">
        <v>1</v>
      </c>
      <c r="C1646" s="9">
        <v>402</v>
      </c>
      <c r="D1646" s="29">
        <f>C1646+IF(INDEX('Справочник по %'!B:B,(MATCH(A1646,'Справочник по %'!A:A,0)))="кол-во",B1646*INDEX('Справочник по %'!C:C,(MATCH(A1646,'Справочник по %'!A:A,0))),ОТЧЕТ!C1646*INDEX('Справочник по %'!C:C,(MATCH(A1646,'Справочник по %'!A:A,0))))/100</f>
        <v>442.2</v>
      </c>
      <c r="E1646" s="29">
        <f>IF(ОТЧЕТ!A1646="SKU3",C1646+ОТЧЕТ!C1646*0.2,C1646+ОТЧЕТ!C1646*0.15)</f>
        <v>462.3</v>
      </c>
      <c r="F1646" s="7" t="s">
        <v>3445</v>
      </c>
      <c r="G1646" s="7">
        <v>2801060559</v>
      </c>
      <c r="H1646" s="20" t="s">
        <v>50</v>
      </c>
      <c r="I1646" s="22" t="str">
        <f>INDEX('Справочник Сети'!B:B,(MATCH(G1646,'Справочник Сети'!C:C,0)))</f>
        <v>Ригла</v>
      </c>
      <c r="J1646" s="7" t="s">
        <v>193</v>
      </c>
      <c r="K1646" s="7" t="s">
        <v>1107</v>
      </c>
      <c r="L1646" s="7" t="s">
        <v>193</v>
      </c>
      <c r="M1646" s="31">
        <v>45718</v>
      </c>
      <c r="N1646" s="7" t="s">
        <v>3448</v>
      </c>
      <c r="O1646" s="8">
        <v>1962</v>
      </c>
      <c r="P1646" s="24">
        <v>6821</v>
      </c>
      <c r="Q1646" s="22">
        <f>IF(COUNTIFS(A$2:A1646,A1646,I$2:I1646,I1646)=1,1,0)</f>
        <v>0</v>
      </c>
      <c r="R1646" s="22">
        <f t="shared" si="25"/>
        <v>1</v>
      </c>
      <c r="S1646" s="33">
        <f>IF(COUNTIF(O$2:O1646,O1646)=1,R1646,0)/2.5</f>
        <v>0.4</v>
      </c>
    </row>
    <row r="1647" spans="1:19" ht="18" customHeight="1" x14ac:dyDescent="0.25">
      <c r="A1647" s="7" t="s">
        <v>43</v>
      </c>
      <c r="B1647" s="8">
        <v>1</v>
      </c>
      <c r="C1647" s="9">
        <v>490</v>
      </c>
      <c r="D1647" s="29">
        <f>C1647+IF(INDEX('Справочник по %'!B:B,(MATCH(A1647,'Справочник по %'!A:A,0)))="кол-во",B1647*INDEX('Справочник по %'!C:C,(MATCH(A1647,'Справочник по %'!A:A,0))),ОТЧЕТ!C1647*INDEX('Справочник по %'!C:C,(MATCH(A1647,'Справочник по %'!A:A,0))))/100</f>
        <v>539</v>
      </c>
      <c r="E1647" s="29">
        <f>IF(ОТЧЕТ!A1647="SKU3",C1647+ОТЧЕТ!C1647*0.2,C1647+ОТЧЕТ!C1647*0.15)</f>
        <v>563.5</v>
      </c>
      <c r="F1647" s="7" t="s">
        <v>3449</v>
      </c>
      <c r="G1647" s="7">
        <v>4632192826</v>
      </c>
      <c r="H1647" s="20" t="s">
        <v>3444</v>
      </c>
      <c r="I1647" s="22">
        <f>INDEX('Справочник Сети'!B:B,(MATCH(G1647,'Справочник Сети'!C:C,0)))</f>
        <v>0</v>
      </c>
      <c r="J1647" s="7" t="s">
        <v>83</v>
      </c>
      <c r="K1647" s="7" t="s">
        <v>742</v>
      </c>
      <c r="L1647" s="7" t="s">
        <v>155</v>
      </c>
      <c r="M1647" s="31">
        <v>45716</v>
      </c>
      <c r="N1647" s="7" t="s">
        <v>3450</v>
      </c>
      <c r="O1647" s="8">
        <v>3689</v>
      </c>
      <c r="P1647" s="24">
        <v>6822</v>
      </c>
      <c r="Q1647" s="22">
        <f>IF(COUNTIFS(A$2:A1647,A1647,I$2:I1647,I1647)=1,1,0)</f>
        <v>0</v>
      </c>
      <c r="R1647" s="22">
        <f t="shared" si="25"/>
        <v>6</v>
      </c>
      <c r="S1647" s="33">
        <f>IF(COUNTIF(O$2:O1647,O1647)=1,R1647,0)/2.5</f>
        <v>0</v>
      </c>
    </row>
    <row r="1648" spans="1:19" ht="18" customHeight="1" x14ac:dyDescent="0.25">
      <c r="A1648" s="7" t="s">
        <v>37</v>
      </c>
      <c r="B1648" s="8">
        <v>1</v>
      </c>
      <c r="C1648" s="9">
        <v>556.54999999999995</v>
      </c>
      <c r="D1648" s="29">
        <f>C1648+IF(INDEX('Справочник по %'!B:B,(MATCH(A1648,'Справочник по %'!A:A,0)))="кол-во",B1648*INDEX('Справочник по %'!C:C,(MATCH(A1648,'Справочник по %'!A:A,0))),ОТЧЕТ!C1648*INDEX('Справочник по %'!C:C,(MATCH(A1648,'Справочник по %'!A:A,0))))/100</f>
        <v>556.75</v>
      </c>
      <c r="E1648" s="29">
        <f>IF(ОТЧЕТ!A1648="SKU3",C1648+ОТЧЕТ!C1648*0.2,C1648+ОТЧЕТ!C1648*0.15)</f>
        <v>640.03249999999991</v>
      </c>
      <c r="F1648" s="7" t="s">
        <v>3449</v>
      </c>
      <c r="G1648" s="7">
        <v>7731334851</v>
      </c>
      <c r="H1648" s="20" t="s">
        <v>3451</v>
      </c>
      <c r="I1648" s="22" t="str">
        <f>INDEX('Справочник Сети'!B:B,(MATCH(G1648,'Справочник Сети'!C:C,0)))</f>
        <v>Планета здоровья</v>
      </c>
      <c r="J1648" s="7" t="s">
        <v>142</v>
      </c>
      <c r="K1648" s="7" t="s">
        <v>3452</v>
      </c>
      <c r="L1648" s="7" t="s">
        <v>142</v>
      </c>
      <c r="M1648" s="31">
        <v>45674</v>
      </c>
      <c r="N1648" s="7" t="s">
        <v>3453</v>
      </c>
      <c r="O1648" s="8">
        <v>3064</v>
      </c>
      <c r="P1648" s="24">
        <v>6825</v>
      </c>
      <c r="Q1648" s="22">
        <f>IF(COUNTIFS(A$2:A1648,A1648,I$2:I1648,I1648)=1,1,0)</f>
        <v>0</v>
      </c>
      <c r="R1648" s="22">
        <f t="shared" si="25"/>
        <v>3</v>
      </c>
      <c r="S1648" s="33">
        <f>IF(COUNTIF(O$2:O1648,O1648)=1,R1648,0)/2.5</f>
        <v>1.2</v>
      </c>
    </row>
    <row r="1649" spans="1:19" ht="18" customHeight="1" x14ac:dyDescent="0.25">
      <c r="A1649" s="7" t="s">
        <v>43</v>
      </c>
      <c r="B1649" s="8">
        <v>1</v>
      </c>
      <c r="C1649" s="9">
        <v>402.79</v>
      </c>
      <c r="D1649" s="29">
        <f>C1649+IF(INDEX('Справочник по %'!B:B,(MATCH(A1649,'Справочник по %'!A:A,0)))="кол-во",B1649*INDEX('Справочник по %'!C:C,(MATCH(A1649,'Справочник по %'!A:A,0))),ОТЧЕТ!C1649*INDEX('Справочник по %'!C:C,(MATCH(A1649,'Справочник по %'!A:A,0))))/100</f>
        <v>443.06900000000002</v>
      </c>
      <c r="E1649" s="29">
        <f>IF(ОТЧЕТ!A1649="SKU3",C1649+ОТЧЕТ!C1649*0.2,C1649+ОТЧЕТ!C1649*0.15)</f>
        <v>463.20850000000002</v>
      </c>
      <c r="F1649" s="7" t="s">
        <v>3449</v>
      </c>
      <c r="G1649" s="7">
        <v>7731334851</v>
      </c>
      <c r="H1649" s="20" t="s">
        <v>3451</v>
      </c>
      <c r="I1649" s="22" t="str">
        <f>INDEX('Справочник Сети'!B:B,(MATCH(G1649,'Справочник Сети'!C:C,0)))</f>
        <v>Планета здоровья</v>
      </c>
      <c r="J1649" s="7" t="s">
        <v>142</v>
      </c>
      <c r="K1649" s="7" t="s">
        <v>3452</v>
      </c>
      <c r="L1649" s="7" t="s">
        <v>142</v>
      </c>
      <c r="M1649" s="31">
        <v>45674</v>
      </c>
      <c r="N1649" s="7" t="s">
        <v>3453</v>
      </c>
      <c r="O1649" s="8">
        <v>3064</v>
      </c>
      <c r="P1649" s="24">
        <v>6825</v>
      </c>
      <c r="Q1649" s="22">
        <f>IF(COUNTIFS(A$2:A1649,A1649,I$2:I1649,I1649)=1,1,0)</f>
        <v>0</v>
      </c>
      <c r="R1649" s="22">
        <f t="shared" si="25"/>
        <v>3</v>
      </c>
      <c r="S1649" s="33">
        <f>IF(COUNTIF(O$2:O1649,O1649)=1,R1649,0)/2.5</f>
        <v>0</v>
      </c>
    </row>
    <row r="1650" spans="1:19" ht="18" customHeight="1" x14ac:dyDescent="0.25">
      <c r="A1650" s="7" t="s">
        <v>43</v>
      </c>
      <c r="B1650" s="8">
        <v>1</v>
      </c>
      <c r="C1650" s="9">
        <v>395.85</v>
      </c>
      <c r="D1650" s="29">
        <f>C1650+IF(INDEX('Справочник по %'!B:B,(MATCH(A1650,'Справочник по %'!A:A,0)))="кол-во",B1650*INDEX('Справочник по %'!C:C,(MATCH(A1650,'Справочник по %'!A:A,0))),ОТЧЕТ!C1650*INDEX('Справочник по %'!C:C,(MATCH(A1650,'Справочник по %'!A:A,0))))/100</f>
        <v>435.435</v>
      </c>
      <c r="E1650" s="29">
        <f>IF(ОТЧЕТ!A1650="SKU3",C1650+ОТЧЕТ!C1650*0.2,C1650+ОТЧЕТ!C1650*0.15)</f>
        <v>455.22750000000002</v>
      </c>
      <c r="F1650" s="7" t="s">
        <v>3449</v>
      </c>
      <c r="G1650" s="7">
        <v>7731334851</v>
      </c>
      <c r="H1650" s="20" t="s">
        <v>3451</v>
      </c>
      <c r="I1650" s="22" t="str">
        <f>INDEX('Справочник Сети'!B:B,(MATCH(G1650,'Справочник Сети'!C:C,0)))</f>
        <v>Планета здоровья</v>
      </c>
      <c r="J1650" s="7" t="s">
        <v>142</v>
      </c>
      <c r="K1650" s="7" t="s">
        <v>3452</v>
      </c>
      <c r="L1650" s="7" t="s">
        <v>142</v>
      </c>
      <c r="M1650" s="31">
        <v>45674</v>
      </c>
      <c r="N1650" s="7" t="s">
        <v>3453</v>
      </c>
      <c r="O1650" s="8">
        <v>3064</v>
      </c>
      <c r="P1650" s="24">
        <v>6825</v>
      </c>
      <c r="Q1650" s="22">
        <f>IF(COUNTIFS(A$2:A1650,A1650,I$2:I1650,I1650)=1,1,0)</f>
        <v>0</v>
      </c>
      <c r="R1650" s="22">
        <f t="shared" si="25"/>
        <v>3</v>
      </c>
      <c r="S1650" s="33">
        <f>IF(COUNTIF(O$2:O1650,O1650)=1,R1650,0)/2.5</f>
        <v>0</v>
      </c>
    </row>
    <row r="1651" spans="1:19" ht="18" customHeight="1" x14ac:dyDescent="0.25">
      <c r="A1651" s="7" t="s">
        <v>43</v>
      </c>
      <c r="B1651" s="8">
        <v>1</v>
      </c>
      <c r="C1651" s="9">
        <v>442</v>
      </c>
      <c r="D1651" s="29">
        <f>C1651+IF(INDEX('Справочник по %'!B:B,(MATCH(A1651,'Справочник по %'!A:A,0)))="кол-во",B1651*INDEX('Справочник по %'!C:C,(MATCH(A1651,'Справочник по %'!A:A,0))),ОТЧЕТ!C1651*INDEX('Справочник по %'!C:C,(MATCH(A1651,'Справочник по %'!A:A,0))))/100</f>
        <v>486.2</v>
      </c>
      <c r="E1651" s="29">
        <f>IF(ОТЧЕТ!A1651="SKU3",C1651+ОТЧЕТ!C1651*0.2,C1651+ОТЧЕТ!C1651*0.15)</f>
        <v>508.3</v>
      </c>
      <c r="F1651" s="7" t="s">
        <v>3449</v>
      </c>
      <c r="G1651" s="7">
        <v>3525142956</v>
      </c>
      <c r="H1651" s="20" t="s">
        <v>91</v>
      </c>
      <c r="I1651" s="22">
        <f>INDEX('Справочник Сети'!B:B,(MATCH(G1651,'Справочник Сети'!C:C,0)))</f>
        <v>0</v>
      </c>
      <c r="J1651" s="7" t="s">
        <v>65</v>
      </c>
      <c r="K1651" s="7" t="s">
        <v>2176</v>
      </c>
      <c r="L1651" s="7" t="s">
        <v>193</v>
      </c>
      <c r="M1651" s="31">
        <v>45718</v>
      </c>
      <c r="N1651" s="7" t="s">
        <v>3454</v>
      </c>
      <c r="O1651" s="8">
        <v>2861</v>
      </c>
      <c r="P1651" s="24">
        <v>6829</v>
      </c>
      <c r="Q1651" s="22">
        <f>IF(COUNTIFS(A$2:A1651,A1651,I$2:I1651,I1651)=1,1,0)</f>
        <v>0</v>
      </c>
      <c r="R1651" s="22">
        <f t="shared" si="25"/>
        <v>1</v>
      </c>
      <c r="S1651" s="33">
        <f>IF(COUNTIF(O$2:O1651,O1651)=1,R1651,0)/2.5</f>
        <v>0.4</v>
      </c>
    </row>
    <row r="1652" spans="1:19" ht="18" customHeight="1" x14ac:dyDescent="0.25">
      <c r="A1652" s="7" t="s">
        <v>43</v>
      </c>
      <c r="B1652" s="8">
        <v>1</v>
      </c>
      <c r="C1652" s="9">
        <v>398</v>
      </c>
      <c r="D1652" s="29">
        <f>C1652+IF(INDEX('Справочник по %'!B:B,(MATCH(A1652,'Справочник по %'!A:A,0)))="кол-во",B1652*INDEX('Справочник по %'!C:C,(MATCH(A1652,'Справочник по %'!A:A,0))),ОТЧЕТ!C1652*INDEX('Справочник по %'!C:C,(MATCH(A1652,'Справочник по %'!A:A,0))))/100</f>
        <v>437.8</v>
      </c>
      <c r="E1652" s="29">
        <f>IF(ОТЧЕТ!A1652="SKU3",C1652+ОТЧЕТ!C1652*0.2,C1652+ОТЧЕТ!C1652*0.15)</f>
        <v>457.7</v>
      </c>
      <c r="F1652" s="7" t="s">
        <v>3449</v>
      </c>
      <c r="G1652" s="7">
        <v>7728339546</v>
      </c>
      <c r="H1652" s="20" t="s">
        <v>2232</v>
      </c>
      <c r="I1652" s="22" t="str">
        <f>INDEX('Справочник Сети'!B:B,(MATCH(G1652,'Справочник Сети'!C:C,0)))</f>
        <v>Планета здоровья</v>
      </c>
      <c r="J1652" s="7" t="s">
        <v>142</v>
      </c>
      <c r="K1652" s="7" t="s">
        <v>607</v>
      </c>
      <c r="L1652" s="7" t="s">
        <v>142</v>
      </c>
      <c r="M1652" s="31">
        <v>45674</v>
      </c>
      <c r="N1652" s="7" t="s">
        <v>3455</v>
      </c>
      <c r="O1652" s="8">
        <v>3034</v>
      </c>
      <c r="P1652" s="24">
        <v>6830</v>
      </c>
      <c r="Q1652" s="22">
        <f>IF(COUNTIFS(A$2:A1652,A1652,I$2:I1652,I1652)=1,1,0)</f>
        <v>0</v>
      </c>
      <c r="R1652" s="22">
        <f t="shared" si="25"/>
        <v>7</v>
      </c>
      <c r="S1652" s="33">
        <f>IF(COUNTIF(O$2:O1652,O1652)=1,R1652,0)/2.5</f>
        <v>0</v>
      </c>
    </row>
    <row r="1653" spans="1:19" ht="18" customHeight="1" x14ac:dyDescent="0.25">
      <c r="A1653" s="7" t="s">
        <v>43</v>
      </c>
      <c r="B1653" s="8">
        <v>1</v>
      </c>
      <c r="C1653" s="9">
        <v>500</v>
      </c>
      <c r="D1653" s="29">
        <f>C1653+IF(INDEX('Справочник по %'!B:B,(MATCH(A1653,'Справочник по %'!A:A,0)))="кол-во",B1653*INDEX('Справочник по %'!C:C,(MATCH(A1653,'Справочник по %'!A:A,0))),ОТЧЕТ!C1653*INDEX('Справочник по %'!C:C,(MATCH(A1653,'Справочник по %'!A:A,0))))/100</f>
        <v>550</v>
      </c>
      <c r="E1653" s="29">
        <f>IF(ОТЧЕТ!A1653="SKU3",C1653+ОТЧЕТ!C1653*0.2,C1653+ОТЧЕТ!C1653*0.15)</f>
        <v>575</v>
      </c>
      <c r="F1653" s="7" t="s">
        <v>3449</v>
      </c>
      <c r="G1653" s="7">
        <v>4632170357</v>
      </c>
      <c r="H1653" s="20" t="s">
        <v>153</v>
      </c>
      <c r="I1653" s="22" t="str">
        <f>INDEX('Справочник Сети'!B:B,(MATCH(G1653,'Справочник Сети'!C:C,0)))</f>
        <v>Столички</v>
      </c>
      <c r="J1653" s="7" t="s">
        <v>83</v>
      </c>
      <c r="K1653" s="7" t="s">
        <v>3456</v>
      </c>
      <c r="L1653" s="7" t="s">
        <v>155</v>
      </c>
      <c r="M1653" s="31">
        <v>45716</v>
      </c>
      <c r="N1653" s="7" t="s">
        <v>3457</v>
      </c>
      <c r="O1653" s="8">
        <v>964</v>
      </c>
      <c r="P1653" s="24">
        <v>6839</v>
      </c>
      <c r="Q1653" s="22">
        <f>IF(COUNTIFS(A$2:A1653,A1653,I$2:I1653,I1653)=1,1,0)</f>
        <v>0</v>
      </c>
      <c r="R1653" s="22">
        <f t="shared" si="25"/>
        <v>2</v>
      </c>
      <c r="S1653" s="33">
        <f>IF(COUNTIF(O$2:O1653,O1653)=1,R1653,0)/2.5</f>
        <v>0</v>
      </c>
    </row>
    <row r="1654" spans="1:19" ht="18" customHeight="1" x14ac:dyDescent="0.25">
      <c r="A1654" s="7" t="s">
        <v>43</v>
      </c>
      <c r="B1654" s="8">
        <v>1</v>
      </c>
      <c r="C1654" s="9">
        <v>449</v>
      </c>
      <c r="D1654" s="29">
        <f>C1654+IF(INDEX('Справочник по %'!B:B,(MATCH(A1654,'Справочник по %'!A:A,0)))="кол-во",B1654*INDEX('Справочник по %'!C:C,(MATCH(A1654,'Справочник по %'!A:A,0))),ОТЧЕТ!C1654*INDEX('Справочник по %'!C:C,(MATCH(A1654,'Справочник по %'!A:A,0))))/100</f>
        <v>493.9</v>
      </c>
      <c r="E1654" s="29">
        <f>IF(ОТЧЕТ!A1654="SKU3",C1654+ОТЧЕТ!C1654*0.2,C1654+ОТЧЕТ!C1654*0.15)</f>
        <v>516.35</v>
      </c>
      <c r="F1654" s="7" t="s">
        <v>3449</v>
      </c>
      <c r="G1654" s="7">
        <v>326537584</v>
      </c>
      <c r="H1654" s="20" t="s">
        <v>2962</v>
      </c>
      <c r="I1654" s="22" t="str">
        <f>INDEX('Справочник Сети'!B:B,(MATCH(G1654,'Справочник Сети'!C:C,0)))</f>
        <v>Планета здоровья</v>
      </c>
      <c r="J1654" s="7" t="s">
        <v>362</v>
      </c>
      <c r="K1654" s="7" t="s">
        <v>1283</v>
      </c>
      <c r="L1654" s="7" t="s">
        <v>362</v>
      </c>
      <c r="M1654" s="31">
        <v>45732</v>
      </c>
      <c r="N1654" s="7" t="s">
        <v>3458</v>
      </c>
      <c r="O1654" s="8">
        <v>3078</v>
      </c>
      <c r="P1654" s="24">
        <v>6840</v>
      </c>
      <c r="Q1654" s="22">
        <f>IF(COUNTIFS(A$2:A1654,A1654,I$2:I1654,I1654)=1,1,0)</f>
        <v>0</v>
      </c>
      <c r="R1654" s="22">
        <f t="shared" si="25"/>
        <v>2</v>
      </c>
      <c r="S1654" s="33">
        <f>IF(COUNTIF(O$2:O1654,O1654)=1,R1654,0)/2.5</f>
        <v>0</v>
      </c>
    </row>
    <row r="1655" spans="1:19" ht="18" customHeight="1" x14ac:dyDescent="0.25">
      <c r="A1655" s="7" t="s">
        <v>43</v>
      </c>
      <c r="B1655" s="8">
        <v>1</v>
      </c>
      <c r="C1655" s="9">
        <v>431</v>
      </c>
      <c r="D1655" s="29">
        <f>C1655+IF(INDEX('Справочник по %'!B:B,(MATCH(A1655,'Справочник по %'!A:A,0)))="кол-во",B1655*INDEX('Справочник по %'!C:C,(MATCH(A1655,'Справочник по %'!A:A,0))),ОТЧЕТ!C1655*INDEX('Справочник по %'!C:C,(MATCH(A1655,'Справочник по %'!A:A,0))))/100</f>
        <v>474.1</v>
      </c>
      <c r="E1655" s="29">
        <f>IF(ОТЧЕТ!A1655="SKU3",C1655+ОТЧЕТ!C1655*0.2,C1655+ОТЧЕТ!C1655*0.15)</f>
        <v>495.65</v>
      </c>
      <c r="F1655" s="7" t="s">
        <v>3449</v>
      </c>
      <c r="G1655" s="7">
        <v>4710012294</v>
      </c>
      <c r="H1655" s="20" t="s">
        <v>50</v>
      </c>
      <c r="I1655" s="22" t="str">
        <f>INDEX('Справочник Сети'!B:B,(MATCH(G1655,'Справочник Сети'!C:C,0)))</f>
        <v>Планета здоровья</v>
      </c>
      <c r="J1655" s="7" t="s">
        <v>83</v>
      </c>
      <c r="K1655" s="7" t="s">
        <v>2613</v>
      </c>
      <c r="L1655" s="7" t="s">
        <v>83</v>
      </c>
      <c r="M1655" s="31">
        <v>45715</v>
      </c>
      <c r="N1655" s="7" t="s">
        <v>3459</v>
      </c>
      <c r="O1655" s="8">
        <v>2552</v>
      </c>
      <c r="P1655" s="24">
        <v>6843</v>
      </c>
      <c r="Q1655" s="22">
        <f>IF(COUNTIFS(A$2:A1655,A1655,I$2:I1655,I1655)=1,1,0)</f>
        <v>0</v>
      </c>
      <c r="R1655" s="22">
        <f t="shared" si="25"/>
        <v>1</v>
      </c>
      <c r="S1655" s="33">
        <f>IF(COUNTIF(O$2:O1655,O1655)=1,R1655,0)/2.5</f>
        <v>0.4</v>
      </c>
    </row>
    <row r="1656" spans="1:19" ht="18" customHeight="1" x14ac:dyDescent="0.25">
      <c r="A1656" s="7" t="s">
        <v>37</v>
      </c>
      <c r="B1656" s="8">
        <v>1</v>
      </c>
      <c r="C1656" s="9">
        <v>541</v>
      </c>
      <c r="D1656" s="29">
        <f>C1656+IF(INDEX('Справочник по %'!B:B,(MATCH(A1656,'Справочник по %'!A:A,0)))="кол-во",B1656*INDEX('Справочник по %'!C:C,(MATCH(A1656,'Справочник по %'!A:A,0))),ОТЧЕТ!C1656*INDEX('Справочник по %'!C:C,(MATCH(A1656,'Справочник по %'!A:A,0))))/100</f>
        <v>541.20000000000005</v>
      </c>
      <c r="E1656" s="29">
        <f>IF(ОТЧЕТ!A1656="SKU3",C1656+ОТЧЕТ!C1656*0.2,C1656+ОТЧЕТ!C1656*0.15)</f>
        <v>622.15</v>
      </c>
      <c r="F1656" s="7" t="s">
        <v>3460</v>
      </c>
      <c r="G1656" s="7">
        <v>7706795062</v>
      </c>
      <c r="H1656" s="20" t="s">
        <v>487</v>
      </c>
      <c r="I1656" s="22" t="str">
        <f>INDEX('Справочник Сети'!B:B,(MATCH(G1656,'Справочник Сети'!C:C,0)))</f>
        <v>Планета здоровья</v>
      </c>
      <c r="J1656" s="7" t="s">
        <v>87</v>
      </c>
      <c r="K1656" s="7" t="s">
        <v>1205</v>
      </c>
      <c r="L1656" s="7" t="s">
        <v>116</v>
      </c>
      <c r="M1656" s="31">
        <v>45692</v>
      </c>
      <c r="N1656" s="7" t="s">
        <v>3461</v>
      </c>
      <c r="O1656" s="8">
        <v>1267</v>
      </c>
      <c r="P1656" s="24">
        <v>6851</v>
      </c>
      <c r="Q1656" s="22">
        <f>IF(COUNTIFS(A$2:A1656,A1656,I$2:I1656,I1656)=1,1,0)</f>
        <v>0</v>
      </c>
      <c r="R1656" s="22">
        <f t="shared" si="25"/>
        <v>3</v>
      </c>
      <c r="S1656" s="33">
        <f>IF(COUNTIF(O$2:O1656,O1656)=1,R1656,0)/2.5</f>
        <v>0</v>
      </c>
    </row>
    <row r="1657" spans="1:19" ht="18" customHeight="1" x14ac:dyDescent="0.25">
      <c r="A1657" s="7" t="s">
        <v>37</v>
      </c>
      <c r="B1657" s="8">
        <v>1</v>
      </c>
      <c r="C1657" s="9">
        <v>626</v>
      </c>
      <c r="D1657" s="29">
        <f>C1657+IF(INDEX('Справочник по %'!B:B,(MATCH(A1657,'Справочник по %'!A:A,0)))="кол-во",B1657*INDEX('Справочник по %'!C:C,(MATCH(A1657,'Справочник по %'!A:A,0))),ОТЧЕТ!C1657*INDEX('Справочник по %'!C:C,(MATCH(A1657,'Справочник по %'!A:A,0))))/100</f>
        <v>626.20000000000005</v>
      </c>
      <c r="E1657" s="29">
        <f>IF(ОТЧЕТ!A1657="SKU3",C1657+ОТЧЕТ!C1657*0.2,C1657+ОТЧЕТ!C1657*0.15)</f>
        <v>719.9</v>
      </c>
      <c r="F1657" s="7" t="s">
        <v>3462</v>
      </c>
      <c r="G1657" s="7">
        <v>2301048666</v>
      </c>
      <c r="H1657" s="20" t="s">
        <v>50</v>
      </c>
      <c r="I1657" s="22" t="str">
        <f>INDEX('Справочник Сети'!B:B,(MATCH(G1657,'Справочник Сети'!C:C,0)))</f>
        <v>Столички</v>
      </c>
      <c r="J1657" s="7" t="s">
        <v>372</v>
      </c>
      <c r="K1657" s="7" t="s">
        <v>632</v>
      </c>
      <c r="L1657" s="7" t="s">
        <v>372</v>
      </c>
      <c r="M1657" s="31">
        <v>45730</v>
      </c>
      <c r="N1657" s="7" t="s">
        <v>3463</v>
      </c>
      <c r="O1657" s="8">
        <v>1940</v>
      </c>
      <c r="P1657" s="24">
        <v>6859</v>
      </c>
      <c r="Q1657" s="22">
        <f>IF(COUNTIFS(A$2:A1657,A1657,I$2:I1657,I1657)=1,1,0)</f>
        <v>0</v>
      </c>
      <c r="R1657" s="22">
        <f t="shared" si="25"/>
        <v>1</v>
      </c>
      <c r="S1657" s="33">
        <f>IF(COUNTIF(O$2:O1657,O1657)=1,R1657,0)/2.5</f>
        <v>0.4</v>
      </c>
    </row>
    <row r="1658" spans="1:19" ht="18" customHeight="1" x14ac:dyDescent="0.25">
      <c r="A1658" s="7" t="s">
        <v>37</v>
      </c>
      <c r="B1658" s="8">
        <v>1</v>
      </c>
      <c r="C1658" s="9">
        <v>717.8</v>
      </c>
      <c r="D1658" s="29">
        <f>C1658+IF(INDEX('Справочник по %'!B:B,(MATCH(A1658,'Справочник по %'!A:A,0)))="кол-во",B1658*INDEX('Справочник по %'!C:C,(MATCH(A1658,'Справочник по %'!A:A,0))),ОТЧЕТ!C1658*INDEX('Справочник по %'!C:C,(MATCH(A1658,'Справочник по %'!A:A,0))))/100</f>
        <v>718</v>
      </c>
      <c r="E1658" s="29">
        <f>IF(ОТЧЕТ!A1658="SKU3",C1658+ОТЧЕТ!C1658*0.2,C1658+ОТЧЕТ!C1658*0.15)</f>
        <v>825.46999999999991</v>
      </c>
      <c r="F1658" s="7" t="s">
        <v>3464</v>
      </c>
      <c r="G1658" s="7">
        <v>6800013017</v>
      </c>
      <c r="H1658" s="20" t="s">
        <v>91</v>
      </c>
      <c r="I1658" s="22">
        <f>INDEX('Справочник Сети'!B:B,(MATCH(G1658,'Справочник Сети'!C:C,0)))</f>
        <v>0</v>
      </c>
      <c r="J1658" s="7" t="s">
        <v>106</v>
      </c>
      <c r="K1658" s="7" t="s">
        <v>1090</v>
      </c>
      <c r="L1658" s="7" t="s">
        <v>106</v>
      </c>
      <c r="M1658" s="31">
        <v>45694</v>
      </c>
      <c r="N1658" s="7" t="s">
        <v>3465</v>
      </c>
      <c r="O1658" s="8">
        <v>2491</v>
      </c>
      <c r="P1658" s="24">
        <v>6861</v>
      </c>
      <c r="Q1658" s="22">
        <f>IF(COUNTIFS(A$2:A1658,A1658,I$2:I1658,I1658)=1,1,0)</f>
        <v>0</v>
      </c>
      <c r="R1658" s="22">
        <f t="shared" si="25"/>
        <v>2</v>
      </c>
      <c r="S1658" s="33">
        <f>IF(COUNTIF(O$2:O1658,O1658)=1,R1658,0)/2.5</f>
        <v>0.8</v>
      </c>
    </row>
    <row r="1659" spans="1:19" ht="18" customHeight="1" x14ac:dyDescent="0.25">
      <c r="A1659" s="7" t="s">
        <v>43</v>
      </c>
      <c r="B1659" s="8">
        <v>1</v>
      </c>
      <c r="C1659" s="9">
        <v>432</v>
      </c>
      <c r="D1659" s="29">
        <f>C1659+IF(INDEX('Справочник по %'!B:B,(MATCH(A1659,'Справочник по %'!A:A,0)))="кол-во",B1659*INDEX('Справочник по %'!C:C,(MATCH(A1659,'Справочник по %'!A:A,0))),ОТЧЕТ!C1659*INDEX('Справочник по %'!C:C,(MATCH(A1659,'Справочник по %'!A:A,0))))/100</f>
        <v>475.2</v>
      </c>
      <c r="E1659" s="29">
        <f>IF(ОТЧЕТ!A1659="SKU3",C1659+ОТЧЕТ!C1659*0.2,C1659+ОТЧЕТ!C1659*0.15)</f>
        <v>496.8</v>
      </c>
      <c r="F1659" s="7" t="s">
        <v>3466</v>
      </c>
      <c r="G1659" s="7">
        <v>2543009225</v>
      </c>
      <c r="H1659" s="20" t="s">
        <v>3390</v>
      </c>
      <c r="I1659" s="22" t="str">
        <f>INDEX('Справочник Сети'!B:B,(MATCH(G1659,'Справочник Сети'!C:C,0)))</f>
        <v>Нео-фарм</v>
      </c>
      <c r="J1659" s="7" t="s">
        <v>46</v>
      </c>
      <c r="K1659" s="7" t="s">
        <v>216</v>
      </c>
      <c r="L1659" s="7" t="s">
        <v>46</v>
      </c>
      <c r="M1659" s="31">
        <v>45726</v>
      </c>
      <c r="N1659" s="7" t="s">
        <v>3467</v>
      </c>
      <c r="O1659" s="8">
        <v>2518</v>
      </c>
      <c r="P1659" s="24">
        <v>6864</v>
      </c>
      <c r="Q1659" s="22">
        <f>IF(COUNTIFS(A$2:A1659,A1659,I$2:I1659,I1659)=1,1,0)</f>
        <v>0</v>
      </c>
      <c r="R1659" s="22">
        <f t="shared" si="25"/>
        <v>6</v>
      </c>
      <c r="S1659" s="33">
        <f>IF(COUNTIF(O$2:O1659,O1659)=1,R1659,0)/2.5</f>
        <v>0</v>
      </c>
    </row>
    <row r="1660" spans="1:19" ht="18" customHeight="1" x14ac:dyDescent="0.25">
      <c r="A1660" s="7" t="s">
        <v>43</v>
      </c>
      <c r="B1660" s="8">
        <v>1</v>
      </c>
      <c r="C1660" s="9">
        <v>453</v>
      </c>
      <c r="D1660" s="29">
        <f>C1660+IF(INDEX('Справочник по %'!B:B,(MATCH(A1660,'Справочник по %'!A:A,0)))="кол-во",B1660*INDEX('Справочник по %'!C:C,(MATCH(A1660,'Справочник по %'!A:A,0))),ОТЧЕТ!C1660*INDEX('Справочник по %'!C:C,(MATCH(A1660,'Справочник по %'!A:A,0))))/100</f>
        <v>498.3</v>
      </c>
      <c r="E1660" s="29">
        <f>IF(ОТЧЕТ!A1660="SKU3",C1660+ОТЧЕТ!C1660*0.2,C1660+ОТЧЕТ!C1660*0.15)</f>
        <v>520.95000000000005</v>
      </c>
      <c r="F1660" s="7" t="s">
        <v>3468</v>
      </c>
      <c r="G1660" s="7">
        <v>5258157580</v>
      </c>
      <c r="H1660" s="20" t="s">
        <v>3469</v>
      </c>
      <c r="I1660" s="22">
        <f>INDEX('Справочник Сети'!B:B,(MATCH(G1660,'Справочник Сети'!C:C,0)))</f>
        <v>0</v>
      </c>
      <c r="J1660" s="7" t="s">
        <v>92</v>
      </c>
      <c r="K1660" s="7" t="s">
        <v>1014</v>
      </c>
      <c r="L1660" s="7" t="s">
        <v>92</v>
      </c>
      <c r="M1660" s="31">
        <v>45714</v>
      </c>
      <c r="N1660" s="7" t="s">
        <v>3470</v>
      </c>
      <c r="O1660" s="8">
        <v>2281</v>
      </c>
      <c r="P1660" s="24">
        <v>6865</v>
      </c>
      <c r="Q1660" s="22">
        <f>IF(COUNTIFS(A$2:A1660,A1660,I$2:I1660,I1660)=1,1,0)</f>
        <v>0</v>
      </c>
      <c r="R1660" s="22">
        <f t="shared" si="25"/>
        <v>4</v>
      </c>
      <c r="S1660" s="33">
        <f>IF(COUNTIF(O$2:O1660,O1660)=1,R1660,0)/2.5</f>
        <v>1.6</v>
      </c>
    </row>
    <row r="1661" spans="1:19" ht="18" customHeight="1" x14ac:dyDescent="0.25">
      <c r="A1661" s="7" t="s">
        <v>43</v>
      </c>
      <c r="B1661" s="8">
        <v>1</v>
      </c>
      <c r="C1661" s="9">
        <v>395</v>
      </c>
      <c r="D1661" s="29">
        <f>C1661+IF(INDEX('Справочник по %'!B:B,(MATCH(A1661,'Справочник по %'!A:A,0)))="кол-во",B1661*INDEX('Справочник по %'!C:C,(MATCH(A1661,'Справочник по %'!A:A,0))),ОТЧЕТ!C1661*INDEX('Справочник по %'!C:C,(MATCH(A1661,'Справочник по %'!A:A,0))))/100</f>
        <v>434.5</v>
      </c>
      <c r="E1661" s="29">
        <f>IF(ОТЧЕТ!A1661="SKU3",C1661+ОТЧЕТ!C1661*0.2,C1661+ОТЧЕТ!C1661*0.15)</f>
        <v>454.25</v>
      </c>
      <c r="F1661" s="7" t="s">
        <v>3471</v>
      </c>
      <c r="G1661" s="7">
        <v>3606002925</v>
      </c>
      <c r="H1661" s="20" t="s">
        <v>946</v>
      </c>
      <c r="I1661" s="22">
        <f>INDEX('Справочник Сети'!B:B,(MATCH(G1661,'Справочник Сети'!C:C,0)))</f>
        <v>0</v>
      </c>
      <c r="J1661" s="7" t="s">
        <v>65</v>
      </c>
      <c r="K1661" s="7" t="s">
        <v>627</v>
      </c>
      <c r="L1661" s="7" t="s">
        <v>65</v>
      </c>
      <c r="M1661" s="31">
        <v>45717</v>
      </c>
      <c r="N1661" s="7" t="s">
        <v>3472</v>
      </c>
      <c r="O1661" s="8">
        <v>29</v>
      </c>
      <c r="P1661" s="24">
        <v>6870</v>
      </c>
      <c r="Q1661" s="22">
        <f>IF(COUNTIFS(A$2:A1661,A1661,I$2:I1661,I1661)=1,1,0)</f>
        <v>0</v>
      </c>
      <c r="R1661" s="22">
        <f t="shared" si="25"/>
        <v>2</v>
      </c>
      <c r="S1661" s="33">
        <f>IF(COUNTIF(O$2:O1661,O1661)=1,R1661,0)/2.5</f>
        <v>0</v>
      </c>
    </row>
    <row r="1662" spans="1:19" ht="18" customHeight="1" x14ac:dyDescent="0.25">
      <c r="A1662" s="7" t="s">
        <v>37</v>
      </c>
      <c r="B1662" s="8">
        <v>1</v>
      </c>
      <c r="C1662" s="9">
        <v>675</v>
      </c>
      <c r="D1662" s="29">
        <f>C1662+IF(INDEX('Справочник по %'!B:B,(MATCH(A1662,'Справочник по %'!A:A,0)))="кол-во",B1662*INDEX('Справочник по %'!C:C,(MATCH(A1662,'Справочник по %'!A:A,0))),ОТЧЕТ!C1662*INDEX('Справочник по %'!C:C,(MATCH(A1662,'Справочник по %'!A:A,0))))/100</f>
        <v>675.2</v>
      </c>
      <c r="E1662" s="29">
        <f>IF(ОТЧЕТ!A1662="SKU3",C1662+ОТЧЕТ!C1662*0.2,C1662+ОТЧЕТ!C1662*0.15)</f>
        <v>776.25</v>
      </c>
      <c r="F1662" s="7" t="s">
        <v>3473</v>
      </c>
      <c r="G1662" s="7">
        <v>550700455672</v>
      </c>
      <c r="H1662" s="20" t="s">
        <v>50</v>
      </c>
      <c r="I1662" s="22">
        <f>INDEX('Справочник Сети'!B:B,(MATCH(G1662,'Справочник Сети'!C:C,0)))</f>
        <v>0</v>
      </c>
      <c r="J1662" s="7" t="s">
        <v>251</v>
      </c>
      <c r="K1662" s="7" t="s">
        <v>571</v>
      </c>
      <c r="L1662" s="7" t="s">
        <v>251</v>
      </c>
      <c r="M1662" s="31">
        <v>45659</v>
      </c>
      <c r="N1662" s="7" t="s">
        <v>3474</v>
      </c>
      <c r="O1662" s="8">
        <v>1726</v>
      </c>
      <c r="P1662" s="24">
        <v>6871</v>
      </c>
      <c r="Q1662" s="22">
        <f>IF(COUNTIFS(A$2:A1662,A1662,I$2:I1662,I1662)=1,1,0)</f>
        <v>0</v>
      </c>
      <c r="R1662" s="22">
        <f t="shared" si="25"/>
        <v>1</v>
      </c>
      <c r="S1662" s="33">
        <f>IF(COUNTIF(O$2:O1662,O1662)=1,R1662,0)/2.5</f>
        <v>0.4</v>
      </c>
    </row>
    <row r="1663" spans="1:19" ht="18" customHeight="1" x14ac:dyDescent="0.25">
      <c r="A1663" s="7" t="s">
        <v>43</v>
      </c>
      <c r="B1663" s="8">
        <v>1</v>
      </c>
      <c r="C1663" s="9">
        <v>409</v>
      </c>
      <c r="D1663" s="29">
        <f>C1663+IF(INDEX('Справочник по %'!B:B,(MATCH(A1663,'Справочник по %'!A:A,0)))="кол-во",B1663*INDEX('Справочник по %'!C:C,(MATCH(A1663,'Справочник по %'!A:A,0))),ОТЧЕТ!C1663*INDEX('Справочник по %'!C:C,(MATCH(A1663,'Справочник по %'!A:A,0))))/100</f>
        <v>449.9</v>
      </c>
      <c r="E1663" s="29">
        <f>IF(ОТЧЕТ!A1663="SKU3",C1663+ОТЧЕТ!C1663*0.2,C1663+ОТЧЕТ!C1663*0.15)</f>
        <v>470.35</v>
      </c>
      <c r="F1663" s="7" t="s">
        <v>3473</v>
      </c>
      <c r="G1663" s="7">
        <v>5258157580</v>
      </c>
      <c r="H1663" s="20" t="s">
        <v>3469</v>
      </c>
      <c r="I1663" s="22">
        <f>INDEX('Справочник Сети'!B:B,(MATCH(G1663,'Справочник Сети'!C:C,0)))</f>
        <v>0</v>
      </c>
      <c r="J1663" s="7" t="s">
        <v>92</v>
      </c>
      <c r="K1663" s="7" t="s">
        <v>627</v>
      </c>
      <c r="L1663" s="7" t="s">
        <v>92</v>
      </c>
      <c r="M1663" s="31">
        <v>45714</v>
      </c>
      <c r="N1663" s="7" t="s">
        <v>1257</v>
      </c>
      <c r="O1663" s="8">
        <v>2281</v>
      </c>
      <c r="P1663" s="24">
        <v>6872</v>
      </c>
      <c r="Q1663" s="22">
        <f>IF(COUNTIFS(A$2:A1663,A1663,I$2:I1663,I1663)=1,1,0)</f>
        <v>0</v>
      </c>
      <c r="R1663" s="22">
        <f t="shared" si="25"/>
        <v>4</v>
      </c>
      <c r="S1663" s="33">
        <f>IF(COUNTIF(O$2:O1663,O1663)=1,R1663,0)/2.5</f>
        <v>0</v>
      </c>
    </row>
    <row r="1664" spans="1:19" ht="18" customHeight="1" x14ac:dyDescent="0.25">
      <c r="A1664" s="7" t="s">
        <v>43</v>
      </c>
      <c r="B1664" s="8">
        <v>1</v>
      </c>
      <c r="C1664" s="9">
        <v>400.85</v>
      </c>
      <c r="D1664" s="29">
        <f>C1664+IF(INDEX('Справочник по %'!B:B,(MATCH(A1664,'Справочник по %'!A:A,0)))="кол-во",B1664*INDEX('Справочник по %'!C:C,(MATCH(A1664,'Справочник по %'!A:A,0))),ОТЧЕТ!C1664*INDEX('Справочник по %'!C:C,(MATCH(A1664,'Справочник по %'!A:A,0))))/100</f>
        <v>440.935</v>
      </c>
      <c r="E1664" s="29">
        <f>IF(ОТЧЕТ!A1664="SKU3",C1664+ОТЧЕТ!C1664*0.2,C1664+ОТЧЕТ!C1664*0.15)</f>
        <v>460.97750000000002</v>
      </c>
      <c r="F1664" s="7" t="s">
        <v>3473</v>
      </c>
      <c r="G1664" s="7">
        <v>224802279828</v>
      </c>
      <c r="H1664" s="20" t="s">
        <v>64</v>
      </c>
      <c r="I1664" s="22">
        <f>INDEX('Справочник Сети'!B:B,(MATCH(G1664,'Справочник Сети'!C:C,0)))</f>
        <v>0</v>
      </c>
      <c r="J1664" s="7" t="s">
        <v>74</v>
      </c>
      <c r="K1664" s="7" t="s">
        <v>1296</v>
      </c>
      <c r="L1664" s="7" t="s">
        <v>74</v>
      </c>
      <c r="M1664" s="31">
        <v>45661</v>
      </c>
      <c r="N1664" s="7" t="s">
        <v>3475</v>
      </c>
      <c r="O1664" s="8">
        <v>1545</v>
      </c>
      <c r="P1664" s="24">
        <v>6873</v>
      </c>
      <c r="Q1664" s="22">
        <f>IF(COUNTIFS(A$2:A1664,A1664,I$2:I1664,I1664)=1,1,0)</f>
        <v>0</v>
      </c>
      <c r="R1664" s="22">
        <f t="shared" si="25"/>
        <v>3</v>
      </c>
      <c r="S1664" s="33">
        <f>IF(COUNTIF(O$2:O1664,O1664)=1,R1664,0)/2.5</f>
        <v>1.2</v>
      </c>
    </row>
    <row r="1665" spans="1:19" ht="18" customHeight="1" x14ac:dyDescent="0.25">
      <c r="A1665" s="7" t="s">
        <v>43</v>
      </c>
      <c r="B1665" s="8">
        <v>1</v>
      </c>
      <c r="C1665" s="9">
        <v>456.8</v>
      </c>
      <c r="D1665" s="29">
        <f>C1665+IF(INDEX('Справочник по %'!B:B,(MATCH(A1665,'Справочник по %'!A:A,0)))="кол-во",B1665*INDEX('Справочник по %'!C:C,(MATCH(A1665,'Справочник по %'!A:A,0))),ОТЧЕТ!C1665*INDEX('Справочник по %'!C:C,(MATCH(A1665,'Справочник по %'!A:A,0))))/100</f>
        <v>502.48</v>
      </c>
      <c r="E1665" s="29">
        <f>IF(ОТЧЕТ!A1665="SKU3",C1665+ОТЧЕТ!C1665*0.2,C1665+ОТЧЕТ!C1665*0.15)</f>
        <v>525.32000000000005</v>
      </c>
      <c r="F1665" s="7" t="s">
        <v>3473</v>
      </c>
      <c r="G1665" s="7">
        <v>7840411560</v>
      </c>
      <c r="H1665" s="20" t="s">
        <v>629</v>
      </c>
      <c r="I1665" s="22" t="str">
        <f>INDEX('Справочник Сети'!B:B,(MATCH(G1665,'Справочник Сети'!C:C,0)))</f>
        <v>Столички</v>
      </c>
      <c r="J1665" s="7" t="s">
        <v>315</v>
      </c>
      <c r="K1665" s="7" t="s">
        <v>47</v>
      </c>
      <c r="L1665" s="7" t="s">
        <v>315</v>
      </c>
      <c r="M1665" s="31">
        <v>45670</v>
      </c>
      <c r="N1665" s="7" t="s">
        <v>3476</v>
      </c>
      <c r="O1665" s="8">
        <v>1474</v>
      </c>
      <c r="P1665" s="24">
        <v>6874</v>
      </c>
      <c r="Q1665" s="22">
        <f>IF(COUNTIFS(A$2:A1665,A1665,I$2:I1665,I1665)=1,1,0)</f>
        <v>0</v>
      </c>
      <c r="R1665" s="22">
        <f t="shared" si="25"/>
        <v>3</v>
      </c>
      <c r="S1665" s="33">
        <f>IF(COUNTIF(O$2:O1665,O1665)=1,R1665,0)/2.5</f>
        <v>0</v>
      </c>
    </row>
    <row r="1666" spans="1:19" ht="18" customHeight="1" x14ac:dyDescent="0.25">
      <c r="A1666" s="7" t="s">
        <v>37</v>
      </c>
      <c r="B1666" s="8">
        <v>1</v>
      </c>
      <c r="C1666" s="9">
        <v>559</v>
      </c>
      <c r="D1666" s="29">
        <f>C1666+IF(INDEX('Справочник по %'!B:B,(MATCH(A1666,'Справочник по %'!A:A,0)))="кол-во",B1666*INDEX('Справочник по %'!C:C,(MATCH(A1666,'Справочник по %'!A:A,0))),ОТЧЕТ!C1666*INDEX('Справочник по %'!C:C,(MATCH(A1666,'Справочник по %'!A:A,0))))/100</f>
        <v>559.20000000000005</v>
      </c>
      <c r="E1666" s="29">
        <f>IF(ОТЧЕТ!A1666="SKU3",C1666+ОТЧЕТ!C1666*0.2,C1666+ОТЧЕТ!C1666*0.15)</f>
        <v>642.85</v>
      </c>
      <c r="F1666" s="7" t="s">
        <v>3473</v>
      </c>
      <c r="G1666" s="7">
        <v>5906088959</v>
      </c>
      <c r="H1666" s="20" t="s">
        <v>658</v>
      </c>
      <c r="I1666" s="22">
        <f>INDEX('Справочник Сети'!B:B,(MATCH(G1666,'Справочник Сети'!C:C,0)))</f>
        <v>0</v>
      </c>
      <c r="J1666" s="7" t="s">
        <v>1492</v>
      </c>
      <c r="K1666" s="7" t="s">
        <v>2893</v>
      </c>
      <c r="L1666" s="7" t="s">
        <v>79</v>
      </c>
      <c r="M1666" s="31">
        <v>45710</v>
      </c>
      <c r="N1666" s="7" t="s">
        <v>3476</v>
      </c>
      <c r="O1666" s="8">
        <v>2885</v>
      </c>
      <c r="P1666" s="24">
        <v>6875</v>
      </c>
      <c r="Q1666" s="22">
        <f>IF(COUNTIFS(A$2:A1666,A1666,I$2:I1666,I1666)=1,1,0)</f>
        <v>0</v>
      </c>
      <c r="R1666" s="22">
        <f t="shared" si="25"/>
        <v>1</v>
      </c>
      <c r="S1666" s="33">
        <f>IF(COUNTIF(O$2:O1666,O1666)=1,R1666,0)/2.5</f>
        <v>0.4</v>
      </c>
    </row>
    <row r="1667" spans="1:19" ht="18" customHeight="1" x14ac:dyDescent="0.25">
      <c r="A1667" s="7" t="s">
        <v>43</v>
      </c>
      <c r="B1667" s="8">
        <v>1</v>
      </c>
      <c r="C1667" s="9">
        <v>372.02</v>
      </c>
      <c r="D1667" s="29">
        <f>C1667+IF(INDEX('Справочник по %'!B:B,(MATCH(A1667,'Справочник по %'!A:A,0)))="кол-во",B1667*INDEX('Справочник по %'!C:C,(MATCH(A1667,'Справочник по %'!A:A,0))),ОТЧЕТ!C1667*INDEX('Справочник по %'!C:C,(MATCH(A1667,'Справочник по %'!A:A,0))))/100</f>
        <v>409.22199999999998</v>
      </c>
      <c r="E1667" s="29">
        <f>IF(ОТЧЕТ!A1667="SKU3",C1667+ОТЧЕТ!C1667*0.2,C1667+ОТЧЕТ!C1667*0.15)</f>
        <v>427.82299999999998</v>
      </c>
      <c r="F1667" s="7" t="s">
        <v>3473</v>
      </c>
      <c r="G1667" s="7">
        <v>6316283317</v>
      </c>
      <c r="H1667" s="20" t="s">
        <v>50</v>
      </c>
      <c r="I1667" s="22" t="str">
        <f>INDEX('Справочник Сети'!B:B,(MATCH(G1667,'Справочник Сети'!C:C,0)))</f>
        <v>Столички</v>
      </c>
      <c r="J1667" s="7" t="s">
        <v>203</v>
      </c>
      <c r="K1667" s="7" t="s">
        <v>460</v>
      </c>
      <c r="L1667" s="7" t="s">
        <v>203</v>
      </c>
      <c r="M1667" s="31">
        <v>45696</v>
      </c>
      <c r="N1667" s="7" t="s">
        <v>3477</v>
      </c>
      <c r="O1667" s="8">
        <v>171</v>
      </c>
      <c r="P1667" s="24">
        <v>6876</v>
      </c>
      <c r="Q1667" s="22">
        <f>IF(COUNTIFS(A$2:A1667,A1667,I$2:I1667,I1667)=1,1,0)</f>
        <v>0</v>
      </c>
      <c r="R1667" s="22">
        <f t="shared" ref="R1667:R1730" si="26">COUNTIF(O:O,O1667)</f>
        <v>1</v>
      </c>
      <c r="S1667" s="33">
        <f>IF(COUNTIF(O$2:O1667,O1667)=1,R1667,0)/2.5</f>
        <v>0.4</v>
      </c>
    </row>
    <row r="1668" spans="1:19" ht="18" customHeight="1" x14ac:dyDescent="0.25">
      <c r="A1668" s="7" t="s">
        <v>43</v>
      </c>
      <c r="B1668" s="8">
        <v>1</v>
      </c>
      <c r="C1668" s="9">
        <v>486</v>
      </c>
      <c r="D1668" s="29">
        <f>C1668+IF(INDEX('Справочник по %'!B:B,(MATCH(A1668,'Справочник по %'!A:A,0)))="кол-во",B1668*INDEX('Справочник по %'!C:C,(MATCH(A1668,'Справочник по %'!A:A,0))),ОТЧЕТ!C1668*INDEX('Справочник по %'!C:C,(MATCH(A1668,'Справочник по %'!A:A,0))))/100</f>
        <v>534.6</v>
      </c>
      <c r="E1668" s="29">
        <f>IF(ОТЧЕТ!A1668="SKU3",C1668+ОТЧЕТ!C1668*0.2,C1668+ОТЧЕТ!C1668*0.15)</f>
        <v>558.9</v>
      </c>
      <c r="F1668" s="7" t="s">
        <v>3478</v>
      </c>
      <c r="G1668" s="7">
        <v>2543009225</v>
      </c>
      <c r="H1668" s="20" t="s">
        <v>941</v>
      </c>
      <c r="I1668" s="22" t="str">
        <f>INDEX('Справочник Сети'!B:B,(MATCH(G1668,'Справочник Сети'!C:C,0)))</f>
        <v>Нео-фарм</v>
      </c>
      <c r="J1668" s="7" t="s">
        <v>46</v>
      </c>
      <c r="K1668" s="7" t="s">
        <v>3479</v>
      </c>
      <c r="L1668" s="7" t="s">
        <v>46</v>
      </c>
      <c r="M1668" s="31">
        <v>45726</v>
      </c>
      <c r="N1668" s="7" t="s">
        <v>3480</v>
      </c>
      <c r="O1668" s="8">
        <v>932</v>
      </c>
      <c r="P1668" s="24">
        <v>6879</v>
      </c>
      <c r="Q1668" s="22">
        <f>IF(COUNTIFS(A$2:A1668,A1668,I$2:I1668,I1668)=1,1,0)</f>
        <v>0</v>
      </c>
      <c r="R1668" s="22">
        <f t="shared" si="26"/>
        <v>1</v>
      </c>
      <c r="S1668" s="33">
        <f>IF(COUNTIF(O$2:O1668,O1668)=1,R1668,0)/2.5</f>
        <v>0.4</v>
      </c>
    </row>
    <row r="1669" spans="1:19" ht="18" customHeight="1" x14ac:dyDescent="0.25">
      <c r="A1669" s="7" t="s">
        <v>43</v>
      </c>
      <c r="B1669" s="8">
        <v>1</v>
      </c>
      <c r="C1669" s="9">
        <v>427.5</v>
      </c>
      <c r="D1669" s="29">
        <f>C1669+IF(INDEX('Справочник по %'!B:B,(MATCH(A1669,'Справочник по %'!A:A,0)))="кол-во",B1669*INDEX('Справочник по %'!C:C,(MATCH(A1669,'Справочник по %'!A:A,0))),ОТЧЕТ!C1669*INDEX('Справочник по %'!C:C,(MATCH(A1669,'Справочник по %'!A:A,0))))/100</f>
        <v>470.25</v>
      </c>
      <c r="E1669" s="29">
        <f>IF(ОТЧЕТ!A1669="SKU3",C1669+ОТЧЕТ!C1669*0.2,C1669+ОТЧЕТ!C1669*0.15)</f>
        <v>491.625</v>
      </c>
      <c r="F1669" s="7" t="s">
        <v>3478</v>
      </c>
      <c r="G1669" s="7">
        <v>6659219691</v>
      </c>
      <c r="H1669" s="20" t="s">
        <v>3481</v>
      </c>
      <c r="I1669" s="22">
        <f>INDEX('Справочник Сети'!B:B,(MATCH(G1669,'Справочник Сети'!C:C,0)))</f>
        <v>0</v>
      </c>
      <c r="J1669" s="7" t="s">
        <v>133</v>
      </c>
      <c r="K1669" s="7" t="s">
        <v>1289</v>
      </c>
      <c r="L1669" s="7" t="s">
        <v>133</v>
      </c>
      <c r="M1669" s="31">
        <v>45695</v>
      </c>
      <c r="N1669" s="7" t="s">
        <v>3482</v>
      </c>
      <c r="O1669" s="8">
        <v>2646</v>
      </c>
      <c r="P1669" s="24">
        <v>6880</v>
      </c>
      <c r="Q1669" s="22">
        <f>IF(COUNTIFS(A$2:A1669,A1669,I$2:I1669,I1669)=1,1,0)</f>
        <v>0</v>
      </c>
      <c r="R1669" s="22">
        <f t="shared" si="26"/>
        <v>2</v>
      </c>
      <c r="S1669" s="33">
        <f>IF(COUNTIF(O$2:O1669,O1669)=1,R1669,0)/2.5</f>
        <v>0.8</v>
      </c>
    </row>
    <row r="1670" spans="1:19" ht="18" customHeight="1" x14ac:dyDescent="0.25">
      <c r="A1670" s="7" t="s">
        <v>43</v>
      </c>
      <c r="B1670" s="8">
        <v>1</v>
      </c>
      <c r="C1670" s="9">
        <v>427.5</v>
      </c>
      <c r="D1670" s="29">
        <f>C1670+IF(INDEX('Справочник по %'!B:B,(MATCH(A1670,'Справочник по %'!A:A,0)))="кол-во",B1670*INDEX('Справочник по %'!C:C,(MATCH(A1670,'Справочник по %'!A:A,0))),ОТЧЕТ!C1670*INDEX('Справочник по %'!C:C,(MATCH(A1670,'Справочник по %'!A:A,0))))/100</f>
        <v>470.25</v>
      </c>
      <c r="E1670" s="29">
        <f>IF(ОТЧЕТ!A1670="SKU3",C1670+ОТЧЕТ!C1670*0.2,C1670+ОТЧЕТ!C1670*0.15)</f>
        <v>491.625</v>
      </c>
      <c r="F1670" s="7" t="s">
        <v>3478</v>
      </c>
      <c r="G1670" s="7">
        <v>6659219691</v>
      </c>
      <c r="H1670" s="20" t="s">
        <v>3481</v>
      </c>
      <c r="I1670" s="22">
        <f>INDEX('Справочник Сети'!B:B,(MATCH(G1670,'Справочник Сети'!C:C,0)))</f>
        <v>0</v>
      </c>
      <c r="J1670" s="7" t="s">
        <v>133</v>
      </c>
      <c r="K1670" s="7" t="s">
        <v>1289</v>
      </c>
      <c r="L1670" s="7" t="s">
        <v>133</v>
      </c>
      <c r="M1670" s="31">
        <v>45695</v>
      </c>
      <c r="N1670" s="7" t="s">
        <v>3482</v>
      </c>
      <c r="O1670" s="8">
        <v>2646</v>
      </c>
      <c r="P1670" s="24">
        <v>6880</v>
      </c>
      <c r="Q1670" s="22">
        <f>IF(COUNTIFS(A$2:A1670,A1670,I$2:I1670,I1670)=1,1,0)</f>
        <v>0</v>
      </c>
      <c r="R1670" s="22">
        <f t="shared" si="26"/>
        <v>2</v>
      </c>
      <c r="S1670" s="33">
        <f>IF(COUNTIF(O$2:O1670,O1670)=1,R1670,0)/2.5</f>
        <v>0</v>
      </c>
    </row>
    <row r="1671" spans="1:19" ht="18" customHeight="1" x14ac:dyDescent="0.25">
      <c r="A1671" s="7" t="s">
        <v>43</v>
      </c>
      <c r="B1671" s="8">
        <v>1</v>
      </c>
      <c r="C1671" s="9">
        <v>339</v>
      </c>
      <c r="D1671" s="29">
        <f>C1671+IF(INDEX('Справочник по %'!B:B,(MATCH(A1671,'Справочник по %'!A:A,0)))="кол-во",B1671*INDEX('Справочник по %'!C:C,(MATCH(A1671,'Справочник по %'!A:A,0))),ОТЧЕТ!C1671*INDEX('Справочник по %'!C:C,(MATCH(A1671,'Справочник по %'!A:A,0))))/100</f>
        <v>372.9</v>
      </c>
      <c r="E1671" s="29">
        <f>IF(ОТЧЕТ!A1671="SKU3",C1671+ОТЧЕТ!C1671*0.2,C1671+ОТЧЕТ!C1671*0.15)</f>
        <v>389.85</v>
      </c>
      <c r="F1671" s="7" t="s">
        <v>3478</v>
      </c>
      <c r="G1671" s="7">
        <v>2543023195</v>
      </c>
      <c r="H1671" s="20" t="s">
        <v>69</v>
      </c>
      <c r="I1671" s="22" t="str">
        <f>INDEX('Справочник Сети'!B:B,(MATCH(G1671,'Справочник Сети'!C:C,0)))</f>
        <v>36,6</v>
      </c>
      <c r="J1671" s="7" t="s">
        <v>46</v>
      </c>
      <c r="K1671" s="7" t="s">
        <v>635</v>
      </c>
      <c r="L1671" s="7" t="s">
        <v>46</v>
      </c>
      <c r="M1671" s="31">
        <v>45726</v>
      </c>
      <c r="N1671" s="7" t="s">
        <v>3483</v>
      </c>
      <c r="O1671" s="8">
        <v>1470</v>
      </c>
      <c r="P1671" s="24">
        <v>6883</v>
      </c>
      <c r="Q1671" s="22">
        <f>IF(COUNTIFS(A$2:A1671,A1671,I$2:I1671,I1671)=1,1,0)</f>
        <v>0</v>
      </c>
      <c r="R1671" s="22">
        <f t="shared" si="26"/>
        <v>1</v>
      </c>
      <c r="S1671" s="33">
        <f>IF(COUNTIF(O$2:O1671,O1671)=1,R1671,0)/2.5</f>
        <v>0.4</v>
      </c>
    </row>
    <row r="1672" spans="1:19" ht="18" customHeight="1" x14ac:dyDescent="0.25">
      <c r="A1672" s="7" t="s">
        <v>43</v>
      </c>
      <c r="B1672" s="8">
        <v>1</v>
      </c>
      <c r="C1672" s="9">
        <v>498.75</v>
      </c>
      <c r="D1672" s="29">
        <f>C1672+IF(INDEX('Справочник по %'!B:B,(MATCH(A1672,'Справочник по %'!A:A,0)))="кол-во",B1672*INDEX('Справочник по %'!C:C,(MATCH(A1672,'Справочник по %'!A:A,0))),ОТЧЕТ!C1672*INDEX('Справочник по %'!C:C,(MATCH(A1672,'Справочник по %'!A:A,0))))/100</f>
        <v>548.625</v>
      </c>
      <c r="E1672" s="29">
        <f>IF(ОТЧЕТ!A1672="SKU3",C1672+ОТЧЕТ!C1672*0.2,C1672+ОТЧЕТ!C1672*0.15)</f>
        <v>573.5625</v>
      </c>
      <c r="F1672" s="7" t="s">
        <v>3478</v>
      </c>
      <c r="G1672" s="7">
        <v>3905036680</v>
      </c>
      <c r="H1672" s="20" t="s">
        <v>50</v>
      </c>
      <c r="I1672" s="22">
        <f>INDEX('Справочник Сети'!B:B,(MATCH(G1672,'Справочник Сети'!C:C,0)))</f>
        <v>0</v>
      </c>
      <c r="J1672" s="7" t="s">
        <v>155</v>
      </c>
      <c r="K1672" s="7" t="s">
        <v>1149</v>
      </c>
      <c r="L1672" s="7" t="s">
        <v>155</v>
      </c>
      <c r="M1672" s="31">
        <v>45716</v>
      </c>
      <c r="N1672" s="7" t="s">
        <v>3484</v>
      </c>
      <c r="O1672" s="8">
        <v>939</v>
      </c>
      <c r="P1672" s="24">
        <v>6884</v>
      </c>
      <c r="Q1672" s="22">
        <f>IF(COUNTIFS(A$2:A1672,A1672,I$2:I1672,I1672)=1,1,0)</f>
        <v>0</v>
      </c>
      <c r="R1672" s="22">
        <f t="shared" si="26"/>
        <v>1</v>
      </c>
      <c r="S1672" s="33">
        <f>IF(COUNTIF(O$2:O1672,O1672)=1,R1672,0)/2.5</f>
        <v>0.4</v>
      </c>
    </row>
    <row r="1673" spans="1:19" ht="18" customHeight="1" x14ac:dyDescent="0.25">
      <c r="A1673" s="7" t="s">
        <v>43</v>
      </c>
      <c r="B1673" s="8">
        <v>1</v>
      </c>
      <c r="C1673" s="9">
        <v>402</v>
      </c>
      <c r="D1673" s="29">
        <f>C1673+IF(INDEX('Справочник по %'!B:B,(MATCH(A1673,'Справочник по %'!A:A,0)))="кол-во",B1673*INDEX('Справочник по %'!C:C,(MATCH(A1673,'Справочник по %'!A:A,0))),ОТЧЕТ!C1673*INDEX('Справочник по %'!C:C,(MATCH(A1673,'Справочник по %'!A:A,0))))/100</f>
        <v>442.2</v>
      </c>
      <c r="E1673" s="29">
        <f>IF(ОТЧЕТ!A1673="SKU3",C1673+ОТЧЕТ!C1673*0.2,C1673+ОТЧЕТ!C1673*0.15)</f>
        <v>462.3</v>
      </c>
      <c r="F1673" s="7" t="s">
        <v>3478</v>
      </c>
      <c r="G1673" s="7">
        <v>5405071520</v>
      </c>
      <c r="H1673" s="20" t="s">
        <v>3485</v>
      </c>
      <c r="I1673" s="22" t="str">
        <f>INDEX('Справочник Сети'!B:B,(MATCH(G1673,'Справочник Сети'!C:C,0)))</f>
        <v>Ригла</v>
      </c>
      <c r="J1673" s="7" t="s">
        <v>92</v>
      </c>
      <c r="K1673" s="7" t="s">
        <v>1770</v>
      </c>
      <c r="L1673" s="7" t="s">
        <v>92</v>
      </c>
      <c r="M1673" s="31">
        <v>45714</v>
      </c>
      <c r="N1673" s="7" t="s">
        <v>3486</v>
      </c>
      <c r="O1673" s="8">
        <v>2560</v>
      </c>
      <c r="P1673" s="24">
        <v>6889</v>
      </c>
      <c r="Q1673" s="22">
        <f>IF(COUNTIFS(A$2:A1673,A1673,I$2:I1673,I1673)=1,1,0)</f>
        <v>0</v>
      </c>
      <c r="R1673" s="22">
        <f t="shared" si="26"/>
        <v>2</v>
      </c>
      <c r="S1673" s="33">
        <f>IF(COUNTIF(O$2:O1673,O1673)=1,R1673,0)/2.5</f>
        <v>0.8</v>
      </c>
    </row>
    <row r="1674" spans="1:19" ht="18" customHeight="1" x14ac:dyDescent="0.25">
      <c r="A1674" s="7" t="s">
        <v>43</v>
      </c>
      <c r="B1674" s="8">
        <v>1</v>
      </c>
      <c r="C1674" s="9">
        <v>465</v>
      </c>
      <c r="D1674" s="29">
        <f>C1674+IF(INDEX('Справочник по %'!B:B,(MATCH(A1674,'Справочник по %'!A:A,0)))="кол-во",B1674*INDEX('Справочник по %'!C:C,(MATCH(A1674,'Справочник по %'!A:A,0))),ОТЧЕТ!C1674*INDEX('Справочник по %'!C:C,(MATCH(A1674,'Справочник по %'!A:A,0))))/100</f>
        <v>511.5</v>
      </c>
      <c r="E1674" s="29">
        <f>IF(ОТЧЕТ!A1674="SKU3",C1674+ОТЧЕТ!C1674*0.2,C1674+ОТЧЕТ!C1674*0.15)</f>
        <v>534.75</v>
      </c>
      <c r="F1674" s="7" t="s">
        <v>3478</v>
      </c>
      <c r="G1674" s="7">
        <v>312301825966</v>
      </c>
      <c r="H1674" s="20" t="s">
        <v>167</v>
      </c>
      <c r="I1674" s="22" t="str">
        <f>INDEX('Справочник Сети'!B:B,(MATCH(G1674,'Справочник Сети'!C:C,0)))</f>
        <v>Ригла</v>
      </c>
      <c r="J1674" s="7" t="s">
        <v>110</v>
      </c>
      <c r="K1674" s="7" t="s">
        <v>1579</v>
      </c>
      <c r="L1674" s="7" t="s">
        <v>110</v>
      </c>
      <c r="M1674" s="31">
        <v>45660</v>
      </c>
      <c r="N1674" s="7" t="s">
        <v>3487</v>
      </c>
      <c r="O1674" s="8">
        <v>2764</v>
      </c>
      <c r="P1674" s="24">
        <v>6892</v>
      </c>
      <c r="Q1674" s="22">
        <f>IF(COUNTIFS(A$2:A1674,A1674,I$2:I1674,I1674)=1,1,0)</f>
        <v>0</v>
      </c>
      <c r="R1674" s="22">
        <f t="shared" si="26"/>
        <v>2</v>
      </c>
      <c r="S1674" s="33">
        <f>IF(COUNTIF(O$2:O1674,O1674)=1,R1674,0)/2.5</f>
        <v>0.8</v>
      </c>
    </row>
    <row r="1675" spans="1:19" ht="18" customHeight="1" x14ac:dyDescent="0.25">
      <c r="A1675" s="7" t="s">
        <v>43</v>
      </c>
      <c r="B1675" s="8">
        <v>1</v>
      </c>
      <c r="C1675" s="9">
        <v>450</v>
      </c>
      <c r="D1675" s="29">
        <f>C1675+IF(INDEX('Справочник по %'!B:B,(MATCH(A1675,'Справочник по %'!A:A,0)))="кол-во",B1675*INDEX('Справочник по %'!C:C,(MATCH(A1675,'Справочник по %'!A:A,0))),ОТЧЕТ!C1675*INDEX('Справочник по %'!C:C,(MATCH(A1675,'Справочник по %'!A:A,0))))/100</f>
        <v>495</v>
      </c>
      <c r="E1675" s="29">
        <f>IF(ОТЧЕТ!A1675="SKU3",C1675+ОТЧЕТ!C1675*0.2,C1675+ОТЧЕТ!C1675*0.15)</f>
        <v>517.5</v>
      </c>
      <c r="F1675" s="7" t="s">
        <v>3488</v>
      </c>
      <c r="G1675" s="7">
        <v>5504201273</v>
      </c>
      <c r="H1675" s="20" t="s">
        <v>50</v>
      </c>
      <c r="I1675" s="22">
        <f>INDEX('Справочник Сети'!B:B,(MATCH(G1675,'Справочник Сети'!C:C,0)))</f>
        <v>0</v>
      </c>
      <c r="J1675" s="7" t="s">
        <v>255</v>
      </c>
      <c r="K1675" s="7" t="s">
        <v>224</v>
      </c>
      <c r="L1675" s="7" t="s">
        <v>255</v>
      </c>
      <c r="M1675" s="31">
        <v>45713</v>
      </c>
      <c r="N1675" s="7" t="s">
        <v>3489</v>
      </c>
      <c r="O1675" s="8">
        <v>1772</v>
      </c>
      <c r="P1675" s="24">
        <v>6897</v>
      </c>
      <c r="Q1675" s="22">
        <f>IF(COUNTIFS(A$2:A1675,A1675,I$2:I1675,I1675)=1,1,0)</f>
        <v>0</v>
      </c>
      <c r="R1675" s="22">
        <f t="shared" si="26"/>
        <v>1</v>
      </c>
      <c r="S1675" s="33">
        <f>IF(COUNTIF(O$2:O1675,O1675)=1,R1675,0)/2.5</f>
        <v>0.4</v>
      </c>
    </row>
    <row r="1676" spans="1:19" ht="18" customHeight="1" x14ac:dyDescent="0.25">
      <c r="A1676" s="7" t="s">
        <v>146</v>
      </c>
      <c r="B1676" s="8">
        <v>1</v>
      </c>
      <c r="C1676" s="9">
        <v>810</v>
      </c>
      <c r="D1676" s="29">
        <f>C1676+IF(INDEX('Справочник по %'!B:B,(MATCH(A1676,'Справочник по %'!A:A,0)))="кол-во",B1676*INDEX('Справочник по %'!C:C,(MATCH(A1676,'Справочник по %'!A:A,0))),ОТЧЕТ!C1676*INDEX('Справочник по %'!C:C,(MATCH(A1676,'Справочник по %'!A:A,0))))/100</f>
        <v>931.5</v>
      </c>
      <c r="E1676" s="29">
        <f>IF(ОТЧЕТ!A1676="SKU3",C1676+ОТЧЕТ!C1676*0.2,C1676+ОТЧЕТ!C1676*0.15)</f>
        <v>972</v>
      </c>
      <c r="F1676" s="7" t="s">
        <v>3490</v>
      </c>
      <c r="G1676" s="7">
        <v>7714844316</v>
      </c>
      <c r="H1676" s="20" t="s">
        <v>50</v>
      </c>
      <c r="I1676" s="22" t="str">
        <f>INDEX('Справочник Сети'!B:B,(MATCH(G1676,'Справочник Сети'!C:C,0)))</f>
        <v>Планета здоровья</v>
      </c>
      <c r="J1676" s="7" t="s">
        <v>504</v>
      </c>
      <c r="K1676" s="7" t="s">
        <v>1215</v>
      </c>
      <c r="L1676" s="7" t="s">
        <v>504</v>
      </c>
      <c r="M1676" s="31">
        <v>45690</v>
      </c>
      <c r="N1676" s="7" t="s">
        <v>3491</v>
      </c>
      <c r="O1676" s="8">
        <v>2498</v>
      </c>
      <c r="P1676" s="24">
        <v>6899</v>
      </c>
      <c r="Q1676" s="22">
        <f>IF(COUNTIFS(A$2:A1676,A1676,I$2:I1676,I1676)=1,1,0)</f>
        <v>0</v>
      </c>
      <c r="R1676" s="22">
        <f t="shared" si="26"/>
        <v>3</v>
      </c>
      <c r="S1676" s="33">
        <f>IF(COUNTIF(O$2:O1676,O1676)=1,R1676,0)/2.5</f>
        <v>0</v>
      </c>
    </row>
    <row r="1677" spans="1:19" ht="18" customHeight="1" x14ac:dyDescent="0.25">
      <c r="A1677" s="7" t="s">
        <v>37</v>
      </c>
      <c r="B1677" s="8">
        <v>1</v>
      </c>
      <c r="C1677" s="9">
        <v>717</v>
      </c>
      <c r="D1677" s="29">
        <f>C1677+IF(INDEX('Справочник по %'!B:B,(MATCH(A1677,'Справочник по %'!A:A,0)))="кол-во",B1677*INDEX('Справочник по %'!C:C,(MATCH(A1677,'Справочник по %'!A:A,0))),ОТЧЕТ!C1677*INDEX('Справочник по %'!C:C,(MATCH(A1677,'Справочник по %'!A:A,0))))/100</f>
        <v>717.2</v>
      </c>
      <c r="E1677" s="29">
        <f>IF(ОТЧЕТ!A1677="SKU3",C1677+ОТЧЕТ!C1677*0.2,C1677+ОТЧЕТ!C1677*0.15)</f>
        <v>824.55</v>
      </c>
      <c r="F1677" s="7" t="s">
        <v>3492</v>
      </c>
      <c r="G1677" s="7">
        <v>3906313657</v>
      </c>
      <c r="H1677" s="20" t="s">
        <v>91</v>
      </c>
      <c r="I1677" s="22">
        <f>INDEX('Справочник Сети'!B:B,(MATCH(G1677,'Справочник Сети'!C:C,0)))</f>
        <v>0</v>
      </c>
      <c r="J1677" s="7" t="s">
        <v>155</v>
      </c>
      <c r="K1677" s="7" t="s">
        <v>375</v>
      </c>
      <c r="L1677" s="7" t="s">
        <v>155</v>
      </c>
      <c r="M1677" s="31">
        <v>45716</v>
      </c>
      <c r="N1677" s="7" t="s">
        <v>3493</v>
      </c>
      <c r="O1677" s="8">
        <v>678</v>
      </c>
      <c r="P1677" s="24">
        <v>6900</v>
      </c>
      <c r="Q1677" s="22">
        <f>IF(COUNTIFS(A$2:A1677,A1677,I$2:I1677,I1677)=1,1,0)</f>
        <v>0</v>
      </c>
      <c r="R1677" s="22">
        <f t="shared" si="26"/>
        <v>1</v>
      </c>
      <c r="S1677" s="33">
        <f>IF(COUNTIF(O$2:O1677,O1677)=1,R1677,0)/2.5</f>
        <v>0.4</v>
      </c>
    </row>
    <row r="1678" spans="1:19" ht="18" customHeight="1" x14ac:dyDescent="0.25">
      <c r="A1678" s="7" t="s">
        <v>146</v>
      </c>
      <c r="B1678" s="8">
        <v>1</v>
      </c>
      <c r="C1678" s="9">
        <v>810</v>
      </c>
      <c r="D1678" s="29">
        <f>C1678+IF(INDEX('Справочник по %'!B:B,(MATCH(A1678,'Справочник по %'!A:A,0)))="кол-во",B1678*INDEX('Справочник по %'!C:C,(MATCH(A1678,'Справочник по %'!A:A,0))),ОТЧЕТ!C1678*INDEX('Справочник по %'!C:C,(MATCH(A1678,'Справочник по %'!A:A,0))))/100</f>
        <v>931.5</v>
      </c>
      <c r="E1678" s="29">
        <f>IF(ОТЧЕТ!A1678="SKU3",C1678+ОТЧЕТ!C1678*0.2,C1678+ОТЧЕТ!C1678*0.15)</f>
        <v>972</v>
      </c>
      <c r="F1678" s="7" t="s">
        <v>3492</v>
      </c>
      <c r="G1678" s="7">
        <v>7714844316</v>
      </c>
      <c r="H1678" s="20" t="s">
        <v>50</v>
      </c>
      <c r="I1678" s="22" t="str">
        <f>INDEX('Справочник Сети'!B:B,(MATCH(G1678,'Справочник Сети'!C:C,0)))</f>
        <v>Планета здоровья</v>
      </c>
      <c r="J1678" s="7" t="s">
        <v>504</v>
      </c>
      <c r="K1678" s="7" t="s">
        <v>651</v>
      </c>
      <c r="L1678" s="7" t="s">
        <v>504</v>
      </c>
      <c r="M1678" s="31">
        <v>45690</v>
      </c>
      <c r="N1678" s="7" t="s">
        <v>3494</v>
      </c>
      <c r="O1678" s="8">
        <v>2498</v>
      </c>
      <c r="P1678" s="24">
        <v>6901</v>
      </c>
      <c r="Q1678" s="22">
        <f>IF(COUNTIFS(A$2:A1678,A1678,I$2:I1678,I1678)=1,1,0)</f>
        <v>0</v>
      </c>
      <c r="R1678" s="22">
        <f t="shared" si="26"/>
        <v>3</v>
      </c>
      <c r="S1678" s="33">
        <f>IF(COUNTIF(O$2:O1678,O1678)=1,R1678,0)/2.5</f>
        <v>0</v>
      </c>
    </row>
    <row r="1679" spans="1:19" ht="18" customHeight="1" x14ac:dyDescent="0.25">
      <c r="A1679" s="7" t="s">
        <v>43</v>
      </c>
      <c r="B1679" s="8">
        <v>1</v>
      </c>
      <c r="C1679" s="9">
        <v>506</v>
      </c>
      <c r="D1679" s="29">
        <f>C1679+IF(INDEX('Справочник по %'!B:B,(MATCH(A1679,'Справочник по %'!A:A,0)))="кол-во",B1679*INDEX('Справочник по %'!C:C,(MATCH(A1679,'Справочник по %'!A:A,0))),ОТЧЕТ!C1679*INDEX('Справочник по %'!C:C,(MATCH(A1679,'Справочник по %'!A:A,0))))/100</f>
        <v>556.6</v>
      </c>
      <c r="E1679" s="29">
        <f>IF(ОТЧЕТ!A1679="SKU3",C1679+ОТЧЕТ!C1679*0.2,C1679+ОТЧЕТ!C1679*0.15)</f>
        <v>581.9</v>
      </c>
      <c r="F1679" s="7" t="s">
        <v>3492</v>
      </c>
      <c r="G1679" s="7">
        <v>1001054160</v>
      </c>
      <c r="H1679" s="20" t="s">
        <v>50</v>
      </c>
      <c r="I1679" s="22" t="str">
        <f>INDEX('Справочник Сети'!B:B,(MATCH(G1679,'Справочник Сети'!C:C,0)))</f>
        <v>Ригла</v>
      </c>
      <c r="J1679" s="7" t="s">
        <v>362</v>
      </c>
      <c r="K1679" s="7" t="s">
        <v>400</v>
      </c>
      <c r="L1679" s="7" t="s">
        <v>362</v>
      </c>
      <c r="M1679" s="31">
        <v>45732</v>
      </c>
      <c r="N1679" s="7" t="s">
        <v>3495</v>
      </c>
      <c r="O1679" s="8">
        <v>1499</v>
      </c>
      <c r="P1679" s="24">
        <v>6903</v>
      </c>
      <c r="Q1679" s="22">
        <f>IF(COUNTIFS(A$2:A1679,A1679,I$2:I1679,I1679)=1,1,0)</f>
        <v>0</v>
      </c>
      <c r="R1679" s="22">
        <f t="shared" si="26"/>
        <v>14</v>
      </c>
      <c r="S1679" s="33">
        <f>IF(COUNTIF(O$2:O1679,O1679)=1,R1679,0)/2.5</f>
        <v>0</v>
      </c>
    </row>
    <row r="1680" spans="1:19" ht="18" customHeight="1" x14ac:dyDescent="0.25">
      <c r="A1680" s="7" t="s">
        <v>43</v>
      </c>
      <c r="B1680" s="8">
        <v>1</v>
      </c>
      <c r="C1680" s="9">
        <v>373</v>
      </c>
      <c r="D1680" s="29">
        <f>C1680+IF(INDEX('Справочник по %'!B:B,(MATCH(A1680,'Справочник по %'!A:A,0)))="кол-во",B1680*INDEX('Справочник по %'!C:C,(MATCH(A1680,'Справочник по %'!A:A,0))),ОТЧЕТ!C1680*INDEX('Справочник по %'!C:C,(MATCH(A1680,'Справочник по %'!A:A,0))))/100</f>
        <v>410.3</v>
      </c>
      <c r="E1680" s="29">
        <f>IF(ОТЧЕТ!A1680="SKU3",C1680+ОТЧЕТ!C1680*0.2,C1680+ОТЧЕТ!C1680*0.15)</f>
        <v>428.95</v>
      </c>
      <c r="F1680" s="7" t="s">
        <v>3492</v>
      </c>
      <c r="G1680" s="7">
        <v>7814139847</v>
      </c>
      <c r="H1680" s="20" t="s">
        <v>50</v>
      </c>
      <c r="I1680" s="22" t="str">
        <f>INDEX('Справочник Сети'!B:B,(MATCH(G1680,'Справочник Сети'!C:C,0)))</f>
        <v>Планета здоровья</v>
      </c>
      <c r="J1680" s="7" t="s">
        <v>121</v>
      </c>
      <c r="K1680" s="7" t="s">
        <v>238</v>
      </c>
      <c r="L1680" s="7" t="s">
        <v>121</v>
      </c>
      <c r="M1680" s="31">
        <v>45671</v>
      </c>
      <c r="N1680" s="7" t="s">
        <v>3496</v>
      </c>
      <c r="O1680" s="8">
        <v>1067</v>
      </c>
      <c r="P1680" s="24">
        <v>6904</v>
      </c>
      <c r="Q1680" s="22">
        <f>IF(COUNTIFS(A$2:A1680,A1680,I$2:I1680,I1680)=1,1,0)</f>
        <v>0</v>
      </c>
      <c r="R1680" s="22">
        <f t="shared" si="26"/>
        <v>4</v>
      </c>
      <c r="S1680" s="33">
        <f>IF(COUNTIF(O$2:O1680,O1680)=1,R1680,0)/2.5</f>
        <v>0</v>
      </c>
    </row>
    <row r="1681" spans="1:19" ht="18" customHeight="1" x14ac:dyDescent="0.25">
      <c r="A1681" s="7" t="s">
        <v>43</v>
      </c>
      <c r="B1681" s="8">
        <v>1</v>
      </c>
      <c r="C1681" s="9">
        <v>373</v>
      </c>
      <c r="D1681" s="29">
        <f>C1681+IF(INDEX('Справочник по %'!B:B,(MATCH(A1681,'Справочник по %'!A:A,0)))="кол-во",B1681*INDEX('Справочник по %'!C:C,(MATCH(A1681,'Справочник по %'!A:A,0))),ОТЧЕТ!C1681*INDEX('Справочник по %'!C:C,(MATCH(A1681,'Справочник по %'!A:A,0))))/100</f>
        <v>410.3</v>
      </c>
      <c r="E1681" s="29">
        <f>IF(ОТЧЕТ!A1681="SKU3",C1681+ОТЧЕТ!C1681*0.2,C1681+ОТЧЕТ!C1681*0.15)</f>
        <v>428.95</v>
      </c>
      <c r="F1681" s="7" t="s">
        <v>3492</v>
      </c>
      <c r="G1681" s="7">
        <v>7814139847</v>
      </c>
      <c r="H1681" s="20" t="s">
        <v>50</v>
      </c>
      <c r="I1681" s="22" t="str">
        <f>INDEX('Справочник Сети'!B:B,(MATCH(G1681,'Справочник Сети'!C:C,0)))</f>
        <v>Планета здоровья</v>
      </c>
      <c r="J1681" s="7" t="s">
        <v>121</v>
      </c>
      <c r="K1681" s="7" t="s">
        <v>238</v>
      </c>
      <c r="L1681" s="7" t="s">
        <v>121</v>
      </c>
      <c r="M1681" s="31">
        <v>45671</v>
      </c>
      <c r="N1681" s="7" t="s">
        <v>3496</v>
      </c>
      <c r="O1681" s="8">
        <v>1067</v>
      </c>
      <c r="P1681" s="24">
        <v>6904</v>
      </c>
      <c r="Q1681" s="22">
        <f>IF(COUNTIFS(A$2:A1681,A1681,I$2:I1681,I1681)=1,1,0)</f>
        <v>0</v>
      </c>
      <c r="R1681" s="22">
        <f t="shared" si="26"/>
        <v>4</v>
      </c>
      <c r="S1681" s="33">
        <f>IF(COUNTIF(O$2:O1681,O1681)=1,R1681,0)/2.5</f>
        <v>0</v>
      </c>
    </row>
    <row r="1682" spans="1:19" ht="18" customHeight="1" x14ac:dyDescent="0.25">
      <c r="A1682" s="7" t="s">
        <v>37</v>
      </c>
      <c r="B1682" s="8">
        <v>1</v>
      </c>
      <c r="C1682" s="9">
        <v>550</v>
      </c>
      <c r="D1682" s="29">
        <f>C1682+IF(INDEX('Справочник по %'!B:B,(MATCH(A1682,'Справочник по %'!A:A,0)))="кол-во",B1682*INDEX('Справочник по %'!C:C,(MATCH(A1682,'Справочник по %'!A:A,0))),ОТЧЕТ!C1682*INDEX('Справочник по %'!C:C,(MATCH(A1682,'Справочник по %'!A:A,0))))/100</f>
        <v>550.20000000000005</v>
      </c>
      <c r="E1682" s="29">
        <f>IF(ОТЧЕТ!A1682="SKU3",C1682+ОТЧЕТ!C1682*0.2,C1682+ОТЧЕТ!C1682*0.15)</f>
        <v>632.5</v>
      </c>
      <c r="F1682" s="7" t="s">
        <v>3492</v>
      </c>
      <c r="G1682" s="7">
        <v>7814139847</v>
      </c>
      <c r="H1682" s="20" t="s">
        <v>50</v>
      </c>
      <c r="I1682" s="22" t="str">
        <f>INDEX('Справочник Сети'!B:B,(MATCH(G1682,'Справочник Сети'!C:C,0)))</f>
        <v>Планета здоровья</v>
      </c>
      <c r="J1682" s="7" t="s">
        <v>121</v>
      </c>
      <c r="K1682" s="7" t="s">
        <v>238</v>
      </c>
      <c r="L1682" s="7" t="s">
        <v>121</v>
      </c>
      <c r="M1682" s="31">
        <v>45671</v>
      </c>
      <c r="N1682" s="7" t="s">
        <v>3496</v>
      </c>
      <c r="O1682" s="8">
        <v>1067</v>
      </c>
      <c r="P1682" s="24">
        <v>6904</v>
      </c>
      <c r="Q1682" s="22">
        <f>IF(COUNTIFS(A$2:A1682,A1682,I$2:I1682,I1682)=1,1,0)</f>
        <v>0</v>
      </c>
      <c r="R1682" s="22">
        <f t="shared" si="26"/>
        <v>4</v>
      </c>
      <c r="S1682" s="33">
        <f>IF(COUNTIF(O$2:O1682,O1682)=1,R1682,0)/2.5</f>
        <v>0</v>
      </c>
    </row>
    <row r="1683" spans="1:19" ht="18" customHeight="1" x14ac:dyDescent="0.25">
      <c r="A1683" s="7" t="s">
        <v>37</v>
      </c>
      <c r="B1683" s="8">
        <v>1</v>
      </c>
      <c r="C1683" s="9">
        <v>670</v>
      </c>
      <c r="D1683" s="29">
        <f>C1683+IF(INDEX('Справочник по %'!B:B,(MATCH(A1683,'Справочник по %'!A:A,0)))="кол-во",B1683*INDEX('Справочник по %'!C:C,(MATCH(A1683,'Справочник по %'!A:A,0))),ОТЧЕТ!C1683*INDEX('Справочник по %'!C:C,(MATCH(A1683,'Справочник по %'!A:A,0))))/100</f>
        <v>670.2</v>
      </c>
      <c r="E1683" s="29">
        <f>IF(ОТЧЕТ!A1683="SKU3",C1683+ОТЧЕТ!C1683*0.2,C1683+ОТЧЕТ!C1683*0.15)</f>
        <v>770.5</v>
      </c>
      <c r="F1683" s="7" t="s">
        <v>3497</v>
      </c>
      <c r="G1683" s="7">
        <v>2310031475</v>
      </c>
      <c r="H1683" s="20" t="s">
        <v>3498</v>
      </c>
      <c r="I1683" s="22" t="str">
        <f>INDEX('Справочник Сети'!B:B,(MATCH(G1683,'Справочник Сети'!C:C,0)))</f>
        <v>Ригла</v>
      </c>
      <c r="J1683" s="7" t="s">
        <v>57</v>
      </c>
      <c r="K1683" s="7" t="s">
        <v>738</v>
      </c>
      <c r="L1683" s="7" t="s">
        <v>57</v>
      </c>
      <c r="M1683" s="31">
        <v>45729</v>
      </c>
      <c r="N1683" s="7" t="s">
        <v>1671</v>
      </c>
      <c r="O1683" s="8">
        <v>2960</v>
      </c>
      <c r="P1683" s="24">
        <v>6909</v>
      </c>
      <c r="Q1683" s="22">
        <f>IF(COUNTIFS(A$2:A1683,A1683,I$2:I1683,I1683)=1,1,0)</f>
        <v>0</v>
      </c>
      <c r="R1683" s="22">
        <f t="shared" si="26"/>
        <v>1</v>
      </c>
      <c r="S1683" s="33">
        <f>IF(COUNTIF(O$2:O1683,O1683)=1,R1683,0)/2.5</f>
        <v>0.4</v>
      </c>
    </row>
    <row r="1684" spans="1:19" ht="18" customHeight="1" x14ac:dyDescent="0.25">
      <c r="A1684" s="7" t="s">
        <v>37</v>
      </c>
      <c r="B1684" s="8">
        <v>1</v>
      </c>
      <c r="C1684" s="9">
        <v>658.06</v>
      </c>
      <c r="D1684" s="29">
        <f>C1684+IF(INDEX('Справочник по %'!B:B,(MATCH(A1684,'Справочник по %'!A:A,0)))="кол-во",B1684*INDEX('Справочник по %'!C:C,(MATCH(A1684,'Справочник по %'!A:A,0))),ОТЧЕТ!C1684*INDEX('Справочник по %'!C:C,(MATCH(A1684,'Справочник по %'!A:A,0))))/100</f>
        <v>658.26</v>
      </c>
      <c r="E1684" s="29">
        <f>IF(ОТЧЕТ!A1684="SKU3",C1684+ОТЧЕТ!C1684*0.2,C1684+ОТЧЕТ!C1684*0.15)</f>
        <v>756.76899999999989</v>
      </c>
      <c r="F1684" s="7" t="s">
        <v>3499</v>
      </c>
      <c r="G1684" s="7">
        <v>253804596643</v>
      </c>
      <c r="H1684" s="20" t="s">
        <v>50</v>
      </c>
      <c r="I1684" s="22" t="str">
        <f>INDEX('Справочник Сети'!B:B,(MATCH(G1684,'Справочник Сети'!C:C,0)))</f>
        <v>Ригла</v>
      </c>
      <c r="J1684" s="7" t="s">
        <v>110</v>
      </c>
      <c r="K1684" s="7" t="s">
        <v>1745</v>
      </c>
      <c r="L1684" s="7" t="s">
        <v>74</v>
      </c>
      <c r="M1684" s="31">
        <v>45661</v>
      </c>
      <c r="N1684" s="7" t="s">
        <v>3500</v>
      </c>
      <c r="O1684" s="8">
        <v>929</v>
      </c>
      <c r="P1684" s="24">
        <v>6912</v>
      </c>
      <c r="Q1684" s="22">
        <f>IF(COUNTIFS(A$2:A1684,A1684,I$2:I1684,I1684)=1,1,0)</f>
        <v>0</v>
      </c>
      <c r="R1684" s="22">
        <f t="shared" si="26"/>
        <v>3</v>
      </c>
      <c r="S1684" s="33">
        <f>IF(COUNTIF(O$2:O1684,O1684)=1,R1684,0)/2.5</f>
        <v>0</v>
      </c>
    </row>
    <row r="1685" spans="1:19" ht="18" customHeight="1" x14ac:dyDescent="0.25">
      <c r="A1685" s="7" t="s">
        <v>43</v>
      </c>
      <c r="B1685" s="8">
        <v>1</v>
      </c>
      <c r="C1685" s="9">
        <v>480</v>
      </c>
      <c r="D1685" s="29">
        <f>C1685+IF(INDEX('Справочник по %'!B:B,(MATCH(A1685,'Справочник по %'!A:A,0)))="кол-во",B1685*INDEX('Справочник по %'!C:C,(MATCH(A1685,'Справочник по %'!A:A,0))),ОТЧЕТ!C1685*INDEX('Справочник по %'!C:C,(MATCH(A1685,'Справочник по %'!A:A,0))))/100</f>
        <v>528</v>
      </c>
      <c r="E1685" s="29">
        <f>IF(ОТЧЕТ!A1685="SKU3",C1685+ОТЧЕТ!C1685*0.2,C1685+ОТЧЕТ!C1685*0.15)</f>
        <v>552</v>
      </c>
      <c r="F1685" s="7" t="s">
        <v>3499</v>
      </c>
      <c r="G1685" s="7">
        <v>4720031507</v>
      </c>
      <c r="H1685" s="20" t="s">
        <v>650</v>
      </c>
      <c r="I1685" s="22" t="str">
        <f>INDEX('Справочник Сети'!B:B,(MATCH(G1685,'Справочник Сети'!C:C,0)))</f>
        <v>Ригла</v>
      </c>
      <c r="J1685" s="7" t="s">
        <v>83</v>
      </c>
      <c r="K1685" s="7" t="s">
        <v>3501</v>
      </c>
      <c r="L1685" s="7" t="s">
        <v>83</v>
      </c>
      <c r="M1685" s="31">
        <v>45715</v>
      </c>
      <c r="N1685" s="7" t="s">
        <v>3502</v>
      </c>
      <c r="O1685" s="8">
        <v>461</v>
      </c>
      <c r="P1685" s="24">
        <v>6913</v>
      </c>
      <c r="Q1685" s="22">
        <f>IF(COUNTIFS(A$2:A1685,A1685,I$2:I1685,I1685)=1,1,0)</f>
        <v>0</v>
      </c>
      <c r="R1685" s="22">
        <f t="shared" si="26"/>
        <v>4</v>
      </c>
      <c r="S1685" s="33">
        <f>IF(COUNTIF(O$2:O1685,O1685)=1,R1685,0)/2.5</f>
        <v>0</v>
      </c>
    </row>
    <row r="1686" spans="1:19" ht="18" customHeight="1" x14ac:dyDescent="0.25">
      <c r="A1686" s="7" t="s">
        <v>43</v>
      </c>
      <c r="B1686" s="8">
        <v>1</v>
      </c>
      <c r="C1686" s="9">
        <v>327.13</v>
      </c>
      <c r="D1686" s="29">
        <f>C1686+IF(INDEX('Справочник по %'!B:B,(MATCH(A1686,'Справочник по %'!A:A,0)))="кол-во",B1686*INDEX('Справочник по %'!C:C,(MATCH(A1686,'Справочник по %'!A:A,0))),ОТЧЕТ!C1686*INDEX('Справочник по %'!C:C,(MATCH(A1686,'Справочник по %'!A:A,0))))/100</f>
        <v>359.84300000000002</v>
      </c>
      <c r="E1686" s="29">
        <f>IF(ОТЧЕТ!A1686="SKU3",C1686+ОТЧЕТ!C1686*0.2,C1686+ОТЧЕТ!C1686*0.15)</f>
        <v>376.1995</v>
      </c>
      <c r="F1686" s="7" t="s">
        <v>3499</v>
      </c>
      <c r="G1686" s="7">
        <v>344801920882</v>
      </c>
      <c r="H1686" s="20" t="s">
        <v>2388</v>
      </c>
      <c r="I1686" s="22">
        <f>INDEX('Справочник Сети'!B:B,(MATCH(G1686,'Справочник Сети'!C:C,0)))</f>
        <v>0</v>
      </c>
      <c r="J1686" s="7" t="s">
        <v>110</v>
      </c>
      <c r="K1686" s="7" t="s">
        <v>738</v>
      </c>
      <c r="L1686" s="7" t="s">
        <v>110</v>
      </c>
      <c r="M1686" s="31">
        <v>45660</v>
      </c>
      <c r="N1686" s="7" t="s">
        <v>3503</v>
      </c>
      <c r="O1686" s="8">
        <v>2212</v>
      </c>
      <c r="P1686" s="24">
        <v>6915</v>
      </c>
      <c r="Q1686" s="22">
        <f>IF(COUNTIFS(A$2:A1686,A1686,I$2:I1686,I1686)=1,1,0)</f>
        <v>0</v>
      </c>
      <c r="R1686" s="22">
        <f t="shared" si="26"/>
        <v>2</v>
      </c>
      <c r="S1686" s="33">
        <f>IF(COUNTIF(O$2:O1686,O1686)=1,R1686,0)/2.5</f>
        <v>0.8</v>
      </c>
    </row>
    <row r="1687" spans="1:19" ht="18" customHeight="1" x14ac:dyDescent="0.25">
      <c r="A1687" s="7" t="s">
        <v>43</v>
      </c>
      <c r="B1687" s="8">
        <v>1</v>
      </c>
      <c r="C1687" s="9">
        <v>494</v>
      </c>
      <c r="D1687" s="29">
        <f>C1687+IF(INDEX('Справочник по %'!B:B,(MATCH(A1687,'Справочник по %'!A:A,0)))="кол-во",B1687*INDEX('Справочник по %'!C:C,(MATCH(A1687,'Справочник по %'!A:A,0))),ОТЧЕТ!C1687*INDEX('Справочник по %'!C:C,(MATCH(A1687,'Справочник по %'!A:A,0))))/100</f>
        <v>543.4</v>
      </c>
      <c r="E1687" s="29">
        <f>IF(ОТЧЕТ!A1687="SKU3",C1687+ОТЧЕТ!C1687*0.2,C1687+ОТЧЕТ!C1687*0.15)</f>
        <v>568.1</v>
      </c>
      <c r="F1687" s="7" t="s">
        <v>3499</v>
      </c>
      <c r="G1687" s="7">
        <v>7705947629</v>
      </c>
      <c r="H1687" s="20" t="s">
        <v>50</v>
      </c>
      <c r="I1687" s="22" t="str">
        <f>INDEX('Справочник Сети'!B:B,(MATCH(G1687,'Справочник Сети'!C:C,0)))</f>
        <v>36,6</v>
      </c>
      <c r="J1687" s="7" t="s">
        <v>116</v>
      </c>
      <c r="K1687" s="7" t="s">
        <v>3501</v>
      </c>
      <c r="L1687" s="7" t="s">
        <v>116</v>
      </c>
      <c r="M1687" s="31">
        <v>45692</v>
      </c>
      <c r="N1687" s="7" t="s">
        <v>708</v>
      </c>
      <c r="O1687" s="8">
        <v>3514</v>
      </c>
      <c r="P1687" s="24">
        <v>6916</v>
      </c>
      <c r="Q1687" s="22">
        <f>IF(COUNTIFS(A$2:A1687,A1687,I$2:I1687,I1687)=1,1,0)</f>
        <v>0</v>
      </c>
      <c r="R1687" s="22">
        <f t="shared" si="26"/>
        <v>4</v>
      </c>
      <c r="S1687" s="33">
        <f>IF(COUNTIF(O$2:O1687,O1687)=1,R1687,0)/2.5</f>
        <v>0</v>
      </c>
    </row>
    <row r="1688" spans="1:19" ht="18" customHeight="1" x14ac:dyDescent="0.25">
      <c r="A1688" s="7" t="s">
        <v>37</v>
      </c>
      <c r="B1688" s="8">
        <v>1</v>
      </c>
      <c r="C1688" s="9">
        <v>887</v>
      </c>
      <c r="D1688" s="29">
        <f>C1688+IF(INDEX('Справочник по %'!B:B,(MATCH(A1688,'Справочник по %'!A:A,0)))="кол-во",B1688*INDEX('Справочник по %'!C:C,(MATCH(A1688,'Справочник по %'!A:A,0))),ОТЧЕТ!C1688*INDEX('Справочник по %'!C:C,(MATCH(A1688,'Справочник по %'!A:A,0))))/100</f>
        <v>887.2</v>
      </c>
      <c r="E1688" s="29">
        <f>IF(ОТЧЕТ!A1688="SKU3",C1688+ОТЧЕТ!C1688*0.2,C1688+ОТЧЕТ!C1688*0.15)</f>
        <v>1020.05</v>
      </c>
      <c r="F1688" s="7" t="s">
        <v>3499</v>
      </c>
      <c r="G1688" s="7">
        <v>7705947629</v>
      </c>
      <c r="H1688" s="20" t="s">
        <v>50</v>
      </c>
      <c r="I1688" s="22" t="str">
        <f>INDEX('Справочник Сети'!B:B,(MATCH(G1688,'Справочник Сети'!C:C,0)))</f>
        <v>36,6</v>
      </c>
      <c r="J1688" s="7" t="s">
        <v>116</v>
      </c>
      <c r="K1688" s="7" t="s">
        <v>1671</v>
      </c>
      <c r="L1688" s="7" t="s">
        <v>104</v>
      </c>
      <c r="M1688" s="31">
        <v>45693</v>
      </c>
      <c r="N1688" s="7" t="s">
        <v>3504</v>
      </c>
      <c r="O1688" s="8">
        <v>3049</v>
      </c>
      <c r="P1688" s="24">
        <v>6917</v>
      </c>
      <c r="Q1688" s="22">
        <f>IF(COUNTIFS(A$2:A1688,A1688,I$2:I1688,I1688)=1,1,0)</f>
        <v>0</v>
      </c>
      <c r="R1688" s="22">
        <f t="shared" si="26"/>
        <v>1</v>
      </c>
      <c r="S1688" s="33">
        <f>IF(COUNTIF(O$2:O1688,O1688)=1,R1688,0)/2.5</f>
        <v>0.4</v>
      </c>
    </row>
    <row r="1689" spans="1:19" ht="18" customHeight="1" x14ac:dyDescent="0.25">
      <c r="A1689" s="7" t="s">
        <v>43</v>
      </c>
      <c r="B1689" s="8">
        <v>1</v>
      </c>
      <c r="C1689" s="9">
        <v>364</v>
      </c>
      <c r="D1689" s="29">
        <f>C1689+IF(INDEX('Справочник по %'!B:B,(MATCH(A1689,'Справочник по %'!A:A,0)))="кол-во",B1689*INDEX('Справочник по %'!C:C,(MATCH(A1689,'Справочник по %'!A:A,0))),ОТЧЕТ!C1689*INDEX('Справочник по %'!C:C,(MATCH(A1689,'Справочник по %'!A:A,0))))/100</f>
        <v>400.4</v>
      </c>
      <c r="E1689" s="29">
        <f>IF(ОТЧЕТ!A1689="SKU3",C1689+ОТЧЕТ!C1689*0.2,C1689+ОТЧЕТ!C1689*0.15)</f>
        <v>418.6</v>
      </c>
      <c r="F1689" s="7" t="s">
        <v>3505</v>
      </c>
      <c r="G1689" s="7">
        <v>7706795062</v>
      </c>
      <c r="H1689" s="20" t="s">
        <v>3506</v>
      </c>
      <c r="I1689" s="22" t="str">
        <f>INDEX('Справочник Сети'!B:B,(MATCH(G1689,'Справочник Сети'!C:C,0)))</f>
        <v>Планета здоровья</v>
      </c>
      <c r="J1689" s="7" t="s">
        <v>87</v>
      </c>
      <c r="K1689" s="7" t="s">
        <v>3507</v>
      </c>
      <c r="L1689" s="7" t="s">
        <v>87</v>
      </c>
      <c r="M1689" s="31">
        <v>45691</v>
      </c>
      <c r="N1689" s="7" t="s">
        <v>3508</v>
      </c>
      <c r="O1689" s="8">
        <v>2617</v>
      </c>
      <c r="P1689" s="24">
        <v>6919</v>
      </c>
      <c r="Q1689" s="22">
        <f>IF(COUNTIFS(A$2:A1689,A1689,I$2:I1689,I1689)=1,1,0)</f>
        <v>0</v>
      </c>
      <c r="R1689" s="22">
        <f t="shared" si="26"/>
        <v>3</v>
      </c>
      <c r="S1689" s="33">
        <f>IF(COUNTIF(O$2:O1689,O1689)=1,R1689,0)/2.5</f>
        <v>1.2</v>
      </c>
    </row>
    <row r="1690" spans="1:19" ht="18" customHeight="1" x14ac:dyDescent="0.25">
      <c r="A1690" s="7" t="s">
        <v>43</v>
      </c>
      <c r="B1690" s="8">
        <v>1</v>
      </c>
      <c r="C1690" s="9">
        <v>405</v>
      </c>
      <c r="D1690" s="29">
        <f>C1690+IF(INDEX('Справочник по %'!B:B,(MATCH(A1690,'Справочник по %'!A:A,0)))="кол-во",B1690*INDEX('Справочник по %'!C:C,(MATCH(A1690,'Справочник по %'!A:A,0))),ОТЧЕТ!C1690*INDEX('Справочник по %'!C:C,(MATCH(A1690,'Справочник по %'!A:A,0))))/100</f>
        <v>445.5</v>
      </c>
      <c r="E1690" s="29">
        <f>IF(ОТЧЕТ!A1690="SKU3",C1690+ОТЧЕТ!C1690*0.2,C1690+ОТЧЕТ!C1690*0.15)</f>
        <v>465.75</v>
      </c>
      <c r="F1690" s="7" t="s">
        <v>3505</v>
      </c>
      <c r="G1690" s="7">
        <v>2224212012</v>
      </c>
      <c r="H1690" s="20" t="s">
        <v>50</v>
      </c>
      <c r="I1690" s="22">
        <f>INDEX('Справочник Сети'!B:B,(MATCH(G1690,'Справочник Сети'!C:C,0)))</f>
        <v>0</v>
      </c>
      <c r="J1690" s="7" t="s">
        <v>372</v>
      </c>
      <c r="K1690" s="7" t="s">
        <v>621</v>
      </c>
      <c r="L1690" s="7" t="s">
        <v>372</v>
      </c>
      <c r="M1690" s="31">
        <v>45730</v>
      </c>
      <c r="N1690" s="7" t="s">
        <v>3509</v>
      </c>
      <c r="O1690" s="8">
        <v>2105</v>
      </c>
      <c r="P1690" s="24">
        <v>6920</v>
      </c>
      <c r="Q1690" s="22">
        <f>IF(COUNTIFS(A$2:A1690,A1690,I$2:I1690,I1690)=1,1,0)</f>
        <v>0</v>
      </c>
      <c r="R1690" s="22">
        <f t="shared" si="26"/>
        <v>1</v>
      </c>
      <c r="S1690" s="33">
        <f>IF(COUNTIF(O$2:O1690,O1690)=1,R1690,0)/2.5</f>
        <v>0.4</v>
      </c>
    </row>
    <row r="1691" spans="1:19" ht="18" customHeight="1" x14ac:dyDescent="0.25">
      <c r="A1691" s="7" t="s">
        <v>43</v>
      </c>
      <c r="B1691" s="8">
        <v>1</v>
      </c>
      <c r="C1691" s="9">
        <v>465.9</v>
      </c>
      <c r="D1691" s="29">
        <f>C1691+IF(INDEX('Справочник по %'!B:B,(MATCH(A1691,'Справочник по %'!A:A,0)))="кол-во",B1691*INDEX('Справочник по %'!C:C,(MATCH(A1691,'Справочник по %'!A:A,0))),ОТЧЕТ!C1691*INDEX('Справочник по %'!C:C,(MATCH(A1691,'Справочник по %'!A:A,0))))/100</f>
        <v>512.49</v>
      </c>
      <c r="E1691" s="29">
        <f>IF(ОТЧЕТ!A1691="SKU3",C1691+ОТЧЕТ!C1691*0.2,C1691+ОТЧЕТ!C1691*0.15)</f>
        <v>535.78499999999997</v>
      </c>
      <c r="F1691" s="7" t="s">
        <v>3505</v>
      </c>
      <c r="G1691" s="7">
        <v>4632047297</v>
      </c>
      <c r="H1691" s="20" t="s">
        <v>3510</v>
      </c>
      <c r="I1691" s="22">
        <f>INDEX('Справочник Сети'!B:B,(MATCH(G1691,'Справочник Сети'!C:C,0)))</f>
        <v>0</v>
      </c>
      <c r="J1691" s="7" t="s">
        <v>155</v>
      </c>
      <c r="K1691" s="7" t="s">
        <v>1010</v>
      </c>
      <c r="L1691" s="7" t="s">
        <v>155</v>
      </c>
      <c r="M1691" s="31">
        <v>45716</v>
      </c>
      <c r="N1691" s="7" t="s">
        <v>3511</v>
      </c>
      <c r="O1691" s="8">
        <v>659</v>
      </c>
      <c r="P1691" s="24">
        <v>6921</v>
      </c>
      <c r="Q1691" s="22">
        <f>IF(COUNTIFS(A$2:A1691,A1691,I$2:I1691,I1691)=1,1,0)</f>
        <v>0</v>
      </c>
      <c r="R1691" s="22">
        <f t="shared" si="26"/>
        <v>1</v>
      </c>
      <c r="S1691" s="33">
        <f>IF(COUNTIF(O$2:O1691,O1691)=1,R1691,0)/2.5</f>
        <v>0.4</v>
      </c>
    </row>
    <row r="1692" spans="1:19" ht="18" customHeight="1" x14ac:dyDescent="0.25">
      <c r="A1692" s="7" t="s">
        <v>43</v>
      </c>
      <c r="B1692" s="8">
        <v>1</v>
      </c>
      <c r="C1692" s="9">
        <v>436.98</v>
      </c>
      <c r="D1692" s="29">
        <f>C1692+IF(INDEX('Справочник по %'!B:B,(MATCH(A1692,'Справочник по %'!A:A,0)))="кол-во",B1692*INDEX('Справочник по %'!C:C,(MATCH(A1692,'Справочник по %'!A:A,0))),ОТЧЕТ!C1692*INDEX('Справочник по %'!C:C,(MATCH(A1692,'Справочник по %'!A:A,0))))/100</f>
        <v>480.678</v>
      </c>
      <c r="E1692" s="29">
        <f>IF(ОТЧЕТ!A1692="SKU3",C1692+ОТЧЕТ!C1692*0.2,C1692+ОТЧЕТ!C1692*0.15)</f>
        <v>502.52700000000004</v>
      </c>
      <c r="F1692" s="7" t="s">
        <v>3512</v>
      </c>
      <c r="G1692" s="7">
        <v>7840368240</v>
      </c>
      <c r="H1692" s="20" t="s">
        <v>3072</v>
      </c>
      <c r="I1692" s="22" t="str">
        <f>INDEX('Справочник Сети'!B:B,(MATCH(G1692,'Справочник Сети'!C:C,0)))</f>
        <v>Ригла</v>
      </c>
      <c r="J1692" s="7" t="s">
        <v>315</v>
      </c>
      <c r="K1692" s="7" t="s">
        <v>613</v>
      </c>
      <c r="L1692" s="7" t="s">
        <v>121</v>
      </c>
      <c r="M1692" s="31">
        <v>45671</v>
      </c>
      <c r="N1692" s="7" t="s">
        <v>3513</v>
      </c>
      <c r="O1692" s="8">
        <v>2410</v>
      </c>
      <c r="P1692" s="24">
        <v>6926</v>
      </c>
      <c r="Q1692" s="22">
        <f>IF(COUNTIFS(A$2:A1692,A1692,I$2:I1692,I1692)=1,1,0)</f>
        <v>0</v>
      </c>
      <c r="R1692" s="22">
        <f t="shared" si="26"/>
        <v>2</v>
      </c>
      <c r="S1692" s="33">
        <f>IF(COUNTIF(O$2:O1692,O1692)=1,R1692,0)/2.5</f>
        <v>0.8</v>
      </c>
    </row>
    <row r="1693" spans="1:19" ht="18" customHeight="1" x14ac:dyDescent="0.25">
      <c r="A1693" s="7" t="s">
        <v>43</v>
      </c>
      <c r="B1693" s="8">
        <v>1</v>
      </c>
      <c r="C1693" s="9">
        <v>436.5</v>
      </c>
      <c r="D1693" s="29">
        <f>C1693+IF(INDEX('Справочник по %'!B:B,(MATCH(A1693,'Справочник по %'!A:A,0)))="кол-во",B1693*INDEX('Справочник по %'!C:C,(MATCH(A1693,'Справочник по %'!A:A,0))),ОТЧЕТ!C1693*INDEX('Справочник по %'!C:C,(MATCH(A1693,'Справочник по %'!A:A,0))))/100</f>
        <v>480.15</v>
      </c>
      <c r="E1693" s="29">
        <f>IF(ОТЧЕТ!A1693="SKU3",C1693+ОТЧЕТ!C1693*0.2,C1693+ОТЧЕТ!C1693*0.15)</f>
        <v>501.97500000000002</v>
      </c>
      <c r="F1693" s="7" t="s">
        <v>3514</v>
      </c>
      <c r="G1693" s="7">
        <v>7840411560</v>
      </c>
      <c r="H1693" s="20" t="s">
        <v>1183</v>
      </c>
      <c r="I1693" s="22" t="str">
        <f>INDEX('Справочник Сети'!B:B,(MATCH(G1693,'Справочник Сети'!C:C,0)))</f>
        <v>Столички</v>
      </c>
      <c r="J1693" s="7" t="s">
        <v>315</v>
      </c>
      <c r="K1693" s="7" t="s">
        <v>754</v>
      </c>
      <c r="L1693" s="7" t="s">
        <v>315</v>
      </c>
      <c r="M1693" s="31">
        <v>45670</v>
      </c>
      <c r="N1693" s="7" t="s">
        <v>3515</v>
      </c>
      <c r="O1693" s="8">
        <v>100</v>
      </c>
      <c r="P1693" s="24">
        <v>6929</v>
      </c>
      <c r="Q1693" s="22">
        <f>IF(COUNTIFS(A$2:A1693,A1693,I$2:I1693,I1693)=1,1,0)</f>
        <v>0</v>
      </c>
      <c r="R1693" s="22">
        <f t="shared" si="26"/>
        <v>2</v>
      </c>
      <c r="S1693" s="33">
        <f>IF(COUNTIF(O$2:O1693,O1693)=1,R1693,0)/2.5</f>
        <v>0</v>
      </c>
    </row>
    <row r="1694" spans="1:19" ht="18" customHeight="1" x14ac:dyDescent="0.25">
      <c r="A1694" s="7" t="s">
        <v>43</v>
      </c>
      <c r="B1694" s="8">
        <v>1</v>
      </c>
      <c r="C1694" s="9">
        <v>394</v>
      </c>
      <c r="D1694" s="29">
        <f>C1694+IF(INDEX('Справочник по %'!B:B,(MATCH(A1694,'Справочник по %'!A:A,0)))="кол-во",B1694*INDEX('Справочник по %'!C:C,(MATCH(A1694,'Справочник по %'!A:A,0))),ОТЧЕТ!C1694*INDEX('Справочник по %'!C:C,(MATCH(A1694,'Справочник по %'!A:A,0))))/100</f>
        <v>433.4</v>
      </c>
      <c r="E1694" s="29">
        <f>IF(ОТЧЕТ!A1694="SKU3",C1694+ОТЧЕТ!C1694*0.2,C1694+ОТЧЕТ!C1694*0.15)</f>
        <v>453.1</v>
      </c>
      <c r="F1694" s="7" t="s">
        <v>3514</v>
      </c>
      <c r="G1694" s="7">
        <v>5902058784</v>
      </c>
      <c r="H1694" s="20" t="s">
        <v>39</v>
      </c>
      <c r="I1694" s="22" t="str">
        <f>INDEX('Справочник Сети'!B:B,(MATCH(G1694,'Справочник Сети'!C:C,0)))</f>
        <v>Планета здоровья</v>
      </c>
      <c r="J1694" s="7" t="s">
        <v>40</v>
      </c>
      <c r="K1694" s="7" t="s">
        <v>2999</v>
      </c>
      <c r="L1694" s="7" t="s">
        <v>40</v>
      </c>
      <c r="M1694" s="31">
        <v>45712</v>
      </c>
      <c r="N1694" s="7" t="s">
        <v>3516</v>
      </c>
      <c r="O1694" s="8">
        <v>35</v>
      </c>
      <c r="P1694" s="24">
        <v>6933</v>
      </c>
      <c r="Q1694" s="22">
        <f>IF(COUNTIFS(A$2:A1694,A1694,I$2:I1694,I1694)=1,1,0)</f>
        <v>0</v>
      </c>
      <c r="R1694" s="22">
        <f t="shared" si="26"/>
        <v>1</v>
      </c>
      <c r="S1694" s="33">
        <f>IF(COUNTIF(O$2:O1694,O1694)=1,R1694,0)/2.5</f>
        <v>0.4</v>
      </c>
    </row>
    <row r="1695" spans="1:19" ht="18" customHeight="1" x14ac:dyDescent="0.25">
      <c r="A1695" s="7" t="s">
        <v>37</v>
      </c>
      <c r="B1695" s="8">
        <v>1</v>
      </c>
      <c r="C1695" s="9">
        <v>605.9</v>
      </c>
      <c r="D1695" s="29">
        <f>C1695+IF(INDEX('Справочник по %'!B:B,(MATCH(A1695,'Справочник по %'!A:A,0)))="кол-во",B1695*INDEX('Справочник по %'!C:C,(MATCH(A1695,'Справочник по %'!A:A,0))),ОТЧЕТ!C1695*INDEX('Справочник по %'!C:C,(MATCH(A1695,'Справочник по %'!A:A,0))))/100</f>
        <v>606.1</v>
      </c>
      <c r="E1695" s="29">
        <f>IF(ОТЧЕТ!A1695="SKU3",C1695+ОТЧЕТ!C1695*0.2,C1695+ОТЧЕТ!C1695*0.15)</f>
        <v>696.78499999999997</v>
      </c>
      <c r="F1695" s="7" t="s">
        <v>3514</v>
      </c>
      <c r="G1695" s="7">
        <v>1659064696</v>
      </c>
      <c r="H1695" s="20" t="s">
        <v>3517</v>
      </c>
      <c r="I1695" s="22" t="str">
        <f>INDEX('Справочник Сети'!B:B,(MATCH(G1695,'Справочник Сети'!C:C,0)))</f>
        <v>Планета здоровья</v>
      </c>
      <c r="J1695" s="7" t="s">
        <v>335</v>
      </c>
      <c r="K1695" s="7" t="s">
        <v>379</v>
      </c>
      <c r="L1695" s="7" t="s">
        <v>335</v>
      </c>
      <c r="M1695" s="31">
        <v>45731</v>
      </c>
      <c r="N1695" s="7" t="s">
        <v>3518</v>
      </c>
      <c r="O1695" s="8">
        <v>2377</v>
      </c>
      <c r="P1695" s="24">
        <v>6939</v>
      </c>
      <c r="Q1695" s="22">
        <f>IF(COUNTIFS(A$2:A1695,A1695,I$2:I1695,I1695)=1,1,0)</f>
        <v>0</v>
      </c>
      <c r="R1695" s="22">
        <f t="shared" si="26"/>
        <v>4</v>
      </c>
      <c r="S1695" s="33">
        <f>IF(COUNTIF(O$2:O1695,O1695)=1,R1695,0)/2.5</f>
        <v>0</v>
      </c>
    </row>
    <row r="1696" spans="1:19" ht="18" customHeight="1" x14ac:dyDescent="0.25">
      <c r="A1696" s="7" t="s">
        <v>37</v>
      </c>
      <c r="B1696" s="8">
        <v>1</v>
      </c>
      <c r="C1696" s="9">
        <v>725</v>
      </c>
      <c r="D1696" s="29">
        <f>C1696+IF(INDEX('Справочник по %'!B:B,(MATCH(A1696,'Справочник по %'!A:A,0)))="кол-во",B1696*INDEX('Справочник по %'!C:C,(MATCH(A1696,'Справочник по %'!A:A,0))),ОТЧЕТ!C1696*INDEX('Справочник по %'!C:C,(MATCH(A1696,'Справочник по %'!A:A,0))))/100</f>
        <v>725.2</v>
      </c>
      <c r="E1696" s="29">
        <f>IF(ОТЧЕТ!A1696="SKU3",C1696+ОТЧЕТ!C1696*0.2,C1696+ОТЧЕТ!C1696*0.15)</f>
        <v>833.75</v>
      </c>
      <c r="F1696" s="7" t="s">
        <v>3514</v>
      </c>
      <c r="G1696" s="7">
        <v>7732121736</v>
      </c>
      <c r="H1696" s="20" t="s">
        <v>3519</v>
      </c>
      <c r="I1696" s="22" t="str">
        <f>INDEX('Справочник Сети'!B:B,(MATCH(G1696,'Справочник Сети'!C:C,0)))</f>
        <v>Планета здоровья</v>
      </c>
      <c r="J1696" s="7" t="s">
        <v>149</v>
      </c>
      <c r="K1696" s="7" t="s">
        <v>759</v>
      </c>
      <c r="L1696" s="7" t="s">
        <v>149</v>
      </c>
      <c r="M1696" s="31">
        <v>45673</v>
      </c>
      <c r="N1696" s="7" t="s">
        <v>3520</v>
      </c>
      <c r="O1696" s="8">
        <v>2724</v>
      </c>
      <c r="P1696" s="24">
        <v>6944</v>
      </c>
      <c r="Q1696" s="22">
        <f>IF(COUNTIFS(A$2:A1696,A1696,I$2:I1696,I1696)=1,1,0)</f>
        <v>0</v>
      </c>
      <c r="R1696" s="22">
        <f t="shared" si="26"/>
        <v>1</v>
      </c>
      <c r="S1696" s="33">
        <f>IF(COUNTIF(O$2:O1696,O1696)=1,R1696,0)/2.5</f>
        <v>0.4</v>
      </c>
    </row>
    <row r="1697" spans="1:19" ht="18" customHeight="1" x14ac:dyDescent="0.25">
      <c r="A1697" s="7" t="s">
        <v>43</v>
      </c>
      <c r="B1697" s="8">
        <v>1</v>
      </c>
      <c r="C1697" s="9">
        <v>427.8</v>
      </c>
      <c r="D1697" s="29">
        <f>C1697+IF(INDEX('Справочник по %'!B:B,(MATCH(A1697,'Справочник по %'!A:A,0)))="кол-во",B1697*INDEX('Справочник по %'!C:C,(MATCH(A1697,'Справочник по %'!A:A,0))),ОТЧЕТ!C1697*INDEX('Справочник по %'!C:C,(MATCH(A1697,'Справочник по %'!A:A,0))))/100</f>
        <v>470.58000000000004</v>
      </c>
      <c r="E1697" s="29">
        <f>IF(ОТЧЕТ!A1697="SKU3",C1697+ОТЧЕТ!C1697*0.2,C1697+ОТЧЕТ!C1697*0.15)</f>
        <v>491.97</v>
      </c>
      <c r="F1697" s="7" t="s">
        <v>3514</v>
      </c>
      <c r="G1697" s="7">
        <v>550711904930</v>
      </c>
      <c r="H1697" s="20" t="s">
        <v>50</v>
      </c>
      <c r="I1697" s="22" t="str">
        <f>INDEX('Справочник Сети'!B:B,(MATCH(G1697,'Справочник Сети'!C:C,0)))</f>
        <v>Ригла</v>
      </c>
      <c r="J1697" s="7" t="s">
        <v>251</v>
      </c>
      <c r="K1697" s="7" t="s">
        <v>905</v>
      </c>
      <c r="L1697" s="7" t="s">
        <v>251</v>
      </c>
      <c r="M1697" s="31">
        <v>45659</v>
      </c>
      <c r="N1697" s="7" t="s">
        <v>3521</v>
      </c>
      <c r="O1697" s="8">
        <v>1063</v>
      </c>
      <c r="P1697" s="24">
        <v>6946</v>
      </c>
      <c r="Q1697" s="22">
        <f>IF(COUNTIFS(A$2:A1697,A1697,I$2:I1697,I1697)=1,1,0)</f>
        <v>0</v>
      </c>
      <c r="R1697" s="22">
        <f t="shared" si="26"/>
        <v>3</v>
      </c>
      <c r="S1697" s="33">
        <f>IF(COUNTIF(O$2:O1697,O1697)=1,R1697,0)/2.5</f>
        <v>0</v>
      </c>
    </row>
    <row r="1698" spans="1:19" ht="18" customHeight="1" x14ac:dyDescent="0.25">
      <c r="A1698" s="7" t="s">
        <v>43</v>
      </c>
      <c r="B1698" s="8">
        <v>1</v>
      </c>
      <c r="C1698" s="9">
        <v>432.57</v>
      </c>
      <c r="D1698" s="29">
        <f>C1698+IF(INDEX('Справочник по %'!B:B,(MATCH(A1698,'Справочник по %'!A:A,0)))="кол-во",B1698*INDEX('Справочник по %'!C:C,(MATCH(A1698,'Справочник по %'!A:A,0))),ОТЧЕТ!C1698*INDEX('Справочник по %'!C:C,(MATCH(A1698,'Справочник по %'!A:A,0))))/100</f>
        <v>475.827</v>
      </c>
      <c r="E1698" s="29">
        <f>IF(ОТЧЕТ!A1698="SKU3",C1698+ОТЧЕТ!C1698*0.2,C1698+ОТЧЕТ!C1698*0.15)</f>
        <v>497.45549999999997</v>
      </c>
      <c r="F1698" s="7" t="s">
        <v>3514</v>
      </c>
      <c r="G1698" s="7">
        <v>5501207372</v>
      </c>
      <c r="H1698" s="20" t="s">
        <v>50</v>
      </c>
      <c r="I1698" s="22" t="str">
        <f>INDEX('Справочник Сети'!B:B,(MATCH(G1698,'Справочник Сети'!C:C,0)))</f>
        <v>Ригла</v>
      </c>
      <c r="J1698" s="7" t="s">
        <v>255</v>
      </c>
      <c r="K1698" s="7" t="s">
        <v>2441</v>
      </c>
      <c r="L1698" s="7" t="s">
        <v>255</v>
      </c>
      <c r="M1698" s="31">
        <v>45713</v>
      </c>
      <c r="N1698" s="7" t="s">
        <v>3522</v>
      </c>
      <c r="O1698" s="8">
        <v>324</v>
      </c>
      <c r="P1698" s="24">
        <v>6950</v>
      </c>
      <c r="Q1698" s="22">
        <f>IF(COUNTIFS(A$2:A1698,A1698,I$2:I1698,I1698)=1,1,0)</f>
        <v>0</v>
      </c>
      <c r="R1698" s="22">
        <f t="shared" si="26"/>
        <v>8</v>
      </c>
      <c r="S1698" s="33">
        <f>IF(COUNTIF(O$2:O1698,O1698)=1,R1698,0)/2.5</f>
        <v>0</v>
      </c>
    </row>
    <row r="1699" spans="1:19" ht="18" customHeight="1" x14ac:dyDescent="0.25">
      <c r="A1699" s="7" t="s">
        <v>37</v>
      </c>
      <c r="B1699" s="8">
        <v>1</v>
      </c>
      <c r="C1699" s="9">
        <v>755</v>
      </c>
      <c r="D1699" s="29">
        <f>C1699+IF(INDEX('Справочник по %'!B:B,(MATCH(A1699,'Справочник по %'!A:A,0)))="кол-во",B1699*INDEX('Справочник по %'!C:C,(MATCH(A1699,'Справочник по %'!A:A,0))),ОТЧЕТ!C1699*INDEX('Справочник по %'!C:C,(MATCH(A1699,'Справочник по %'!A:A,0))))/100</f>
        <v>755.2</v>
      </c>
      <c r="E1699" s="29">
        <f>IF(ОТЧЕТ!A1699="SKU3",C1699+ОТЧЕТ!C1699*0.2,C1699+ОТЧЕТ!C1699*0.15)</f>
        <v>868.25</v>
      </c>
      <c r="F1699" s="7" t="s">
        <v>3523</v>
      </c>
      <c r="G1699" s="7">
        <v>7732121736</v>
      </c>
      <c r="H1699" s="20" t="s">
        <v>3524</v>
      </c>
      <c r="I1699" s="22" t="str">
        <f>INDEX('Справочник Сети'!B:B,(MATCH(G1699,'Справочник Сети'!C:C,0)))</f>
        <v>Планета здоровья</v>
      </c>
      <c r="J1699" s="7" t="s">
        <v>149</v>
      </c>
      <c r="K1699" s="7" t="s">
        <v>385</v>
      </c>
      <c r="L1699" s="7" t="s">
        <v>149</v>
      </c>
      <c r="M1699" s="31">
        <v>45673</v>
      </c>
      <c r="N1699" s="7" t="s">
        <v>3525</v>
      </c>
      <c r="O1699" s="8">
        <v>3773</v>
      </c>
      <c r="P1699" s="24">
        <v>6953</v>
      </c>
      <c r="Q1699" s="22">
        <f>IF(COUNTIFS(A$2:A1699,A1699,I$2:I1699,I1699)=1,1,0)</f>
        <v>0</v>
      </c>
      <c r="R1699" s="22">
        <f t="shared" si="26"/>
        <v>1</v>
      </c>
      <c r="S1699" s="33">
        <f>IF(COUNTIF(O$2:O1699,O1699)=1,R1699,0)/2.5</f>
        <v>0.4</v>
      </c>
    </row>
    <row r="1700" spans="1:19" ht="18" customHeight="1" x14ac:dyDescent="0.25">
      <c r="A1700" s="7" t="s">
        <v>43</v>
      </c>
      <c r="B1700" s="8">
        <v>1</v>
      </c>
      <c r="C1700" s="9">
        <v>446.5</v>
      </c>
      <c r="D1700" s="29">
        <f>C1700+IF(INDEX('Справочник по %'!B:B,(MATCH(A1700,'Справочник по %'!A:A,0)))="кол-во",B1700*INDEX('Справочник по %'!C:C,(MATCH(A1700,'Справочник по %'!A:A,0))),ОТЧЕТ!C1700*INDEX('Справочник по %'!C:C,(MATCH(A1700,'Справочник по %'!A:A,0))))/100</f>
        <v>491.15</v>
      </c>
      <c r="E1700" s="29">
        <f>IF(ОТЧЕТ!A1700="SKU3",C1700+ОТЧЕТ!C1700*0.2,C1700+ОТЧЕТ!C1700*0.15)</f>
        <v>513.47500000000002</v>
      </c>
      <c r="F1700" s="7" t="s">
        <v>3523</v>
      </c>
      <c r="G1700" s="7">
        <v>4632170357</v>
      </c>
      <c r="H1700" s="20" t="s">
        <v>153</v>
      </c>
      <c r="I1700" s="22" t="str">
        <f>INDEX('Справочник Сети'!B:B,(MATCH(G1700,'Справочник Сети'!C:C,0)))</f>
        <v>Столички</v>
      </c>
      <c r="J1700" s="7" t="s">
        <v>83</v>
      </c>
      <c r="K1700" s="7" t="s">
        <v>385</v>
      </c>
      <c r="L1700" s="7" t="s">
        <v>155</v>
      </c>
      <c r="M1700" s="31">
        <v>45716</v>
      </c>
      <c r="N1700" s="7" t="s">
        <v>3526</v>
      </c>
      <c r="O1700" s="8">
        <v>3027</v>
      </c>
      <c r="P1700" s="24">
        <v>6954</v>
      </c>
      <c r="Q1700" s="22">
        <f>IF(COUNTIFS(A$2:A1700,A1700,I$2:I1700,I1700)=1,1,0)</f>
        <v>0</v>
      </c>
      <c r="R1700" s="22">
        <f t="shared" si="26"/>
        <v>2</v>
      </c>
      <c r="S1700" s="33">
        <f>IF(COUNTIF(O$2:O1700,O1700)=1,R1700,0)/2.5</f>
        <v>0</v>
      </c>
    </row>
    <row r="1701" spans="1:19" ht="18" customHeight="1" x14ac:dyDescent="0.25">
      <c r="A1701" s="7" t="s">
        <v>43</v>
      </c>
      <c r="B1701" s="8">
        <v>1</v>
      </c>
      <c r="C1701" s="9">
        <v>500</v>
      </c>
      <c r="D1701" s="29">
        <f>C1701+IF(INDEX('Справочник по %'!B:B,(MATCH(A1701,'Справочник по %'!A:A,0)))="кол-во",B1701*INDEX('Справочник по %'!C:C,(MATCH(A1701,'Справочник по %'!A:A,0))),ОТЧЕТ!C1701*INDEX('Справочник по %'!C:C,(MATCH(A1701,'Справочник по %'!A:A,0))))/100</f>
        <v>550</v>
      </c>
      <c r="E1701" s="29">
        <f>IF(ОТЧЕТ!A1701="SKU3",C1701+ОТЧЕТ!C1701*0.2,C1701+ОТЧЕТ!C1701*0.15)</f>
        <v>575</v>
      </c>
      <c r="F1701" s="7" t="s">
        <v>3523</v>
      </c>
      <c r="G1701" s="7">
        <v>5027168240</v>
      </c>
      <c r="H1701" s="20" t="s">
        <v>50</v>
      </c>
      <c r="I1701" s="22">
        <f>INDEX('Справочник Сети'!B:B,(MATCH(G1701,'Справочник Сети'!C:C,0)))</f>
        <v>0</v>
      </c>
      <c r="J1701" s="7" t="s">
        <v>92</v>
      </c>
      <c r="K1701" s="7" t="s">
        <v>779</v>
      </c>
      <c r="L1701" s="7" t="s">
        <v>83</v>
      </c>
      <c r="M1701" s="31">
        <v>45715</v>
      </c>
      <c r="N1701" s="7" t="s">
        <v>3527</v>
      </c>
      <c r="O1701" s="8">
        <v>2463</v>
      </c>
      <c r="P1701" s="24">
        <v>6956</v>
      </c>
      <c r="Q1701" s="22">
        <f>IF(COUNTIFS(A$2:A1701,A1701,I$2:I1701,I1701)=1,1,0)</f>
        <v>0</v>
      </c>
      <c r="R1701" s="22">
        <f t="shared" si="26"/>
        <v>1</v>
      </c>
      <c r="S1701" s="33">
        <f>IF(COUNTIF(O$2:O1701,O1701)=1,R1701,0)/2.5</f>
        <v>0.4</v>
      </c>
    </row>
    <row r="1702" spans="1:19" ht="18" customHeight="1" x14ac:dyDescent="0.25">
      <c r="A1702" s="7" t="s">
        <v>43</v>
      </c>
      <c r="B1702" s="8">
        <v>1</v>
      </c>
      <c r="C1702" s="9">
        <v>361</v>
      </c>
      <c r="D1702" s="29">
        <f>C1702+IF(INDEX('Справочник по %'!B:B,(MATCH(A1702,'Справочник по %'!A:A,0)))="кол-во",B1702*INDEX('Справочник по %'!C:C,(MATCH(A1702,'Справочник по %'!A:A,0))),ОТЧЕТ!C1702*INDEX('Справочник по %'!C:C,(MATCH(A1702,'Справочник по %'!A:A,0))))/100</f>
        <v>397.1</v>
      </c>
      <c r="E1702" s="29">
        <f>IF(ОТЧЕТ!A1702="SKU3",C1702+ОТЧЕТ!C1702*0.2,C1702+ОТЧЕТ!C1702*0.15)</f>
        <v>415.15</v>
      </c>
      <c r="F1702" s="7" t="s">
        <v>3523</v>
      </c>
      <c r="G1702" s="7">
        <v>7732121736</v>
      </c>
      <c r="H1702" s="20" t="s">
        <v>3528</v>
      </c>
      <c r="I1702" s="22" t="str">
        <f>INDEX('Справочник Сети'!B:B,(MATCH(G1702,'Справочник Сети'!C:C,0)))</f>
        <v>Планета здоровья</v>
      </c>
      <c r="J1702" s="7" t="s">
        <v>149</v>
      </c>
      <c r="K1702" s="7" t="s">
        <v>3249</v>
      </c>
      <c r="L1702" s="7" t="s">
        <v>149</v>
      </c>
      <c r="M1702" s="31">
        <v>45673</v>
      </c>
      <c r="N1702" s="7" t="s">
        <v>3529</v>
      </c>
      <c r="O1702" s="8">
        <v>1462</v>
      </c>
      <c r="P1702" s="24">
        <v>6957</v>
      </c>
      <c r="Q1702" s="22">
        <f>IF(COUNTIFS(A$2:A1702,A1702,I$2:I1702,I1702)=1,1,0)</f>
        <v>0</v>
      </c>
      <c r="R1702" s="22">
        <f t="shared" si="26"/>
        <v>2</v>
      </c>
      <c r="S1702" s="33">
        <f>IF(COUNTIF(O$2:O1702,O1702)=1,R1702,0)/2.5</f>
        <v>0.8</v>
      </c>
    </row>
    <row r="1703" spans="1:19" ht="18" customHeight="1" x14ac:dyDescent="0.25">
      <c r="A1703" s="7" t="s">
        <v>43</v>
      </c>
      <c r="B1703" s="8">
        <v>1</v>
      </c>
      <c r="C1703" s="9">
        <v>397</v>
      </c>
      <c r="D1703" s="29">
        <f>C1703+IF(INDEX('Справочник по %'!B:B,(MATCH(A1703,'Справочник по %'!A:A,0)))="кол-во",B1703*INDEX('Справочник по %'!C:C,(MATCH(A1703,'Справочник по %'!A:A,0))),ОТЧЕТ!C1703*INDEX('Справочник по %'!C:C,(MATCH(A1703,'Справочник по %'!A:A,0))))/100</f>
        <v>436.7</v>
      </c>
      <c r="E1703" s="29">
        <f>IF(ОТЧЕТ!A1703="SKU3",C1703+ОТЧЕТ!C1703*0.2,C1703+ОТЧЕТ!C1703*0.15)</f>
        <v>456.55</v>
      </c>
      <c r="F1703" s="7" t="s">
        <v>3523</v>
      </c>
      <c r="G1703" s="7">
        <v>7732121736</v>
      </c>
      <c r="H1703" s="20" t="s">
        <v>1035</v>
      </c>
      <c r="I1703" s="22" t="str">
        <f>INDEX('Справочник Сети'!B:B,(MATCH(G1703,'Справочник Сети'!C:C,0)))</f>
        <v>Планета здоровья</v>
      </c>
      <c r="J1703" s="7" t="s">
        <v>149</v>
      </c>
      <c r="K1703" s="7" t="s">
        <v>1005</v>
      </c>
      <c r="L1703" s="7" t="s">
        <v>149</v>
      </c>
      <c r="M1703" s="31">
        <v>45673</v>
      </c>
      <c r="N1703" s="7" t="s">
        <v>3530</v>
      </c>
      <c r="O1703" s="8">
        <v>1091</v>
      </c>
      <c r="P1703" s="24">
        <v>6958</v>
      </c>
      <c r="Q1703" s="22">
        <f>IF(COUNTIFS(A$2:A1703,A1703,I$2:I1703,I1703)=1,1,0)</f>
        <v>0</v>
      </c>
      <c r="R1703" s="22">
        <f t="shared" si="26"/>
        <v>5</v>
      </c>
      <c r="S1703" s="33">
        <f>IF(COUNTIF(O$2:O1703,O1703)=1,R1703,0)/2.5</f>
        <v>0</v>
      </c>
    </row>
    <row r="1704" spans="1:19" ht="18" customHeight="1" x14ac:dyDescent="0.25">
      <c r="A1704" s="7" t="s">
        <v>43</v>
      </c>
      <c r="B1704" s="8">
        <v>1</v>
      </c>
      <c r="C1704" s="9">
        <v>672</v>
      </c>
      <c r="D1704" s="29">
        <f>C1704+IF(INDEX('Справочник по %'!B:B,(MATCH(A1704,'Справочник по %'!A:A,0)))="кол-во",B1704*INDEX('Справочник по %'!C:C,(MATCH(A1704,'Справочник по %'!A:A,0))),ОТЧЕТ!C1704*INDEX('Справочник по %'!C:C,(MATCH(A1704,'Справочник по %'!A:A,0))))/100</f>
        <v>739.2</v>
      </c>
      <c r="E1704" s="29">
        <f>IF(ОТЧЕТ!A1704="SKU3",C1704+ОТЧЕТ!C1704*0.2,C1704+ОТЧЕТ!C1704*0.15)</f>
        <v>772.8</v>
      </c>
      <c r="F1704" s="7" t="s">
        <v>3523</v>
      </c>
      <c r="G1704" s="7">
        <v>7705947629</v>
      </c>
      <c r="H1704" s="20" t="s">
        <v>50</v>
      </c>
      <c r="I1704" s="22" t="str">
        <f>INDEX('Справочник Сети'!B:B,(MATCH(G1704,'Справочник Сети'!C:C,0)))</f>
        <v>36,6</v>
      </c>
      <c r="J1704" s="7" t="s">
        <v>104</v>
      </c>
      <c r="K1704" s="7" t="s">
        <v>764</v>
      </c>
      <c r="L1704" s="7" t="s">
        <v>104</v>
      </c>
      <c r="M1704" s="31">
        <v>45693</v>
      </c>
      <c r="N1704" s="7" t="s">
        <v>3531</v>
      </c>
      <c r="O1704" s="8">
        <v>1607</v>
      </c>
      <c r="P1704" s="24">
        <v>6961</v>
      </c>
      <c r="Q1704" s="22">
        <f>IF(COUNTIFS(A$2:A1704,A1704,I$2:I1704,I1704)=1,1,0)</f>
        <v>0</v>
      </c>
      <c r="R1704" s="22">
        <f t="shared" si="26"/>
        <v>1</v>
      </c>
      <c r="S1704" s="33">
        <f>IF(COUNTIF(O$2:O1704,O1704)=1,R1704,0)/2.5</f>
        <v>0.4</v>
      </c>
    </row>
    <row r="1705" spans="1:19" ht="18" customHeight="1" x14ac:dyDescent="0.25">
      <c r="A1705" s="7" t="s">
        <v>43</v>
      </c>
      <c r="B1705" s="8">
        <v>1</v>
      </c>
      <c r="C1705" s="9">
        <v>400</v>
      </c>
      <c r="D1705" s="29">
        <f>C1705+IF(INDEX('Справочник по %'!B:B,(MATCH(A1705,'Справочник по %'!A:A,0)))="кол-во",B1705*INDEX('Справочник по %'!C:C,(MATCH(A1705,'Справочник по %'!A:A,0))),ОТЧЕТ!C1705*INDEX('Справочник по %'!C:C,(MATCH(A1705,'Справочник по %'!A:A,0))))/100</f>
        <v>440</v>
      </c>
      <c r="E1705" s="29">
        <f>IF(ОТЧЕТ!A1705="SKU3",C1705+ОТЧЕТ!C1705*0.2,C1705+ОТЧЕТ!C1705*0.15)</f>
        <v>460</v>
      </c>
      <c r="F1705" s="7" t="s">
        <v>3523</v>
      </c>
      <c r="G1705" s="7">
        <v>3448023905</v>
      </c>
      <c r="H1705" s="20" t="s">
        <v>3532</v>
      </c>
      <c r="I1705" s="22">
        <f>INDEX('Справочник Сети'!B:B,(MATCH(G1705,'Справочник Сети'!C:C,0)))</f>
        <v>0</v>
      </c>
      <c r="J1705" s="7" t="s">
        <v>65</v>
      </c>
      <c r="K1705" s="7" t="s">
        <v>456</v>
      </c>
      <c r="L1705" s="7" t="s">
        <v>193</v>
      </c>
      <c r="M1705" s="31">
        <v>45718</v>
      </c>
      <c r="N1705" s="7" t="s">
        <v>775</v>
      </c>
      <c r="O1705" s="8">
        <v>475</v>
      </c>
      <c r="P1705" s="24">
        <v>6964</v>
      </c>
      <c r="Q1705" s="22">
        <f>IF(COUNTIFS(A$2:A1705,A1705,I$2:I1705,I1705)=1,1,0)</f>
        <v>0</v>
      </c>
      <c r="R1705" s="22">
        <f t="shared" si="26"/>
        <v>3</v>
      </c>
      <c r="S1705" s="33">
        <f>IF(COUNTIF(O$2:O1705,O1705)=1,R1705,0)/2.5</f>
        <v>1.2</v>
      </c>
    </row>
    <row r="1706" spans="1:19" ht="18" customHeight="1" x14ac:dyDescent="0.25">
      <c r="A1706" s="7" t="s">
        <v>43</v>
      </c>
      <c r="B1706" s="8">
        <v>1</v>
      </c>
      <c r="C1706" s="9">
        <v>399</v>
      </c>
      <c r="D1706" s="29">
        <f>C1706+IF(INDEX('Справочник по %'!B:B,(MATCH(A1706,'Справочник по %'!A:A,0)))="кол-во",B1706*INDEX('Справочник по %'!C:C,(MATCH(A1706,'Справочник по %'!A:A,0))),ОТЧЕТ!C1706*INDEX('Справочник по %'!C:C,(MATCH(A1706,'Справочник по %'!A:A,0))))/100</f>
        <v>438.9</v>
      </c>
      <c r="E1706" s="29">
        <f>IF(ОТЧЕТ!A1706="SKU3",C1706+ОТЧЕТ!C1706*0.2,C1706+ОТЧЕТ!C1706*0.15)</f>
        <v>458.85</v>
      </c>
      <c r="F1706" s="7" t="s">
        <v>3523</v>
      </c>
      <c r="G1706" s="7">
        <v>7203473252</v>
      </c>
      <c r="H1706" s="20" t="s">
        <v>3533</v>
      </c>
      <c r="I1706" s="22" t="str">
        <f>INDEX('Справочник Сети'!B:B,(MATCH(G1706,'Справочник Сети'!C:C,0)))</f>
        <v>Столички</v>
      </c>
      <c r="J1706" s="7" t="s">
        <v>106</v>
      </c>
      <c r="K1706" s="7" t="s">
        <v>2468</v>
      </c>
      <c r="L1706" s="7" t="s">
        <v>106</v>
      </c>
      <c r="M1706" s="31">
        <v>45694</v>
      </c>
      <c r="N1706" s="7" t="s">
        <v>3534</v>
      </c>
      <c r="O1706" s="8">
        <v>3067</v>
      </c>
      <c r="P1706" s="24">
        <v>6965</v>
      </c>
      <c r="Q1706" s="22">
        <f>IF(COUNTIFS(A$2:A1706,A1706,I$2:I1706,I1706)=1,1,0)</f>
        <v>0</v>
      </c>
      <c r="R1706" s="22">
        <f t="shared" si="26"/>
        <v>3</v>
      </c>
      <c r="S1706" s="33">
        <f>IF(COUNTIF(O$2:O1706,O1706)=1,R1706,0)/2.5</f>
        <v>1.2</v>
      </c>
    </row>
    <row r="1707" spans="1:19" ht="18" customHeight="1" x14ac:dyDescent="0.25">
      <c r="A1707" s="7" t="s">
        <v>37</v>
      </c>
      <c r="B1707" s="8">
        <v>1</v>
      </c>
      <c r="C1707" s="9">
        <v>599.79</v>
      </c>
      <c r="D1707" s="29">
        <f>C1707+IF(INDEX('Справочник по %'!B:B,(MATCH(A1707,'Справочник по %'!A:A,0)))="кол-во",B1707*INDEX('Справочник по %'!C:C,(MATCH(A1707,'Справочник по %'!A:A,0))),ОТЧЕТ!C1707*INDEX('Справочник по %'!C:C,(MATCH(A1707,'Справочник по %'!A:A,0))))/100</f>
        <v>599.99</v>
      </c>
      <c r="E1707" s="29">
        <f>IF(ОТЧЕТ!A1707="SKU3",C1707+ОТЧЕТ!C1707*0.2,C1707+ОТЧЕТ!C1707*0.15)</f>
        <v>689.75849999999991</v>
      </c>
      <c r="F1707" s="7" t="s">
        <v>3523</v>
      </c>
      <c r="G1707" s="7">
        <v>7805180253</v>
      </c>
      <c r="H1707" s="20" t="s">
        <v>50</v>
      </c>
      <c r="I1707" s="22">
        <f>INDEX('Справочник Сети'!B:B,(MATCH(G1707,'Справочник Сети'!C:C,0)))</f>
        <v>0</v>
      </c>
      <c r="J1707" s="7" t="s">
        <v>353</v>
      </c>
      <c r="K1707" s="7" t="s">
        <v>431</v>
      </c>
      <c r="L1707" s="7" t="s">
        <v>353</v>
      </c>
      <c r="M1707" s="31">
        <v>45672</v>
      </c>
      <c r="N1707" s="7" t="s">
        <v>3535</v>
      </c>
      <c r="O1707" s="8">
        <v>3764</v>
      </c>
      <c r="P1707" s="24">
        <v>6966</v>
      </c>
      <c r="Q1707" s="22">
        <f>IF(COUNTIFS(A$2:A1707,A1707,I$2:I1707,I1707)=1,1,0)</f>
        <v>0</v>
      </c>
      <c r="R1707" s="22">
        <f t="shared" si="26"/>
        <v>2</v>
      </c>
      <c r="S1707" s="33">
        <f>IF(COUNTIF(O$2:O1707,O1707)=1,R1707,0)/2.5</f>
        <v>0.8</v>
      </c>
    </row>
    <row r="1708" spans="1:19" ht="18" customHeight="1" x14ac:dyDescent="0.25">
      <c r="A1708" s="7" t="s">
        <v>43</v>
      </c>
      <c r="B1708" s="8">
        <v>1</v>
      </c>
      <c r="C1708" s="9">
        <v>400</v>
      </c>
      <c r="D1708" s="29">
        <f>C1708+IF(INDEX('Справочник по %'!B:B,(MATCH(A1708,'Справочник по %'!A:A,0)))="кол-во",B1708*INDEX('Справочник по %'!C:C,(MATCH(A1708,'Справочник по %'!A:A,0))),ОТЧЕТ!C1708*INDEX('Справочник по %'!C:C,(MATCH(A1708,'Справочник по %'!A:A,0))))/100</f>
        <v>440</v>
      </c>
      <c r="E1708" s="29">
        <f>IF(ОТЧЕТ!A1708="SKU3",C1708+ОТЧЕТ!C1708*0.2,C1708+ОТЧЕТ!C1708*0.15)</f>
        <v>460</v>
      </c>
      <c r="F1708" s="7" t="s">
        <v>3523</v>
      </c>
      <c r="G1708" s="7">
        <v>3448023905</v>
      </c>
      <c r="H1708" s="20" t="s">
        <v>3532</v>
      </c>
      <c r="I1708" s="22">
        <f>INDEX('Справочник Сети'!B:B,(MATCH(G1708,'Справочник Сети'!C:C,0)))</f>
        <v>0</v>
      </c>
      <c r="J1708" s="7" t="s">
        <v>65</v>
      </c>
      <c r="K1708" s="7" t="s">
        <v>1571</v>
      </c>
      <c r="L1708" s="7" t="s">
        <v>193</v>
      </c>
      <c r="M1708" s="31">
        <v>45718</v>
      </c>
      <c r="N1708" s="7" t="s">
        <v>3536</v>
      </c>
      <c r="O1708" s="8">
        <v>475</v>
      </c>
      <c r="P1708" s="24">
        <v>6967</v>
      </c>
      <c r="Q1708" s="22">
        <f>IF(COUNTIFS(A$2:A1708,A1708,I$2:I1708,I1708)=1,1,0)</f>
        <v>0</v>
      </c>
      <c r="R1708" s="22">
        <f t="shared" si="26"/>
        <v>3</v>
      </c>
      <c r="S1708" s="33">
        <f>IF(COUNTIF(O$2:O1708,O1708)=1,R1708,0)/2.5</f>
        <v>0</v>
      </c>
    </row>
    <row r="1709" spans="1:19" ht="18" customHeight="1" x14ac:dyDescent="0.25">
      <c r="A1709" s="7" t="s">
        <v>43</v>
      </c>
      <c r="B1709" s="8">
        <v>1</v>
      </c>
      <c r="C1709" s="9">
        <v>369</v>
      </c>
      <c r="D1709" s="29">
        <f>C1709+IF(INDEX('Справочник по %'!B:B,(MATCH(A1709,'Справочник по %'!A:A,0)))="кол-во",B1709*INDEX('Справочник по %'!C:C,(MATCH(A1709,'Справочник по %'!A:A,0))),ОТЧЕТ!C1709*INDEX('Справочник по %'!C:C,(MATCH(A1709,'Справочник по %'!A:A,0))))/100</f>
        <v>405.9</v>
      </c>
      <c r="E1709" s="29">
        <f>IF(ОТЧЕТ!A1709="SKU3",C1709+ОТЧЕТ!C1709*0.2,C1709+ОТЧЕТ!C1709*0.15)</f>
        <v>424.35</v>
      </c>
      <c r="F1709" s="7" t="s">
        <v>3523</v>
      </c>
      <c r="G1709" s="7">
        <v>7728339546</v>
      </c>
      <c r="H1709" s="20" t="s">
        <v>2274</v>
      </c>
      <c r="I1709" s="22" t="str">
        <f>INDEX('Справочник Сети'!B:B,(MATCH(G1709,'Справочник Сети'!C:C,0)))</f>
        <v>Планета здоровья</v>
      </c>
      <c r="J1709" s="7" t="s">
        <v>142</v>
      </c>
      <c r="K1709" s="7" t="s">
        <v>1271</v>
      </c>
      <c r="L1709" s="7" t="s">
        <v>142</v>
      </c>
      <c r="M1709" s="31">
        <v>45674</v>
      </c>
      <c r="N1709" s="7" t="s">
        <v>3537</v>
      </c>
      <c r="O1709" s="8">
        <v>897</v>
      </c>
      <c r="P1709" s="24">
        <v>6969</v>
      </c>
      <c r="Q1709" s="22">
        <f>IF(COUNTIFS(A$2:A1709,A1709,I$2:I1709,I1709)=1,1,0)</f>
        <v>0</v>
      </c>
      <c r="R1709" s="22">
        <f t="shared" si="26"/>
        <v>5</v>
      </c>
      <c r="S1709" s="33">
        <f>IF(COUNTIF(O$2:O1709,O1709)=1,R1709,0)/2.5</f>
        <v>0</v>
      </c>
    </row>
    <row r="1710" spans="1:19" ht="18" customHeight="1" x14ac:dyDescent="0.25">
      <c r="A1710" s="7" t="s">
        <v>43</v>
      </c>
      <c r="B1710" s="8">
        <v>1</v>
      </c>
      <c r="C1710" s="9">
        <v>465</v>
      </c>
      <c r="D1710" s="29">
        <f>C1710+IF(INDEX('Справочник по %'!B:B,(MATCH(A1710,'Справочник по %'!A:A,0)))="кол-во",B1710*INDEX('Справочник по %'!C:C,(MATCH(A1710,'Справочник по %'!A:A,0))),ОТЧЕТ!C1710*INDEX('Справочник по %'!C:C,(MATCH(A1710,'Справочник по %'!A:A,0))))/100</f>
        <v>511.5</v>
      </c>
      <c r="E1710" s="29">
        <f>IF(ОТЧЕТ!A1710="SKU3",C1710+ОТЧЕТ!C1710*0.2,C1710+ОТЧЕТ!C1710*0.15)</f>
        <v>534.75</v>
      </c>
      <c r="F1710" s="7" t="s">
        <v>3523</v>
      </c>
      <c r="G1710" s="7">
        <v>7705947629</v>
      </c>
      <c r="H1710" s="20" t="s">
        <v>64</v>
      </c>
      <c r="I1710" s="22" t="str">
        <f>INDEX('Справочник Сети'!B:B,(MATCH(G1710,'Справочник Сети'!C:C,0)))</f>
        <v>36,6</v>
      </c>
      <c r="J1710" s="7" t="s">
        <v>104</v>
      </c>
      <c r="K1710" s="7" t="s">
        <v>589</v>
      </c>
      <c r="L1710" s="7" t="s">
        <v>104</v>
      </c>
      <c r="M1710" s="31">
        <v>45693</v>
      </c>
      <c r="N1710" s="7" t="s">
        <v>3538</v>
      </c>
      <c r="O1710" s="8">
        <v>2571</v>
      </c>
      <c r="P1710" s="24">
        <v>6970</v>
      </c>
      <c r="Q1710" s="22">
        <f>IF(COUNTIFS(A$2:A1710,A1710,I$2:I1710,I1710)=1,1,0)</f>
        <v>0</v>
      </c>
      <c r="R1710" s="22">
        <f t="shared" si="26"/>
        <v>9</v>
      </c>
      <c r="S1710" s="33">
        <f>IF(COUNTIF(O$2:O1710,O1710)=1,R1710,0)/2.5</f>
        <v>0</v>
      </c>
    </row>
    <row r="1711" spans="1:19" ht="18" customHeight="1" x14ac:dyDescent="0.25">
      <c r="A1711" s="7" t="s">
        <v>43</v>
      </c>
      <c r="B1711" s="8">
        <v>1</v>
      </c>
      <c r="C1711" s="9">
        <v>407</v>
      </c>
      <c r="D1711" s="29">
        <f>C1711+IF(INDEX('Справочник по %'!B:B,(MATCH(A1711,'Справочник по %'!A:A,0)))="кол-во",B1711*INDEX('Справочник по %'!C:C,(MATCH(A1711,'Справочник по %'!A:A,0))),ОТЧЕТ!C1711*INDEX('Справочник по %'!C:C,(MATCH(A1711,'Справочник по %'!A:A,0))))/100</f>
        <v>447.7</v>
      </c>
      <c r="E1711" s="29">
        <f>IF(ОТЧЕТ!A1711="SKU3",C1711+ОТЧЕТ!C1711*0.2,C1711+ОТЧЕТ!C1711*0.15)</f>
        <v>468.05</v>
      </c>
      <c r="F1711" s="7" t="s">
        <v>3523</v>
      </c>
      <c r="G1711" s="7">
        <v>6166126591</v>
      </c>
      <c r="H1711" s="20" t="s">
        <v>3539</v>
      </c>
      <c r="I1711" s="22" t="str">
        <f>INDEX('Справочник Сети'!B:B,(MATCH(G1711,'Справочник Сети'!C:C,0)))</f>
        <v>Ригла</v>
      </c>
      <c r="J1711" s="7" t="s">
        <v>203</v>
      </c>
      <c r="K1711" s="7" t="s">
        <v>1495</v>
      </c>
      <c r="L1711" s="7" t="s">
        <v>203</v>
      </c>
      <c r="M1711" s="31">
        <v>45696</v>
      </c>
      <c r="N1711" s="7" t="s">
        <v>3540</v>
      </c>
      <c r="O1711" s="8">
        <v>2267</v>
      </c>
      <c r="P1711" s="24">
        <v>6973</v>
      </c>
      <c r="Q1711" s="22">
        <f>IF(COUNTIFS(A$2:A1711,A1711,I$2:I1711,I1711)=1,1,0)</f>
        <v>0</v>
      </c>
      <c r="R1711" s="22">
        <f t="shared" si="26"/>
        <v>1</v>
      </c>
      <c r="S1711" s="33">
        <f>IF(COUNTIF(O$2:O1711,O1711)=1,R1711,0)/2.5</f>
        <v>0.4</v>
      </c>
    </row>
    <row r="1712" spans="1:19" ht="18" customHeight="1" x14ac:dyDescent="0.25">
      <c r="A1712" s="7" t="s">
        <v>43</v>
      </c>
      <c r="B1712" s="8">
        <v>1</v>
      </c>
      <c r="C1712" s="9">
        <v>451</v>
      </c>
      <c r="D1712" s="29">
        <f>C1712+IF(INDEX('Справочник по %'!B:B,(MATCH(A1712,'Справочник по %'!A:A,0)))="кол-во",B1712*INDEX('Справочник по %'!C:C,(MATCH(A1712,'Справочник по %'!A:A,0))),ОТЧЕТ!C1712*INDEX('Справочник по %'!C:C,(MATCH(A1712,'Справочник по %'!A:A,0))))/100</f>
        <v>496.1</v>
      </c>
      <c r="E1712" s="29">
        <f>IF(ОТЧЕТ!A1712="SKU3",C1712+ОТЧЕТ!C1712*0.2,C1712+ОТЧЕТ!C1712*0.15)</f>
        <v>518.65</v>
      </c>
      <c r="F1712" s="7" t="s">
        <v>3541</v>
      </c>
      <c r="G1712" s="7">
        <v>6166069696</v>
      </c>
      <c r="H1712" s="20" t="s">
        <v>3542</v>
      </c>
      <c r="I1712" s="22">
        <f>INDEX('Справочник Сети'!B:B,(MATCH(G1712,'Справочник Сети'!C:C,0)))</f>
        <v>0</v>
      </c>
      <c r="J1712" s="7" t="s">
        <v>203</v>
      </c>
      <c r="K1712" s="7" t="s">
        <v>1678</v>
      </c>
      <c r="L1712" s="7" t="s">
        <v>203</v>
      </c>
      <c r="M1712" s="31">
        <v>45696</v>
      </c>
      <c r="N1712" s="7" t="s">
        <v>3543</v>
      </c>
      <c r="O1712" s="8">
        <v>3092</v>
      </c>
      <c r="P1712" s="24">
        <v>6976</v>
      </c>
      <c r="Q1712" s="22">
        <f>IF(COUNTIFS(A$2:A1712,A1712,I$2:I1712,I1712)=1,1,0)</f>
        <v>0</v>
      </c>
      <c r="R1712" s="22">
        <f t="shared" si="26"/>
        <v>1</v>
      </c>
      <c r="S1712" s="33">
        <f>IF(COUNTIF(O$2:O1712,O1712)=1,R1712,0)/2.5</f>
        <v>0.4</v>
      </c>
    </row>
    <row r="1713" spans="1:19" ht="18" customHeight="1" x14ac:dyDescent="0.25">
      <c r="A1713" s="7" t="s">
        <v>43</v>
      </c>
      <c r="B1713" s="8">
        <v>1</v>
      </c>
      <c r="C1713" s="9">
        <v>419</v>
      </c>
      <c r="D1713" s="29">
        <f>C1713+IF(INDEX('Справочник по %'!B:B,(MATCH(A1713,'Справочник по %'!A:A,0)))="кол-во",B1713*INDEX('Справочник по %'!C:C,(MATCH(A1713,'Справочник по %'!A:A,0))),ОТЧЕТ!C1713*INDEX('Справочник по %'!C:C,(MATCH(A1713,'Справочник по %'!A:A,0))))/100</f>
        <v>460.9</v>
      </c>
      <c r="E1713" s="29">
        <f>IF(ОТЧЕТ!A1713="SKU3",C1713+ОТЧЕТ!C1713*0.2,C1713+ОТЧЕТ!C1713*0.15)</f>
        <v>481.85</v>
      </c>
      <c r="F1713" s="7" t="s">
        <v>3541</v>
      </c>
      <c r="G1713" s="7">
        <v>2308110232</v>
      </c>
      <c r="H1713" s="20" t="s">
        <v>69</v>
      </c>
      <c r="I1713" s="22" t="str">
        <f>INDEX('Справочник Сети'!B:B,(MATCH(G1713,'Справочник Сети'!C:C,0)))</f>
        <v>Нео-фарм</v>
      </c>
      <c r="J1713" s="7" t="s">
        <v>372</v>
      </c>
      <c r="K1713" s="7" t="s">
        <v>3436</v>
      </c>
      <c r="L1713" s="7" t="s">
        <v>372</v>
      </c>
      <c r="M1713" s="31">
        <v>45730</v>
      </c>
      <c r="N1713" s="7" t="s">
        <v>3544</v>
      </c>
      <c r="O1713" s="8">
        <v>601</v>
      </c>
      <c r="P1713" s="24">
        <v>6978</v>
      </c>
      <c r="Q1713" s="22">
        <f>IF(COUNTIFS(A$2:A1713,A1713,I$2:I1713,I1713)=1,1,0)</f>
        <v>0</v>
      </c>
      <c r="R1713" s="22">
        <f t="shared" si="26"/>
        <v>1</v>
      </c>
      <c r="S1713" s="33">
        <f>IF(COUNTIF(O$2:O1713,O1713)=1,R1713,0)/2.5</f>
        <v>0.4</v>
      </c>
    </row>
    <row r="1714" spans="1:19" ht="18" customHeight="1" x14ac:dyDescent="0.25">
      <c r="A1714" s="7" t="s">
        <v>37</v>
      </c>
      <c r="B1714" s="8">
        <v>1</v>
      </c>
      <c r="C1714" s="9">
        <v>583</v>
      </c>
      <c r="D1714" s="29">
        <f>C1714+IF(INDEX('Справочник по %'!B:B,(MATCH(A1714,'Справочник по %'!A:A,0)))="кол-во",B1714*INDEX('Справочник по %'!C:C,(MATCH(A1714,'Справочник по %'!A:A,0))),ОТЧЕТ!C1714*INDEX('Справочник по %'!C:C,(MATCH(A1714,'Справочник по %'!A:A,0))))/100</f>
        <v>583.20000000000005</v>
      </c>
      <c r="E1714" s="29">
        <f>IF(ОТЧЕТ!A1714="SKU3",C1714+ОТЧЕТ!C1714*0.2,C1714+ОТЧЕТ!C1714*0.15)</f>
        <v>670.45</v>
      </c>
      <c r="F1714" s="7" t="s">
        <v>3541</v>
      </c>
      <c r="G1714" s="7">
        <v>2308110232</v>
      </c>
      <c r="H1714" s="20" t="s">
        <v>69</v>
      </c>
      <c r="I1714" s="22" t="str">
        <f>INDEX('Справочник Сети'!B:B,(MATCH(G1714,'Справочник Сети'!C:C,0)))</f>
        <v>Нео-фарм</v>
      </c>
      <c r="J1714" s="7" t="s">
        <v>372</v>
      </c>
      <c r="K1714" s="7" t="s">
        <v>3545</v>
      </c>
      <c r="L1714" s="7" t="s">
        <v>372</v>
      </c>
      <c r="M1714" s="31">
        <v>45730</v>
      </c>
      <c r="N1714" s="7" t="s">
        <v>3546</v>
      </c>
      <c r="O1714" s="8">
        <v>131</v>
      </c>
      <c r="P1714" s="24">
        <v>6985</v>
      </c>
      <c r="Q1714" s="22">
        <f>IF(COUNTIFS(A$2:A1714,A1714,I$2:I1714,I1714)=1,1,0)</f>
        <v>0</v>
      </c>
      <c r="R1714" s="22">
        <f t="shared" si="26"/>
        <v>1</v>
      </c>
      <c r="S1714" s="33">
        <f>IF(COUNTIF(O$2:O1714,O1714)=1,R1714,0)/2.5</f>
        <v>0.4</v>
      </c>
    </row>
    <row r="1715" spans="1:19" ht="18" customHeight="1" x14ac:dyDescent="0.25">
      <c r="A1715" s="7" t="s">
        <v>43</v>
      </c>
      <c r="B1715" s="8">
        <v>1</v>
      </c>
      <c r="C1715" s="9">
        <v>437</v>
      </c>
      <c r="D1715" s="29">
        <f>C1715+IF(INDEX('Справочник по %'!B:B,(MATCH(A1715,'Справочник по %'!A:A,0)))="кол-во",B1715*INDEX('Справочник по %'!C:C,(MATCH(A1715,'Справочник по %'!A:A,0))),ОТЧЕТ!C1715*INDEX('Справочник по %'!C:C,(MATCH(A1715,'Справочник по %'!A:A,0))))/100</f>
        <v>480.7</v>
      </c>
      <c r="E1715" s="29">
        <f>IF(ОТЧЕТ!A1715="SKU3",C1715+ОТЧЕТ!C1715*0.2,C1715+ОТЧЕТ!C1715*0.15)</f>
        <v>502.55</v>
      </c>
      <c r="F1715" s="7" t="s">
        <v>3547</v>
      </c>
      <c r="G1715" s="7">
        <v>7714844316</v>
      </c>
      <c r="H1715" s="20" t="s">
        <v>50</v>
      </c>
      <c r="I1715" s="22" t="str">
        <f>INDEX('Справочник Сети'!B:B,(MATCH(G1715,'Справочник Сети'!C:C,0)))</f>
        <v>Планета здоровья</v>
      </c>
      <c r="J1715" s="7" t="s">
        <v>504</v>
      </c>
      <c r="K1715" s="7" t="s">
        <v>2925</v>
      </c>
      <c r="L1715" s="7" t="s">
        <v>504</v>
      </c>
      <c r="M1715" s="31">
        <v>45690</v>
      </c>
      <c r="N1715" s="7" t="s">
        <v>3548</v>
      </c>
      <c r="O1715" s="8">
        <v>1048</v>
      </c>
      <c r="P1715" s="24">
        <v>6988</v>
      </c>
      <c r="Q1715" s="22">
        <f>IF(COUNTIFS(A$2:A1715,A1715,I$2:I1715,I1715)=1,1,0)</f>
        <v>0</v>
      </c>
      <c r="R1715" s="22">
        <f t="shared" si="26"/>
        <v>5</v>
      </c>
      <c r="S1715" s="33">
        <f>IF(COUNTIF(O$2:O1715,O1715)=1,R1715,0)/2.5</f>
        <v>0</v>
      </c>
    </row>
    <row r="1716" spans="1:19" ht="18" customHeight="1" x14ac:dyDescent="0.25">
      <c r="A1716" s="7" t="s">
        <v>43</v>
      </c>
      <c r="B1716" s="8">
        <v>1</v>
      </c>
      <c r="C1716" s="9">
        <v>417.57</v>
      </c>
      <c r="D1716" s="29">
        <f>C1716+IF(INDEX('Справочник по %'!B:B,(MATCH(A1716,'Справочник по %'!A:A,0)))="кол-во",B1716*INDEX('Справочник по %'!C:C,(MATCH(A1716,'Справочник по %'!A:A,0))),ОТЧЕТ!C1716*INDEX('Справочник по %'!C:C,(MATCH(A1716,'Справочник по %'!A:A,0))))/100</f>
        <v>459.327</v>
      </c>
      <c r="E1716" s="29">
        <f>IF(ОТЧЕТ!A1716="SKU3",C1716+ОТЧЕТ!C1716*0.2,C1716+ОТЧЕТ!C1716*0.15)</f>
        <v>480.20549999999997</v>
      </c>
      <c r="F1716" s="7" t="s">
        <v>3549</v>
      </c>
      <c r="G1716" s="7">
        <v>550704589807</v>
      </c>
      <c r="H1716" s="20" t="s">
        <v>50</v>
      </c>
      <c r="I1716" s="22" t="str">
        <f>INDEX('Справочник Сети'!B:B,(MATCH(G1716,'Справочник Сети'!C:C,0)))</f>
        <v>Столички</v>
      </c>
      <c r="J1716" s="7" t="s">
        <v>251</v>
      </c>
      <c r="K1716" s="7" t="s">
        <v>621</v>
      </c>
      <c r="L1716" s="7" t="s">
        <v>251</v>
      </c>
      <c r="M1716" s="31">
        <v>45659</v>
      </c>
      <c r="N1716" s="7" t="s">
        <v>3550</v>
      </c>
      <c r="O1716" s="8">
        <v>1134</v>
      </c>
      <c r="P1716" s="24">
        <v>6990</v>
      </c>
      <c r="Q1716" s="22">
        <f>IF(COUNTIFS(A$2:A1716,A1716,I$2:I1716,I1716)=1,1,0)</f>
        <v>0</v>
      </c>
      <c r="R1716" s="22">
        <f t="shared" si="26"/>
        <v>4</v>
      </c>
      <c r="S1716" s="33">
        <f>IF(COUNTIF(O$2:O1716,O1716)=1,R1716,0)/2.5</f>
        <v>0</v>
      </c>
    </row>
    <row r="1717" spans="1:19" ht="18" customHeight="1" x14ac:dyDescent="0.25">
      <c r="A1717" s="7" t="s">
        <v>37</v>
      </c>
      <c r="B1717" s="8">
        <v>1</v>
      </c>
      <c r="C1717" s="9">
        <v>566</v>
      </c>
      <c r="D1717" s="29">
        <f>C1717+IF(INDEX('Справочник по %'!B:B,(MATCH(A1717,'Справочник по %'!A:A,0)))="кол-во",B1717*INDEX('Справочник по %'!C:C,(MATCH(A1717,'Справочник по %'!A:A,0))),ОТЧЕТ!C1717*INDEX('Справочник по %'!C:C,(MATCH(A1717,'Справочник по %'!A:A,0))))/100</f>
        <v>566.20000000000005</v>
      </c>
      <c r="E1717" s="29">
        <f>IF(ОТЧЕТ!A1717="SKU3",C1717+ОТЧЕТ!C1717*0.2,C1717+ОТЧЕТ!C1717*0.15)</f>
        <v>650.9</v>
      </c>
      <c r="F1717" s="7" t="s">
        <v>3551</v>
      </c>
      <c r="G1717" s="7">
        <v>7704865540</v>
      </c>
      <c r="H1717" s="20" t="s">
        <v>91</v>
      </c>
      <c r="I1717" s="22" t="str">
        <f>INDEX('Справочник Сети'!B:B,(MATCH(G1717,'Справочник Сети'!C:C,0)))</f>
        <v>Столички</v>
      </c>
      <c r="J1717" s="7" t="s">
        <v>104</v>
      </c>
      <c r="K1717" s="7" t="s">
        <v>1393</v>
      </c>
      <c r="L1717" s="7" t="s">
        <v>104</v>
      </c>
      <c r="M1717" s="31">
        <v>45693</v>
      </c>
      <c r="N1717" s="7" t="s">
        <v>3552</v>
      </c>
      <c r="O1717" s="8">
        <v>2522</v>
      </c>
      <c r="P1717" s="24">
        <v>6996</v>
      </c>
      <c r="Q1717" s="22">
        <f>IF(COUNTIFS(A$2:A1717,A1717,I$2:I1717,I1717)=1,1,0)</f>
        <v>0</v>
      </c>
      <c r="R1717" s="22">
        <f t="shared" si="26"/>
        <v>1</v>
      </c>
      <c r="S1717" s="33">
        <f>IF(COUNTIF(O$2:O1717,O1717)=1,R1717,0)/2.5</f>
        <v>0.4</v>
      </c>
    </row>
    <row r="1718" spans="1:19" ht="18" customHeight="1" x14ac:dyDescent="0.25">
      <c r="A1718" s="7" t="s">
        <v>43</v>
      </c>
      <c r="B1718" s="8">
        <v>1</v>
      </c>
      <c r="C1718" s="9">
        <v>507</v>
      </c>
      <c r="D1718" s="29">
        <f>C1718+IF(INDEX('Справочник по %'!B:B,(MATCH(A1718,'Справочник по %'!A:A,0)))="кол-во",B1718*INDEX('Справочник по %'!C:C,(MATCH(A1718,'Справочник по %'!A:A,0))),ОТЧЕТ!C1718*INDEX('Справочник по %'!C:C,(MATCH(A1718,'Справочник по %'!A:A,0))))/100</f>
        <v>557.70000000000005</v>
      </c>
      <c r="E1718" s="29">
        <f>IF(ОТЧЕТ!A1718="SKU3",C1718+ОТЧЕТ!C1718*0.2,C1718+ОТЧЕТ!C1718*0.15)</f>
        <v>583.04999999999995</v>
      </c>
      <c r="F1718" s="7" t="s">
        <v>3551</v>
      </c>
      <c r="G1718" s="7">
        <v>7806510994</v>
      </c>
      <c r="H1718" s="20" t="s">
        <v>50</v>
      </c>
      <c r="I1718" s="22" t="str">
        <f>INDEX('Справочник Сети'!B:B,(MATCH(G1718,'Справочник Сети'!C:C,0)))</f>
        <v>Ригла</v>
      </c>
      <c r="J1718" s="7" t="s">
        <v>353</v>
      </c>
      <c r="K1718" s="7" t="s">
        <v>3553</v>
      </c>
      <c r="L1718" s="7" t="s">
        <v>353</v>
      </c>
      <c r="M1718" s="31">
        <v>45672</v>
      </c>
      <c r="N1718" s="7" t="s">
        <v>3554</v>
      </c>
      <c r="O1718" s="8">
        <v>2408</v>
      </c>
      <c r="P1718" s="24">
        <v>6997</v>
      </c>
      <c r="Q1718" s="22">
        <f>IF(COUNTIFS(A$2:A1718,A1718,I$2:I1718,I1718)=1,1,0)</f>
        <v>0</v>
      </c>
      <c r="R1718" s="22">
        <f t="shared" si="26"/>
        <v>1</v>
      </c>
      <c r="S1718" s="33">
        <f>IF(COUNTIF(O$2:O1718,O1718)=1,R1718,0)/2.5</f>
        <v>0.4</v>
      </c>
    </row>
    <row r="1719" spans="1:19" ht="18" customHeight="1" x14ac:dyDescent="0.25">
      <c r="A1719" s="7" t="s">
        <v>43</v>
      </c>
      <c r="B1719" s="8">
        <v>1</v>
      </c>
      <c r="C1719" s="9">
        <v>358</v>
      </c>
      <c r="D1719" s="29">
        <f>C1719+IF(INDEX('Справочник по %'!B:B,(MATCH(A1719,'Справочник по %'!A:A,0)))="кол-во",B1719*INDEX('Справочник по %'!C:C,(MATCH(A1719,'Справочник по %'!A:A,0))),ОТЧЕТ!C1719*INDEX('Справочник по %'!C:C,(MATCH(A1719,'Справочник по %'!A:A,0))))/100</f>
        <v>393.8</v>
      </c>
      <c r="E1719" s="29">
        <f>IF(ОТЧЕТ!A1719="SKU3",C1719+ОТЧЕТ!C1719*0.2,C1719+ОТЧЕТ!C1719*0.15)</f>
        <v>411.7</v>
      </c>
      <c r="F1719" s="7" t="s">
        <v>3555</v>
      </c>
      <c r="G1719" s="7">
        <v>2310174829</v>
      </c>
      <c r="H1719" s="20" t="s">
        <v>50</v>
      </c>
      <c r="I1719" s="22">
        <f>INDEX('Справочник Сети'!B:B,(MATCH(G1719,'Справочник Сети'!C:C,0)))</f>
        <v>0</v>
      </c>
      <c r="J1719" s="7" t="s">
        <v>70</v>
      </c>
      <c r="K1719" s="7" t="s">
        <v>3556</v>
      </c>
      <c r="L1719" s="7" t="s">
        <v>57</v>
      </c>
      <c r="M1719" s="31">
        <v>45729</v>
      </c>
      <c r="N1719" s="7" t="s">
        <v>817</v>
      </c>
      <c r="O1719" s="8">
        <v>3428</v>
      </c>
      <c r="P1719" s="24">
        <v>6999</v>
      </c>
      <c r="Q1719" s="22">
        <f>IF(COUNTIFS(A$2:A1719,A1719,I$2:I1719,I1719)=1,1,0)</f>
        <v>0</v>
      </c>
      <c r="R1719" s="22">
        <f t="shared" si="26"/>
        <v>1</v>
      </c>
      <c r="S1719" s="33">
        <f>IF(COUNTIF(O$2:O1719,O1719)=1,R1719,0)/2.5</f>
        <v>0.4</v>
      </c>
    </row>
    <row r="1720" spans="1:19" ht="18" customHeight="1" x14ac:dyDescent="0.25">
      <c r="A1720" s="7" t="s">
        <v>43</v>
      </c>
      <c r="B1720" s="8">
        <v>1</v>
      </c>
      <c r="C1720" s="9">
        <v>499</v>
      </c>
      <c r="D1720" s="29">
        <f>C1720+IF(INDEX('Справочник по %'!B:B,(MATCH(A1720,'Справочник по %'!A:A,0)))="кол-во",B1720*INDEX('Справочник по %'!C:C,(MATCH(A1720,'Справочник по %'!A:A,0))),ОТЧЕТ!C1720*INDEX('Справочник по %'!C:C,(MATCH(A1720,'Справочник по %'!A:A,0))))/100</f>
        <v>548.9</v>
      </c>
      <c r="E1720" s="29">
        <f>IF(ОТЧЕТ!A1720="SKU3",C1720+ОТЧЕТ!C1720*0.2,C1720+ОТЧЕТ!C1720*0.15)</f>
        <v>573.85</v>
      </c>
      <c r="F1720" s="7" t="s">
        <v>3555</v>
      </c>
      <c r="G1720" s="7">
        <v>9718164298</v>
      </c>
      <c r="H1720" s="20" t="s">
        <v>91</v>
      </c>
      <c r="I1720" s="22">
        <f>INDEX('Справочник Сети'!B:B,(MATCH(G1720,'Справочник Сети'!C:C,0)))</f>
        <v>0</v>
      </c>
      <c r="J1720" s="7" t="s">
        <v>74</v>
      </c>
      <c r="K1720" s="7" t="s">
        <v>808</v>
      </c>
      <c r="L1720" s="7" t="s">
        <v>239</v>
      </c>
      <c r="M1720" s="31">
        <v>45662</v>
      </c>
      <c r="N1720" s="7" t="s">
        <v>3557</v>
      </c>
      <c r="O1720" s="8">
        <v>2572</v>
      </c>
      <c r="P1720" s="24">
        <v>7000</v>
      </c>
      <c r="Q1720" s="22">
        <f>IF(COUNTIFS(A$2:A1720,A1720,I$2:I1720,I1720)=1,1,0)</f>
        <v>0</v>
      </c>
      <c r="R1720" s="22">
        <f t="shared" si="26"/>
        <v>3</v>
      </c>
      <c r="S1720" s="33">
        <f>IF(COUNTIF(O$2:O1720,O1720)=1,R1720,0)/2.5</f>
        <v>0</v>
      </c>
    </row>
    <row r="1721" spans="1:19" ht="18" customHeight="1" x14ac:dyDescent="0.25">
      <c r="A1721" s="7" t="s">
        <v>43</v>
      </c>
      <c r="B1721" s="8">
        <v>1</v>
      </c>
      <c r="C1721" s="9">
        <v>470</v>
      </c>
      <c r="D1721" s="29">
        <f>C1721+IF(INDEX('Справочник по %'!B:B,(MATCH(A1721,'Справочник по %'!A:A,0)))="кол-во",B1721*INDEX('Справочник по %'!C:C,(MATCH(A1721,'Справочник по %'!A:A,0))),ОТЧЕТ!C1721*INDEX('Справочник по %'!C:C,(MATCH(A1721,'Справочник по %'!A:A,0))))/100</f>
        <v>517</v>
      </c>
      <c r="E1721" s="29">
        <f>IF(ОТЧЕТ!A1721="SKU3",C1721+ОТЧЕТ!C1721*0.2,C1721+ОТЧЕТ!C1721*0.15)</f>
        <v>540.5</v>
      </c>
      <c r="F1721" s="7" t="s">
        <v>3558</v>
      </c>
      <c r="G1721" s="7">
        <v>7840411560</v>
      </c>
      <c r="H1721" s="20" t="s">
        <v>3559</v>
      </c>
      <c r="I1721" s="22" t="str">
        <f>INDEX('Справочник Сети'!B:B,(MATCH(G1721,'Справочник Сети'!C:C,0)))</f>
        <v>Столички</v>
      </c>
      <c r="J1721" s="7" t="s">
        <v>315</v>
      </c>
      <c r="K1721" s="7" t="s">
        <v>3545</v>
      </c>
      <c r="L1721" s="7" t="s">
        <v>315</v>
      </c>
      <c r="M1721" s="31">
        <v>45670</v>
      </c>
      <c r="N1721" s="7" t="s">
        <v>3560</v>
      </c>
      <c r="O1721" s="8">
        <v>1402</v>
      </c>
      <c r="P1721" s="24">
        <v>7002</v>
      </c>
      <c r="Q1721" s="22">
        <f>IF(COUNTIFS(A$2:A1721,A1721,I$2:I1721,I1721)=1,1,0)</f>
        <v>0</v>
      </c>
      <c r="R1721" s="22">
        <f t="shared" si="26"/>
        <v>2</v>
      </c>
      <c r="S1721" s="33">
        <f>IF(COUNTIF(O$2:O1721,O1721)=1,R1721,0)/2.5</f>
        <v>0.8</v>
      </c>
    </row>
    <row r="1722" spans="1:19" ht="18" customHeight="1" x14ac:dyDescent="0.25">
      <c r="A1722" s="7" t="s">
        <v>43</v>
      </c>
      <c r="B1722" s="8">
        <v>1</v>
      </c>
      <c r="C1722" s="9">
        <v>468</v>
      </c>
      <c r="D1722" s="29">
        <f>C1722+IF(INDEX('Справочник по %'!B:B,(MATCH(A1722,'Справочник по %'!A:A,0)))="кол-во",B1722*INDEX('Справочник по %'!C:C,(MATCH(A1722,'Справочник по %'!A:A,0))),ОТЧЕТ!C1722*INDEX('Справочник по %'!C:C,(MATCH(A1722,'Справочник по %'!A:A,0))))/100</f>
        <v>514.79999999999995</v>
      </c>
      <c r="E1722" s="29">
        <f>IF(ОТЧЕТ!A1722="SKU3",C1722+ОТЧЕТ!C1722*0.2,C1722+ОТЧЕТ!C1722*0.15)</f>
        <v>538.20000000000005</v>
      </c>
      <c r="F1722" s="7" t="s">
        <v>3561</v>
      </c>
      <c r="G1722" s="7">
        <v>2301048666</v>
      </c>
      <c r="H1722" s="20" t="s">
        <v>50</v>
      </c>
      <c r="I1722" s="22" t="str">
        <f>INDEX('Справочник Сети'!B:B,(MATCH(G1722,'Справочник Сети'!C:C,0)))</f>
        <v>Столички</v>
      </c>
      <c r="J1722" s="7" t="s">
        <v>372</v>
      </c>
      <c r="K1722" s="7" t="s">
        <v>1631</v>
      </c>
      <c r="L1722" s="7" t="s">
        <v>372</v>
      </c>
      <c r="M1722" s="31">
        <v>45730</v>
      </c>
      <c r="N1722" s="7" t="s">
        <v>3562</v>
      </c>
      <c r="O1722" s="8">
        <v>699</v>
      </c>
      <c r="P1722" s="24">
        <v>7006</v>
      </c>
      <c r="Q1722" s="22">
        <f>IF(COUNTIFS(A$2:A1722,A1722,I$2:I1722,I1722)=1,1,0)</f>
        <v>0</v>
      </c>
      <c r="R1722" s="22">
        <f t="shared" si="26"/>
        <v>2</v>
      </c>
      <c r="S1722" s="33">
        <f>IF(COUNTIF(O$2:O1722,O1722)=1,R1722,0)/2.5</f>
        <v>0</v>
      </c>
    </row>
    <row r="1723" spans="1:19" ht="18" customHeight="1" x14ac:dyDescent="0.25">
      <c r="A1723" s="7" t="s">
        <v>43</v>
      </c>
      <c r="B1723" s="8">
        <v>1</v>
      </c>
      <c r="C1723" s="9">
        <v>405</v>
      </c>
      <c r="D1723" s="29">
        <f>C1723+IF(INDEX('Справочник по %'!B:B,(MATCH(A1723,'Справочник по %'!A:A,0)))="кол-во",B1723*INDEX('Справочник по %'!C:C,(MATCH(A1723,'Справочник по %'!A:A,0))),ОТЧЕТ!C1723*INDEX('Справочник по %'!C:C,(MATCH(A1723,'Справочник по %'!A:A,0))))/100</f>
        <v>445.5</v>
      </c>
      <c r="E1723" s="29">
        <f>IF(ОТЧЕТ!A1723="SKU3",C1723+ОТЧЕТ!C1723*0.2,C1723+ОТЧЕТ!C1723*0.15)</f>
        <v>465.75</v>
      </c>
      <c r="F1723" s="7" t="s">
        <v>3563</v>
      </c>
      <c r="G1723" s="7">
        <v>2225105670</v>
      </c>
      <c r="H1723" s="20" t="s">
        <v>69</v>
      </c>
      <c r="I1723" s="22" t="str">
        <f>INDEX('Справочник Сети'!B:B,(MATCH(G1723,'Справочник Сети'!C:C,0)))</f>
        <v>Столички</v>
      </c>
      <c r="J1723" s="7" t="s">
        <v>372</v>
      </c>
      <c r="K1723" s="7" t="s">
        <v>591</v>
      </c>
      <c r="L1723" s="7" t="s">
        <v>372</v>
      </c>
      <c r="M1723" s="31">
        <v>45730</v>
      </c>
      <c r="N1723" s="7" t="s">
        <v>2965</v>
      </c>
      <c r="O1723" s="8">
        <v>1188</v>
      </c>
      <c r="P1723" s="24">
        <v>7009</v>
      </c>
      <c r="Q1723" s="22">
        <f>IF(COUNTIFS(A$2:A1723,A1723,I$2:I1723,I1723)=1,1,0)</f>
        <v>0</v>
      </c>
      <c r="R1723" s="22">
        <f t="shared" si="26"/>
        <v>14</v>
      </c>
      <c r="S1723" s="33">
        <f>IF(COUNTIF(O$2:O1723,O1723)=1,R1723,0)/2.5</f>
        <v>0</v>
      </c>
    </row>
    <row r="1724" spans="1:19" ht="18" customHeight="1" x14ac:dyDescent="0.25">
      <c r="A1724" s="7" t="s">
        <v>43</v>
      </c>
      <c r="B1724" s="8">
        <v>1</v>
      </c>
      <c r="C1724" s="9">
        <v>369</v>
      </c>
      <c r="D1724" s="29">
        <f>C1724+IF(INDEX('Справочник по %'!B:B,(MATCH(A1724,'Справочник по %'!A:A,0)))="кол-во",B1724*INDEX('Справочник по %'!C:C,(MATCH(A1724,'Справочник по %'!A:A,0))),ОТЧЕТ!C1724*INDEX('Справочник по %'!C:C,(MATCH(A1724,'Справочник по %'!A:A,0))))/100</f>
        <v>405.9</v>
      </c>
      <c r="E1724" s="29">
        <f>IF(ОТЧЕТ!A1724="SKU3",C1724+ОТЧЕТ!C1724*0.2,C1724+ОТЧЕТ!C1724*0.15)</f>
        <v>424.35</v>
      </c>
      <c r="F1724" s="7" t="s">
        <v>3563</v>
      </c>
      <c r="G1724" s="7">
        <v>7706795062</v>
      </c>
      <c r="H1724" s="20" t="s">
        <v>3564</v>
      </c>
      <c r="I1724" s="22" t="str">
        <f>INDEX('Справочник Сети'!B:B,(MATCH(G1724,'Справочник Сети'!C:C,0)))</f>
        <v>Планета здоровья</v>
      </c>
      <c r="J1724" s="7" t="s">
        <v>87</v>
      </c>
      <c r="K1724" s="7" t="s">
        <v>3565</v>
      </c>
      <c r="L1724" s="7" t="s">
        <v>87</v>
      </c>
      <c r="M1724" s="31">
        <v>45691</v>
      </c>
      <c r="N1724" s="7" t="s">
        <v>3566</v>
      </c>
      <c r="O1724" s="8">
        <v>1367</v>
      </c>
      <c r="P1724" s="24">
        <v>7011</v>
      </c>
      <c r="Q1724" s="22">
        <f>IF(COUNTIFS(A$2:A1724,A1724,I$2:I1724,I1724)=1,1,0)</f>
        <v>0</v>
      </c>
      <c r="R1724" s="22">
        <f t="shared" si="26"/>
        <v>2</v>
      </c>
      <c r="S1724" s="33">
        <f>IF(COUNTIF(O$2:O1724,O1724)=1,R1724,0)/2.5</f>
        <v>0.8</v>
      </c>
    </row>
    <row r="1725" spans="1:19" ht="18" customHeight="1" x14ac:dyDescent="0.25">
      <c r="A1725" s="7" t="s">
        <v>43</v>
      </c>
      <c r="B1725" s="8">
        <v>1</v>
      </c>
      <c r="C1725" s="9">
        <v>311</v>
      </c>
      <c r="D1725" s="29">
        <f>C1725+IF(INDEX('Справочник по %'!B:B,(MATCH(A1725,'Справочник по %'!A:A,0)))="кол-во",B1725*INDEX('Справочник по %'!C:C,(MATCH(A1725,'Справочник по %'!A:A,0))),ОТЧЕТ!C1725*INDEX('Справочник по %'!C:C,(MATCH(A1725,'Справочник по %'!A:A,0))))/100</f>
        <v>342.1</v>
      </c>
      <c r="E1725" s="29">
        <f>IF(ОТЧЕТ!A1725="SKU3",C1725+ОТЧЕТ!C1725*0.2,C1725+ОТЧЕТ!C1725*0.15)</f>
        <v>357.65</v>
      </c>
      <c r="F1725" s="7" t="s">
        <v>3563</v>
      </c>
      <c r="G1725" s="7">
        <v>2308124789</v>
      </c>
      <c r="H1725" s="20" t="s">
        <v>50</v>
      </c>
      <c r="I1725" s="22">
        <f>INDEX('Справочник Сети'!B:B,(MATCH(G1725,'Справочник Сети'!C:C,0)))</f>
        <v>0</v>
      </c>
      <c r="J1725" s="7" t="s">
        <v>57</v>
      </c>
      <c r="K1725" s="7" t="s">
        <v>1313</v>
      </c>
      <c r="L1725" s="7" t="s">
        <v>57</v>
      </c>
      <c r="M1725" s="31">
        <v>45729</v>
      </c>
      <c r="N1725" s="7" t="s">
        <v>3567</v>
      </c>
      <c r="O1725" s="8">
        <v>2219</v>
      </c>
      <c r="P1725" s="24">
        <v>7015</v>
      </c>
      <c r="Q1725" s="22">
        <f>IF(COUNTIFS(A$2:A1725,A1725,I$2:I1725,I1725)=1,1,0)</f>
        <v>0</v>
      </c>
      <c r="R1725" s="22">
        <f t="shared" si="26"/>
        <v>2</v>
      </c>
      <c r="S1725" s="33">
        <f>IF(COUNTIF(O$2:O1725,O1725)=1,R1725,0)/2.5</f>
        <v>0</v>
      </c>
    </row>
    <row r="1726" spans="1:19" ht="18" customHeight="1" x14ac:dyDescent="0.25">
      <c r="A1726" s="7" t="s">
        <v>43</v>
      </c>
      <c r="B1726" s="8">
        <v>1</v>
      </c>
      <c r="C1726" s="9">
        <v>458</v>
      </c>
      <c r="D1726" s="29">
        <f>C1726+IF(INDEX('Справочник по %'!B:B,(MATCH(A1726,'Справочник по %'!A:A,0)))="кол-во",B1726*INDEX('Справочник по %'!C:C,(MATCH(A1726,'Справочник по %'!A:A,0))),ОТЧЕТ!C1726*INDEX('Справочник по %'!C:C,(MATCH(A1726,'Справочник по %'!A:A,0))))/100</f>
        <v>503.8</v>
      </c>
      <c r="E1726" s="29">
        <f>IF(ОТЧЕТ!A1726="SKU3",C1726+ОТЧЕТ!C1726*0.2,C1726+ОТЧЕТ!C1726*0.15)</f>
        <v>526.70000000000005</v>
      </c>
      <c r="F1726" s="7" t="s">
        <v>3563</v>
      </c>
      <c r="G1726" s="7">
        <v>6166069696</v>
      </c>
      <c r="H1726" s="20" t="s">
        <v>1867</v>
      </c>
      <c r="I1726" s="22">
        <f>INDEX('Справочник Сети'!B:B,(MATCH(G1726,'Справочник Сети'!C:C,0)))</f>
        <v>0</v>
      </c>
      <c r="J1726" s="7" t="s">
        <v>203</v>
      </c>
      <c r="K1726" s="7" t="s">
        <v>3568</v>
      </c>
      <c r="L1726" s="7" t="s">
        <v>203</v>
      </c>
      <c r="M1726" s="31">
        <v>45696</v>
      </c>
      <c r="N1726" s="7" t="s">
        <v>3569</v>
      </c>
      <c r="O1726" s="8">
        <v>1976</v>
      </c>
      <c r="P1726" s="24">
        <v>7017</v>
      </c>
      <c r="Q1726" s="22">
        <f>IF(COUNTIFS(A$2:A1726,A1726,I$2:I1726,I1726)=1,1,0)</f>
        <v>0</v>
      </c>
      <c r="R1726" s="22">
        <f t="shared" si="26"/>
        <v>4</v>
      </c>
      <c r="S1726" s="33">
        <f>IF(COUNTIF(O$2:O1726,O1726)=1,R1726,0)/2.5</f>
        <v>0</v>
      </c>
    </row>
    <row r="1727" spans="1:19" ht="18" customHeight="1" x14ac:dyDescent="0.25">
      <c r="A1727" s="7" t="s">
        <v>43</v>
      </c>
      <c r="B1727" s="8">
        <v>1</v>
      </c>
      <c r="C1727" s="9">
        <v>516</v>
      </c>
      <c r="D1727" s="29">
        <f>C1727+IF(INDEX('Справочник по %'!B:B,(MATCH(A1727,'Справочник по %'!A:A,0)))="кол-во",B1727*INDEX('Справочник по %'!C:C,(MATCH(A1727,'Справочник по %'!A:A,0))),ОТЧЕТ!C1727*INDEX('Справочник по %'!C:C,(MATCH(A1727,'Справочник по %'!A:A,0))))/100</f>
        <v>567.6</v>
      </c>
      <c r="E1727" s="29">
        <f>IF(ОТЧЕТ!A1727="SKU3",C1727+ОТЧЕТ!C1727*0.2,C1727+ОТЧЕТ!C1727*0.15)</f>
        <v>593.4</v>
      </c>
      <c r="F1727" s="7" t="s">
        <v>3563</v>
      </c>
      <c r="G1727" s="7">
        <v>4707025487</v>
      </c>
      <c r="H1727" s="20" t="s">
        <v>50</v>
      </c>
      <c r="I1727" s="22">
        <f>INDEX('Справочник Сети'!B:B,(MATCH(G1727,'Справочник Сети'!C:C,0)))</f>
        <v>0</v>
      </c>
      <c r="J1727" s="7" t="s">
        <v>83</v>
      </c>
      <c r="K1727" s="7" t="s">
        <v>3565</v>
      </c>
      <c r="L1727" s="7" t="s">
        <v>83</v>
      </c>
      <c r="M1727" s="31">
        <v>45715</v>
      </c>
      <c r="N1727" s="7" t="s">
        <v>3570</v>
      </c>
      <c r="O1727" s="8">
        <v>3334</v>
      </c>
      <c r="P1727" s="24">
        <v>7018</v>
      </c>
      <c r="Q1727" s="22">
        <f>IF(COUNTIFS(A$2:A1727,A1727,I$2:I1727,I1727)=1,1,0)</f>
        <v>0</v>
      </c>
      <c r="R1727" s="22">
        <f t="shared" si="26"/>
        <v>6</v>
      </c>
      <c r="S1727" s="33">
        <f>IF(COUNTIF(O$2:O1727,O1727)=1,R1727,0)/2.5</f>
        <v>0</v>
      </c>
    </row>
    <row r="1728" spans="1:19" ht="18" customHeight="1" x14ac:dyDescent="0.25">
      <c r="A1728" s="7" t="s">
        <v>43</v>
      </c>
      <c r="B1728" s="8">
        <v>1</v>
      </c>
      <c r="C1728" s="9">
        <v>599</v>
      </c>
      <c r="D1728" s="29">
        <f>C1728+IF(INDEX('Справочник по %'!B:B,(MATCH(A1728,'Справочник по %'!A:A,0)))="кол-во",B1728*INDEX('Справочник по %'!C:C,(MATCH(A1728,'Справочник по %'!A:A,0))),ОТЧЕТ!C1728*INDEX('Справочник по %'!C:C,(MATCH(A1728,'Справочник по %'!A:A,0))))/100</f>
        <v>658.9</v>
      </c>
      <c r="E1728" s="29">
        <f>IF(ОТЧЕТ!A1728="SKU3",C1728+ОТЧЕТ!C1728*0.2,C1728+ОТЧЕТ!C1728*0.15)</f>
        <v>688.85</v>
      </c>
      <c r="F1728" s="7" t="s">
        <v>3563</v>
      </c>
      <c r="G1728" s="7">
        <v>7714844316</v>
      </c>
      <c r="H1728" s="20" t="s">
        <v>3571</v>
      </c>
      <c r="I1728" s="22" t="str">
        <f>INDEX('Справочник Сети'!B:B,(MATCH(G1728,'Справочник Сети'!C:C,0)))</f>
        <v>Планета здоровья</v>
      </c>
      <c r="J1728" s="7" t="s">
        <v>504</v>
      </c>
      <c r="K1728" s="7" t="s">
        <v>320</v>
      </c>
      <c r="L1728" s="7" t="s">
        <v>504</v>
      </c>
      <c r="M1728" s="31">
        <v>45690</v>
      </c>
      <c r="N1728" s="7" t="s">
        <v>3572</v>
      </c>
      <c r="O1728" s="8">
        <v>3177</v>
      </c>
      <c r="P1728" s="24">
        <v>7019</v>
      </c>
      <c r="Q1728" s="22">
        <f>IF(COUNTIFS(A$2:A1728,A1728,I$2:I1728,I1728)=1,1,0)</f>
        <v>0</v>
      </c>
      <c r="R1728" s="22">
        <f t="shared" si="26"/>
        <v>2</v>
      </c>
      <c r="S1728" s="33">
        <f>IF(COUNTIF(O$2:O1728,O1728)=1,R1728,0)/2.5</f>
        <v>0.8</v>
      </c>
    </row>
    <row r="1729" spans="1:19" ht="18" customHeight="1" x14ac:dyDescent="0.25">
      <c r="A1729" s="7" t="s">
        <v>43</v>
      </c>
      <c r="B1729" s="8">
        <v>1</v>
      </c>
      <c r="C1729" s="9">
        <v>489.9</v>
      </c>
      <c r="D1729" s="29">
        <f>C1729+IF(INDEX('Справочник по %'!B:B,(MATCH(A1729,'Справочник по %'!A:A,0)))="кол-во",B1729*INDEX('Справочник по %'!C:C,(MATCH(A1729,'Справочник по %'!A:A,0))),ОТЧЕТ!C1729*INDEX('Справочник по %'!C:C,(MATCH(A1729,'Справочник по %'!A:A,0))))/100</f>
        <v>538.89</v>
      </c>
      <c r="E1729" s="29">
        <f>IF(ОТЧЕТ!A1729="SKU3",C1729+ОТЧЕТ!C1729*0.2,C1729+ОТЧЕТ!C1729*0.15)</f>
        <v>563.38499999999999</v>
      </c>
      <c r="F1729" s="7" t="s">
        <v>3563</v>
      </c>
      <c r="G1729" s="7">
        <v>1841012052</v>
      </c>
      <c r="H1729" s="20" t="s">
        <v>371</v>
      </c>
      <c r="I1729" s="22" t="str">
        <f>INDEX('Справочник Сети'!B:B,(MATCH(G1729,'Справочник Сети'!C:C,0)))</f>
        <v>Столички</v>
      </c>
      <c r="J1729" s="7" t="s">
        <v>372</v>
      </c>
      <c r="K1729" s="7" t="s">
        <v>1687</v>
      </c>
      <c r="L1729" s="7" t="s">
        <v>335</v>
      </c>
      <c r="M1729" s="31">
        <v>45731</v>
      </c>
      <c r="N1729" s="7" t="s">
        <v>3573</v>
      </c>
      <c r="O1729" s="8">
        <v>1125</v>
      </c>
      <c r="P1729" s="24">
        <v>7023</v>
      </c>
      <c r="Q1729" s="22">
        <f>IF(COUNTIFS(A$2:A1729,A1729,I$2:I1729,I1729)=1,1,0)</f>
        <v>0</v>
      </c>
      <c r="R1729" s="22">
        <f t="shared" si="26"/>
        <v>3</v>
      </c>
      <c r="S1729" s="33">
        <f>IF(COUNTIF(O$2:O1729,O1729)=1,R1729,0)/2.5</f>
        <v>0</v>
      </c>
    </row>
    <row r="1730" spans="1:19" ht="18" customHeight="1" x14ac:dyDescent="0.25">
      <c r="A1730" s="7" t="s">
        <v>37</v>
      </c>
      <c r="B1730" s="8">
        <v>1</v>
      </c>
      <c r="C1730" s="9">
        <v>704</v>
      </c>
      <c r="D1730" s="29">
        <f>C1730+IF(INDEX('Справочник по %'!B:B,(MATCH(A1730,'Справочник по %'!A:A,0)))="кол-во",B1730*INDEX('Справочник по %'!C:C,(MATCH(A1730,'Справочник по %'!A:A,0))),ОТЧЕТ!C1730*INDEX('Справочник по %'!C:C,(MATCH(A1730,'Справочник по %'!A:A,0))))/100</f>
        <v>704.2</v>
      </c>
      <c r="E1730" s="29">
        <f>IF(ОТЧЕТ!A1730="SKU3",C1730+ОТЧЕТ!C1730*0.2,C1730+ОТЧЕТ!C1730*0.15)</f>
        <v>809.6</v>
      </c>
      <c r="F1730" s="7" t="s">
        <v>3563</v>
      </c>
      <c r="G1730" s="7">
        <v>1001054160</v>
      </c>
      <c r="H1730" s="20" t="s">
        <v>50</v>
      </c>
      <c r="I1730" s="22" t="str">
        <f>INDEX('Справочник Сети'!B:B,(MATCH(G1730,'Справочник Сети'!C:C,0)))</f>
        <v>Ригла</v>
      </c>
      <c r="J1730" s="7" t="s">
        <v>362</v>
      </c>
      <c r="K1730" s="7" t="s">
        <v>320</v>
      </c>
      <c r="L1730" s="7" t="s">
        <v>362</v>
      </c>
      <c r="M1730" s="31">
        <v>45732</v>
      </c>
      <c r="N1730" s="7" t="s">
        <v>3574</v>
      </c>
      <c r="O1730" s="8">
        <v>1499</v>
      </c>
      <c r="P1730" s="24">
        <v>7026</v>
      </c>
      <c r="Q1730" s="22">
        <f>IF(COUNTIFS(A$2:A1730,A1730,I$2:I1730,I1730)=1,1,0)</f>
        <v>0</v>
      </c>
      <c r="R1730" s="22">
        <f t="shared" si="26"/>
        <v>14</v>
      </c>
      <c r="S1730" s="33">
        <f>IF(COUNTIF(O$2:O1730,O1730)=1,R1730,0)/2.5</f>
        <v>0</v>
      </c>
    </row>
    <row r="1731" spans="1:19" ht="18" customHeight="1" x14ac:dyDescent="0.25">
      <c r="A1731" s="7" t="s">
        <v>43</v>
      </c>
      <c r="B1731" s="8">
        <v>1</v>
      </c>
      <c r="C1731" s="9">
        <v>417</v>
      </c>
      <c r="D1731" s="29">
        <f>C1731+IF(INDEX('Справочник по %'!B:B,(MATCH(A1731,'Справочник по %'!A:A,0)))="кол-во",B1731*INDEX('Справочник по %'!C:C,(MATCH(A1731,'Справочник по %'!A:A,0))),ОТЧЕТ!C1731*INDEX('Справочник по %'!C:C,(MATCH(A1731,'Справочник по %'!A:A,0))))/100</f>
        <v>458.7</v>
      </c>
      <c r="E1731" s="29">
        <f>IF(ОТЧЕТ!A1731="SKU3",C1731+ОТЧЕТ!C1731*0.2,C1731+ОТЧЕТ!C1731*0.15)</f>
        <v>479.55</v>
      </c>
      <c r="F1731" s="7" t="s">
        <v>3563</v>
      </c>
      <c r="G1731" s="7">
        <v>6722022100</v>
      </c>
      <c r="H1731" s="20" t="s">
        <v>50</v>
      </c>
      <c r="I1731" s="22">
        <f>INDEX('Справочник Сети'!B:B,(MATCH(G1731,'Справочник Сети'!C:C,0)))</f>
        <v>0</v>
      </c>
      <c r="J1731" s="7" t="s">
        <v>106</v>
      </c>
      <c r="K1731" s="7" t="s">
        <v>320</v>
      </c>
      <c r="L1731" s="7" t="s">
        <v>106</v>
      </c>
      <c r="M1731" s="31">
        <v>45694</v>
      </c>
      <c r="N1731" s="7" t="s">
        <v>3575</v>
      </c>
      <c r="O1731" s="8">
        <v>1700</v>
      </c>
      <c r="P1731" s="24">
        <v>7030</v>
      </c>
      <c r="Q1731" s="22">
        <f>IF(COUNTIFS(A$2:A1731,A1731,I$2:I1731,I1731)=1,1,0)</f>
        <v>0</v>
      </c>
      <c r="R1731" s="22">
        <f t="shared" ref="R1731:R1794" si="27">COUNTIF(O:O,O1731)</f>
        <v>5</v>
      </c>
      <c r="S1731" s="33">
        <f>IF(COUNTIF(O$2:O1731,O1731)=1,R1731,0)/2.5</f>
        <v>0</v>
      </c>
    </row>
    <row r="1732" spans="1:19" ht="18" customHeight="1" x14ac:dyDescent="0.25">
      <c r="A1732" s="7" t="s">
        <v>43</v>
      </c>
      <c r="B1732" s="8">
        <v>1</v>
      </c>
      <c r="C1732" s="9">
        <v>442.26</v>
      </c>
      <c r="D1732" s="29">
        <f>C1732+IF(INDEX('Справочник по %'!B:B,(MATCH(A1732,'Справочник по %'!A:A,0)))="кол-во",B1732*INDEX('Справочник по %'!C:C,(MATCH(A1732,'Справочник по %'!A:A,0))),ОТЧЕТ!C1732*INDEX('Справочник по %'!C:C,(MATCH(A1732,'Справочник по %'!A:A,0))))/100</f>
        <v>486.48599999999999</v>
      </c>
      <c r="E1732" s="29">
        <f>IF(ОТЧЕТ!A1732="SKU3",C1732+ОТЧЕТ!C1732*0.2,C1732+ОТЧЕТ!C1732*0.15)</f>
        <v>508.59899999999999</v>
      </c>
      <c r="F1732" s="7" t="s">
        <v>3563</v>
      </c>
      <c r="G1732" s="7">
        <v>550704589807</v>
      </c>
      <c r="H1732" s="20" t="s">
        <v>50</v>
      </c>
      <c r="I1732" s="22" t="str">
        <f>INDEX('Справочник Сети'!B:B,(MATCH(G1732,'Справочник Сети'!C:C,0)))</f>
        <v>Столички</v>
      </c>
      <c r="J1732" s="7" t="s">
        <v>251</v>
      </c>
      <c r="K1732" s="7" t="s">
        <v>3576</v>
      </c>
      <c r="L1732" s="7" t="s">
        <v>251</v>
      </c>
      <c r="M1732" s="31">
        <v>45659</v>
      </c>
      <c r="N1732" s="7" t="s">
        <v>3577</v>
      </c>
      <c r="O1732" s="8">
        <v>554</v>
      </c>
      <c r="P1732" s="24">
        <v>7032</v>
      </c>
      <c r="Q1732" s="22">
        <f>IF(COUNTIFS(A$2:A1732,A1732,I$2:I1732,I1732)=1,1,0)</f>
        <v>0</v>
      </c>
      <c r="R1732" s="22">
        <f t="shared" si="27"/>
        <v>5</v>
      </c>
      <c r="S1732" s="33">
        <f>IF(COUNTIF(O$2:O1732,O1732)=1,R1732,0)/2.5</f>
        <v>0</v>
      </c>
    </row>
    <row r="1733" spans="1:19" ht="18" customHeight="1" x14ac:dyDescent="0.25">
      <c r="A1733" s="7" t="s">
        <v>43</v>
      </c>
      <c r="B1733" s="8">
        <v>1</v>
      </c>
      <c r="C1733" s="9">
        <v>420.86</v>
      </c>
      <c r="D1733" s="29">
        <f>C1733+IF(INDEX('Справочник по %'!B:B,(MATCH(A1733,'Справочник по %'!A:A,0)))="кол-во",B1733*INDEX('Справочник по %'!C:C,(MATCH(A1733,'Справочник по %'!A:A,0))),ОТЧЕТ!C1733*INDEX('Справочник по %'!C:C,(MATCH(A1733,'Справочник по %'!A:A,0))))/100</f>
        <v>462.94600000000003</v>
      </c>
      <c r="E1733" s="29">
        <f>IF(ОТЧЕТ!A1733="SKU3",C1733+ОТЧЕТ!C1733*0.2,C1733+ОТЧЕТ!C1733*0.15)</f>
        <v>483.98900000000003</v>
      </c>
      <c r="F1733" s="7" t="s">
        <v>3578</v>
      </c>
      <c r="G1733" s="7">
        <v>5501207372</v>
      </c>
      <c r="H1733" s="20" t="s">
        <v>50</v>
      </c>
      <c r="I1733" s="22" t="str">
        <f>INDEX('Справочник Сети'!B:B,(MATCH(G1733,'Справочник Сети'!C:C,0)))</f>
        <v>Ригла</v>
      </c>
      <c r="J1733" s="7" t="s">
        <v>255</v>
      </c>
      <c r="K1733" s="7" t="s">
        <v>3579</v>
      </c>
      <c r="L1733" s="7" t="s">
        <v>255</v>
      </c>
      <c r="M1733" s="31">
        <v>45713</v>
      </c>
      <c r="N1733" s="7" t="s">
        <v>3580</v>
      </c>
      <c r="O1733" s="8">
        <v>324</v>
      </c>
      <c r="P1733" s="24">
        <v>7034</v>
      </c>
      <c r="Q1733" s="22">
        <f>IF(COUNTIFS(A$2:A1733,A1733,I$2:I1733,I1733)=1,1,0)</f>
        <v>0</v>
      </c>
      <c r="R1733" s="22">
        <f t="shared" si="27"/>
        <v>8</v>
      </c>
      <c r="S1733" s="33">
        <f>IF(COUNTIF(O$2:O1733,O1733)=1,R1733,0)/2.5</f>
        <v>0</v>
      </c>
    </row>
    <row r="1734" spans="1:19" ht="18" customHeight="1" x14ac:dyDescent="0.25">
      <c r="A1734" s="7" t="s">
        <v>43</v>
      </c>
      <c r="B1734" s="8">
        <v>1</v>
      </c>
      <c r="C1734" s="9">
        <v>419</v>
      </c>
      <c r="D1734" s="29">
        <f>C1734+IF(INDEX('Справочник по %'!B:B,(MATCH(A1734,'Справочник по %'!A:A,0)))="кол-во",B1734*INDEX('Справочник по %'!C:C,(MATCH(A1734,'Справочник по %'!A:A,0))),ОТЧЕТ!C1734*INDEX('Справочник по %'!C:C,(MATCH(A1734,'Справочник по %'!A:A,0))))/100</f>
        <v>460.9</v>
      </c>
      <c r="E1734" s="29">
        <f>IF(ОТЧЕТ!A1734="SKU3",C1734+ОТЧЕТ!C1734*0.2,C1734+ОТЧЕТ!C1734*0.15)</f>
        <v>481.85</v>
      </c>
      <c r="F1734" s="7" t="s">
        <v>3581</v>
      </c>
      <c r="G1734" s="7">
        <v>2310096546</v>
      </c>
      <c r="H1734" s="20" t="s">
        <v>69</v>
      </c>
      <c r="I1734" s="22" t="str">
        <f>INDEX('Справочник Сети'!B:B,(MATCH(G1734,'Справочник Сети'!C:C,0)))</f>
        <v>36,6</v>
      </c>
      <c r="J1734" s="7" t="s">
        <v>57</v>
      </c>
      <c r="K1734" s="7" t="s">
        <v>3249</v>
      </c>
      <c r="L1734" s="7" t="s">
        <v>57</v>
      </c>
      <c r="M1734" s="31">
        <v>45729</v>
      </c>
      <c r="N1734" s="7" t="s">
        <v>3582</v>
      </c>
      <c r="O1734" s="8">
        <v>779</v>
      </c>
      <c r="P1734" s="24">
        <v>7036</v>
      </c>
      <c r="Q1734" s="22">
        <f>IF(COUNTIFS(A$2:A1734,A1734,I$2:I1734,I1734)=1,1,0)</f>
        <v>0</v>
      </c>
      <c r="R1734" s="22">
        <f t="shared" si="27"/>
        <v>3</v>
      </c>
      <c r="S1734" s="33">
        <f>IF(COUNTIF(O$2:O1734,O1734)=1,R1734,0)/2.5</f>
        <v>1.2</v>
      </c>
    </row>
    <row r="1735" spans="1:19" ht="18" customHeight="1" x14ac:dyDescent="0.25">
      <c r="A1735" s="7" t="s">
        <v>37</v>
      </c>
      <c r="B1735" s="8">
        <v>1</v>
      </c>
      <c r="C1735" s="9">
        <v>604.79999999999995</v>
      </c>
      <c r="D1735" s="29">
        <f>C1735+IF(INDEX('Справочник по %'!B:B,(MATCH(A1735,'Справочник по %'!A:A,0)))="кол-во",B1735*INDEX('Справочник по %'!C:C,(MATCH(A1735,'Справочник по %'!A:A,0))),ОТЧЕТ!C1735*INDEX('Справочник по %'!C:C,(MATCH(A1735,'Справочник по %'!A:A,0))))/100</f>
        <v>605</v>
      </c>
      <c r="E1735" s="29">
        <f>IF(ОТЧЕТ!A1735="SKU3",C1735+ОТЧЕТ!C1735*0.2,C1735+ОТЧЕТ!C1735*0.15)</f>
        <v>695.52</v>
      </c>
      <c r="F1735" s="7" t="s">
        <v>3583</v>
      </c>
      <c r="G1735" s="7">
        <v>550711904930</v>
      </c>
      <c r="H1735" s="20" t="s">
        <v>50</v>
      </c>
      <c r="I1735" s="22" t="str">
        <f>INDEX('Справочник Сети'!B:B,(MATCH(G1735,'Справочник Сети'!C:C,0)))</f>
        <v>Ригла</v>
      </c>
      <c r="J1735" s="7" t="s">
        <v>251</v>
      </c>
      <c r="K1735" s="7" t="s">
        <v>748</v>
      </c>
      <c r="L1735" s="7" t="s">
        <v>251</v>
      </c>
      <c r="M1735" s="31">
        <v>45659</v>
      </c>
      <c r="N1735" s="7" t="s">
        <v>3584</v>
      </c>
      <c r="O1735" s="8">
        <v>772</v>
      </c>
      <c r="P1735" s="24">
        <v>7038</v>
      </c>
      <c r="Q1735" s="22">
        <f>IF(COUNTIFS(A$2:A1735,A1735,I$2:I1735,I1735)=1,1,0)</f>
        <v>0</v>
      </c>
      <c r="R1735" s="22">
        <f t="shared" si="27"/>
        <v>1</v>
      </c>
      <c r="S1735" s="33">
        <f>IF(COUNTIF(O$2:O1735,O1735)=1,R1735,0)/2.5</f>
        <v>0.4</v>
      </c>
    </row>
    <row r="1736" spans="1:19" ht="18" customHeight="1" x14ac:dyDescent="0.25">
      <c r="A1736" s="7" t="s">
        <v>43</v>
      </c>
      <c r="B1736" s="8">
        <v>1</v>
      </c>
      <c r="C1736" s="9">
        <v>423</v>
      </c>
      <c r="D1736" s="29">
        <f>C1736+IF(INDEX('Справочник по %'!B:B,(MATCH(A1736,'Справочник по %'!A:A,0)))="кол-во",B1736*INDEX('Справочник по %'!C:C,(MATCH(A1736,'Справочник по %'!A:A,0))),ОТЧЕТ!C1736*INDEX('Справочник по %'!C:C,(MATCH(A1736,'Справочник по %'!A:A,0))))/100</f>
        <v>465.3</v>
      </c>
      <c r="E1736" s="29">
        <f>IF(ОТЧЕТ!A1736="SKU3",C1736+ОТЧЕТ!C1736*0.2,C1736+ОТЧЕТ!C1736*0.15)</f>
        <v>486.45</v>
      </c>
      <c r="F1736" s="7" t="s">
        <v>3583</v>
      </c>
      <c r="G1736" s="7">
        <v>5507102175</v>
      </c>
      <c r="H1736" s="20" t="s">
        <v>50</v>
      </c>
      <c r="I1736" s="22" t="str">
        <f>INDEX('Справочник Сети'!B:B,(MATCH(G1736,'Справочник Сети'!C:C,0)))</f>
        <v>Столички</v>
      </c>
      <c r="J1736" s="7" t="s">
        <v>255</v>
      </c>
      <c r="K1736" s="7" t="s">
        <v>3585</v>
      </c>
      <c r="L1736" s="7" t="s">
        <v>255</v>
      </c>
      <c r="M1736" s="31">
        <v>45713</v>
      </c>
      <c r="N1736" s="7" t="s">
        <v>3586</v>
      </c>
      <c r="O1736" s="8">
        <v>1140</v>
      </c>
      <c r="P1736" s="24">
        <v>7041</v>
      </c>
      <c r="Q1736" s="22">
        <f>IF(COUNTIFS(A$2:A1736,A1736,I$2:I1736,I1736)=1,1,0)</f>
        <v>0</v>
      </c>
      <c r="R1736" s="22">
        <f t="shared" si="27"/>
        <v>1</v>
      </c>
      <c r="S1736" s="33">
        <f>IF(COUNTIF(O$2:O1736,O1736)=1,R1736,0)/2.5</f>
        <v>0.4</v>
      </c>
    </row>
    <row r="1737" spans="1:19" ht="18" customHeight="1" x14ac:dyDescent="0.25">
      <c r="A1737" s="7" t="s">
        <v>43</v>
      </c>
      <c r="B1737" s="8">
        <v>1</v>
      </c>
      <c r="C1737" s="9">
        <v>515</v>
      </c>
      <c r="D1737" s="29">
        <f>C1737+IF(INDEX('Справочник по %'!B:B,(MATCH(A1737,'Справочник по %'!A:A,0)))="кол-во",B1737*INDEX('Справочник по %'!C:C,(MATCH(A1737,'Справочник по %'!A:A,0))),ОТЧЕТ!C1737*INDEX('Справочник по %'!C:C,(MATCH(A1737,'Справочник по %'!A:A,0))))/100</f>
        <v>566.5</v>
      </c>
      <c r="E1737" s="29">
        <f>IF(ОТЧЕТ!A1737="SKU3",C1737+ОТЧЕТ!C1737*0.2,C1737+ОТЧЕТ!C1737*0.15)</f>
        <v>592.25</v>
      </c>
      <c r="F1737" s="7" t="s">
        <v>3583</v>
      </c>
      <c r="G1737" s="7">
        <v>4710024740</v>
      </c>
      <c r="H1737" s="20" t="s">
        <v>50</v>
      </c>
      <c r="I1737" s="22" t="str">
        <f>INDEX('Справочник Сети'!B:B,(MATCH(G1737,'Справочник Сети'!C:C,0)))</f>
        <v>Ригла</v>
      </c>
      <c r="J1737" s="7" t="s">
        <v>83</v>
      </c>
      <c r="K1737" s="7" t="s">
        <v>3587</v>
      </c>
      <c r="L1737" s="7" t="s">
        <v>83</v>
      </c>
      <c r="M1737" s="31">
        <v>45715</v>
      </c>
      <c r="N1737" s="7" t="s">
        <v>3588</v>
      </c>
      <c r="O1737" s="8">
        <v>117</v>
      </c>
      <c r="P1737" s="24">
        <v>7042</v>
      </c>
      <c r="Q1737" s="22">
        <f>IF(COUNTIFS(A$2:A1737,A1737,I$2:I1737,I1737)=1,1,0)</f>
        <v>0</v>
      </c>
      <c r="R1737" s="22">
        <f t="shared" si="27"/>
        <v>3</v>
      </c>
      <c r="S1737" s="33">
        <f>IF(COUNTIF(O$2:O1737,O1737)=1,R1737,0)/2.5</f>
        <v>1.2</v>
      </c>
    </row>
    <row r="1738" spans="1:19" ht="18" customHeight="1" x14ac:dyDescent="0.25">
      <c r="A1738" s="7" t="s">
        <v>37</v>
      </c>
      <c r="B1738" s="8">
        <v>1</v>
      </c>
      <c r="C1738" s="9">
        <v>516</v>
      </c>
      <c r="D1738" s="29">
        <f>C1738+IF(INDEX('Справочник по %'!B:B,(MATCH(A1738,'Справочник по %'!A:A,0)))="кол-во",B1738*INDEX('Справочник по %'!C:C,(MATCH(A1738,'Справочник по %'!A:A,0))),ОТЧЕТ!C1738*INDEX('Справочник по %'!C:C,(MATCH(A1738,'Справочник по %'!A:A,0))))/100</f>
        <v>516.20000000000005</v>
      </c>
      <c r="E1738" s="29">
        <f>IF(ОТЧЕТ!A1738="SKU3",C1738+ОТЧЕТ!C1738*0.2,C1738+ОТЧЕТ!C1738*0.15)</f>
        <v>593.4</v>
      </c>
      <c r="F1738" s="7" t="s">
        <v>3583</v>
      </c>
      <c r="G1738" s="7">
        <v>7706795062</v>
      </c>
      <c r="H1738" s="20" t="s">
        <v>3506</v>
      </c>
      <c r="I1738" s="22" t="str">
        <f>INDEX('Справочник Сети'!B:B,(MATCH(G1738,'Справочник Сети'!C:C,0)))</f>
        <v>Планета здоровья</v>
      </c>
      <c r="J1738" s="7" t="s">
        <v>87</v>
      </c>
      <c r="K1738" s="7" t="s">
        <v>1782</v>
      </c>
      <c r="L1738" s="7" t="s">
        <v>87</v>
      </c>
      <c r="M1738" s="31">
        <v>45691</v>
      </c>
      <c r="N1738" s="7" t="s">
        <v>3589</v>
      </c>
      <c r="O1738" s="8">
        <v>2617</v>
      </c>
      <c r="P1738" s="24">
        <v>7044</v>
      </c>
      <c r="Q1738" s="22">
        <f>IF(COUNTIFS(A$2:A1738,A1738,I$2:I1738,I1738)=1,1,0)</f>
        <v>0</v>
      </c>
      <c r="R1738" s="22">
        <f t="shared" si="27"/>
        <v>3</v>
      </c>
      <c r="S1738" s="33">
        <f>IF(COUNTIF(O$2:O1738,O1738)=1,R1738,0)/2.5</f>
        <v>0</v>
      </c>
    </row>
    <row r="1739" spans="1:19" ht="18" customHeight="1" x14ac:dyDescent="0.25">
      <c r="A1739" s="7" t="s">
        <v>43</v>
      </c>
      <c r="B1739" s="8">
        <v>1</v>
      </c>
      <c r="C1739" s="9">
        <v>621</v>
      </c>
      <c r="D1739" s="29">
        <f>C1739+IF(INDEX('Справочник по %'!B:B,(MATCH(A1739,'Справочник по %'!A:A,0)))="кол-во",B1739*INDEX('Справочник по %'!C:C,(MATCH(A1739,'Справочник по %'!A:A,0))),ОТЧЕТ!C1739*INDEX('Справочник по %'!C:C,(MATCH(A1739,'Справочник по %'!A:A,0))))/100</f>
        <v>683.1</v>
      </c>
      <c r="E1739" s="29">
        <f>IF(ОТЧЕТ!A1739="SKU3",C1739+ОТЧЕТ!C1739*0.2,C1739+ОТЧЕТ!C1739*0.15)</f>
        <v>714.15</v>
      </c>
      <c r="F1739" s="7" t="s">
        <v>3583</v>
      </c>
      <c r="G1739" s="7">
        <v>5008036897</v>
      </c>
      <c r="H1739" s="20" t="s">
        <v>3590</v>
      </c>
      <c r="I1739" s="22" t="str">
        <f>INDEX('Справочник Сети'!B:B,(MATCH(G1739,'Справочник Сети'!C:C,0)))</f>
        <v>Столички</v>
      </c>
      <c r="J1739" s="7" t="s">
        <v>83</v>
      </c>
      <c r="K1739" s="7" t="s">
        <v>2267</v>
      </c>
      <c r="L1739" s="7" t="s">
        <v>83</v>
      </c>
      <c r="M1739" s="31">
        <v>45715</v>
      </c>
      <c r="N1739" s="7" t="s">
        <v>3591</v>
      </c>
      <c r="O1739" s="8">
        <v>3496</v>
      </c>
      <c r="P1739" s="24">
        <v>7047</v>
      </c>
      <c r="Q1739" s="22">
        <f>IF(COUNTIFS(A$2:A1739,A1739,I$2:I1739,I1739)=1,1,0)</f>
        <v>0</v>
      </c>
      <c r="R1739" s="22">
        <f t="shared" si="27"/>
        <v>1</v>
      </c>
      <c r="S1739" s="33">
        <f>IF(COUNTIF(O$2:O1739,O1739)=1,R1739,0)/2.5</f>
        <v>0.4</v>
      </c>
    </row>
    <row r="1740" spans="1:19" ht="18" customHeight="1" x14ac:dyDescent="0.25">
      <c r="A1740" s="7" t="s">
        <v>43</v>
      </c>
      <c r="B1740" s="8">
        <v>1</v>
      </c>
      <c r="C1740" s="9">
        <v>420</v>
      </c>
      <c r="D1740" s="29">
        <f>C1740+IF(INDEX('Справочник по %'!B:B,(MATCH(A1740,'Справочник по %'!A:A,0)))="кол-во",B1740*INDEX('Справочник по %'!C:C,(MATCH(A1740,'Справочник по %'!A:A,0))),ОТЧЕТ!C1740*INDEX('Справочник по %'!C:C,(MATCH(A1740,'Справочник по %'!A:A,0))))/100</f>
        <v>462</v>
      </c>
      <c r="E1740" s="29">
        <f>IF(ОТЧЕТ!A1740="SKU3",C1740+ОТЧЕТ!C1740*0.2,C1740+ОТЧЕТ!C1740*0.15)</f>
        <v>483</v>
      </c>
      <c r="F1740" s="7" t="s">
        <v>3583</v>
      </c>
      <c r="G1740" s="7">
        <v>7801709313</v>
      </c>
      <c r="H1740" s="20" t="s">
        <v>50</v>
      </c>
      <c r="I1740" s="22" t="str">
        <f>INDEX('Справочник Сети'!B:B,(MATCH(G1740,'Справочник Сети'!C:C,0)))</f>
        <v>Ригла</v>
      </c>
      <c r="J1740" s="7" t="s">
        <v>353</v>
      </c>
      <c r="K1740" s="7" t="s">
        <v>1665</v>
      </c>
      <c r="L1740" s="7" t="s">
        <v>353</v>
      </c>
      <c r="M1740" s="31">
        <v>45672</v>
      </c>
      <c r="N1740" s="7" t="s">
        <v>3592</v>
      </c>
      <c r="O1740" s="8">
        <v>3014</v>
      </c>
      <c r="P1740" s="24">
        <v>7049</v>
      </c>
      <c r="Q1740" s="22">
        <f>IF(COUNTIFS(A$2:A1740,A1740,I$2:I1740,I1740)=1,1,0)</f>
        <v>0</v>
      </c>
      <c r="R1740" s="22">
        <f t="shared" si="27"/>
        <v>3</v>
      </c>
      <c r="S1740" s="33">
        <f>IF(COUNTIF(O$2:O1740,O1740)=1,R1740,0)/2.5</f>
        <v>0</v>
      </c>
    </row>
    <row r="1741" spans="1:19" ht="18" customHeight="1" x14ac:dyDescent="0.25">
      <c r="A1741" s="7" t="s">
        <v>43</v>
      </c>
      <c r="B1741" s="8">
        <v>1</v>
      </c>
      <c r="C1741" s="9">
        <v>493</v>
      </c>
      <c r="D1741" s="29">
        <f>C1741+IF(INDEX('Справочник по %'!B:B,(MATCH(A1741,'Справочник по %'!A:A,0)))="кол-во",B1741*INDEX('Справочник по %'!C:C,(MATCH(A1741,'Справочник по %'!A:A,0))),ОТЧЕТ!C1741*INDEX('Справочник по %'!C:C,(MATCH(A1741,'Справочник по %'!A:A,0))))/100</f>
        <v>542.29999999999995</v>
      </c>
      <c r="E1741" s="29">
        <f>IF(ОТЧЕТ!A1741="SKU3",C1741+ОТЧЕТ!C1741*0.2,C1741+ОТЧЕТ!C1741*0.15)</f>
        <v>566.95000000000005</v>
      </c>
      <c r="F1741" s="7" t="s">
        <v>3583</v>
      </c>
      <c r="G1741" s="7">
        <v>7724211288</v>
      </c>
      <c r="H1741" s="20" t="s">
        <v>3593</v>
      </c>
      <c r="I1741" s="22" t="str">
        <f>INDEX('Справочник Сети'!B:B,(MATCH(G1741,'Справочник Сети'!C:C,0)))</f>
        <v>Планета здоровья</v>
      </c>
      <c r="J1741" s="7" t="s">
        <v>185</v>
      </c>
      <c r="K1741" s="7" t="s">
        <v>788</v>
      </c>
      <c r="L1741" s="7" t="s">
        <v>185</v>
      </c>
      <c r="M1741" s="31">
        <v>45675</v>
      </c>
      <c r="N1741" s="7" t="s">
        <v>3594</v>
      </c>
      <c r="O1741" s="8">
        <v>1836</v>
      </c>
      <c r="P1741" s="24">
        <v>7052</v>
      </c>
      <c r="Q1741" s="22">
        <f>IF(COUNTIFS(A$2:A1741,A1741,I$2:I1741,I1741)=1,1,0)</f>
        <v>0</v>
      </c>
      <c r="R1741" s="22">
        <f t="shared" si="27"/>
        <v>2</v>
      </c>
      <c r="S1741" s="33">
        <f>IF(COUNTIF(O$2:O1741,O1741)=1,R1741,0)/2.5</f>
        <v>0.8</v>
      </c>
    </row>
    <row r="1742" spans="1:19" ht="18" customHeight="1" x14ac:dyDescent="0.25">
      <c r="A1742" s="7" t="s">
        <v>43</v>
      </c>
      <c r="B1742" s="8">
        <v>1</v>
      </c>
      <c r="C1742" s="9">
        <v>485</v>
      </c>
      <c r="D1742" s="29">
        <f>C1742+IF(INDEX('Справочник по %'!B:B,(MATCH(A1742,'Справочник по %'!A:A,0)))="кол-во",B1742*INDEX('Справочник по %'!C:C,(MATCH(A1742,'Справочник по %'!A:A,0))),ОТЧЕТ!C1742*INDEX('Справочник по %'!C:C,(MATCH(A1742,'Справочник по %'!A:A,0))))/100</f>
        <v>533.5</v>
      </c>
      <c r="E1742" s="29">
        <f>IF(ОТЧЕТ!A1742="SKU3",C1742+ОТЧЕТ!C1742*0.2,C1742+ОТЧЕТ!C1742*0.15)</f>
        <v>557.75</v>
      </c>
      <c r="F1742" s="7" t="s">
        <v>3583</v>
      </c>
      <c r="G1742" s="7">
        <v>5438110616</v>
      </c>
      <c r="H1742" s="20" t="s">
        <v>756</v>
      </c>
      <c r="I1742" s="22">
        <f>INDEX('Справочник Сети'!B:B,(MATCH(G1742,'Справочник Сети'!C:C,0)))</f>
        <v>0</v>
      </c>
      <c r="J1742" s="7" t="s">
        <v>255</v>
      </c>
      <c r="K1742" s="7" t="s">
        <v>1151</v>
      </c>
      <c r="L1742" s="7" t="s">
        <v>255</v>
      </c>
      <c r="M1742" s="31">
        <v>45713</v>
      </c>
      <c r="N1742" s="7" t="s">
        <v>3595</v>
      </c>
      <c r="O1742" s="8">
        <v>3433</v>
      </c>
      <c r="P1742" s="24">
        <v>7055</v>
      </c>
      <c r="Q1742" s="22">
        <f>IF(COUNTIFS(A$2:A1742,A1742,I$2:I1742,I1742)=1,1,0)</f>
        <v>0</v>
      </c>
      <c r="R1742" s="22">
        <f t="shared" si="27"/>
        <v>5</v>
      </c>
      <c r="S1742" s="33">
        <f>IF(COUNTIF(O$2:O1742,O1742)=1,R1742,0)/2.5</f>
        <v>0</v>
      </c>
    </row>
    <row r="1743" spans="1:19" ht="18" customHeight="1" x14ac:dyDescent="0.25">
      <c r="A1743" s="7" t="s">
        <v>43</v>
      </c>
      <c r="B1743" s="8">
        <v>1</v>
      </c>
      <c r="C1743" s="9">
        <v>378</v>
      </c>
      <c r="D1743" s="29">
        <f>C1743+IF(INDEX('Справочник по %'!B:B,(MATCH(A1743,'Справочник по %'!A:A,0)))="кол-во",B1743*INDEX('Справочник по %'!C:C,(MATCH(A1743,'Справочник по %'!A:A,0))),ОТЧЕТ!C1743*INDEX('Справочник по %'!C:C,(MATCH(A1743,'Справочник по %'!A:A,0))))/100</f>
        <v>415.8</v>
      </c>
      <c r="E1743" s="29">
        <f>IF(ОТЧЕТ!A1743="SKU3",C1743+ОТЧЕТ!C1743*0.2,C1743+ОТЧЕТ!C1743*0.15)</f>
        <v>434.7</v>
      </c>
      <c r="F1743" s="7" t="s">
        <v>3583</v>
      </c>
      <c r="G1743" s="7">
        <v>4217178886</v>
      </c>
      <c r="H1743" s="20" t="s">
        <v>1056</v>
      </c>
      <c r="I1743" s="22" t="str">
        <f>INDEX('Справочник Сети'!B:B,(MATCH(G1743,'Справочник Сети'!C:C,0)))</f>
        <v>Нео-фарм</v>
      </c>
      <c r="J1743" s="7" t="s">
        <v>155</v>
      </c>
      <c r="K1743" s="7" t="s">
        <v>1865</v>
      </c>
      <c r="L1743" s="7" t="s">
        <v>155</v>
      </c>
      <c r="M1743" s="31">
        <v>45716</v>
      </c>
      <c r="N1743" s="7" t="s">
        <v>3596</v>
      </c>
      <c r="O1743" s="8">
        <v>457</v>
      </c>
      <c r="P1743" s="24">
        <v>7056</v>
      </c>
      <c r="Q1743" s="22">
        <f>IF(COUNTIFS(A$2:A1743,A1743,I$2:I1743,I1743)=1,1,0)</f>
        <v>0</v>
      </c>
      <c r="R1743" s="22">
        <f t="shared" si="27"/>
        <v>4</v>
      </c>
      <c r="S1743" s="33">
        <f>IF(COUNTIF(O$2:O1743,O1743)=1,R1743,0)/2.5</f>
        <v>0</v>
      </c>
    </row>
    <row r="1744" spans="1:19" ht="18" customHeight="1" x14ac:dyDescent="0.25">
      <c r="A1744" s="7" t="s">
        <v>43</v>
      </c>
      <c r="B1744" s="8">
        <v>1</v>
      </c>
      <c r="C1744" s="9">
        <v>399.5</v>
      </c>
      <c r="D1744" s="29">
        <f>C1744+IF(INDEX('Справочник по %'!B:B,(MATCH(A1744,'Справочник по %'!A:A,0)))="кол-во",B1744*INDEX('Справочник по %'!C:C,(MATCH(A1744,'Справочник по %'!A:A,0))),ОТЧЕТ!C1744*INDEX('Справочник по %'!C:C,(MATCH(A1744,'Справочник по %'!A:A,0))))/100</f>
        <v>439.45</v>
      </c>
      <c r="E1744" s="29">
        <f>IF(ОТЧЕТ!A1744="SKU3",C1744+ОТЧЕТ!C1744*0.2,C1744+ОТЧЕТ!C1744*0.15)</f>
        <v>459.42500000000001</v>
      </c>
      <c r="F1744" s="7" t="s">
        <v>3583</v>
      </c>
      <c r="G1744" s="7">
        <v>3801042576</v>
      </c>
      <c r="H1744" s="20" t="s">
        <v>64</v>
      </c>
      <c r="I1744" s="22" t="str">
        <f>INDEX('Справочник Сети'!B:B,(MATCH(G1744,'Справочник Сети'!C:C,0)))</f>
        <v>Планета здоровья</v>
      </c>
      <c r="J1744" s="7" t="s">
        <v>65</v>
      </c>
      <c r="K1744" s="7" t="s">
        <v>866</v>
      </c>
      <c r="L1744" s="7" t="s">
        <v>65</v>
      </c>
      <c r="M1744" s="31">
        <v>45717</v>
      </c>
      <c r="N1744" s="7" t="s">
        <v>3597</v>
      </c>
      <c r="O1744" s="8">
        <v>3048</v>
      </c>
      <c r="P1744" s="24">
        <v>7059</v>
      </c>
      <c r="Q1744" s="22">
        <f>IF(COUNTIFS(A$2:A1744,A1744,I$2:I1744,I1744)=1,1,0)</f>
        <v>0</v>
      </c>
      <c r="R1744" s="22">
        <f t="shared" si="27"/>
        <v>6</v>
      </c>
      <c r="S1744" s="33">
        <f>IF(COUNTIF(O$2:O1744,O1744)=1,R1744,0)/2.5</f>
        <v>0</v>
      </c>
    </row>
    <row r="1745" spans="1:19" ht="18" customHeight="1" x14ac:dyDescent="0.25">
      <c r="A1745" s="7" t="s">
        <v>37</v>
      </c>
      <c r="B1745" s="8">
        <v>1</v>
      </c>
      <c r="C1745" s="9">
        <v>743.3</v>
      </c>
      <c r="D1745" s="29">
        <f>C1745+IF(INDEX('Справочник по %'!B:B,(MATCH(A1745,'Справочник по %'!A:A,0)))="кол-во",B1745*INDEX('Справочник по %'!C:C,(MATCH(A1745,'Справочник по %'!A:A,0))),ОТЧЕТ!C1745*INDEX('Справочник по %'!C:C,(MATCH(A1745,'Справочник по %'!A:A,0))))/100</f>
        <v>743.5</v>
      </c>
      <c r="E1745" s="29">
        <f>IF(ОТЧЕТ!A1745="SKU3",C1745+ОТЧЕТ!C1745*0.2,C1745+ОТЧЕТ!C1745*0.15)</f>
        <v>854.79499999999996</v>
      </c>
      <c r="F1745" s="7" t="s">
        <v>3583</v>
      </c>
      <c r="G1745" s="7">
        <v>6800013017</v>
      </c>
      <c r="H1745" s="20" t="s">
        <v>91</v>
      </c>
      <c r="I1745" s="22">
        <f>INDEX('Справочник Сети'!B:B,(MATCH(G1745,'Справочник Сети'!C:C,0)))</f>
        <v>0</v>
      </c>
      <c r="J1745" s="7" t="s">
        <v>106</v>
      </c>
      <c r="K1745" s="7" t="s">
        <v>543</v>
      </c>
      <c r="L1745" s="7" t="s">
        <v>106</v>
      </c>
      <c r="M1745" s="31">
        <v>45694</v>
      </c>
      <c r="N1745" s="7" t="s">
        <v>3598</v>
      </c>
      <c r="O1745" s="8">
        <v>2491</v>
      </c>
      <c r="P1745" s="24">
        <v>7060</v>
      </c>
      <c r="Q1745" s="22">
        <f>IF(COUNTIFS(A$2:A1745,A1745,I$2:I1745,I1745)=1,1,0)</f>
        <v>0</v>
      </c>
      <c r="R1745" s="22">
        <f t="shared" si="27"/>
        <v>2</v>
      </c>
      <c r="S1745" s="33">
        <f>IF(COUNTIF(O$2:O1745,O1745)=1,R1745,0)/2.5</f>
        <v>0</v>
      </c>
    </row>
    <row r="1746" spans="1:19" ht="18" customHeight="1" x14ac:dyDescent="0.25">
      <c r="A1746" s="7" t="s">
        <v>43</v>
      </c>
      <c r="B1746" s="8">
        <v>1</v>
      </c>
      <c r="C1746" s="9">
        <v>398</v>
      </c>
      <c r="D1746" s="29">
        <f>C1746+IF(INDEX('Справочник по %'!B:B,(MATCH(A1746,'Справочник по %'!A:A,0)))="кол-во",B1746*INDEX('Справочник по %'!C:C,(MATCH(A1746,'Справочник по %'!A:A,0))),ОТЧЕТ!C1746*INDEX('Справочник по %'!C:C,(MATCH(A1746,'Справочник по %'!A:A,0))))/100</f>
        <v>437.8</v>
      </c>
      <c r="E1746" s="29">
        <f>IF(ОТЧЕТ!A1746="SKU3",C1746+ОТЧЕТ!C1746*0.2,C1746+ОТЧЕТ!C1746*0.15)</f>
        <v>457.7</v>
      </c>
      <c r="F1746" s="7" t="s">
        <v>3599</v>
      </c>
      <c r="G1746" s="7">
        <v>2308110232</v>
      </c>
      <c r="H1746" s="20" t="s">
        <v>69</v>
      </c>
      <c r="I1746" s="22" t="str">
        <f>INDEX('Справочник Сети'!B:B,(MATCH(G1746,'Справочник Сети'!C:C,0)))</f>
        <v>Нео-фарм</v>
      </c>
      <c r="J1746" s="7" t="s">
        <v>372</v>
      </c>
      <c r="K1746" s="7" t="s">
        <v>84</v>
      </c>
      <c r="L1746" s="7" t="s">
        <v>372</v>
      </c>
      <c r="M1746" s="31">
        <v>45730</v>
      </c>
      <c r="N1746" s="7" t="s">
        <v>3600</v>
      </c>
      <c r="O1746" s="8">
        <v>3189</v>
      </c>
      <c r="P1746" s="24">
        <v>7063</v>
      </c>
      <c r="Q1746" s="22">
        <f>IF(COUNTIFS(A$2:A1746,A1746,I$2:I1746,I1746)=1,1,0)</f>
        <v>0</v>
      </c>
      <c r="R1746" s="22">
        <f t="shared" si="27"/>
        <v>2</v>
      </c>
      <c r="S1746" s="33">
        <f>IF(COUNTIF(O$2:O1746,O1746)=1,R1746,0)/2.5</f>
        <v>0.8</v>
      </c>
    </row>
    <row r="1747" spans="1:19" ht="18" customHeight="1" x14ac:dyDescent="0.25">
      <c r="A1747" s="7" t="s">
        <v>43</v>
      </c>
      <c r="B1747" s="8">
        <v>1</v>
      </c>
      <c r="C1747" s="9">
        <v>519</v>
      </c>
      <c r="D1747" s="29">
        <f>C1747+IF(INDEX('Справочник по %'!B:B,(MATCH(A1747,'Справочник по %'!A:A,0)))="кол-во",B1747*INDEX('Справочник по %'!C:C,(MATCH(A1747,'Справочник по %'!A:A,0))),ОТЧЕТ!C1747*INDEX('Справочник по %'!C:C,(MATCH(A1747,'Справочник по %'!A:A,0))))/100</f>
        <v>570.9</v>
      </c>
      <c r="E1747" s="29">
        <f>IF(ОТЧЕТ!A1747="SKU3",C1747+ОТЧЕТ!C1747*0.2,C1747+ОТЧЕТ!C1747*0.15)</f>
        <v>596.85</v>
      </c>
      <c r="F1747" s="7" t="s">
        <v>3599</v>
      </c>
      <c r="G1747" s="7">
        <v>2308217200</v>
      </c>
      <c r="H1747" s="20" t="s">
        <v>3601</v>
      </c>
      <c r="I1747" s="22">
        <f>INDEX('Справочник Сети'!B:B,(MATCH(G1747,'Справочник Сети'!C:C,0)))</f>
        <v>0</v>
      </c>
      <c r="J1747" s="7" t="s">
        <v>57</v>
      </c>
      <c r="K1747" s="7" t="s">
        <v>644</v>
      </c>
      <c r="L1747" s="7" t="s">
        <v>57</v>
      </c>
      <c r="M1747" s="31">
        <v>45729</v>
      </c>
      <c r="N1747" s="7" t="s">
        <v>3602</v>
      </c>
      <c r="O1747" s="8">
        <v>1498</v>
      </c>
      <c r="P1747" s="24">
        <v>7065</v>
      </c>
      <c r="Q1747" s="22">
        <f>IF(COUNTIFS(A$2:A1747,A1747,I$2:I1747,I1747)=1,1,0)</f>
        <v>0</v>
      </c>
      <c r="R1747" s="22">
        <f t="shared" si="27"/>
        <v>1</v>
      </c>
      <c r="S1747" s="33">
        <f>IF(COUNTIF(O$2:O1747,O1747)=1,R1747,0)/2.5</f>
        <v>0.4</v>
      </c>
    </row>
    <row r="1748" spans="1:19" ht="18" customHeight="1" x14ac:dyDescent="0.25">
      <c r="A1748" s="7" t="s">
        <v>43</v>
      </c>
      <c r="B1748" s="8">
        <v>1</v>
      </c>
      <c r="C1748" s="9">
        <v>391.9</v>
      </c>
      <c r="D1748" s="29">
        <f>C1748+IF(INDEX('Справочник по %'!B:B,(MATCH(A1748,'Справочник по %'!A:A,0)))="кол-во",B1748*INDEX('Справочник по %'!C:C,(MATCH(A1748,'Справочник по %'!A:A,0))),ОТЧЕТ!C1748*INDEX('Справочник по %'!C:C,(MATCH(A1748,'Справочник по %'!A:A,0))))/100</f>
        <v>431.09</v>
      </c>
      <c r="E1748" s="29">
        <f>IF(ОТЧЕТ!A1748="SKU3",C1748+ОТЧЕТ!C1748*0.2,C1748+ОТЧЕТ!C1748*0.15)</f>
        <v>450.68499999999995</v>
      </c>
      <c r="F1748" s="7" t="s">
        <v>3599</v>
      </c>
      <c r="G1748" s="7">
        <v>5507102175</v>
      </c>
      <c r="H1748" s="20" t="s">
        <v>50</v>
      </c>
      <c r="I1748" s="22" t="str">
        <f>INDEX('Справочник Сети'!B:B,(MATCH(G1748,'Справочник Сети'!C:C,0)))</f>
        <v>Столички</v>
      </c>
      <c r="J1748" s="7" t="s">
        <v>255</v>
      </c>
      <c r="K1748" s="7" t="s">
        <v>1407</v>
      </c>
      <c r="L1748" s="7" t="s">
        <v>255</v>
      </c>
      <c r="M1748" s="31">
        <v>45713</v>
      </c>
      <c r="N1748" s="7" t="s">
        <v>3603</v>
      </c>
      <c r="O1748" s="8">
        <v>449</v>
      </c>
      <c r="P1748" s="24">
        <v>7067</v>
      </c>
      <c r="Q1748" s="22">
        <f>IF(COUNTIFS(A$2:A1748,A1748,I$2:I1748,I1748)=1,1,0)</f>
        <v>0</v>
      </c>
      <c r="R1748" s="22">
        <f t="shared" si="27"/>
        <v>5</v>
      </c>
      <c r="S1748" s="33">
        <f>IF(COUNTIF(O$2:O1748,O1748)=1,R1748,0)/2.5</f>
        <v>0</v>
      </c>
    </row>
    <row r="1749" spans="1:19" ht="18" customHeight="1" x14ac:dyDescent="0.25">
      <c r="A1749" s="7" t="s">
        <v>43</v>
      </c>
      <c r="B1749" s="8">
        <v>1</v>
      </c>
      <c r="C1749" s="9">
        <v>516</v>
      </c>
      <c r="D1749" s="29">
        <f>C1749+IF(INDEX('Справочник по %'!B:B,(MATCH(A1749,'Справочник по %'!A:A,0)))="кол-во",B1749*INDEX('Справочник по %'!C:C,(MATCH(A1749,'Справочник по %'!A:A,0))),ОТЧЕТ!C1749*INDEX('Справочник по %'!C:C,(MATCH(A1749,'Справочник по %'!A:A,0))))/100</f>
        <v>567.6</v>
      </c>
      <c r="E1749" s="29">
        <f>IF(ОТЧЕТ!A1749="SKU3",C1749+ОТЧЕТ!C1749*0.2,C1749+ОТЧЕТ!C1749*0.15)</f>
        <v>593.4</v>
      </c>
      <c r="F1749" s="7" t="s">
        <v>3599</v>
      </c>
      <c r="G1749" s="7">
        <v>4707025487</v>
      </c>
      <c r="H1749" s="20" t="s">
        <v>50</v>
      </c>
      <c r="I1749" s="22">
        <f>INDEX('Справочник Сети'!B:B,(MATCH(G1749,'Справочник Сети'!C:C,0)))</f>
        <v>0</v>
      </c>
      <c r="J1749" s="7" t="s">
        <v>83</v>
      </c>
      <c r="K1749" s="7" t="s">
        <v>1244</v>
      </c>
      <c r="L1749" s="7" t="s">
        <v>83</v>
      </c>
      <c r="M1749" s="31">
        <v>45715</v>
      </c>
      <c r="N1749" s="7" t="s">
        <v>3604</v>
      </c>
      <c r="O1749" s="8">
        <v>3334</v>
      </c>
      <c r="P1749" s="24">
        <v>7068</v>
      </c>
      <c r="Q1749" s="22">
        <f>IF(COUNTIFS(A$2:A1749,A1749,I$2:I1749,I1749)=1,1,0)</f>
        <v>0</v>
      </c>
      <c r="R1749" s="22">
        <f t="shared" si="27"/>
        <v>6</v>
      </c>
      <c r="S1749" s="33">
        <f>IF(COUNTIF(O$2:O1749,O1749)=1,R1749,0)/2.5</f>
        <v>0</v>
      </c>
    </row>
    <row r="1750" spans="1:19" ht="18" customHeight="1" x14ac:dyDescent="0.25">
      <c r="A1750" s="7" t="s">
        <v>43</v>
      </c>
      <c r="B1750" s="8">
        <v>1</v>
      </c>
      <c r="C1750" s="9">
        <v>410</v>
      </c>
      <c r="D1750" s="29">
        <f>C1750+IF(INDEX('Справочник по %'!B:B,(MATCH(A1750,'Справочник по %'!A:A,0)))="кол-во",B1750*INDEX('Справочник по %'!C:C,(MATCH(A1750,'Справочник по %'!A:A,0))),ОТЧЕТ!C1750*INDEX('Справочник по %'!C:C,(MATCH(A1750,'Справочник по %'!A:A,0))))/100</f>
        <v>451</v>
      </c>
      <c r="E1750" s="29">
        <f>IF(ОТЧЕТ!A1750="SKU3",C1750+ОТЧЕТ!C1750*0.2,C1750+ОТЧЕТ!C1750*0.15)</f>
        <v>471.5</v>
      </c>
      <c r="F1750" s="7" t="s">
        <v>3605</v>
      </c>
      <c r="G1750" s="7">
        <v>4206030711</v>
      </c>
      <c r="H1750" s="20" t="s">
        <v>69</v>
      </c>
      <c r="I1750" s="22">
        <f>INDEX('Справочник Сети'!B:B,(MATCH(G1750,'Справочник Сети'!C:C,0)))</f>
        <v>0</v>
      </c>
      <c r="J1750" s="7" t="s">
        <v>155</v>
      </c>
      <c r="K1750" s="7" t="s">
        <v>125</v>
      </c>
      <c r="L1750" s="7" t="s">
        <v>155</v>
      </c>
      <c r="M1750" s="31">
        <v>45716</v>
      </c>
      <c r="N1750" s="7" t="s">
        <v>3606</v>
      </c>
      <c r="O1750" s="8">
        <v>2005</v>
      </c>
      <c r="P1750" s="24">
        <v>7072</v>
      </c>
      <c r="Q1750" s="22">
        <f>IF(COUNTIFS(A$2:A1750,A1750,I$2:I1750,I1750)=1,1,0)</f>
        <v>0</v>
      </c>
      <c r="R1750" s="22">
        <f t="shared" si="27"/>
        <v>1</v>
      </c>
      <c r="S1750" s="33">
        <f>IF(COUNTIF(O$2:O1750,O1750)=1,R1750,0)/2.5</f>
        <v>0.4</v>
      </c>
    </row>
    <row r="1751" spans="1:19" ht="18" customHeight="1" x14ac:dyDescent="0.25">
      <c r="A1751" s="7" t="s">
        <v>37</v>
      </c>
      <c r="B1751" s="8">
        <v>1</v>
      </c>
      <c r="C1751" s="9">
        <v>574.6</v>
      </c>
      <c r="D1751" s="29">
        <f>C1751+IF(INDEX('Справочник по %'!B:B,(MATCH(A1751,'Справочник по %'!A:A,0)))="кол-во",B1751*INDEX('Справочник по %'!C:C,(MATCH(A1751,'Справочник по %'!A:A,0))),ОТЧЕТ!C1751*INDEX('Справочник по %'!C:C,(MATCH(A1751,'Справочник по %'!A:A,0))))/100</f>
        <v>574.80000000000007</v>
      </c>
      <c r="E1751" s="29">
        <f>IF(ОТЧЕТ!A1751="SKU3",C1751+ОТЧЕТ!C1751*0.2,C1751+ОТЧЕТ!C1751*0.15)</f>
        <v>660.79</v>
      </c>
      <c r="F1751" s="7" t="s">
        <v>3605</v>
      </c>
      <c r="G1751" s="7">
        <v>7840411560</v>
      </c>
      <c r="H1751" s="20" t="s">
        <v>1193</v>
      </c>
      <c r="I1751" s="22" t="str">
        <f>INDEX('Справочник Сети'!B:B,(MATCH(G1751,'Справочник Сети'!C:C,0)))</f>
        <v>Столички</v>
      </c>
      <c r="J1751" s="7" t="s">
        <v>315</v>
      </c>
      <c r="K1751" s="7" t="s">
        <v>1244</v>
      </c>
      <c r="L1751" s="7" t="s">
        <v>315</v>
      </c>
      <c r="M1751" s="31">
        <v>45670</v>
      </c>
      <c r="N1751" s="7" t="s">
        <v>3607</v>
      </c>
      <c r="O1751" s="8">
        <v>447</v>
      </c>
      <c r="P1751" s="24">
        <v>7073</v>
      </c>
      <c r="Q1751" s="22">
        <f>IF(COUNTIFS(A$2:A1751,A1751,I$2:I1751,I1751)=1,1,0)</f>
        <v>0</v>
      </c>
      <c r="R1751" s="22">
        <f t="shared" si="27"/>
        <v>1</v>
      </c>
      <c r="S1751" s="33">
        <f>IF(COUNTIF(O$2:O1751,O1751)=1,R1751,0)/2.5</f>
        <v>0.4</v>
      </c>
    </row>
    <row r="1752" spans="1:19" ht="18" customHeight="1" x14ac:dyDescent="0.25">
      <c r="A1752" s="7" t="s">
        <v>37</v>
      </c>
      <c r="B1752" s="8">
        <v>1</v>
      </c>
      <c r="C1752" s="9">
        <v>569</v>
      </c>
      <c r="D1752" s="29">
        <f>C1752+IF(INDEX('Справочник по %'!B:B,(MATCH(A1752,'Справочник по %'!A:A,0)))="кол-во",B1752*INDEX('Справочник по %'!C:C,(MATCH(A1752,'Справочник по %'!A:A,0))),ОТЧЕТ!C1752*INDEX('Справочник по %'!C:C,(MATCH(A1752,'Справочник по %'!A:A,0))))/100</f>
        <v>569.20000000000005</v>
      </c>
      <c r="E1752" s="29">
        <f>IF(ОТЧЕТ!A1752="SKU3",C1752+ОТЧЕТ!C1752*0.2,C1752+ОТЧЕТ!C1752*0.15)</f>
        <v>654.35</v>
      </c>
      <c r="F1752" s="7" t="s">
        <v>3608</v>
      </c>
      <c r="G1752" s="7">
        <v>7732121736</v>
      </c>
      <c r="H1752" s="20" t="s">
        <v>3609</v>
      </c>
      <c r="I1752" s="22" t="str">
        <f>INDEX('Справочник Сети'!B:B,(MATCH(G1752,'Справочник Сети'!C:C,0)))</f>
        <v>Планета здоровья</v>
      </c>
      <c r="J1752" s="7" t="s">
        <v>149</v>
      </c>
      <c r="K1752" s="7" t="s">
        <v>330</v>
      </c>
      <c r="L1752" s="7" t="s">
        <v>142</v>
      </c>
      <c r="M1752" s="31">
        <v>45674</v>
      </c>
      <c r="N1752" s="7" t="s">
        <v>3610</v>
      </c>
      <c r="O1752" s="8">
        <v>730</v>
      </c>
      <c r="P1752" s="24">
        <v>7074</v>
      </c>
      <c r="Q1752" s="22">
        <f>IF(COUNTIFS(A$2:A1752,A1752,I$2:I1752,I1752)=1,1,0)</f>
        <v>0</v>
      </c>
      <c r="R1752" s="22">
        <f t="shared" si="27"/>
        <v>1</v>
      </c>
      <c r="S1752" s="33">
        <f>IF(COUNTIF(O$2:O1752,O1752)=1,R1752,0)/2.5</f>
        <v>0.4</v>
      </c>
    </row>
    <row r="1753" spans="1:19" ht="18" customHeight="1" x14ac:dyDescent="0.25">
      <c r="A1753" s="7" t="s">
        <v>37</v>
      </c>
      <c r="B1753" s="8">
        <v>1</v>
      </c>
      <c r="C1753" s="9">
        <v>555</v>
      </c>
      <c r="D1753" s="29">
        <f>C1753+IF(INDEX('Справочник по %'!B:B,(MATCH(A1753,'Справочник по %'!A:A,0)))="кол-во",B1753*INDEX('Справочник по %'!C:C,(MATCH(A1753,'Справочник по %'!A:A,0))),ОТЧЕТ!C1753*INDEX('Справочник по %'!C:C,(MATCH(A1753,'Справочник по %'!A:A,0))))/100</f>
        <v>555.20000000000005</v>
      </c>
      <c r="E1753" s="29">
        <f>IF(ОТЧЕТ!A1753="SKU3",C1753+ОТЧЕТ!C1753*0.2,C1753+ОТЧЕТ!C1753*0.15)</f>
        <v>638.25</v>
      </c>
      <c r="F1753" s="7" t="s">
        <v>3608</v>
      </c>
      <c r="G1753" s="7">
        <v>7728339546</v>
      </c>
      <c r="H1753" s="20" t="s">
        <v>3611</v>
      </c>
      <c r="I1753" s="22" t="str">
        <f>INDEX('Справочник Сети'!B:B,(MATCH(G1753,'Справочник Сети'!C:C,0)))</f>
        <v>Планета здоровья</v>
      </c>
      <c r="J1753" s="7" t="s">
        <v>142</v>
      </c>
      <c r="K1753" s="7" t="s">
        <v>562</v>
      </c>
      <c r="L1753" s="7" t="s">
        <v>142</v>
      </c>
      <c r="M1753" s="31">
        <v>45674</v>
      </c>
      <c r="N1753" s="7" t="s">
        <v>3612</v>
      </c>
      <c r="O1753" s="8">
        <v>1865</v>
      </c>
      <c r="P1753" s="24">
        <v>7075</v>
      </c>
      <c r="Q1753" s="22">
        <f>IF(COUNTIFS(A$2:A1753,A1753,I$2:I1753,I1753)=1,1,0)</f>
        <v>0</v>
      </c>
      <c r="R1753" s="22">
        <f t="shared" si="27"/>
        <v>2</v>
      </c>
      <c r="S1753" s="33">
        <f>IF(COUNTIF(O$2:O1753,O1753)=1,R1753,0)/2.5</f>
        <v>0.8</v>
      </c>
    </row>
    <row r="1754" spans="1:19" ht="18" customHeight="1" x14ac:dyDescent="0.25">
      <c r="A1754" s="7" t="s">
        <v>43</v>
      </c>
      <c r="B1754" s="8">
        <v>1</v>
      </c>
      <c r="C1754" s="9">
        <v>397</v>
      </c>
      <c r="D1754" s="29">
        <f>C1754+IF(INDEX('Справочник по %'!B:B,(MATCH(A1754,'Справочник по %'!A:A,0)))="кол-во",B1754*INDEX('Справочник по %'!C:C,(MATCH(A1754,'Справочник по %'!A:A,0))),ОТЧЕТ!C1754*INDEX('Справочник по %'!C:C,(MATCH(A1754,'Справочник по %'!A:A,0))))/100</f>
        <v>436.7</v>
      </c>
      <c r="E1754" s="29">
        <f>IF(ОТЧЕТ!A1754="SKU3",C1754+ОТЧЕТ!C1754*0.2,C1754+ОТЧЕТ!C1754*0.15)</f>
        <v>456.55</v>
      </c>
      <c r="F1754" s="7" t="s">
        <v>3613</v>
      </c>
      <c r="G1754" s="7">
        <v>7732121736</v>
      </c>
      <c r="H1754" s="20" t="s">
        <v>3614</v>
      </c>
      <c r="I1754" s="22" t="str">
        <f>INDEX('Справочник Сети'!B:B,(MATCH(G1754,'Справочник Сети'!C:C,0)))</f>
        <v>Планета здоровья</v>
      </c>
      <c r="J1754" s="7" t="s">
        <v>149</v>
      </c>
      <c r="K1754" s="7" t="s">
        <v>280</v>
      </c>
      <c r="L1754" s="7" t="s">
        <v>149</v>
      </c>
      <c r="M1754" s="31">
        <v>45673</v>
      </c>
      <c r="N1754" s="7" t="s">
        <v>3615</v>
      </c>
      <c r="O1754" s="8">
        <v>2892</v>
      </c>
      <c r="P1754" s="24">
        <v>7082</v>
      </c>
      <c r="Q1754" s="22">
        <f>IF(COUNTIFS(A$2:A1754,A1754,I$2:I1754,I1754)=1,1,0)</f>
        <v>0</v>
      </c>
      <c r="R1754" s="22">
        <f t="shared" si="27"/>
        <v>1</v>
      </c>
      <c r="S1754" s="33">
        <f>IF(COUNTIF(O$2:O1754,O1754)=1,R1754,0)/2.5</f>
        <v>0.4</v>
      </c>
    </row>
    <row r="1755" spans="1:19" ht="18" customHeight="1" x14ac:dyDescent="0.25">
      <c r="A1755" s="7" t="s">
        <v>43</v>
      </c>
      <c r="B1755" s="8">
        <v>1</v>
      </c>
      <c r="C1755" s="9">
        <v>500</v>
      </c>
      <c r="D1755" s="29">
        <f>C1755+IF(INDEX('Справочник по %'!B:B,(MATCH(A1755,'Справочник по %'!A:A,0)))="кол-во",B1755*INDEX('Справочник по %'!C:C,(MATCH(A1755,'Справочник по %'!A:A,0))),ОТЧЕТ!C1755*INDEX('Справочник по %'!C:C,(MATCH(A1755,'Справочник по %'!A:A,0))))/100</f>
        <v>550</v>
      </c>
      <c r="E1755" s="29">
        <f>IF(ОТЧЕТ!A1755="SKU3",C1755+ОТЧЕТ!C1755*0.2,C1755+ОТЧЕТ!C1755*0.15)</f>
        <v>575</v>
      </c>
      <c r="F1755" s="7" t="s">
        <v>3616</v>
      </c>
      <c r="G1755" s="7">
        <v>7732121736</v>
      </c>
      <c r="H1755" s="20" t="s">
        <v>2558</v>
      </c>
      <c r="I1755" s="22" t="str">
        <f>INDEX('Справочник Сети'!B:B,(MATCH(G1755,'Справочник Сети'!C:C,0)))</f>
        <v>Планета здоровья</v>
      </c>
      <c r="J1755" s="7" t="s">
        <v>149</v>
      </c>
      <c r="K1755" s="7" t="s">
        <v>1072</v>
      </c>
      <c r="L1755" s="7" t="s">
        <v>142</v>
      </c>
      <c r="M1755" s="31">
        <v>45674</v>
      </c>
      <c r="N1755" s="7" t="s">
        <v>3617</v>
      </c>
      <c r="O1755" s="8">
        <v>669</v>
      </c>
      <c r="P1755" s="24">
        <v>7085</v>
      </c>
      <c r="Q1755" s="22">
        <f>IF(COUNTIFS(A$2:A1755,A1755,I$2:I1755,I1755)=1,1,0)</f>
        <v>0</v>
      </c>
      <c r="R1755" s="22">
        <f t="shared" si="27"/>
        <v>2</v>
      </c>
      <c r="S1755" s="33">
        <f>IF(COUNTIF(O$2:O1755,O1755)=1,R1755,0)/2.5</f>
        <v>0</v>
      </c>
    </row>
    <row r="1756" spans="1:19" ht="18" customHeight="1" x14ac:dyDescent="0.25">
      <c r="A1756" s="7" t="s">
        <v>43</v>
      </c>
      <c r="B1756" s="8">
        <v>1</v>
      </c>
      <c r="C1756" s="9">
        <v>400.86</v>
      </c>
      <c r="D1756" s="29">
        <f>C1756+IF(INDEX('Справочник по %'!B:B,(MATCH(A1756,'Справочник по %'!A:A,0)))="кол-во",B1756*INDEX('Справочник по %'!C:C,(MATCH(A1756,'Справочник по %'!A:A,0))),ОТЧЕТ!C1756*INDEX('Справочник по %'!C:C,(MATCH(A1756,'Справочник по %'!A:A,0))))/100</f>
        <v>440.94600000000003</v>
      </c>
      <c r="E1756" s="29">
        <f>IF(ОТЧЕТ!A1756="SKU3",C1756+ОТЧЕТ!C1756*0.2,C1756+ОТЧЕТ!C1756*0.15)</f>
        <v>460.98900000000003</v>
      </c>
      <c r="F1756" s="7" t="s">
        <v>3616</v>
      </c>
      <c r="G1756" s="7">
        <v>5507102175</v>
      </c>
      <c r="H1756" s="20" t="s">
        <v>50</v>
      </c>
      <c r="I1756" s="22" t="str">
        <f>INDEX('Справочник Сети'!B:B,(MATCH(G1756,'Справочник Сети'!C:C,0)))</f>
        <v>Столички</v>
      </c>
      <c r="J1756" s="7" t="s">
        <v>255</v>
      </c>
      <c r="K1756" s="7" t="s">
        <v>1098</v>
      </c>
      <c r="L1756" s="7" t="s">
        <v>255</v>
      </c>
      <c r="M1756" s="31">
        <v>45713</v>
      </c>
      <c r="N1756" s="7" t="s">
        <v>3618</v>
      </c>
      <c r="O1756" s="8">
        <v>2563</v>
      </c>
      <c r="P1756" s="24">
        <v>7086</v>
      </c>
      <c r="Q1756" s="22">
        <f>IF(COUNTIFS(A$2:A1756,A1756,I$2:I1756,I1756)=1,1,0)</f>
        <v>0</v>
      </c>
      <c r="R1756" s="22">
        <f t="shared" si="27"/>
        <v>1</v>
      </c>
      <c r="S1756" s="33">
        <f>IF(COUNTIF(O$2:O1756,O1756)=1,R1756,0)/2.5</f>
        <v>0.4</v>
      </c>
    </row>
    <row r="1757" spans="1:19" ht="18" customHeight="1" x14ac:dyDescent="0.25">
      <c r="A1757" s="7" t="s">
        <v>43</v>
      </c>
      <c r="B1757" s="8">
        <v>1</v>
      </c>
      <c r="C1757" s="9">
        <v>595</v>
      </c>
      <c r="D1757" s="29">
        <f>C1757+IF(INDEX('Справочник по %'!B:B,(MATCH(A1757,'Справочник по %'!A:A,0)))="кол-во",B1757*INDEX('Справочник по %'!C:C,(MATCH(A1757,'Справочник по %'!A:A,0))),ОТЧЕТ!C1757*INDEX('Справочник по %'!C:C,(MATCH(A1757,'Справочник по %'!A:A,0))))/100</f>
        <v>654.5</v>
      </c>
      <c r="E1757" s="29">
        <f>IF(ОТЧЕТ!A1757="SKU3",C1757+ОТЧЕТ!C1757*0.2,C1757+ОТЧЕТ!C1757*0.15)</f>
        <v>684.25</v>
      </c>
      <c r="F1757" s="7" t="s">
        <v>3616</v>
      </c>
      <c r="G1757" s="7">
        <v>7714844316</v>
      </c>
      <c r="H1757" s="20" t="s">
        <v>3571</v>
      </c>
      <c r="I1757" s="22" t="str">
        <f>INDEX('Справочник Сети'!B:B,(MATCH(G1757,'Справочник Сети'!C:C,0)))</f>
        <v>Планета здоровья</v>
      </c>
      <c r="J1757" s="7" t="s">
        <v>504</v>
      </c>
      <c r="K1757" s="7" t="s">
        <v>122</v>
      </c>
      <c r="L1757" s="7" t="s">
        <v>504</v>
      </c>
      <c r="M1757" s="31">
        <v>45690</v>
      </c>
      <c r="N1757" s="7" t="s">
        <v>3619</v>
      </c>
      <c r="O1757" s="8">
        <v>3177</v>
      </c>
      <c r="P1757" s="24">
        <v>7088</v>
      </c>
      <c r="Q1757" s="22">
        <f>IF(COUNTIFS(A$2:A1757,A1757,I$2:I1757,I1757)=1,1,0)</f>
        <v>0</v>
      </c>
      <c r="R1757" s="22">
        <f t="shared" si="27"/>
        <v>2</v>
      </c>
      <c r="S1757" s="33">
        <f>IF(COUNTIF(O$2:O1757,O1757)=1,R1757,0)/2.5</f>
        <v>0</v>
      </c>
    </row>
    <row r="1758" spans="1:19" ht="18" customHeight="1" x14ac:dyDescent="0.25">
      <c r="A1758" s="7" t="s">
        <v>43</v>
      </c>
      <c r="B1758" s="8">
        <v>1</v>
      </c>
      <c r="C1758" s="9">
        <v>379</v>
      </c>
      <c r="D1758" s="29">
        <f>C1758+IF(INDEX('Справочник по %'!B:B,(MATCH(A1758,'Справочник по %'!A:A,0)))="кол-во",B1758*INDEX('Справочник по %'!C:C,(MATCH(A1758,'Справочник по %'!A:A,0))),ОТЧЕТ!C1758*INDEX('Справочник по %'!C:C,(MATCH(A1758,'Справочник по %'!A:A,0))))/100</f>
        <v>416.9</v>
      </c>
      <c r="E1758" s="29">
        <f>IF(ОТЧЕТ!A1758="SKU3",C1758+ОТЧЕТ!C1758*0.2,C1758+ОТЧЕТ!C1758*0.15)</f>
        <v>435.85</v>
      </c>
      <c r="F1758" s="7" t="s">
        <v>3616</v>
      </c>
      <c r="G1758" s="7">
        <v>7728339546</v>
      </c>
      <c r="H1758" s="20" t="s">
        <v>3620</v>
      </c>
      <c r="I1758" s="22" t="str">
        <f>INDEX('Справочник Сети'!B:B,(MATCH(G1758,'Справочник Сети'!C:C,0)))</f>
        <v>Планета здоровья</v>
      </c>
      <c r="J1758" s="7" t="s">
        <v>142</v>
      </c>
      <c r="K1758" s="7" t="s">
        <v>2374</v>
      </c>
      <c r="L1758" s="7" t="s">
        <v>185</v>
      </c>
      <c r="M1758" s="31">
        <v>45675</v>
      </c>
      <c r="N1758" s="7" t="s">
        <v>3621</v>
      </c>
      <c r="O1758" s="8">
        <v>326</v>
      </c>
      <c r="P1758" s="24">
        <v>7090</v>
      </c>
      <c r="Q1758" s="22">
        <f>IF(COUNTIFS(A$2:A1758,A1758,I$2:I1758,I1758)=1,1,0)</f>
        <v>0</v>
      </c>
      <c r="R1758" s="22">
        <f t="shared" si="27"/>
        <v>1</v>
      </c>
      <c r="S1758" s="33">
        <f>IF(COUNTIF(O$2:O1758,O1758)=1,R1758,0)/2.5</f>
        <v>0.4</v>
      </c>
    </row>
    <row r="1759" spans="1:19" ht="18" customHeight="1" x14ac:dyDescent="0.25">
      <c r="A1759" s="7" t="s">
        <v>37</v>
      </c>
      <c r="B1759" s="8">
        <v>1</v>
      </c>
      <c r="C1759" s="9">
        <v>700</v>
      </c>
      <c r="D1759" s="29">
        <f>C1759+IF(INDEX('Справочник по %'!B:B,(MATCH(A1759,'Справочник по %'!A:A,0)))="кол-во",B1759*INDEX('Справочник по %'!C:C,(MATCH(A1759,'Справочник по %'!A:A,0))),ОТЧЕТ!C1759*INDEX('Справочник по %'!C:C,(MATCH(A1759,'Справочник по %'!A:A,0))))/100</f>
        <v>700.2</v>
      </c>
      <c r="E1759" s="29">
        <f>IF(ОТЧЕТ!A1759="SKU3",C1759+ОТЧЕТ!C1759*0.2,C1759+ОТЧЕТ!C1759*0.15)</f>
        <v>805</v>
      </c>
      <c r="F1759" s="7" t="s">
        <v>3616</v>
      </c>
      <c r="G1759" s="7">
        <v>7805180253</v>
      </c>
      <c r="H1759" s="20" t="s">
        <v>50</v>
      </c>
      <c r="I1759" s="22">
        <f>INDEX('Справочник Сети'!B:B,(MATCH(G1759,'Справочник Сети'!C:C,0)))</f>
        <v>0</v>
      </c>
      <c r="J1759" s="7" t="s">
        <v>353</v>
      </c>
      <c r="K1759" s="7" t="s">
        <v>2382</v>
      </c>
      <c r="L1759" s="7" t="s">
        <v>353</v>
      </c>
      <c r="M1759" s="31">
        <v>45672</v>
      </c>
      <c r="N1759" s="7" t="s">
        <v>3622</v>
      </c>
      <c r="O1759" s="8">
        <v>3052</v>
      </c>
      <c r="P1759" s="24">
        <v>7093</v>
      </c>
      <c r="Q1759" s="22">
        <f>IF(COUNTIFS(A$2:A1759,A1759,I$2:I1759,I1759)=1,1,0)</f>
        <v>0</v>
      </c>
      <c r="R1759" s="22">
        <f t="shared" si="27"/>
        <v>3</v>
      </c>
      <c r="S1759" s="33">
        <f>IF(COUNTIF(O$2:O1759,O1759)=1,R1759,0)/2.5</f>
        <v>0</v>
      </c>
    </row>
    <row r="1760" spans="1:19" ht="18" customHeight="1" x14ac:dyDescent="0.25">
      <c r="A1760" s="7" t="s">
        <v>43</v>
      </c>
      <c r="B1760" s="8">
        <v>1</v>
      </c>
      <c r="C1760" s="9">
        <v>420</v>
      </c>
      <c r="D1760" s="29">
        <f>C1760+IF(INDEX('Справочник по %'!B:B,(MATCH(A1760,'Справочник по %'!A:A,0)))="кол-во",B1760*INDEX('Справочник по %'!C:C,(MATCH(A1760,'Справочник по %'!A:A,0))),ОТЧЕТ!C1760*INDEX('Справочник по %'!C:C,(MATCH(A1760,'Справочник по %'!A:A,0))))/100</f>
        <v>462</v>
      </c>
      <c r="E1760" s="29">
        <f>IF(ОТЧЕТ!A1760="SKU3",C1760+ОТЧЕТ!C1760*0.2,C1760+ОТЧЕТ!C1760*0.15)</f>
        <v>483</v>
      </c>
      <c r="F1760" s="7" t="s">
        <v>3616</v>
      </c>
      <c r="G1760" s="7">
        <v>7728339546</v>
      </c>
      <c r="H1760" s="20" t="s">
        <v>3623</v>
      </c>
      <c r="I1760" s="22" t="str">
        <f>INDEX('Справочник Сети'!B:B,(MATCH(G1760,'Справочник Сети'!C:C,0)))</f>
        <v>Планета здоровья</v>
      </c>
      <c r="J1760" s="7" t="s">
        <v>142</v>
      </c>
      <c r="K1760" s="7" t="s">
        <v>1308</v>
      </c>
      <c r="L1760" s="7" t="s">
        <v>142</v>
      </c>
      <c r="M1760" s="31">
        <v>45674</v>
      </c>
      <c r="N1760" s="7" t="s">
        <v>3624</v>
      </c>
      <c r="O1760" s="8">
        <v>1419</v>
      </c>
      <c r="P1760" s="24">
        <v>7095</v>
      </c>
      <c r="Q1760" s="22">
        <f>IF(COUNTIFS(A$2:A1760,A1760,I$2:I1760,I1760)=1,1,0)</f>
        <v>0</v>
      </c>
      <c r="R1760" s="22">
        <f t="shared" si="27"/>
        <v>1</v>
      </c>
      <c r="S1760" s="33">
        <f>IF(COUNTIF(O$2:O1760,O1760)=1,R1760,0)/2.5</f>
        <v>0.4</v>
      </c>
    </row>
    <row r="1761" spans="1:19" ht="18" customHeight="1" x14ac:dyDescent="0.25">
      <c r="A1761" s="7" t="s">
        <v>43</v>
      </c>
      <c r="B1761" s="8">
        <v>1</v>
      </c>
      <c r="C1761" s="9">
        <v>575</v>
      </c>
      <c r="D1761" s="29">
        <f>C1761+IF(INDEX('Справочник по %'!B:B,(MATCH(A1761,'Справочник по %'!A:A,0)))="кол-во",B1761*INDEX('Справочник по %'!C:C,(MATCH(A1761,'Справочник по %'!A:A,0))),ОТЧЕТ!C1761*INDEX('Справочник по %'!C:C,(MATCH(A1761,'Справочник по %'!A:A,0))))/100</f>
        <v>632.5</v>
      </c>
      <c r="E1761" s="29">
        <f>IF(ОТЧЕТ!A1761="SKU3",C1761+ОТЧЕТ!C1761*0.2,C1761+ОТЧЕТ!C1761*0.15)</f>
        <v>661.25</v>
      </c>
      <c r="F1761" s="7" t="s">
        <v>3616</v>
      </c>
      <c r="G1761" s="7">
        <v>7732121736</v>
      </c>
      <c r="H1761" s="20" t="s">
        <v>3625</v>
      </c>
      <c r="I1761" s="22" t="str">
        <f>INDEX('Справочник Сети'!B:B,(MATCH(G1761,'Справочник Сети'!C:C,0)))</f>
        <v>Планета здоровья</v>
      </c>
      <c r="J1761" s="7" t="s">
        <v>149</v>
      </c>
      <c r="K1761" s="7" t="s">
        <v>3626</v>
      </c>
      <c r="L1761" s="7" t="s">
        <v>149</v>
      </c>
      <c r="M1761" s="31">
        <v>45673</v>
      </c>
      <c r="N1761" s="7" t="s">
        <v>3627</v>
      </c>
      <c r="O1761" s="8">
        <v>2769</v>
      </c>
      <c r="P1761" s="24">
        <v>7098</v>
      </c>
      <c r="Q1761" s="22">
        <f>IF(COUNTIFS(A$2:A1761,A1761,I$2:I1761,I1761)=1,1,0)</f>
        <v>0</v>
      </c>
      <c r="R1761" s="22">
        <f t="shared" si="27"/>
        <v>2</v>
      </c>
      <c r="S1761" s="33">
        <f>IF(COUNTIF(O$2:O1761,O1761)=1,R1761,0)/2.5</f>
        <v>0.8</v>
      </c>
    </row>
    <row r="1762" spans="1:19" ht="18" customHeight="1" x14ac:dyDescent="0.25">
      <c r="A1762" s="7" t="s">
        <v>43</v>
      </c>
      <c r="B1762" s="8">
        <v>1</v>
      </c>
      <c r="C1762" s="9">
        <v>587</v>
      </c>
      <c r="D1762" s="29">
        <f>C1762+IF(INDEX('Справочник по %'!B:B,(MATCH(A1762,'Справочник по %'!A:A,0)))="кол-во",B1762*INDEX('Справочник по %'!C:C,(MATCH(A1762,'Справочник по %'!A:A,0))),ОТЧЕТ!C1762*INDEX('Справочник по %'!C:C,(MATCH(A1762,'Справочник по %'!A:A,0))))/100</f>
        <v>645.70000000000005</v>
      </c>
      <c r="E1762" s="29">
        <f>IF(ОТЧЕТ!A1762="SKU3",C1762+ОТЧЕТ!C1762*0.2,C1762+ОТЧЕТ!C1762*0.15)</f>
        <v>675.05</v>
      </c>
      <c r="F1762" s="7" t="s">
        <v>3616</v>
      </c>
      <c r="G1762" s="7">
        <v>7732121736</v>
      </c>
      <c r="H1762" s="20" t="s">
        <v>3625</v>
      </c>
      <c r="I1762" s="22" t="str">
        <f>INDEX('Справочник Сети'!B:B,(MATCH(G1762,'Справочник Сети'!C:C,0)))</f>
        <v>Планета здоровья</v>
      </c>
      <c r="J1762" s="7" t="s">
        <v>149</v>
      </c>
      <c r="K1762" s="7" t="s">
        <v>3626</v>
      </c>
      <c r="L1762" s="7" t="s">
        <v>149</v>
      </c>
      <c r="M1762" s="31">
        <v>45673</v>
      </c>
      <c r="N1762" s="7" t="s">
        <v>3627</v>
      </c>
      <c r="O1762" s="8">
        <v>2769</v>
      </c>
      <c r="P1762" s="24">
        <v>7098</v>
      </c>
      <c r="Q1762" s="22">
        <f>IF(COUNTIFS(A$2:A1762,A1762,I$2:I1762,I1762)=1,1,0)</f>
        <v>0</v>
      </c>
      <c r="R1762" s="22">
        <f t="shared" si="27"/>
        <v>2</v>
      </c>
      <c r="S1762" s="33">
        <f>IF(COUNTIF(O$2:O1762,O1762)=1,R1762,0)/2.5</f>
        <v>0</v>
      </c>
    </row>
    <row r="1763" spans="1:19" ht="18" customHeight="1" x14ac:dyDescent="0.25">
      <c r="A1763" s="7" t="s">
        <v>43</v>
      </c>
      <c r="B1763" s="8">
        <v>1</v>
      </c>
      <c r="C1763" s="9">
        <v>382</v>
      </c>
      <c r="D1763" s="29">
        <f>C1763+IF(INDEX('Справочник по %'!B:B,(MATCH(A1763,'Справочник по %'!A:A,0)))="кол-во",B1763*INDEX('Справочник по %'!C:C,(MATCH(A1763,'Справочник по %'!A:A,0))),ОТЧЕТ!C1763*INDEX('Справочник по %'!C:C,(MATCH(A1763,'Справочник по %'!A:A,0))))/100</f>
        <v>420.2</v>
      </c>
      <c r="E1763" s="29">
        <f>IF(ОТЧЕТ!A1763="SKU3",C1763+ОТЧЕТ!C1763*0.2,C1763+ОТЧЕТ!C1763*0.15)</f>
        <v>439.3</v>
      </c>
      <c r="F1763" s="7" t="s">
        <v>3628</v>
      </c>
      <c r="G1763" s="7">
        <v>7728339546</v>
      </c>
      <c r="H1763" s="20" t="s">
        <v>2274</v>
      </c>
      <c r="I1763" s="22" t="str">
        <f>INDEX('Справочник Сети'!B:B,(MATCH(G1763,'Справочник Сети'!C:C,0)))</f>
        <v>Планета здоровья</v>
      </c>
      <c r="J1763" s="7" t="s">
        <v>142</v>
      </c>
      <c r="K1763" s="7" t="s">
        <v>1308</v>
      </c>
      <c r="L1763" s="7" t="s">
        <v>142</v>
      </c>
      <c r="M1763" s="31">
        <v>45674</v>
      </c>
      <c r="N1763" s="7" t="s">
        <v>3629</v>
      </c>
      <c r="O1763" s="8">
        <v>897</v>
      </c>
      <c r="P1763" s="24">
        <v>7101</v>
      </c>
      <c r="Q1763" s="22">
        <f>IF(COUNTIFS(A$2:A1763,A1763,I$2:I1763,I1763)=1,1,0)</f>
        <v>0</v>
      </c>
      <c r="R1763" s="22">
        <f t="shared" si="27"/>
        <v>5</v>
      </c>
      <c r="S1763" s="33">
        <f>IF(COUNTIF(O$2:O1763,O1763)=1,R1763,0)/2.5</f>
        <v>0</v>
      </c>
    </row>
    <row r="1764" spans="1:19" ht="18" customHeight="1" x14ac:dyDescent="0.25">
      <c r="A1764" s="7" t="s">
        <v>43</v>
      </c>
      <c r="B1764" s="8">
        <v>1</v>
      </c>
      <c r="C1764" s="9">
        <v>377</v>
      </c>
      <c r="D1764" s="29">
        <f>C1764+IF(INDEX('Справочник по %'!B:B,(MATCH(A1764,'Справочник по %'!A:A,0)))="кол-во",B1764*INDEX('Справочник по %'!C:C,(MATCH(A1764,'Справочник по %'!A:A,0))),ОТЧЕТ!C1764*INDEX('Справочник по %'!C:C,(MATCH(A1764,'Справочник по %'!A:A,0))))/100</f>
        <v>414.7</v>
      </c>
      <c r="E1764" s="29">
        <f>IF(ОТЧЕТ!A1764="SKU3",C1764+ОТЧЕТ!C1764*0.2,C1764+ОТЧЕТ!C1764*0.15)</f>
        <v>433.55</v>
      </c>
      <c r="F1764" s="7" t="s">
        <v>3630</v>
      </c>
      <c r="G1764" s="7">
        <v>7706795062</v>
      </c>
      <c r="H1764" s="20" t="s">
        <v>3631</v>
      </c>
      <c r="I1764" s="22" t="str">
        <f>INDEX('Справочник Сети'!B:B,(MATCH(G1764,'Справочник Сети'!C:C,0)))</f>
        <v>Планета здоровья</v>
      </c>
      <c r="J1764" s="7" t="s">
        <v>87</v>
      </c>
      <c r="K1764" s="7" t="s">
        <v>111</v>
      </c>
      <c r="L1764" s="7" t="s">
        <v>87</v>
      </c>
      <c r="M1764" s="31">
        <v>45691</v>
      </c>
      <c r="N1764" s="7" t="s">
        <v>3632</v>
      </c>
      <c r="O1764" s="8">
        <v>1981</v>
      </c>
      <c r="P1764" s="24">
        <v>7105</v>
      </c>
      <c r="Q1764" s="22">
        <f>IF(COUNTIFS(A$2:A1764,A1764,I$2:I1764,I1764)=1,1,0)</f>
        <v>0</v>
      </c>
      <c r="R1764" s="22">
        <f t="shared" si="27"/>
        <v>4</v>
      </c>
      <c r="S1764" s="33">
        <f>IF(COUNTIF(O$2:O1764,O1764)=1,R1764,0)/2.5</f>
        <v>1.6</v>
      </c>
    </row>
    <row r="1765" spans="1:19" ht="18" customHeight="1" x14ac:dyDescent="0.25">
      <c r="A1765" s="7" t="s">
        <v>43</v>
      </c>
      <c r="B1765" s="8">
        <v>1</v>
      </c>
      <c r="C1765" s="9">
        <v>465</v>
      </c>
      <c r="D1765" s="29">
        <f>C1765+IF(INDEX('Справочник по %'!B:B,(MATCH(A1765,'Справочник по %'!A:A,0)))="кол-во",B1765*INDEX('Справочник по %'!C:C,(MATCH(A1765,'Справочник по %'!A:A,0))),ОТЧЕТ!C1765*INDEX('Справочник по %'!C:C,(MATCH(A1765,'Справочник по %'!A:A,0))))/100</f>
        <v>511.5</v>
      </c>
      <c r="E1765" s="29">
        <f>IF(ОТЧЕТ!A1765="SKU3",C1765+ОТЧЕТ!C1765*0.2,C1765+ОТЧЕТ!C1765*0.15)</f>
        <v>534.75</v>
      </c>
      <c r="F1765" s="7" t="s">
        <v>3630</v>
      </c>
      <c r="G1765" s="7">
        <v>7705947629</v>
      </c>
      <c r="H1765" s="20" t="s">
        <v>64</v>
      </c>
      <c r="I1765" s="22" t="str">
        <f>INDEX('Справочник Сети'!B:B,(MATCH(G1765,'Справочник Сети'!C:C,0)))</f>
        <v>36,6</v>
      </c>
      <c r="J1765" s="7" t="s">
        <v>116</v>
      </c>
      <c r="K1765" s="7" t="s">
        <v>2100</v>
      </c>
      <c r="L1765" s="7" t="s">
        <v>104</v>
      </c>
      <c r="M1765" s="31">
        <v>45693</v>
      </c>
      <c r="N1765" s="7" t="s">
        <v>3633</v>
      </c>
      <c r="O1765" s="8">
        <v>2571</v>
      </c>
      <c r="P1765" s="24">
        <v>7106</v>
      </c>
      <c r="Q1765" s="22">
        <f>IF(COUNTIFS(A$2:A1765,A1765,I$2:I1765,I1765)=1,1,0)</f>
        <v>0</v>
      </c>
      <c r="R1765" s="22">
        <f t="shared" si="27"/>
        <v>9</v>
      </c>
      <c r="S1765" s="33">
        <f>IF(COUNTIF(O$2:O1765,O1765)=1,R1765,0)/2.5</f>
        <v>0</v>
      </c>
    </row>
    <row r="1766" spans="1:19" ht="18" customHeight="1" x14ac:dyDescent="0.25">
      <c r="A1766" s="7" t="s">
        <v>37</v>
      </c>
      <c r="B1766" s="8">
        <v>1</v>
      </c>
      <c r="C1766" s="9">
        <v>474.76</v>
      </c>
      <c r="D1766" s="29">
        <f>C1766+IF(INDEX('Справочник по %'!B:B,(MATCH(A1766,'Справочник по %'!A:A,0)))="кол-во",B1766*INDEX('Справочник по %'!C:C,(MATCH(A1766,'Справочник по %'!A:A,0))),ОТЧЕТ!C1766*INDEX('Справочник по %'!C:C,(MATCH(A1766,'Справочник по %'!A:A,0))))/100</f>
        <v>474.96</v>
      </c>
      <c r="E1766" s="29">
        <f>IF(ОТЧЕТ!A1766="SKU3",C1766+ОТЧЕТ!C1766*0.2,C1766+ОТЧЕТ!C1766*0.15)</f>
        <v>545.97399999999993</v>
      </c>
      <c r="F1766" s="7" t="s">
        <v>3630</v>
      </c>
      <c r="G1766" s="7">
        <v>2308241919</v>
      </c>
      <c r="H1766" s="20" t="s">
        <v>50</v>
      </c>
      <c r="I1766" s="22" t="str">
        <f>INDEX('Справочник Сети'!B:B,(MATCH(G1766,'Справочник Сети'!C:C,0)))</f>
        <v>Столички</v>
      </c>
      <c r="J1766" s="7" t="s">
        <v>57</v>
      </c>
      <c r="K1766" s="7" t="s">
        <v>52</v>
      </c>
      <c r="L1766" s="7" t="s">
        <v>57</v>
      </c>
      <c r="M1766" s="31">
        <v>45729</v>
      </c>
      <c r="N1766" s="7" t="s">
        <v>3634</v>
      </c>
      <c r="O1766" s="8">
        <v>1159</v>
      </c>
      <c r="P1766" s="24">
        <v>7108</v>
      </c>
      <c r="Q1766" s="22">
        <f>IF(COUNTIFS(A$2:A1766,A1766,I$2:I1766,I1766)=1,1,0)</f>
        <v>0</v>
      </c>
      <c r="R1766" s="22">
        <f t="shared" si="27"/>
        <v>1</v>
      </c>
      <c r="S1766" s="33">
        <f>IF(COUNTIF(O$2:O1766,O1766)=1,R1766,0)/2.5</f>
        <v>0.4</v>
      </c>
    </row>
    <row r="1767" spans="1:19" ht="18" customHeight="1" x14ac:dyDescent="0.25">
      <c r="A1767" s="7" t="s">
        <v>43</v>
      </c>
      <c r="B1767" s="8">
        <v>1</v>
      </c>
      <c r="C1767" s="9">
        <v>340.72</v>
      </c>
      <c r="D1767" s="29">
        <f>C1767+IF(INDEX('Справочник по %'!B:B,(MATCH(A1767,'Справочник по %'!A:A,0)))="кол-во",B1767*INDEX('Справочник по %'!C:C,(MATCH(A1767,'Справочник по %'!A:A,0))),ОТЧЕТ!C1767*INDEX('Справочник по %'!C:C,(MATCH(A1767,'Справочник по %'!A:A,0))))/100</f>
        <v>374.79200000000003</v>
      </c>
      <c r="E1767" s="29">
        <f>IF(ОТЧЕТ!A1767="SKU3",C1767+ОТЧЕТ!C1767*0.2,C1767+ОТЧЕТ!C1767*0.15)</f>
        <v>391.82800000000003</v>
      </c>
      <c r="F1767" s="7" t="s">
        <v>3630</v>
      </c>
      <c r="G1767" s="7">
        <v>6833012604</v>
      </c>
      <c r="H1767" s="20" t="s">
        <v>91</v>
      </c>
      <c r="I1767" s="22" t="str">
        <f>INDEX('Справочник Сети'!B:B,(MATCH(G1767,'Справочник Сети'!C:C,0)))</f>
        <v>Ригла</v>
      </c>
      <c r="J1767" s="7" t="s">
        <v>106</v>
      </c>
      <c r="K1767" s="7" t="s">
        <v>2100</v>
      </c>
      <c r="L1767" s="7" t="s">
        <v>106</v>
      </c>
      <c r="M1767" s="31">
        <v>45694</v>
      </c>
      <c r="N1767" s="7" t="s">
        <v>3635</v>
      </c>
      <c r="O1767" s="8">
        <v>3262</v>
      </c>
      <c r="P1767" s="24">
        <v>7113</v>
      </c>
      <c r="Q1767" s="22">
        <f>IF(COUNTIFS(A$2:A1767,A1767,I$2:I1767,I1767)=1,1,0)</f>
        <v>0</v>
      </c>
      <c r="R1767" s="22">
        <f t="shared" si="27"/>
        <v>1</v>
      </c>
      <c r="S1767" s="33">
        <f>IF(COUNTIF(O$2:O1767,O1767)=1,R1767,0)/2.5</f>
        <v>0.4</v>
      </c>
    </row>
    <row r="1768" spans="1:19" ht="18" customHeight="1" x14ac:dyDescent="0.25">
      <c r="A1768" s="7" t="s">
        <v>43</v>
      </c>
      <c r="B1768" s="8">
        <v>1</v>
      </c>
      <c r="C1768" s="9">
        <v>447.88</v>
      </c>
      <c r="D1768" s="29">
        <f>C1768+IF(INDEX('Справочник по %'!B:B,(MATCH(A1768,'Справочник по %'!A:A,0)))="кол-во",B1768*INDEX('Справочник по %'!C:C,(MATCH(A1768,'Справочник по %'!A:A,0))),ОТЧЕТ!C1768*INDEX('Справочник по %'!C:C,(MATCH(A1768,'Справочник по %'!A:A,0))))/100</f>
        <v>492.66800000000001</v>
      </c>
      <c r="E1768" s="29">
        <f>IF(ОТЧЕТ!A1768="SKU3",C1768+ОТЧЕТ!C1768*0.2,C1768+ОТЧЕТ!C1768*0.15)</f>
        <v>515.06200000000001</v>
      </c>
      <c r="F1768" s="7" t="s">
        <v>3630</v>
      </c>
      <c r="G1768" s="7">
        <v>7805180253</v>
      </c>
      <c r="H1768" s="20" t="s">
        <v>50</v>
      </c>
      <c r="I1768" s="22">
        <f>INDEX('Справочник Сети'!B:B,(MATCH(G1768,'Справочник Сети'!C:C,0)))</f>
        <v>0</v>
      </c>
      <c r="J1768" s="7" t="s">
        <v>353</v>
      </c>
      <c r="K1768" s="7" t="s">
        <v>1181</v>
      </c>
      <c r="L1768" s="7" t="s">
        <v>353</v>
      </c>
      <c r="M1768" s="31">
        <v>45672</v>
      </c>
      <c r="N1768" s="7" t="s">
        <v>3636</v>
      </c>
      <c r="O1768" s="8">
        <v>3764</v>
      </c>
      <c r="P1768" s="24">
        <v>7115</v>
      </c>
      <c r="Q1768" s="22">
        <f>IF(COUNTIFS(A$2:A1768,A1768,I$2:I1768,I1768)=1,1,0)</f>
        <v>0</v>
      </c>
      <c r="R1768" s="22">
        <f t="shared" si="27"/>
        <v>2</v>
      </c>
      <c r="S1768" s="33">
        <f>IF(COUNTIF(O$2:O1768,O1768)=1,R1768,0)/2.5</f>
        <v>0</v>
      </c>
    </row>
    <row r="1769" spans="1:19" ht="18" customHeight="1" x14ac:dyDescent="0.25">
      <c r="A1769" s="7" t="s">
        <v>43</v>
      </c>
      <c r="B1769" s="8">
        <v>1</v>
      </c>
      <c r="C1769" s="9">
        <v>495</v>
      </c>
      <c r="D1769" s="29">
        <f>C1769+IF(INDEX('Справочник по %'!B:B,(MATCH(A1769,'Справочник по %'!A:A,0)))="кол-во",B1769*INDEX('Справочник по %'!C:C,(MATCH(A1769,'Справочник по %'!A:A,0))),ОТЧЕТ!C1769*INDEX('Справочник по %'!C:C,(MATCH(A1769,'Справочник по %'!A:A,0))))/100</f>
        <v>544.5</v>
      </c>
      <c r="E1769" s="29">
        <f>IF(ОТЧЕТ!A1769="SKU3",C1769+ОТЧЕТ!C1769*0.2,C1769+ОТЧЕТ!C1769*0.15)</f>
        <v>569.25</v>
      </c>
      <c r="F1769" s="7" t="s">
        <v>3630</v>
      </c>
      <c r="G1769" s="7">
        <v>2227005590</v>
      </c>
      <c r="H1769" s="20" t="s">
        <v>3637</v>
      </c>
      <c r="I1769" s="22" t="str">
        <f>INDEX('Справочник Сети'!B:B,(MATCH(G1769,'Справочник Сети'!C:C,0)))</f>
        <v>Нео-фарм</v>
      </c>
      <c r="J1769" s="7" t="s">
        <v>372</v>
      </c>
      <c r="K1769" s="7" t="s">
        <v>241</v>
      </c>
      <c r="L1769" s="7" t="s">
        <v>372</v>
      </c>
      <c r="M1769" s="31">
        <v>45730</v>
      </c>
      <c r="N1769" s="7" t="s">
        <v>3638</v>
      </c>
      <c r="O1769" s="8">
        <v>1963</v>
      </c>
      <c r="P1769" s="24">
        <v>7118</v>
      </c>
      <c r="Q1769" s="22">
        <f>IF(COUNTIFS(A$2:A1769,A1769,I$2:I1769,I1769)=1,1,0)</f>
        <v>0</v>
      </c>
      <c r="R1769" s="22">
        <f t="shared" si="27"/>
        <v>1</v>
      </c>
      <c r="S1769" s="33">
        <f>IF(COUNTIF(O$2:O1769,O1769)=1,R1769,0)/2.5</f>
        <v>0.4</v>
      </c>
    </row>
    <row r="1770" spans="1:19" ht="18" customHeight="1" x14ac:dyDescent="0.25">
      <c r="A1770" s="7" t="s">
        <v>43</v>
      </c>
      <c r="B1770" s="8">
        <v>1</v>
      </c>
      <c r="C1770" s="9">
        <v>399</v>
      </c>
      <c r="D1770" s="29">
        <f>C1770+IF(INDEX('Справочник по %'!B:B,(MATCH(A1770,'Справочник по %'!A:A,0)))="кол-во",B1770*INDEX('Справочник по %'!C:C,(MATCH(A1770,'Справочник по %'!A:A,0))),ОТЧЕТ!C1770*INDEX('Справочник по %'!C:C,(MATCH(A1770,'Справочник по %'!A:A,0))))/100</f>
        <v>438.9</v>
      </c>
      <c r="E1770" s="29">
        <f>IF(ОТЧЕТ!A1770="SKU3",C1770+ОТЧЕТ!C1770*0.2,C1770+ОТЧЕТ!C1770*0.15)</f>
        <v>458.85</v>
      </c>
      <c r="F1770" s="7" t="s">
        <v>3639</v>
      </c>
      <c r="G1770" s="7">
        <v>3252007200</v>
      </c>
      <c r="H1770" s="20" t="s">
        <v>50</v>
      </c>
      <c r="I1770" s="22">
        <f>INDEX('Справочник Сети'!B:B,(MATCH(G1770,'Справочник Сети'!C:C,0)))</f>
        <v>0</v>
      </c>
      <c r="J1770" s="7" t="s">
        <v>193</v>
      </c>
      <c r="K1770" s="7" t="s">
        <v>667</v>
      </c>
      <c r="L1770" s="7" t="s">
        <v>193</v>
      </c>
      <c r="M1770" s="31">
        <v>45718</v>
      </c>
      <c r="N1770" s="7" t="s">
        <v>3640</v>
      </c>
      <c r="O1770" s="8">
        <v>2331</v>
      </c>
      <c r="P1770" s="24">
        <v>7123</v>
      </c>
      <c r="Q1770" s="22">
        <f>IF(COUNTIFS(A$2:A1770,A1770,I$2:I1770,I1770)=1,1,0)</f>
        <v>0</v>
      </c>
      <c r="R1770" s="22">
        <f t="shared" si="27"/>
        <v>2</v>
      </c>
      <c r="S1770" s="33">
        <f>IF(COUNTIF(O$2:O1770,O1770)=1,R1770,0)/2.5</f>
        <v>0</v>
      </c>
    </row>
    <row r="1771" spans="1:19" ht="18" customHeight="1" x14ac:dyDescent="0.25">
      <c r="A1771" s="7" t="s">
        <v>43</v>
      </c>
      <c r="B1771" s="8">
        <v>1</v>
      </c>
      <c r="C1771" s="9">
        <v>400.8</v>
      </c>
      <c r="D1771" s="29">
        <f>C1771+IF(INDEX('Справочник по %'!B:B,(MATCH(A1771,'Справочник по %'!A:A,0)))="кол-во",B1771*INDEX('Справочник по %'!C:C,(MATCH(A1771,'Справочник по %'!A:A,0))),ОТЧЕТ!C1771*INDEX('Справочник по %'!C:C,(MATCH(A1771,'Справочник по %'!A:A,0))))/100</f>
        <v>440.88</v>
      </c>
      <c r="E1771" s="29">
        <f>IF(ОТЧЕТ!A1771="SKU3",C1771+ОТЧЕТ!C1771*0.2,C1771+ОТЧЕТ!C1771*0.15)</f>
        <v>460.92</v>
      </c>
      <c r="F1771" s="7" t="s">
        <v>3641</v>
      </c>
      <c r="G1771" s="7">
        <v>5507102175</v>
      </c>
      <c r="H1771" s="20" t="s">
        <v>50</v>
      </c>
      <c r="I1771" s="22" t="str">
        <f>INDEX('Справочник Сети'!B:B,(MATCH(G1771,'Справочник Сети'!C:C,0)))</f>
        <v>Столички</v>
      </c>
      <c r="J1771" s="7" t="s">
        <v>255</v>
      </c>
      <c r="K1771" s="7" t="s">
        <v>3642</v>
      </c>
      <c r="L1771" s="7" t="s">
        <v>255</v>
      </c>
      <c r="M1771" s="31">
        <v>45713</v>
      </c>
      <c r="N1771" s="7" t="s">
        <v>3643</v>
      </c>
      <c r="O1771" s="8">
        <v>1911</v>
      </c>
      <c r="P1771" s="24">
        <v>7128</v>
      </c>
      <c r="Q1771" s="22">
        <f>IF(COUNTIFS(A$2:A1771,A1771,I$2:I1771,I1771)=1,1,0)</f>
        <v>0</v>
      </c>
      <c r="R1771" s="22">
        <f t="shared" si="27"/>
        <v>2</v>
      </c>
      <c r="S1771" s="33">
        <f>IF(COUNTIF(O$2:O1771,O1771)=1,R1771,0)/2.5</f>
        <v>0</v>
      </c>
    </row>
    <row r="1772" spans="1:19" ht="18" customHeight="1" x14ac:dyDescent="0.25">
      <c r="A1772" s="7" t="s">
        <v>43</v>
      </c>
      <c r="B1772" s="8">
        <v>1</v>
      </c>
      <c r="C1772" s="9">
        <v>397</v>
      </c>
      <c r="D1772" s="29">
        <f>C1772+IF(INDEX('Справочник по %'!B:B,(MATCH(A1772,'Справочник по %'!A:A,0)))="кол-во",B1772*INDEX('Справочник по %'!C:C,(MATCH(A1772,'Справочник по %'!A:A,0))),ОТЧЕТ!C1772*INDEX('Справочник по %'!C:C,(MATCH(A1772,'Справочник по %'!A:A,0))))/100</f>
        <v>436.7</v>
      </c>
      <c r="E1772" s="29">
        <f>IF(ОТЧЕТ!A1772="SKU3",C1772+ОТЧЕТ!C1772*0.2,C1772+ОТЧЕТ!C1772*0.15)</f>
        <v>456.55</v>
      </c>
      <c r="F1772" s="7" t="s">
        <v>3641</v>
      </c>
      <c r="G1772" s="7">
        <v>9705190974</v>
      </c>
      <c r="H1772" s="20" t="s">
        <v>3094</v>
      </c>
      <c r="I1772" s="22">
        <f>INDEX('Справочник Сети'!B:B,(MATCH(G1772,'Справочник Сети'!C:C,0)))</f>
        <v>0</v>
      </c>
      <c r="J1772" s="7" t="s">
        <v>239</v>
      </c>
      <c r="K1772" s="7" t="s">
        <v>3644</v>
      </c>
      <c r="L1772" s="7" t="s">
        <v>239</v>
      </c>
      <c r="M1772" s="31">
        <v>45662</v>
      </c>
      <c r="N1772" s="7" t="s">
        <v>3645</v>
      </c>
      <c r="O1772" s="8">
        <v>363</v>
      </c>
      <c r="P1772" s="24">
        <v>7129</v>
      </c>
      <c r="Q1772" s="22">
        <f>IF(COUNTIFS(A$2:A1772,A1772,I$2:I1772,I1772)=1,1,0)</f>
        <v>0</v>
      </c>
      <c r="R1772" s="22">
        <f t="shared" si="27"/>
        <v>5</v>
      </c>
      <c r="S1772" s="33">
        <f>IF(COUNTIF(O$2:O1772,O1772)=1,R1772,0)/2.5</f>
        <v>0</v>
      </c>
    </row>
    <row r="1773" spans="1:19" ht="18" customHeight="1" x14ac:dyDescent="0.25">
      <c r="A1773" s="7" t="s">
        <v>43</v>
      </c>
      <c r="B1773" s="8">
        <v>1</v>
      </c>
      <c r="C1773" s="9">
        <v>371</v>
      </c>
      <c r="D1773" s="29">
        <f>C1773+IF(INDEX('Справочник по %'!B:B,(MATCH(A1773,'Справочник по %'!A:A,0)))="кол-во",B1773*INDEX('Справочник по %'!C:C,(MATCH(A1773,'Справочник по %'!A:A,0))),ОТЧЕТ!C1773*INDEX('Справочник по %'!C:C,(MATCH(A1773,'Справочник по %'!A:A,0))))/100</f>
        <v>408.1</v>
      </c>
      <c r="E1773" s="29">
        <f>IF(ОТЧЕТ!A1773="SKU3",C1773+ОТЧЕТ!C1773*0.2,C1773+ОТЧЕТ!C1773*0.15)</f>
        <v>426.65</v>
      </c>
      <c r="F1773" s="7" t="s">
        <v>3646</v>
      </c>
      <c r="G1773" s="7">
        <v>5902862610</v>
      </c>
      <c r="H1773" s="20" t="s">
        <v>39</v>
      </c>
      <c r="I1773" s="22">
        <f>INDEX('Справочник Сети'!B:B,(MATCH(G1773,'Справочник Сети'!C:C,0)))</f>
        <v>0</v>
      </c>
      <c r="J1773" s="7" t="s">
        <v>40</v>
      </c>
      <c r="K1773" s="7" t="s">
        <v>748</v>
      </c>
      <c r="L1773" s="7" t="s">
        <v>40</v>
      </c>
      <c r="M1773" s="31">
        <v>45712</v>
      </c>
      <c r="N1773" s="7" t="s">
        <v>3647</v>
      </c>
      <c r="O1773" s="8">
        <v>2955</v>
      </c>
      <c r="P1773" s="24">
        <v>7130</v>
      </c>
      <c r="Q1773" s="22">
        <f>IF(COUNTIFS(A$2:A1773,A1773,I$2:I1773,I1773)=1,1,0)</f>
        <v>0</v>
      </c>
      <c r="R1773" s="22">
        <f t="shared" si="27"/>
        <v>1</v>
      </c>
      <c r="S1773" s="33">
        <f>IF(COUNTIF(O$2:O1773,O1773)=1,R1773,0)/2.5</f>
        <v>0.4</v>
      </c>
    </row>
    <row r="1774" spans="1:19" ht="18" customHeight="1" x14ac:dyDescent="0.25">
      <c r="A1774" s="7" t="s">
        <v>43</v>
      </c>
      <c r="B1774" s="8">
        <v>1</v>
      </c>
      <c r="C1774" s="9">
        <v>409.22</v>
      </c>
      <c r="D1774" s="29">
        <f>C1774+IF(INDEX('Справочник по %'!B:B,(MATCH(A1774,'Справочник по %'!A:A,0)))="кол-во",B1774*INDEX('Справочник по %'!C:C,(MATCH(A1774,'Справочник по %'!A:A,0))),ОТЧЕТ!C1774*INDEX('Справочник по %'!C:C,(MATCH(A1774,'Справочник по %'!A:A,0))))/100</f>
        <v>450.14200000000005</v>
      </c>
      <c r="E1774" s="29">
        <f>IF(ОТЧЕТ!A1774="SKU3",C1774+ОТЧЕТ!C1774*0.2,C1774+ОТЧЕТ!C1774*0.15)</f>
        <v>470.60300000000001</v>
      </c>
      <c r="F1774" s="7" t="s">
        <v>3648</v>
      </c>
      <c r="G1774" s="7">
        <v>5507102175</v>
      </c>
      <c r="H1774" s="20" t="s">
        <v>50</v>
      </c>
      <c r="I1774" s="22" t="str">
        <f>INDEX('Справочник Сети'!B:B,(MATCH(G1774,'Справочник Сети'!C:C,0)))</f>
        <v>Столички</v>
      </c>
      <c r="J1774" s="7" t="s">
        <v>255</v>
      </c>
      <c r="K1774" s="7" t="s">
        <v>842</v>
      </c>
      <c r="L1774" s="7" t="s">
        <v>255</v>
      </c>
      <c r="M1774" s="31">
        <v>45713</v>
      </c>
      <c r="N1774" s="7" t="s">
        <v>3649</v>
      </c>
      <c r="O1774" s="8">
        <v>3288</v>
      </c>
      <c r="P1774" s="24">
        <v>7131</v>
      </c>
      <c r="Q1774" s="22">
        <f>IF(COUNTIFS(A$2:A1774,A1774,I$2:I1774,I1774)=1,1,0)</f>
        <v>0</v>
      </c>
      <c r="R1774" s="22">
        <f t="shared" si="27"/>
        <v>3</v>
      </c>
      <c r="S1774" s="33">
        <f>IF(COUNTIF(O$2:O1774,O1774)=1,R1774,0)/2.5</f>
        <v>0</v>
      </c>
    </row>
    <row r="1775" spans="1:19" ht="18" customHeight="1" x14ac:dyDescent="0.25">
      <c r="A1775" s="7" t="s">
        <v>43</v>
      </c>
      <c r="B1775" s="8">
        <v>1</v>
      </c>
      <c r="C1775" s="9">
        <v>470</v>
      </c>
      <c r="D1775" s="29">
        <f>C1775+IF(INDEX('Справочник по %'!B:B,(MATCH(A1775,'Справочник по %'!A:A,0)))="кол-во",B1775*INDEX('Справочник по %'!C:C,(MATCH(A1775,'Справочник по %'!A:A,0))),ОТЧЕТ!C1775*INDEX('Справочник по %'!C:C,(MATCH(A1775,'Справочник по %'!A:A,0))))/100</f>
        <v>517</v>
      </c>
      <c r="E1775" s="29">
        <f>IF(ОТЧЕТ!A1775="SKU3",C1775+ОТЧЕТ!C1775*0.2,C1775+ОТЧЕТ!C1775*0.15)</f>
        <v>540.5</v>
      </c>
      <c r="F1775" s="7" t="s">
        <v>3648</v>
      </c>
      <c r="G1775" s="7">
        <v>312301825966</v>
      </c>
      <c r="H1775" s="20" t="s">
        <v>167</v>
      </c>
      <c r="I1775" s="22" t="str">
        <f>INDEX('Справочник Сети'!B:B,(MATCH(G1775,'Справочник Сети'!C:C,0)))</f>
        <v>Ригла</v>
      </c>
      <c r="J1775" s="7" t="s">
        <v>110</v>
      </c>
      <c r="K1775" s="7" t="s">
        <v>337</v>
      </c>
      <c r="L1775" s="7" t="s">
        <v>110</v>
      </c>
      <c r="M1775" s="31">
        <v>45660</v>
      </c>
      <c r="N1775" s="7" t="s">
        <v>3650</v>
      </c>
      <c r="O1775" s="8">
        <v>2764</v>
      </c>
      <c r="P1775" s="24">
        <v>7132</v>
      </c>
      <c r="Q1775" s="22">
        <f>IF(COUNTIFS(A$2:A1775,A1775,I$2:I1775,I1775)=1,1,0)</f>
        <v>0</v>
      </c>
      <c r="R1775" s="22">
        <f t="shared" si="27"/>
        <v>2</v>
      </c>
      <c r="S1775" s="33">
        <f>IF(COUNTIF(O$2:O1775,O1775)=1,R1775,0)/2.5</f>
        <v>0</v>
      </c>
    </row>
    <row r="1776" spans="1:19" ht="18" customHeight="1" x14ac:dyDescent="0.25">
      <c r="A1776" s="7" t="s">
        <v>37</v>
      </c>
      <c r="B1776" s="8">
        <v>1</v>
      </c>
      <c r="C1776" s="9">
        <v>573</v>
      </c>
      <c r="D1776" s="29">
        <f>C1776+IF(INDEX('Справочник по %'!B:B,(MATCH(A1776,'Справочник по %'!A:A,0)))="кол-во",B1776*INDEX('Справочник по %'!C:C,(MATCH(A1776,'Справочник по %'!A:A,0))),ОТЧЕТ!C1776*INDEX('Справочник по %'!C:C,(MATCH(A1776,'Справочник по %'!A:A,0))))/100</f>
        <v>573.20000000000005</v>
      </c>
      <c r="E1776" s="29">
        <f>IF(ОТЧЕТ!A1776="SKU3",C1776+ОТЧЕТ!C1776*0.2,C1776+ОТЧЕТ!C1776*0.15)</f>
        <v>658.95</v>
      </c>
      <c r="F1776" s="7" t="s">
        <v>3648</v>
      </c>
      <c r="G1776" s="7">
        <v>7732121736</v>
      </c>
      <c r="H1776" s="20" t="s">
        <v>3362</v>
      </c>
      <c r="I1776" s="22" t="str">
        <f>INDEX('Справочник Сети'!B:B,(MATCH(G1776,'Справочник Сети'!C:C,0)))</f>
        <v>Планета здоровья</v>
      </c>
      <c r="J1776" s="7" t="s">
        <v>149</v>
      </c>
      <c r="K1776" s="7" t="s">
        <v>2337</v>
      </c>
      <c r="L1776" s="7" t="s">
        <v>149</v>
      </c>
      <c r="M1776" s="31">
        <v>45673</v>
      </c>
      <c r="N1776" s="7" t="s">
        <v>3651</v>
      </c>
      <c r="O1776" s="8">
        <v>3046</v>
      </c>
      <c r="P1776" s="24">
        <v>7134</v>
      </c>
      <c r="Q1776" s="22">
        <f>IF(COUNTIFS(A$2:A1776,A1776,I$2:I1776,I1776)=1,1,0)</f>
        <v>0</v>
      </c>
      <c r="R1776" s="22">
        <f t="shared" si="27"/>
        <v>7</v>
      </c>
      <c r="S1776" s="33">
        <f>IF(COUNTIF(O$2:O1776,O1776)=1,R1776,0)/2.5</f>
        <v>0</v>
      </c>
    </row>
    <row r="1777" spans="1:19" ht="18" customHeight="1" x14ac:dyDescent="0.25">
      <c r="A1777" s="7" t="s">
        <v>43</v>
      </c>
      <c r="B1777" s="8">
        <v>1</v>
      </c>
      <c r="C1777" s="9">
        <v>370</v>
      </c>
      <c r="D1777" s="29">
        <f>C1777+IF(INDEX('Справочник по %'!B:B,(MATCH(A1777,'Справочник по %'!A:A,0)))="кол-во",B1777*INDEX('Справочник по %'!C:C,(MATCH(A1777,'Справочник по %'!A:A,0))),ОТЧЕТ!C1777*INDEX('Справочник по %'!C:C,(MATCH(A1777,'Справочник по %'!A:A,0))))/100</f>
        <v>407</v>
      </c>
      <c r="E1777" s="29">
        <f>IF(ОТЧЕТ!A1777="SKU3",C1777+ОТЧЕТ!C1777*0.2,C1777+ОТЧЕТ!C1777*0.15)</f>
        <v>425.5</v>
      </c>
      <c r="F1777" s="7" t="s">
        <v>3652</v>
      </c>
      <c r="G1777" s="7">
        <v>7728339546</v>
      </c>
      <c r="H1777" s="20" t="s">
        <v>2232</v>
      </c>
      <c r="I1777" s="22" t="str">
        <f>INDEX('Справочник Сети'!B:B,(MATCH(G1777,'Справочник Сети'!C:C,0)))</f>
        <v>Планета здоровья</v>
      </c>
      <c r="J1777" s="7" t="s">
        <v>142</v>
      </c>
      <c r="K1777" s="7" t="s">
        <v>905</v>
      </c>
      <c r="L1777" s="7" t="s">
        <v>142</v>
      </c>
      <c r="M1777" s="31">
        <v>45674</v>
      </c>
      <c r="N1777" s="7" t="s">
        <v>3653</v>
      </c>
      <c r="O1777" s="8">
        <v>3034</v>
      </c>
      <c r="P1777" s="24">
        <v>7139</v>
      </c>
      <c r="Q1777" s="22">
        <f>IF(COUNTIFS(A$2:A1777,A1777,I$2:I1777,I1777)=1,1,0)</f>
        <v>0</v>
      </c>
      <c r="R1777" s="22">
        <f t="shared" si="27"/>
        <v>7</v>
      </c>
      <c r="S1777" s="33">
        <f>IF(COUNTIF(O$2:O1777,O1777)=1,R1777,0)/2.5</f>
        <v>0</v>
      </c>
    </row>
    <row r="1778" spans="1:19" ht="18" customHeight="1" x14ac:dyDescent="0.25">
      <c r="A1778" s="7" t="s">
        <v>43</v>
      </c>
      <c r="B1778" s="8">
        <v>1</v>
      </c>
      <c r="C1778" s="9">
        <v>464</v>
      </c>
      <c r="D1778" s="29">
        <f>C1778+IF(INDEX('Справочник по %'!B:B,(MATCH(A1778,'Справочник по %'!A:A,0)))="кол-во",B1778*INDEX('Справочник по %'!C:C,(MATCH(A1778,'Справочник по %'!A:A,0))),ОТЧЕТ!C1778*INDEX('Справочник по %'!C:C,(MATCH(A1778,'Справочник по %'!A:A,0))))/100</f>
        <v>510.4</v>
      </c>
      <c r="E1778" s="29">
        <f>IF(ОТЧЕТ!A1778="SKU3",C1778+ОТЧЕТ!C1778*0.2,C1778+ОТЧЕТ!C1778*0.15)</f>
        <v>533.6</v>
      </c>
      <c r="F1778" s="7" t="s">
        <v>3654</v>
      </c>
      <c r="G1778" s="7">
        <v>3702228192</v>
      </c>
      <c r="H1778" s="20" t="s">
        <v>50</v>
      </c>
      <c r="I1778" s="22">
        <f>INDEX('Справочник Сети'!B:B,(MATCH(G1778,'Справочник Сети'!C:C,0)))</f>
        <v>0</v>
      </c>
      <c r="J1778" s="7" t="s">
        <v>65</v>
      </c>
      <c r="K1778" s="7" t="s">
        <v>2337</v>
      </c>
      <c r="L1778" s="7" t="s">
        <v>65</v>
      </c>
      <c r="M1778" s="31">
        <v>45717</v>
      </c>
      <c r="N1778" s="7" t="s">
        <v>3655</v>
      </c>
      <c r="O1778" s="8">
        <v>2148</v>
      </c>
      <c r="P1778" s="24">
        <v>7143</v>
      </c>
      <c r="Q1778" s="22">
        <f>IF(COUNTIFS(A$2:A1778,A1778,I$2:I1778,I1778)=1,1,0)</f>
        <v>0</v>
      </c>
      <c r="R1778" s="22">
        <f t="shared" si="27"/>
        <v>3</v>
      </c>
      <c r="S1778" s="33">
        <f>IF(COUNTIF(O$2:O1778,O1778)=1,R1778,0)/2.5</f>
        <v>0</v>
      </c>
    </row>
    <row r="1779" spans="1:19" ht="18" customHeight="1" x14ac:dyDescent="0.25">
      <c r="A1779" s="7" t="s">
        <v>43</v>
      </c>
      <c r="B1779" s="8">
        <v>1</v>
      </c>
      <c r="C1779" s="9">
        <v>440</v>
      </c>
      <c r="D1779" s="29">
        <f>C1779+IF(INDEX('Справочник по %'!B:B,(MATCH(A1779,'Справочник по %'!A:A,0)))="кол-во",B1779*INDEX('Справочник по %'!C:C,(MATCH(A1779,'Справочник по %'!A:A,0))),ОТЧЕТ!C1779*INDEX('Справочник по %'!C:C,(MATCH(A1779,'Справочник по %'!A:A,0))))/100</f>
        <v>484</v>
      </c>
      <c r="E1779" s="29">
        <f>IF(ОТЧЕТ!A1779="SKU3",C1779+ОТЧЕТ!C1779*0.2,C1779+ОТЧЕТ!C1779*0.15)</f>
        <v>506</v>
      </c>
      <c r="F1779" s="7" t="s">
        <v>3656</v>
      </c>
      <c r="G1779" s="7">
        <v>2315225643</v>
      </c>
      <c r="H1779" s="20" t="s">
        <v>50</v>
      </c>
      <c r="I1779" s="22">
        <f>INDEX('Справочник Сети'!B:B,(MATCH(G1779,'Справочник Сети'!C:C,0)))</f>
        <v>0</v>
      </c>
      <c r="J1779" s="7" t="s">
        <v>70</v>
      </c>
      <c r="K1779" s="7" t="s">
        <v>3050</v>
      </c>
      <c r="L1779" s="7" t="s">
        <v>70</v>
      </c>
      <c r="M1779" s="31">
        <v>45728</v>
      </c>
      <c r="N1779" s="7" t="s">
        <v>3657</v>
      </c>
      <c r="O1779" s="8">
        <v>3600</v>
      </c>
      <c r="P1779" s="24">
        <v>7150</v>
      </c>
      <c r="Q1779" s="22">
        <f>IF(COUNTIFS(A$2:A1779,A1779,I$2:I1779,I1779)=1,1,0)</f>
        <v>0</v>
      </c>
      <c r="R1779" s="22">
        <f t="shared" si="27"/>
        <v>1</v>
      </c>
      <c r="S1779" s="33">
        <f>IF(COUNTIF(O$2:O1779,O1779)=1,R1779,0)/2.5</f>
        <v>0.4</v>
      </c>
    </row>
    <row r="1780" spans="1:19" ht="18" customHeight="1" x14ac:dyDescent="0.25">
      <c r="A1780" s="7" t="s">
        <v>43</v>
      </c>
      <c r="B1780" s="8">
        <v>1</v>
      </c>
      <c r="C1780" s="9">
        <v>425.54</v>
      </c>
      <c r="D1780" s="29">
        <f>C1780+IF(INDEX('Справочник по %'!B:B,(MATCH(A1780,'Справочник по %'!A:A,0)))="кол-во",B1780*INDEX('Справочник по %'!C:C,(MATCH(A1780,'Справочник по %'!A:A,0))),ОТЧЕТ!C1780*INDEX('Справочник по %'!C:C,(MATCH(A1780,'Справочник по %'!A:A,0))))/100</f>
        <v>468.09400000000005</v>
      </c>
      <c r="E1780" s="29">
        <f>IF(ОТЧЕТ!A1780="SKU3",C1780+ОТЧЕТ!C1780*0.2,C1780+ОТЧЕТ!C1780*0.15)</f>
        <v>489.37100000000004</v>
      </c>
      <c r="F1780" s="7" t="s">
        <v>3658</v>
      </c>
      <c r="G1780" s="7">
        <v>6674334297</v>
      </c>
      <c r="H1780" s="20" t="s">
        <v>3659</v>
      </c>
      <c r="I1780" s="22">
        <f>INDEX('Справочник Сети'!B:B,(MATCH(G1780,'Справочник Сети'!C:C,0)))</f>
        <v>0</v>
      </c>
      <c r="J1780" s="7" t="s">
        <v>106</v>
      </c>
      <c r="K1780" s="7" t="s">
        <v>2484</v>
      </c>
      <c r="L1780" s="7" t="s">
        <v>133</v>
      </c>
      <c r="M1780" s="31">
        <v>45695</v>
      </c>
      <c r="N1780" s="7" t="s">
        <v>3660</v>
      </c>
      <c r="O1780" s="8">
        <v>1086</v>
      </c>
      <c r="P1780" s="24">
        <v>7154</v>
      </c>
      <c r="Q1780" s="22">
        <f>IF(COUNTIFS(A$2:A1780,A1780,I$2:I1780,I1780)=1,1,0)</f>
        <v>0</v>
      </c>
      <c r="R1780" s="22">
        <f t="shared" si="27"/>
        <v>3</v>
      </c>
      <c r="S1780" s="33">
        <f>IF(COUNTIF(O$2:O1780,O1780)=1,R1780,0)/2.5</f>
        <v>1.2</v>
      </c>
    </row>
    <row r="1781" spans="1:19" ht="18" customHeight="1" x14ac:dyDescent="0.25">
      <c r="A1781" s="7" t="s">
        <v>43</v>
      </c>
      <c r="B1781" s="8">
        <v>1</v>
      </c>
      <c r="C1781" s="9">
        <v>535</v>
      </c>
      <c r="D1781" s="29">
        <f>C1781+IF(INDEX('Справочник по %'!B:B,(MATCH(A1781,'Справочник по %'!A:A,0)))="кол-во",B1781*INDEX('Справочник по %'!C:C,(MATCH(A1781,'Справочник по %'!A:A,0))),ОТЧЕТ!C1781*INDEX('Справочник по %'!C:C,(MATCH(A1781,'Справочник по %'!A:A,0))))/100</f>
        <v>588.5</v>
      </c>
      <c r="E1781" s="29">
        <f>IF(ОТЧЕТ!A1781="SKU3",C1781+ОТЧЕТ!C1781*0.2,C1781+ОТЧЕТ!C1781*0.15)</f>
        <v>615.25</v>
      </c>
      <c r="F1781" s="7" t="s">
        <v>3658</v>
      </c>
      <c r="G1781" s="7">
        <v>7732121736</v>
      </c>
      <c r="H1781" s="20" t="s">
        <v>3661</v>
      </c>
      <c r="I1781" s="22" t="str">
        <f>INDEX('Справочник Сети'!B:B,(MATCH(G1781,'Справочник Сети'!C:C,0)))</f>
        <v>Планета здоровья</v>
      </c>
      <c r="J1781" s="7" t="s">
        <v>149</v>
      </c>
      <c r="K1781" s="7" t="s">
        <v>784</v>
      </c>
      <c r="L1781" s="7" t="s">
        <v>149</v>
      </c>
      <c r="M1781" s="31">
        <v>45673</v>
      </c>
      <c r="N1781" s="7" t="s">
        <v>3662</v>
      </c>
      <c r="O1781" s="8">
        <v>2489</v>
      </c>
      <c r="P1781" s="24">
        <v>7155</v>
      </c>
      <c r="Q1781" s="22">
        <f>IF(COUNTIFS(A$2:A1781,A1781,I$2:I1781,I1781)=1,1,0)</f>
        <v>0</v>
      </c>
      <c r="R1781" s="22">
        <f t="shared" si="27"/>
        <v>1</v>
      </c>
      <c r="S1781" s="33">
        <f>IF(COUNTIF(O$2:O1781,O1781)=1,R1781,0)/2.5</f>
        <v>0.4</v>
      </c>
    </row>
    <row r="1782" spans="1:19" ht="18" customHeight="1" x14ac:dyDescent="0.25">
      <c r="A1782" s="7" t="s">
        <v>43</v>
      </c>
      <c r="B1782" s="8">
        <v>1</v>
      </c>
      <c r="C1782" s="9">
        <v>378</v>
      </c>
      <c r="D1782" s="29">
        <f>C1782+IF(INDEX('Справочник по %'!B:B,(MATCH(A1782,'Справочник по %'!A:A,0)))="кол-во",B1782*INDEX('Справочник по %'!C:C,(MATCH(A1782,'Справочник по %'!A:A,0))),ОТЧЕТ!C1782*INDEX('Справочник по %'!C:C,(MATCH(A1782,'Справочник по %'!A:A,0))))/100</f>
        <v>415.8</v>
      </c>
      <c r="E1782" s="29">
        <f>IF(ОТЧЕТ!A1782="SKU3",C1782+ОТЧЕТ!C1782*0.2,C1782+ОТЧЕТ!C1782*0.15)</f>
        <v>434.7</v>
      </c>
      <c r="F1782" s="7" t="s">
        <v>3658</v>
      </c>
      <c r="G1782" s="7">
        <v>707019359</v>
      </c>
      <c r="H1782" s="20" t="s">
        <v>1160</v>
      </c>
      <c r="I1782" s="22" t="str">
        <f>INDEX('Справочник Сети'!B:B,(MATCH(G1782,'Справочник Сети'!C:C,0)))</f>
        <v>Нео-фарм</v>
      </c>
      <c r="J1782" s="7" t="s">
        <v>362</v>
      </c>
      <c r="K1782" s="7" t="s">
        <v>342</v>
      </c>
      <c r="L1782" s="7" t="s">
        <v>362</v>
      </c>
      <c r="M1782" s="31">
        <v>45732</v>
      </c>
      <c r="N1782" s="7" t="s">
        <v>343</v>
      </c>
      <c r="O1782" s="8">
        <v>431</v>
      </c>
      <c r="P1782" s="24">
        <v>7156</v>
      </c>
      <c r="Q1782" s="22">
        <f>IF(COUNTIFS(A$2:A1782,A1782,I$2:I1782,I1782)=1,1,0)</f>
        <v>0</v>
      </c>
      <c r="R1782" s="22">
        <f t="shared" si="27"/>
        <v>3</v>
      </c>
      <c r="S1782" s="33">
        <f>IF(COUNTIF(O$2:O1782,O1782)=1,R1782,0)/2.5</f>
        <v>0</v>
      </c>
    </row>
    <row r="1783" spans="1:19" ht="18" customHeight="1" x14ac:dyDescent="0.25">
      <c r="A1783" s="7" t="s">
        <v>43</v>
      </c>
      <c r="B1783" s="8">
        <v>1</v>
      </c>
      <c r="C1783" s="9">
        <v>516</v>
      </c>
      <c r="D1783" s="29">
        <f>C1783+IF(INDEX('Справочник по %'!B:B,(MATCH(A1783,'Справочник по %'!A:A,0)))="кол-во",B1783*INDEX('Справочник по %'!C:C,(MATCH(A1783,'Справочник по %'!A:A,0))),ОТЧЕТ!C1783*INDEX('Справочник по %'!C:C,(MATCH(A1783,'Справочник по %'!A:A,0))))/100</f>
        <v>567.6</v>
      </c>
      <c r="E1783" s="29">
        <f>IF(ОТЧЕТ!A1783="SKU3",C1783+ОТЧЕТ!C1783*0.2,C1783+ОТЧЕТ!C1783*0.15)</f>
        <v>593.4</v>
      </c>
      <c r="F1783" s="7" t="s">
        <v>3658</v>
      </c>
      <c r="G1783" s="7">
        <v>7814139847</v>
      </c>
      <c r="H1783" s="20" t="s">
        <v>50</v>
      </c>
      <c r="I1783" s="22" t="str">
        <f>INDEX('Справочник Сети'!B:B,(MATCH(G1783,'Справочник Сети'!C:C,0)))</f>
        <v>Планета здоровья</v>
      </c>
      <c r="J1783" s="7" t="s">
        <v>121</v>
      </c>
      <c r="K1783" s="7" t="s">
        <v>3058</v>
      </c>
      <c r="L1783" s="7" t="s">
        <v>121</v>
      </c>
      <c r="M1783" s="31">
        <v>45671</v>
      </c>
      <c r="N1783" s="7" t="s">
        <v>3663</v>
      </c>
      <c r="O1783" s="8">
        <v>3727</v>
      </c>
      <c r="P1783" s="24">
        <v>7157</v>
      </c>
      <c r="Q1783" s="22">
        <f>IF(COUNTIFS(A$2:A1783,A1783,I$2:I1783,I1783)=1,1,0)</f>
        <v>0</v>
      </c>
      <c r="R1783" s="22">
        <f t="shared" si="27"/>
        <v>1</v>
      </c>
      <c r="S1783" s="33">
        <f>IF(COUNTIF(O$2:O1783,O1783)=1,R1783,0)/2.5</f>
        <v>0.4</v>
      </c>
    </row>
    <row r="1784" spans="1:19" ht="18" customHeight="1" x14ac:dyDescent="0.25">
      <c r="A1784" s="7" t="s">
        <v>37</v>
      </c>
      <c r="B1784" s="8">
        <v>1</v>
      </c>
      <c r="C1784" s="9">
        <v>620</v>
      </c>
      <c r="D1784" s="29">
        <f>C1784+IF(INDEX('Справочник по %'!B:B,(MATCH(A1784,'Справочник по %'!A:A,0)))="кол-во",B1784*INDEX('Справочник по %'!C:C,(MATCH(A1784,'Справочник по %'!A:A,0))),ОТЧЕТ!C1784*INDEX('Справочник по %'!C:C,(MATCH(A1784,'Справочник по %'!A:A,0))))/100</f>
        <v>620.20000000000005</v>
      </c>
      <c r="E1784" s="29">
        <f>IF(ОТЧЕТ!A1784="SKU3",C1784+ОТЧЕТ!C1784*0.2,C1784+ОТЧЕТ!C1784*0.15)</f>
        <v>713</v>
      </c>
      <c r="F1784" s="7" t="s">
        <v>3658</v>
      </c>
      <c r="G1784" s="7">
        <v>344800984940</v>
      </c>
      <c r="H1784" s="20" t="s">
        <v>50</v>
      </c>
      <c r="I1784" s="22">
        <f>INDEX('Справочник Сети'!B:B,(MATCH(G1784,'Справочник Сети'!C:C,0)))</f>
        <v>0</v>
      </c>
      <c r="J1784" s="7" t="s">
        <v>110</v>
      </c>
      <c r="K1784" s="7" t="s">
        <v>751</v>
      </c>
      <c r="L1784" s="7" t="s">
        <v>110</v>
      </c>
      <c r="M1784" s="31">
        <v>45660</v>
      </c>
      <c r="N1784" s="7" t="s">
        <v>3664</v>
      </c>
      <c r="O1784" s="8">
        <v>956</v>
      </c>
      <c r="P1784" s="24">
        <v>7160</v>
      </c>
      <c r="Q1784" s="22">
        <f>IF(COUNTIFS(A$2:A1784,A1784,I$2:I1784,I1784)=1,1,0)</f>
        <v>0</v>
      </c>
      <c r="R1784" s="22">
        <f t="shared" si="27"/>
        <v>1</v>
      </c>
      <c r="S1784" s="33">
        <f>IF(COUNTIF(O$2:O1784,O1784)=1,R1784,0)/2.5</f>
        <v>0.4</v>
      </c>
    </row>
    <row r="1785" spans="1:19" ht="18" customHeight="1" x14ac:dyDescent="0.25">
      <c r="A1785" s="7" t="s">
        <v>43</v>
      </c>
      <c r="B1785" s="8">
        <v>1</v>
      </c>
      <c r="C1785" s="9">
        <v>435.6</v>
      </c>
      <c r="D1785" s="29">
        <f>C1785+IF(INDEX('Справочник по %'!B:B,(MATCH(A1785,'Справочник по %'!A:A,0)))="кол-во",B1785*INDEX('Справочник по %'!C:C,(MATCH(A1785,'Справочник по %'!A:A,0))),ОТЧЕТ!C1785*INDEX('Справочник по %'!C:C,(MATCH(A1785,'Справочник по %'!A:A,0))))/100</f>
        <v>479.16</v>
      </c>
      <c r="E1785" s="29">
        <f>IF(ОТЧЕТ!A1785="SKU3",C1785+ОТЧЕТ!C1785*0.2,C1785+ОТЧЕТ!C1785*0.15)</f>
        <v>500.94000000000005</v>
      </c>
      <c r="F1785" s="7" t="s">
        <v>3658</v>
      </c>
      <c r="G1785" s="7">
        <v>550700455672</v>
      </c>
      <c r="H1785" s="20" t="s">
        <v>50</v>
      </c>
      <c r="I1785" s="22">
        <f>INDEX('Справочник Сети'!B:B,(MATCH(G1785,'Справочник Сети'!C:C,0)))</f>
        <v>0</v>
      </c>
      <c r="J1785" s="7" t="s">
        <v>251</v>
      </c>
      <c r="K1785" s="7" t="s">
        <v>866</v>
      </c>
      <c r="L1785" s="7" t="s">
        <v>251</v>
      </c>
      <c r="M1785" s="31">
        <v>45659</v>
      </c>
      <c r="N1785" s="7" t="s">
        <v>3665</v>
      </c>
      <c r="O1785" s="8">
        <v>2218</v>
      </c>
      <c r="P1785" s="24">
        <v>7161</v>
      </c>
      <c r="Q1785" s="22">
        <f>IF(COUNTIFS(A$2:A1785,A1785,I$2:I1785,I1785)=1,1,0)</f>
        <v>0</v>
      </c>
      <c r="R1785" s="22">
        <f t="shared" si="27"/>
        <v>2</v>
      </c>
      <c r="S1785" s="33">
        <f>IF(COUNTIF(O$2:O1785,O1785)=1,R1785,0)/2.5</f>
        <v>0</v>
      </c>
    </row>
    <row r="1786" spans="1:19" ht="18" customHeight="1" x14ac:dyDescent="0.25">
      <c r="A1786" s="7" t="s">
        <v>43</v>
      </c>
      <c r="B1786" s="8">
        <v>1</v>
      </c>
      <c r="C1786" s="9">
        <v>464</v>
      </c>
      <c r="D1786" s="29">
        <f>C1786+IF(INDEX('Справочник по %'!B:B,(MATCH(A1786,'Справочник по %'!A:A,0)))="кол-во",B1786*INDEX('Справочник по %'!C:C,(MATCH(A1786,'Справочник по %'!A:A,0))),ОТЧЕТ!C1786*INDEX('Справочник по %'!C:C,(MATCH(A1786,'Справочник по %'!A:A,0))))/100</f>
        <v>510.4</v>
      </c>
      <c r="E1786" s="29">
        <f>IF(ОТЧЕТ!A1786="SKU3",C1786+ОТЧЕТ!C1786*0.2,C1786+ОТЧЕТ!C1786*0.15)</f>
        <v>533.6</v>
      </c>
      <c r="F1786" s="7" t="s">
        <v>3666</v>
      </c>
      <c r="G1786" s="7">
        <v>781709822193</v>
      </c>
      <c r="H1786" s="20" t="s">
        <v>3667</v>
      </c>
      <c r="I1786" s="22">
        <f>INDEX('Справочник Сети'!B:B,(MATCH(G1786,'Справочник Сети'!C:C,0)))</f>
        <v>0</v>
      </c>
      <c r="J1786" s="7" t="s">
        <v>322</v>
      </c>
      <c r="K1786" s="7" t="s">
        <v>3668</v>
      </c>
      <c r="L1786" s="7" t="s">
        <v>322</v>
      </c>
      <c r="M1786" s="31">
        <v>45658</v>
      </c>
      <c r="N1786" s="7" t="s">
        <v>3669</v>
      </c>
      <c r="O1786" s="8">
        <v>672</v>
      </c>
      <c r="P1786" s="24">
        <v>7164</v>
      </c>
      <c r="Q1786" s="22">
        <f>IF(COUNTIFS(A$2:A1786,A1786,I$2:I1786,I1786)=1,1,0)</f>
        <v>0</v>
      </c>
      <c r="R1786" s="22">
        <f t="shared" si="27"/>
        <v>1</v>
      </c>
      <c r="S1786" s="33">
        <f>IF(COUNTIF(O$2:O1786,O1786)=1,R1786,0)/2.5</f>
        <v>0.4</v>
      </c>
    </row>
    <row r="1787" spans="1:19" ht="18" customHeight="1" x14ac:dyDescent="0.25">
      <c r="A1787" s="7" t="s">
        <v>43</v>
      </c>
      <c r="B1787" s="8">
        <v>1</v>
      </c>
      <c r="C1787" s="9">
        <v>483.14</v>
      </c>
      <c r="D1787" s="29">
        <f>C1787+IF(INDEX('Справочник по %'!B:B,(MATCH(A1787,'Справочник по %'!A:A,0)))="кол-во",B1787*INDEX('Справочник по %'!C:C,(MATCH(A1787,'Справочник по %'!A:A,0))),ОТЧЕТ!C1787*INDEX('Справочник по %'!C:C,(MATCH(A1787,'Справочник по %'!A:A,0))))/100</f>
        <v>531.45399999999995</v>
      </c>
      <c r="E1787" s="29">
        <f>IF(ОТЧЕТ!A1787="SKU3",C1787+ОТЧЕТ!C1787*0.2,C1787+ОТЧЕТ!C1787*0.15)</f>
        <v>555.61099999999999</v>
      </c>
      <c r="F1787" s="7" t="s">
        <v>3666</v>
      </c>
      <c r="G1787" s="7">
        <v>550711904930</v>
      </c>
      <c r="H1787" s="20" t="s">
        <v>50</v>
      </c>
      <c r="I1787" s="22" t="str">
        <f>INDEX('Справочник Сети'!B:B,(MATCH(G1787,'Справочник Сети'!C:C,0)))</f>
        <v>Ригла</v>
      </c>
      <c r="J1787" s="7" t="s">
        <v>251</v>
      </c>
      <c r="K1787" s="7" t="s">
        <v>2938</v>
      </c>
      <c r="L1787" s="7" t="s">
        <v>251</v>
      </c>
      <c r="M1787" s="31">
        <v>45659</v>
      </c>
      <c r="N1787" s="7" t="s">
        <v>3670</v>
      </c>
      <c r="O1787" s="8">
        <v>3151</v>
      </c>
      <c r="P1787" s="24">
        <v>7166</v>
      </c>
      <c r="Q1787" s="22">
        <f>IF(COUNTIFS(A$2:A1787,A1787,I$2:I1787,I1787)=1,1,0)</f>
        <v>0</v>
      </c>
      <c r="R1787" s="22">
        <f t="shared" si="27"/>
        <v>1</v>
      </c>
      <c r="S1787" s="33">
        <f>IF(COUNTIF(O$2:O1787,O1787)=1,R1787,0)/2.5</f>
        <v>0.4</v>
      </c>
    </row>
    <row r="1788" spans="1:19" ht="18" customHeight="1" x14ac:dyDescent="0.25">
      <c r="A1788" s="7" t="s">
        <v>43</v>
      </c>
      <c r="B1788" s="8">
        <v>1</v>
      </c>
      <c r="C1788" s="9">
        <v>389</v>
      </c>
      <c r="D1788" s="29">
        <f>C1788+IF(INDEX('Справочник по %'!B:B,(MATCH(A1788,'Справочник по %'!A:A,0)))="кол-во",B1788*INDEX('Справочник по %'!C:C,(MATCH(A1788,'Справочник по %'!A:A,0))),ОТЧЕТ!C1788*INDEX('Справочник по %'!C:C,(MATCH(A1788,'Справочник по %'!A:A,0))))/100</f>
        <v>427.9</v>
      </c>
      <c r="E1788" s="29">
        <f>IF(ОТЧЕТ!A1788="SKU3",C1788+ОТЧЕТ!C1788*0.2,C1788+ОТЧЕТ!C1788*0.15)</f>
        <v>447.35</v>
      </c>
      <c r="F1788" s="7" t="s">
        <v>3666</v>
      </c>
      <c r="G1788" s="7">
        <v>2310219170</v>
      </c>
      <c r="H1788" s="20" t="s">
        <v>69</v>
      </c>
      <c r="I1788" s="22" t="str">
        <f>INDEX('Справочник Сети'!B:B,(MATCH(G1788,'Справочник Сети'!C:C,0)))</f>
        <v>Столички</v>
      </c>
      <c r="J1788" s="7" t="s">
        <v>70</v>
      </c>
      <c r="K1788" s="7" t="s">
        <v>41</v>
      </c>
      <c r="L1788" s="7" t="s">
        <v>70</v>
      </c>
      <c r="M1788" s="31">
        <v>45728</v>
      </c>
      <c r="N1788" s="7" t="s">
        <v>3671</v>
      </c>
      <c r="O1788" s="8">
        <v>3798</v>
      </c>
      <c r="P1788" s="24">
        <v>7167</v>
      </c>
      <c r="Q1788" s="22">
        <f>IF(COUNTIFS(A$2:A1788,A1788,I$2:I1788,I1788)=1,1,0)</f>
        <v>0</v>
      </c>
      <c r="R1788" s="22">
        <f t="shared" si="27"/>
        <v>3</v>
      </c>
      <c r="S1788" s="33">
        <f>IF(COUNTIF(O$2:O1788,O1788)=1,R1788,0)/2.5</f>
        <v>0</v>
      </c>
    </row>
    <row r="1789" spans="1:19" ht="18" customHeight="1" x14ac:dyDescent="0.25">
      <c r="A1789" s="7" t="s">
        <v>43</v>
      </c>
      <c r="B1789" s="8">
        <v>1</v>
      </c>
      <c r="C1789" s="9">
        <v>460</v>
      </c>
      <c r="D1789" s="29">
        <f>C1789+IF(INDEX('Справочник по %'!B:B,(MATCH(A1789,'Справочник по %'!A:A,0)))="кол-во",B1789*INDEX('Справочник по %'!C:C,(MATCH(A1789,'Справочник по %'!A:A,0))),ОТЧЕТ!C1789*INDEX('Справочник по %'!C:C,(MATCH(A1789,'Справочник по %'!A:A,0))))/100</f>
        <v>506</v>
      </c>
      <c r="E1789" s="29">
        <f>IF(ОТЧЕТ!A1789="SKU3",C1789+ОТЧЕТ!C1789*0.2,C1789+ОТЧЕТ!C1789*0.15)</f>
        <v>529</v>
      </c>
      <c r="F1789" s="7" t="s">
        <v>3666</v>
      </c>
      <c r="G1789" s="7">
        <v>910800091897</v>
      </c>
      <c r="H1789" s="20" t="s">
        <v>1046</v>
      </c>
      <c r="I1789" s="22">
        <f>INDEX('Справочник Сети'!B:B,(MATCH(G1789,'Справочник Сети'!C:C,0)))</f>
        <v>0</v>
      </c>
      <c r="J1789" s="7" t="s">
        <v>322</v>
      </c>
      <c r="K1789" s="7" t="s">
        <v>1788</v>
      </c>
      <c r="L1789" s="7" t="s">
        <v>322</v>
      </c>
      <c r="M1789" s="31">
        <v>45658</v>
      </c>
      <c r="N1789" s="7" t="s">
        <v>3672</v>
      </c>
      <c r="O1789" s="8">
        <v>1379</v>
      </c>
      <c r="P1789" s="24">
        <v>7169</v>
      </c>
      <c r="Q1789" s="22">
        <f>IF(COUNTIFS(A$2:A1789,A1789,I$2:I1789,I1789)=1,1,0)</f>
        <v>0</v>
      </c>
      <c r="R1789" s="22">
        <f t="shared" si="27"/>
        <v>2</v>
      </c>
      <c r="S1789" s="33">
        <f>IF(COUNTIF(O$2:O1789,O1789)=1,R1789,0)/2.5</f>
        <v>0</v>
      </c>
    </row>
    <row r="1790" spans="1:19" ht="18" customHeight="1" x14ac:dyDescent="0.25">
      <c r="A1790" s="7" t="s">
        <v>43</v>
      </c>
      <c r="B1790" s="8">
        <v>1</v>
      </c>
      <c r="C1790" s="9">
        <v>420</v>
      </c>
      <c r="D1790" s="29">
        <f>C1790+IF(INDEX('Справочник по %'!B:B,(MATCH(A1790,'Справочник по %'!A:A,0)))="кол-во",B1790*INDEX('Справочник по %'!C:C,(MATCH(A1790,'Справочник по %'!A:A,0))),ОТЧЕТ!C1790*INDEX('Справочник по %'!C:C,(MATCH(A1790,'Справочник по %'!A:A,0))))/100</f>
        <v>462</v>
      </c>
      <c r="E1790" s="29">
        <f>IF(ОТЧЕТ!A1790="SKU3",C1790+ОТЧЕТ!C1790*0.2,C1790+ОТЧЕТ!C1790*0.15)</f>
        <v>483</v>
      </c>
      <c r="F1790" s="7" t="s">
        <v>3673</v>
      </c>
      <c r="G1790" s="7">
        <v>7801709313</v>
      </c>
      <c r="H1790" s="20" t="s">
        <v>50</v>
      </c>
      <c r="I1790" s="22" t="str">
        <f>INDEX('Справочник Сети'!B:B,(MATCH(G1790,'Справочник Сети'!C:C,0)))</f>
        <v>Ригла</v>
      </c>
      <c r="J1790" s="7" t="s">
        <v>353</v>
      </c>
      <c r="K1790" s="7" t="s">
        <v>1717</v>
      </c>
      <c r="L1790" s="7" t="s">
        <v>353</v>
      </c>
      <c r="M1790" s="31">
        <v>45672</v>
      </c>
      <c r="N1790" s="7" t="s">
        <v>3674</v>
      </c>
      <c r="O1790" s="8">
        <v>3014</v>
      </c>
      <c r="P1790" s="24">
        <v>7170</v>
      </c>
      <c r="Q1790" s="22">
        <f>IF(COUNTIFS(A$2:A1790,A1790,I$2:I1790,I1790)=1,1,0)</f>
        <v>0</v>
      </c>
      <c r="R1790" s="22">
        <f t="shared" si="27"/>
        <v>3</v>
      </c>
      <c r="S1790" s="33">
        <f>IF(COUNTIF(O$2:O1790,O1790)=1,R1790,0)/2.5</f>
        <v>0</v>
      </c>
    </row>
    <row r="1791" spans="1:19" ht="18" customHeight="1" x14ac:dyDescent="0.25">
      <c r="A1791" s="7" t="s">
        <v>43</v>
      </c>
      <c r="B1791" s="8">
        <v>1</v>
      </c>
      <c r="C1791" s="9">
        <v>547</v>
      </c>
      <c r="D1791" s="29">
        <f>C1791+IF(INDEX('Справочник по %'!B:B,(MATCH(A1791,'Справочник по %'!A:A,0)))="кол-во",B1791*INDEX('Справочник по %'!C:C,(MATCH(A1791,'Справочник по %'!A:A,0))),ОТЧЕТ!C1791*INDEX('Справочник по %'!C:C,(MATCH(A1791,'Справочник по %'!A:A,0))))/100</f>
        <v>601.70000000000005</v>
      </c>
      <c r="E1791" s="29">
        <f>IF(ОТЧЕТ!A1791="SKU3",C1791+ОТЧЕТ!C1791*0.2,C1791+ОТЧЕТ!C1791*0.15)</f>
        <v>629.04999999999995</v>
      </c>
      <c r="F1791" s="7" t="s">
        <v>3673</v>
      </c>
      <c r="G1791" s="7">
        <v>5903090325</v>
      </c>
      <c r="H1791" s="20" t="s">
        <v>64</v>
      </c>
      <c r="I1791" s="22" t="str">
        <f>INDEX('Справочник Сети'!B:B,(MATCH(G1791,'Справочник Сети'!C:C,0)))</f>
        <v>Планета здоровья</v>
      </c>
      <c r="J1791" s="7" t="s">
        <v>40</v>
      </c>
      <c r="K1791" s="7" t="s">
        <v>290</v>
      </c>
      <c r="L1791" s="7" t="s">
        <v>40</v>
      </c>
      <c r="M1791" s="31">
        <v>45712</v>
      </c>
      <c r="N1791" s="7" t="s">
        <v>3675</v>
      </c>
      <c r="O1791" s="8">
        <v>2115</v>
      </c>
      <c r="P1791" s="24">
        <v>7171</v>
      </c>
      <c r="Q1791" s="22">
        <f>IF(COUNTIFS(A$2:A1791,A1791,I$2:I1791,I1791)=1,1,0)</f>
        <v>0</v>
      </c>
      <c r="R1791" s="22">
        <f t="shared" si="27"/>
        <v>1</v>
      </c>
      <c r="S1791" s="33">
        <f>IF(COUNTIF(O$2:O1791,O1791)=1,R1791,0)/2.5</f>
        <v>0.4</v>
      </c>
    </row>
    <row r="1792" spans="1:19" ht="18" customHeight="1" x14ac:dyDescent="0.25">
      <c r="A1792" s="7" t="s">
        <v>43</v>
      </c>
      <c r="B1792" s="8">
        <v>1</v>
      </c>
      <c r="C1792" s="9">
        <v>370</v>
      </c>
      <c r="D1792" s="29">
        <f>C1792+IF(INDEX('Справочник по %'!B:B,(MATCH(A1792,'Справочник по %'!A:A,0)))="кол-во",B1792*INDEX('Справочник по %'!C:C,(MATCH(A1792,'Справочник по %'!A:A,0))),ОТЧЕТ!C1792*INDEX('Справочник по %'!C:C,(MATCH(A1792,'Справочник по %'!A:A,0))))/100</f>
        <v>407</v>
      </c>
      <c r="E1792" s="29">
        <f>IF(ОТЧЕТ!A1792="SKU3",C1792+ОТЧЕТ!C1792*0.2,C1792+ОТЧЕТ!C1792*0.15)</f>
        <v>425.5</v>
      </c>
      <c r="F1792" s="7" t="s">
        <v>3676</v>
      </c>
      <c r="G1792" s="7">
        <v>7732121736</v>
      </c>
      <c r="H1792" s="20" t="s">
        <v>304</v>
      </c>
      <c r="I1792" s="22" t="str">
        <f>INDEX('Справочник Сети'!B:B,(MATCH(G1792,'Справочник Сети'!C:C,0)))</f>
        <v>Планета здоровья</v>
      </c>
      <c r="J1792" s="7" t="s">
        <v>149</v>
      </c>
      <c r="K1792" s="7" t="s">
        <v>609</v>
      </c>
      <c r="L1792" s="7" t="s">
        <v>149</v>
      </c>
      <c r="M1792" s="31">
        <v>45673</v>
      </c>
      <c r="N1792" s="7" t="s">
        <v>3677</v>
      </c>
      <c r="O1792" s="8">
        <v>2302</v>
      </c>
      <c r="P1792" s="24">
        <v>7172</v>
      </c>
      <c r="Q1792" s="22">
        <f>IF(COUNTIFS(A$2:A1792,A1792,I$2:I1792,I1792)=1,1,0)</f>
        <v>0</v>
      </c>
      <c r="R1792" s="22">
        <f t="shared" si="27"/>
        <v>1</v>
      </c>
      <c r="S1792" s="33">
        <f>IF(COUNTIF(O$2:O1792,O1792)=1,R1792,0)/2.5</f>
        <v>0.4</v>
      </c>
    </row>
    <row r="1793" spans="1:19" ht="18" customHeight="1" x14ac:dyDescent="0.25">
      <c r="A1793" s="7" t="s">
        <v>37</v>
      </c>
      <c r="B1793" s="8">
        <v>1</v>
      </c>
      <c r="C1793" s="9">
        <v>645.15</v>
      </c>
      <c r="D1793" s="29">
        <f>C1793+IF(INDEX('Справочник по %'!B:B,(MATCH(A1793,'Справочник по %'!A:A,0)))="кол-во",B1793*INDEX('Справочник по %'!C:C,(MATCH(A1793,'Справочник по %'!A:A,0))),ОТЧЕТ!C1793*INDEX('Справочник по %'!C:C,(MATCH(A1793,'Справочник по %'!A:A,0))))/100</f>
        <v>645.35</v>
      </c>
      <c r="E1793" s="29">
        <f>IF(ОТЧЕТ!A1793="SKU3",C1793+ОТЧЕТ!C1793*0.2,C1793+ОТЧЕТ!C1793*0.15)</f>
        <v>741.92250000000001</v>
      </c>
      <c r="F1793" s="7" t="s">
        <v>3678</v>
      </c>
      <c r="G1793" s="7">
        <v>3906245340</v>
      </c>
      <c r="H1793" s="20" t="s">
        <v>813</v>
      </c>
      <c r="I1793" s="22">
        <f>INDEX('Справочник Сети'!B:B,(MATCH(G1793,'Справочник Сети'!C:C,0)))</f>
        <v>0</v>
      </c>
      <c r="J1793" s="7" t="s">
        <v>155</v>
      </c>
      <c r="K1793" s="7" t="s">
        <v>100</v>
      </c>
      <c r="L1793" s="7" t="s">
        <v>155</v>
      </c>
      <c r="M1793" s="31">
        <v>45716</v>
      </c>
      <c r="N1793" s="7" t="s">
        <v>3679</v>
      </c>
      <c r="O1793" s="8">
        <v>2799</v>
      </c>
      <c r="P1793" s="24">
        <v>7175</v>
      </c>
      <c r="Q1793" s="22">
        <f>IF(COUNTIFS(A$2:A1793,A1793,I$2:I1793,I1793)=1,1,0)</f>
        <v>0</v>
      </c>
      <c r="R1793" s="22">
        <f t="shared" si="27"/>
        <v>2</v>
      </c>
      <c r="S1793" s="33">
        <f>IF(COUNTIF(O$2:O1793,O1793)=1,R1793,0)/2.5</f>
        <v>0</v>
      </c>
    </row>
    <row r="1794" spans="1:19" ht="18" customHeight="1" x14ac:dyDescent="0.25">
      <c r="A1794" s="7" t="s">
        <v>43</v>
      </c>
      <c r="B1794" s="8">
        <v>1</v>
      </c>
      <c r="C1794" s="9">
        <v>385</v>
      </c>
      <c r="D1794" s="29">
        <f>C1794+IF(INDEX('Справочник по %'!B:B,(MATCH(A1794,'Справочник по %'!A:A,0)))="кол-во",B1794*INDEX('Справочник по %'!C:C,(MATCH(A1794,'Справочник по %'!A:A,0))),ОТЧЕТ!C1794*INDEX('Справочник по %'!C:C,(MATCH(A1794,'Справочник по %'!A:A,0))))/100</f>
        <v>423.5</v>
      </c>
      <c r="E1794" s="29">
        <f>IF(ОТЧЕТ!A1794="SKU3",C1794+ОТЧЕТ!C1794*0.2,C1794+ОТЧЕТ!C1794*0.15)</f>
        <v>442.75</v>
      </c>
      <c r="F1794" s="7" t="s">
        <v>3678</v>
      </c>
      <c r="G1794" s="7">
        <v>2311237253</v>
      </c>
      <c r="H1794" s="20" t="s">
        <v>50</v>
      </c>
      <c r="I1794" s="22">
        <f>INDEX('Справочник Сети'!B:B,(MATCH(G1794,'Справочник Сети'!C:C,0)))</f>
        <v>0</v>
      </c>
      <c r="J1794" s="7" t="s">
        <v>70</v>
      </c>
      <c r="K1794" s="7" t="s">
        <v>3234</v>
      </c>
      <c r="L1794" s="7" t="s">
        <v>70</v>
      </c>
      <c r="M1794" s="31">
        <v>45728</v>
      </c>
      <c r="N1794" s="7" t="s">
        <v>3680</v>
      </c>
      <c r="O1794" s="8">
        <v>3399</v>
      </c>
      <c r="P1794" s="24">
        <v>7177</v>
      </c>
      <c r="Q1794" s="22">
        <f>IF(COUNTIFS(A$2:A1794,A1794,I$2:I1794,I1794)=1,1,0)</f>
        <v>0</v>
      </c>
      <c r="R1794" s="22">
        <f t="shared" si="27"/>
        <v>1</v>
      </c>
      <c r="S1794" s="33">
        <f>IF(COUNTIF(O$2:O1794,O1794)=1,R1794,0)/2.5</f>
        <v>0.4</v>
      </c>
    </row>
    <row r="1795" spans="1:19" ht="18" customHeight="1" x14ac:dyDescent="0.25">
      <c r="A1795" s="7" t="s">
        <v>43</v>
      </c>
      <c r="B1795" s="8">
        <v>1</v>
      </c>
      <c r="C1795" s="9">
        <v>440</v>
      </c>
      <c r="D1795" s="29">
        <f>C1795+IF(INDEX('Справочник по %'!B:B,(MATCH(A1795,'Справочник по %'!A:A,0)))="кол-во",B1795*INDEX('Справочник по %'!C:C,(MATCH(A1795,'Справочник по %'!A:A,0))),ОТЧЕТ!C1795*INDEX('Справочник по %'!C:C,(MATCH(A1795,'Справочник по %'!A:A,0))))/100</f>
        <v>484</v>
      </c>
      <c r="E1795" s="29">
        <f>IF(ОТЧЕТ!A1795="SKU3",C1795+ОТЧЕТ!C1795*0.2,C1795+ОТЧЕТ!C1795*0.15)</f>
        <v>506</v>
      </c>
      <c r="F1795" s="7" t="s">
        <v>3681</v>
      </c>
      <c r="G1795" s="7">
        <v>6674334297</v>
      </c>
      <c r="H1795" s="20" t="s">
        <v>3659</v>
      </c>
      <c r="I1795" s="22">
        <f>INDEX('Справочник Сети'!B:B,(MATCH(G1795,'Справочник Сети'!C:C,0)))</f>
        <v>0</v>
      </c>
      <c r="J1795" s="7" t="s">
        <v>106</v>
      </c>
      <c r="K1795" s="7" t="s">
        <v>3144</v>
      </c>
      <c r="L1795" s="7" t="s">
        <v>133</v>
      </c>
      <c r="M1795" s="31">
        <v>45695</v>
      </c>
      <c r="N1795" s="7" t="s">
        <v>3682</v>
      </c>
      <c r="O1795" s="8">
        <v>1086</v>
      </c>
      <c r="P1795" s="24">
        <v>7180</v>
      </c>
      <c r="Q1795" s="22">
        <f>IF(COUNTIFS(A$2:A1795,A1795,I$2:I1795,I1795)=1,1,0)</f>
        <v>0</v>
      </c>
      <c r="R1795" s="22">
        <f t="shared" ref="R1795:R1858" si="28">COUNTIF(O:O,O1795)</f>
        <v>3</v>
      </c>
      <c r="S1795" s="33">
        <f>IF(COUNTIF(O$2:O1795,O1795)=1,R1795,0)/2.5</f>
        <v>0</v>
      </c>
    </row>
    <row r="1796" spans="1:19" ht="18" customHeight="1" x14ac:dyDescent="0.25">
      <c r="A1796" s="7" t="s">
        <v>43</v>
      </c>
      <c r="B1796" s="8">
        <v>1</v>
      </c>
      <c r="C1796" s="9">
        <v>376</v>
      </c>
      <c r="D1796" s="29">
        <f>C1796+IF(INDEX('Справочник по %'!B:B,(MATCH(A1796,'Справочник по %'!A:A,0)))="кол-во",B1796*INDEX('Справочник по %'!C:C,(MATCH(A1796,'Справочник по %'!A:A,0))),ОТЧЕТ!C1796*INDEX('Справочник по %'!C:C,(MATCH(A1796,'Справочник по %'!A:A,0))))/100</f>
        <v>413.6</v>
      </c>
      <c r="E1796" s="29">
        <f>IF(ОТЧЕТ!A1796="SKU3",C1796+ОТЧЕТ!C1796*0.2,C1796+ОТЧЕТ!C1796*0.15)</f>
        <v>432.4</v>
      </c>
      <c r="F1796" s="7" t="s">
        <v>3681</v>
      </c>
      <c r="G1796" s="7">
        <v>7706795062</v>
      </c>
      <c r="H1796" s="20" t="s">
        <v>982</v>
      </c>
      <c r="I1796" s="22" t="str">
        <f>INDEX('Справочник Сети'!B:B,(MATCH(G1796,'Справочник Сети'!C:C,0)))</f>
        <v>Планета здоровья</v>
      </c>
      <c r="J1796" s="7" t="s">
        <v>87</v>
      </c>
      <c r="K1796" s="7" t="s">
        <v>823</v>
      </c>
      <c r="L1796" s="7" t="s">
        <v>87</v>
      </c>
      <c r="M1796" s="31">
        <v>45691</v>
      </c>
      <c r="N1796" s="7" t="s">
        <v>3683</v>
      </c>
      <c r="O1796" s="8">
        <v>1640</v>
      </c>
      <c r="P1796" s="24">
        <v>7181</v>
      </c>
      <c r="Q1796" s="22">
        <f>IF(COUNTIFS(A$2:A1796,A1796,I$2:I1796,I1796)=1,1,0)</f>
        <v>0</v>
      </c>
      <c r="R1796" s="22">
        <f t="shared" si="28"/>
        <v>4</v>
      </c>
      <c r="S1796" s="33">
        <f>IF(COUNTIF(O$2:O1796,O1796)=1,R1796,0)/2.5</f>
        <v>0</v>
      </c>
    </row>
    <row r="1797" spans="1:19" ht="18" customHeight="1" x14ac:dyDescent="0.25">
      <c r="A1797" s="7" t="s">
        <v>37</v>
      </c>
      <c r="B1797" s="8">
        <v>1</v>
      </c>
      <c r="C1797" s="9">
        <v>570</v>
      </c>
      <c r="D1797" s="29">
        <f>C1797+IF(INDEX('Справочник по %'!B:B,(MATCH(A1797,'Справочник по %'!A:A,0)))="кол-во",B1797*INDEX('Справочник по %'!C:C,(MATCH(A1797,'Справочник по %'!A:A,0))),ОТЧЕТ!C1797*INDEX('Справочник по %'!C:C,(MATCH(A1797,'Справочник по %'!A:A,0))))/100</f>
        <v>570.20000000000005</v>
      </c>
      <c r="E1797" s="29">
        <f>IF(ОТЧЕТ!A1797="SKU3",C1797+ОТЧЕТ!C1797*0.2,C1797+ОТЧЕТ!C1797*0.15)</f>
        <v>655.5</v>
      </c>
      <c r="F1797" s="7" t="s">
        <v>3681</v>
      </c>
      <c r="G1797" s="7">
        <v>7732121736</v>
      </c>
      <c r="H1797" s="20" t="s">
        <v>3362</v>
      </c>
      <c r="I1797" s="22" t="str">
        <f>INDEX('Справочник Сети'!B:B,(MATCH(G1797,'Справочник Сети'!C:C,0)))</f>
        <v>Планета здоровья</v>
      </c>
      <c r="J1797" s="7" t="s">
        <v>149</v>
      </c>
      <c r="K1797" s="7" t="s">
        <v>3118</v>
      </c>
      <c r="L1797" s="7" t="s">
        <v>149</v>
      </c>
      <c r="M1797" s="31">
        <v>45673</v>
      </c>
      <c r="N1797" s="7" t="s">
        <v>3684</v>
      </c>
      <c r="O1797" s="8">
        <v>3046</v>
      </c>
      <c r="P1797" s="24">
        <v>7183</v>
      </c>
      <c r="Q1797" s="22">
        <f>IF(COUNTIFS(A$2:A1797,A1797,I$2:I1797,I1797)=1,1,0)</f>
        <v>0</v>
      </c>
      <c r="R1797" s="22">
        <f t="shared" si="28"/>
        <v>7</v>
      </c>
      <c r="S1797" s="33">
        <f>IF(COUNTIF(O$2:O1797,O1797)=1,R1797,0)/2.5</f>
        <v>0</v>
      </c>
    </row>
    <row r="1798" spans="1:19" ht="18" customHeight="1" x14ac:dyDescent="0.25">
      <c r="A1798" s="7" t="s">
        <v>43</v>
      </c>
      <c r="B1798" s="8">
        <v>1</v>
      </c>
      <c r="C1798" s="9">
        <v>484</v>
      </c>
      <c r="D1798" s="29">
        <f>C1798+IF(INDEX('Справочник по %'!B:B,(MATCH(A1798,'Справочник по %'!A:A,0)))="кол-во",B1798*INDEX('Справочник по %'!C:C,(MATCH(A1798,'Справочник по %'!A:A,0))),ОТЧЕТ!C1798*INDEX('Справочник по %'!C:C,(MATCH(A1798,'Справочник по %'!A:A,0))))/100</f>
        <v>532.4</v>
      </c>
      <c r="E1798" s="29">
        <f>IF(ОТЧЕТ!A1798="SKU3",C1798+ОТЧЕТ!C1798*0.2,C1798+ОТЧЕТ!C1798*0.15)</f>
        <v>556.6</v>
      </c>
      <c r="F1798" s="7" t="s">
        <v>3681</v>
      </c>
      <c r="G1798" s="7">
        <v>7724211288</v>
      </c>
      <c r="H1798" s="20" t="s">
        <v>3685</v>
      </c>
      <c r="I1798" s="22" t="str">
        <f>INDEX('Справочник Сети'!B:B,(MATCH(G1798,'Справочник Сети'!C:C,0)))</f>
        <v>Планета здоровья</v>
      </c>
      <c r="J1798" s="7" t="s">
        <v>185</v>
      </c>
      <c r="K1798" s="7" t="s">
        <v>3195</v>
      </c>
      <c r="L1798" s="7" t="s">
        <v>185</v>
      </c>
      <c r="M1798" s="31">
        <v>45675</v>
      </c>
      <c r="N1798" s="7" t="s">
        <v>3686</v>
      </c>
      <c r="O1798" s="8">
        <v>2561</v>
      </c>
      <c r="P1798" s="24">
        <v>7184</v>
      </c>
      <c r="Q1798" s="22">
        <f>IF(COUNTIFS(A$2:A1798,A1798,I$2:I1798,I1798)=1,1,0)</f>
        <v>0</v>
      </c>
      <c r="R1798" s="22">
        <f t="shared" si="28"/>
        <v>1</v>
      </c>
      <c r="S1798" s="33">
        <f>IF(COUNTIF(O$2:O1798,O1798)=1,R1798,0)/2.5</f>
        <v>0.4</v>
      </c>
    </row>
    <row r="1799" spans="1:19" ht="18" customHeight="1" x14ac:dyDescent="0.25">
      <c r="A1799" s="7" t="s">
        <v>37</v>
      </c>
      <c r="B1799" s="8">
        <v>1</v>
      </c>
      <c r="C1799" s="9">
        <v>530</v>
      </c>
      <c r="D1799" s="29">
        <f>C1799+IF(INDEX('Справочник по %'!B:B,(MATCH(A1799,'Справочник по %'!A:A,0)))="кол-во",B1799*INDEX('Справочник по %'!C:C,(MATCH(A1799,'Справочник по %'!A:A,0))),ОТЧЕТ!C1799*INDEX('Справочник по %'!C:C,(MATCH(A1799,'Справочник по %'!A:A,0))))/100</f>
        <v>530.20000000000005</v>
      </c>
      <c r="E1799" s="29">
        <f>IF(ОТЧЕТ!A1799="SKU3",C1799+ОТЧЕТ!C1799*0.2,C1799+ОТЧЕТ!C1799*0.15)</f>
        <v>609.5</v>
      </c>
      <c r="F1799" s="7" t="s">
        <v>3681</v>
      </c>
      <c r="G1799" s="7">
        <v>7706795062</v>
      </c>
      <c r="H1799" s="20" t="s">
        <v>2422</v>
      </c>
      <c r="I1799" s="22" t="str">
        <f>INDEX('Справочник Сети'!B:B,(MATCH(G1799,'Справочник Сети'!C:C,0)))</f>
        <v>Планета здоровья</v>
      </c>
      <c r="J1799" s="7" t="s">
        <v>87</v>
      </c>
      <c r="K1799" s="7" t="s">
        <v>1267</v>
      </c>
      <c r="L1799" s="7" t="s">
        <v>87</v>
      </c>
      <c r="M1799" s="31">
        <v>45691</v>
      </c>
      <c r="N1799" s="7" t="s">
        <v>3687</v>
      </c>
      <c r="O1799" s="8">
        <v>3828</v>
      </c>
      <c r="P1799" s="24">
        <v>7190</v>
      </c>
      <c r="Q1799" s="22">
        <f>IF(COUNTIFS(A$2:A1799,A1799,I$2:I1799,I1799)=1,1,0)</f>
        <v>0</v>
      </c>
      <c r="R1799" s="22">
        <f t="shared" si="28"/>
        <v>4</v>
      </c>
      <c r="S1799" s="33">
        <f>IF(COUNTIF(O$2:O1799,O1799)=1,R1799,0)/2.5</f>
        <v>0</v>
      </c>
    </row>
    <row r="1800" spans="1:19" ht="18" customHeight="1" x14ac:dyDescent="0.25">
      <c r="A1800" s="7" t="s">
        <v>43</v>
      </c>
      <c r="B1800" s="8">
        <v>1</v>
      </c>
      <c r="C1800" s="9">
        <v>470</v>
      </c>
      <c r="D1800" s="29">
        <f>C1800+IF(INDEX('Справочник по %'!B:B,(MATCH(A1800,'Справочник по %'!A:A,0)))="кол-во",B1800*INDEX('Справочник по %'!C:C,(MATCH(A1800,'Справочник по %'!A:A,0))),ОТЧЕТ!C1800*INDEX('Справочник по %'!C:C,(MATCH(A1800,'Справочник по %'!A:A,0))))/100</f>
        <v>517</v>
      </c>
      <c r="E1800" s="29">
        <f>IF(ОТЧЕТ!A1800="SKU3",C1800+ОТЧЕТ!C1800*0.2,C1800+ОТЧЕТ!C1800*0.15)</f>
        <v>540.5</v>
      </c>
      <c r="F1800" s="7" t="s">
        <v>3681</v>
      </c>
      <c r="G1800" s="7">
        <v>3123458269</v>
      </c>
      <c r="H1800" s="20" t="s">
        <v>50</v>
      </c>
      <c r="I1800" s="22">
        <f>INDEX('Справочник Сети'!B:B,(MATCH(G1800,'Справочник Сети'!C:C,0)))</f>
        <v>0</v>
      </c>
      <c r="J1800" s="7" t="s">
        <v>193</v>
      </c>
      <c r="K1800" s="7" t="s">
        <v>3688</v>
      </c>
      <c r="L1800" s="7" t="s">
        <v>193</v>
      </c>
      <c r="M1800" s="31">
        <v>45718</v>
      </c>
      <c r="N1800" s="7" t="s">
        <v>3689</v>
      </c>
      <c r="O1800" s="8">
        <v>3650</v>
      </c>
      <c r="P1800" s="24">
        <v>7191</v>
      </c>
      <c r="Q1800" s="22">
        <f>IF(COUNTIFS(A$2:A1800,A1800,I$2:I1800,I1800)=1,1,0)</f>
        <v>0</v>
      </c>
      <c r="R1800" s="22">
        <f t="shared" si="28"/>
        <v>1</v>
      </c>
      <c r="S1800" s="33">
        <f>IF(COUNTIF(O$2:O1800,O1800)=1,R1800,0)/2.5</f>
        <v>0.4</v>
      </c>
    </row>
    <row r="1801" spans="1:19" ht="18" customHeight="1" x14ac:dyDescent="0.25">
      <c r="A1801" s="7" t="s">
        <v>43</v>
      </c>
      <c r="B1801" s="8">
        <v>1</v>
      </c>
      <c r="C1801" s="9">
        <v>460</v>
      </c>
      <c r="D1801" s="29">
        <f>C1801+IF(INDEX('Справочник по %'!B:B,(MATCH(A1801,'Справочник по %'!A:A,0)))="кол-во",B1801*INDEX('Справочник по %'!C:C,(MATCH(A1801,'Справочник по %'!A:A,0))),ОТЧЕТ!C1801*INDEX('Справочник по %'!C:C,(MATCH(A1801,'Справочник по %'!A:A,0))))/100</f>
        <v>506</v>
      </c>
      <c r="E1801" s="29">
        <f>IF(ОТЧЕТ!A1801="SKU3",C1801+ОТЧЕТ!C1801*0.2,C1801+ОТЧЕТ!C1801*0.15)</f>
        <v>529</v>
      </c>
      <c r="F1801" s="7" t="s">
        <v>3681</v>
      </c>
      <c r="G1801" s="7">
        <v>27415104806</v>
      </c>
      <c r="H1801" s="20" t="s">
        <v>91</v>
      </c>
      <c r="I1801" s="22">
        <f>INDEX('Справочник Сети'!B:B,(MATCH(G1801,'Справочник Сети'!C:C,0)))</f>
        <v>0</v>
      </c>
      <c r="J1801" s="7" t="s">
        <v>74</v>
      </c>
      <c r="K1801" s="7" t="s">
        <v>325</v>
      </c>
      <c r="L1801" s="7" t="s">
        <v>74</v>
      </c>
      <c r="M1801" s="31">
        <v>45661</v>
      </c>
      <c r="N1801" s="7" t="s">
        <v>3690</v>
      </c>
      <c r="O1801" s="8">
        <v>3317</v>
      </c>
      <c r="P1801" s="24">
        <v>7193</v>
      </c>
      <c r="Q1801" s="22">
        <f>IF(COUNTIFS(A$2:A1801,A1801,I$2:I1801,I1801)=1,1,0)</f>
        <v>0</v>
      </c>
      <c r="R1801" s="22">
        <f t="shared" si="28"/>
        <v>3</v>
      </c>
      <c r="S1801" s="33">
        <f>IF(COUNTIF(O$2:O1801,O1801)=1,R1801,0)/2.5</f>
        <v>0</v>
      </c>
    </row>
    <row r="1802" spans="1:19" ht="18" customHeight="1" x14ac:dyDescent="0.25">
      <c r="A1802" s="7" t="s">
        <v>37</v>
      </c>
      <c r="B1802" s="8">
        <v>1</v>
      </c>
      <c r="C1802" s="9">
        <v>708</v>
      </c>
      <c r="D1802" s="29">
        <f>C1802+IF(INDEX('Справочник по %'!B:B,(MATCH(A1802,'Справочник по %'!A:A,0)))="кол-во",B1802*INDEX('Справочник по %'!C:C,(MATCH(A1802,'Справочник по %'!A:A,0))),ОТЧЕТ!C1802*INDEX('Справочник по %'!C:C,(MATCH(A1802,'Справочник по %'!A:A,0))))/100</f>
        <v>708.2</v>
      </c>
      <c r="E1802" s="29">
        <f>IF(ОТЧЕТ!A1802="SKU3",C1802+ОТЧЕТ!C1802*0.2,C1802+ОТЧЕТ!C1802*0.15)</f>
        <v>814.2</v>
      </c>
      <c r="F1802" s="7" t="s">
        <v>3691</v>
      </c>
      <c r="G1802" s="7">
        <v>7715677080</v>
      </c>
      <c r="H1802" s="20" t="s">
        <v>50</v>
      </c>
      <c r="I1802" s="22">
        <f>INDEX('Справочник Сети'!B:B,(MATCH(G1802,'Справочник Сети'!C:C,0)))</f>
        <v>0</v>
      </c>
      <c r="J1802" s="7" t="s">
        <v>168</v>
      </c>
      <c r="K1802" s="7" t="s">
        <v>2441</v>
      </c>
      <c r="L1802" s="7" t="s">
        <v>168</v>
      </c>
      <c r="M1802" s="31">
        <v>45676</v>
      </c>
      <c r="N1802" s="7" t="s">
        <v>3692</v>
      </c>
      <c r="O1802" s="8">
        <v>1596</v>
      </c>
      <c r="P1802" s="24">
        <v>7194</v>
      </c>
      <c r="Q1802" s="22">
        <f>IF(COUNTIFS(A$2:A1802,A1802,I$2:I1802,I1802)=1,1,0)</f>
        <v>0</v>
      </c>
      <c r="R1802" s="22">
        <f t="shared" si="28"/>
        <v>2</v>
      </c>
      <c r="S1802" s="33">
        <f>IF(COUNTIF(O$2:O1802,O1802)=1,R1802,0)/2.5</f>
        <v>0</v>
      </c>
    </row>
    <row r="1803" spans="1:19" ht="18" customHeight="1" x14ac:dyDescent="0.25">
      <c r="A1803" s="7" t="s">
        <v>43</v>
      </c>
      <c r="B1803" s="8">
        <v>1</v>
      </c>
      <c r="C1803" s="9">
        <v>389</v>
      </c>
      <c r="D1803" s="29">
        <f>C1803+IF(INDEX('Справочник по %'!B:B,(MATCH(A1803,'Справочник по %'!A:A,0)))="кол-во",B1803*INDEX('Справочник по %'!C:C,(MATCH(A1803,'Справочник по %'!A:A,0))),ОТЧЕТ!C1803*INDEX('Справочник по %'!C:C,(MATCH(A1803,'Справочник по %'!A:A,0))))/100</f>
        <v>427.9</v>
      </c>
      <c r="E1803" s="29">
        <f>IF(ОТЧЕТ!A1803="SKU3",C1803+ОТЧЕТ!C1803*0.2,C1803+ОТЧЕТ!C1803*0.15)</f>
        <v>447.35</v>
      </c>
      <c r="F1803" s="7" t="s">
        <v>3691</v>
      </c>
      <c r="G1803" s="7">
        <v>2310219170</v>
      </c>
      <c r="H1803" s="20" t="s">
        <v>69</v>
      </c>
      <c r="I1803" s="22" t="str">
        <f>INDEX('Справочник Сети'!B:B,(MATCH(G1803,'Справочник Сети'!C:C,0)))</f>
        <v>Столички</v>
      </c>
      <c r="J1803" s="7" t="s">
        <v>70</v>
      </c>
      <c r="K1803" s="7" t="s">
        <v>2459</v>
      </c>
      <c r="L1803" s="7" t="s">
        <v>70</v>
      </c>
      <c r="M1803" s="31">
        <v>45728</v>
      </c>
      <c r="N1803" s="7" t="s">
        <v>3693</v>
      </c>
      <c r="O1803" s="8">
        <v>3798</v>
      </c>
      <c r="P1803" s="24">
        <v>7197</v>
      </c>
      <c r="Q1803" s="22">
        <f>IF(COUNTIFS(A$2:A1803,A1803,I$2:I1803,I1803)=1,1,0)</f>
        <v>0</v>
      </c>
      <c r="R1803" s="22">
        <f t="shared" si="28"/>
        <v>3</v>
      </c>
      <c r="S1803" s="33">
        <f>IF(COUNTIF(O$2:O1803,O1803)=1,R1803,0)/2.5</f>
        <v>0</v>
      </c>
    </row>
    <row r="1804" spans="1:19" ht="18" customHeight="1" x14ac:dyDescent="0.25">
      <c r="A1804" s="7" t="s">
        <v>43</v>
      </c>
      <c r="B1804" s="8">
        <v>1</v>
      </c>
      <c r="C1804" s="9">
        <v>393.5</v>
      </c>
      <c r="D1804" s="29">
        <f>C1804+IF(INDEX('Справочник по %'!B:B,(MATCH(A1804,'Справочник по %'!A:A,0)))="кол-во",B1804*INDEX('Справочник по %'!C:C,(MATCH(A1804,'Справочник по %'!A:A,0))),ОТЧЕТ!C1804*INDEX('Справочник по %'!C:C,(MATCH(A1804,'Справочник по %'!A:A,0))))/100</f>
        <v>432.85</v>
      </c>
      <c r="E1804" s="29">
        <f>IF(ОТЧЕТ!A1804="SKU3",C1804+ОТЧЕТ!C1804*0.2,C1804+ОТЧЕТ!C1804*0.15)</f>
        <v>452.52499999999998</v>
      </c>
      <c r="F1804" s="7" t="s">
        <v>3691</v>
      </c>
      <c r="G1804" s="7">
        <v>6376023987</v>
      </c>
      <c r="H1804" s="20" t="s">
        <v>2624</v>
      </c>
      <c r="I1804" s="22">
        <f>INDEX('Справочник Сети'!B:B,(MATCH(G1804,'Справочник Сети'!C:C,0)))</f>
        <v>0</v>
      </c>
      <c r="J1804" s="7" t="s">
        <v>133</v>
      </c>
      <c r="K1804" s="7" t="s">
        <v>905</v>
      </c>
      <c r="L1804" s="7" t="s">
        <v>133</v>
      </c>
      <c r="M1804" s="31">
        <v>45695</v>
      </c>
      <c r="N1804" s="7" t="s">
        <v>3694</v>
      </c>
      <c r="O1804" s="8">
        <v>339</v>
      </c>
      <c r="P1804" s="24">
        <v>7202</v>
      </c>
      <c r="Q1804" s="22">
        <f>IF(COUNTIFS(A$2:A1804,A1804,I$2:I1804,I1804)=1,1,0)</f>
        <v>0</v>
      </c>
      <c r="R1804" s="22">
        <f t="shared" si="28"/>
        <v>1</v>
      </c>
      <c r="S1804" s="33">
        <f>IF(COUNTIF(O$2:O1804,O1804)=1,R1804,0)/2.5</f>
        <v>0.4</v>
      </c>
    </row>
    <row r="1805" spans="1:19" ht="18" customHeight="1" x14ac:dyDescent="0.25">
      <c r="A1805" s="7" t="s">
        <v>43</v>
      </c>
      <c r="B1805" s="8">
        <v>1</v>
      </c>
      <c r="C1805" s="9">
        <v>534</v>
      </c>
      <c r="D1805" s="29">
        <f>C1805+IF(INDEX('Справочник по %'!B:B,(MATCH(A1805,'Справочник по %'!A:A,0)))="кол-во",B1805*INDEX('Справочник по %'!C:C,(MATCH(A1805,'Справочник по %'!A:A,0))),ОТЧЕТ!C1805*INDEX('Справочник по %'!C:C,(MATCH(A1805,'Справочник по %'!A:A,0))))/100</f>
        <v>587.4</v>
      </c>
      <c r="E1805" s="29">
        <f>IF(ОТЧЕТ!A1805="SKU3",C1805+ОТЧЕТ!C1805*0.2,C1805+ОТЧЕТ!C1805*0.15)</f>
        <v>614.1</v>
      </c>
      <c r="F1805" s="7" t="s">
        <v>3691</v>
      </c>
      <c r="G1805" s="7">
        <v>7705947629</v>
      </c>
      <c r="H1805" s="20" t="s">
        <v>50</v>
      </c>
      <c r="I1805" s="22" t="str">
        <f>INDEX('Справочник Сети'!B:B,(MATCH(G1805,'Справочник Сети'!C:C,0)))</f>
        <v>36,6</v>
      </c>
      <c r="J1805" s="7" t="s">
        <v>116</v>
      </c>
      <c r="K1805" s="7" t="s">
        <v>2938</v>
      </c>
      <c r="L1805" s="7" t="s">
        <v>116</v>
      </c>
      <c r="M1805" s="31">
        <v>45692</v>
      </c>
      <c r="N1805" s="7" t="s">
        <v>3695</v>
      </c>
      <c r="O1805" s="8">
        <v>3514</v>
      </c>
      <c r="P1805" s="24">
        <v>7203</v>
      </c>
      <c r="Q1805" s="22">
        <f>IF(COUNTIFS(A$2:A1805,A1805,I$2:I1805,I1805)=1,1,0)</f>
        <v>0</v>
      </c>
      <c r="R1805" s="22">
        <f t="shared" si="28"/>
        <v>4</v>
      </c>
      <c r="S1805" s="33">
        <f>IF(COUNTIF(O$2:O1805,O1805)=1,R1805,0)/2.5</f>
        <v>0</v>
      </c>
    </row>
    <row r="1806" spans="1:19" ht="18" customHeight="1" x14ac:dyDescent="0.25">
      <c r="A1806" s="7" t="s">
        <v>43</v>
      </c>
      <c r="B1806" s="8">
        <v>1</v>
      </c>
      <c r="C1806" s="9">
        <v>430</v>
      </c>
      <c r="D1806" s="29">
        <f>C1806+IF(INDEX('Справочник по %'!B:B,(MATCH(A1806,'Справочник по %'!A:A,0)))="кол-во",B1806*INDEX('Справочник по %'!C:C,(MATCH(A1806,'Справочник по %'!A:A,0))),ОТЧЕТ!C1806*INDEX('Справочник по %'!C:C,(MATCH(A1806,'Справочник по %'!A:A,0))))/100</f>
        <v>473</v>
      </c>
      <c r="E1806" s="29">
        <f>IF(ОТЧЕТ!A1806="SKU3",C1806+ОТЧЕТ!C1806*0.2,C1806+ОТЧЕТ!C1806*0.15)</f>
        <v>494.5</v>
      </c>
      <c r="F1806" s="7" t="s">
        <v>3696</v>
      </c>
      <c r="G1806" s="7">
        <v>7715633822</v>
      </c>
      <c r="H1806" s="20" t="s">
        <v>64</v>
      </c>
      <c r="I1806" s="22">
        <f>INDEX('Справочник Сети'!B:B,(MATCH(G1806,'Справочник Сети'!C:C,0)))</f>
        <v>0</v>
      </c>
      <c r="J1806" s="7" t="s">
        <v>168</v>
      </c>
      <c r="K1806" s="7" t="s">
        <v>3085</v>
      </c>
      <c r="L1806" s="7" t="s">
        <v>168</v>
      </c>
      <c r="M1806" s="31">
        <v>45676</v>
      </c>
      <c r="N1806" s="7" t="s">
        <v>3697</v>
      </c>
      <c r="O1806" s="8">
        <v>2311</v>
      </c>
      <c r="P1806" s="24">
        <v>7206</v>
      </c>
      <c r="Q1806" s="22">
        <f>IF(COUNTIFS(A$2:A1806,A1806,I$2:I1806,I1806)=1,1,0)</f>
        <v>0</v>
      </c>
      <c r="R1806" s="22">
        <f t="shared" si="28"/>
        <v>1</v>
      </c>
      <c r="S1806" s="33">
        <f>IF(COUNTIF(O$2:O1806,O1806)=1,R1806,0)/2.5</f>
        <v>0.4</v>
      </c>
    </row>
    <row r="1807" spans="1:19" ht="18" customHeight="1" x14ac:dyDescent="0.25">
      <c r="A1807" s="7" t="s">
        <v>43</v>
      </c>
      <c r="B1807" s="8">
        <v>1</v>
      </c>
      <c r="C1807" s="9">
        <v>480</v>
      </c>
      <c r="D1807" s="29">
        <f>C1807+IF(INDEX('Справочник по %'!B:B,(MATCH(A1807,'Справочник по %'!A:A,0)))="кол-во",B1807*INDEX('Справочник по %'!C:C,(MATCH(A1807,'Справочник по %'!A:A,0))),ОТЧЕТ!C1807*INDEX('Справочник по %'!C:C,(MATCH(A1807,'Справочник по %'!A:A,0))))/100</f>
        <v>528</v>
      </c>
      <c r="E1807" s="29">
        <f>IF(ОТЧЕТ!A1807="SKU3",C1807+ОТЧЕТ!C1807*0.2,C1807+ОТЧЕТ!C1807*0.15)</f>
        <v>552</v>
      </c>
      <c r="F1807" s="7" t="s">
        <v>3696</v>
      </c>
      <c r="G1807" s="7">
        <v>4720031507</v>
      </c>
      <c r="H1807" s="20" t="s">
        <v>650</v>
      </c>
      <c r="I1807" s="22" t="str">
        <f>INDEX('Справочник Сети'!B:B,(MATCH(G1807,'Справочник Сети'!C:C,0)))</f>
        <v>Ригла</v>
      </c>
      <c r="J1807" s="7" t="s">
        <v>83</v>
      </c>
      <c r="K1807" s="7" t="s">
        <v>200</v>
      </c>
      <c r="L1807" s="7" t="s">
        <v>83</v>
      </c>
      <c r="M1807" s="31">
        <v>45715</v>
      </c>
      <c r="N1807" s="7" t="s">
        <v>3698</v>
      </c>
      <c r="O1807" s="8">
        <v>461</v>
      </c>
      <c r="P1807" s="24">
        <v>7208</v>
      </c>
      <c r="Q1807" s="22">
        <f>IF(COUNTIFS(A$2:A1807,A1807,I$2:I1807,I1807)=1,1,0)</f>
        <v>0</v>
      </c>
      <c r="R1807" s="22">
        <f t="shared" si="28"/>
        <v>4</v>
      </c>
      <c r="S1807" s="33">
        <f>IF(COUNTIF(O$2:O1807,O1807)=1,R1807,0)/2.5</f>
        <v>0</v>
      </c>
    </row>
    <row r="1808" spans="1:19" ht="18" customHeight="1" x14ac:dyDescent="0.25">
      <c r="A1808" s="7" t="s">
        <v>37</v>
      </c>
      <c r="B1808" s="8">
        <v>1</v>
      </c>
      <c r="C1808" s="9">
        <v>588</v>
      </c>
      <c r="D1808" s="29">
        <f>C1808+IF(INDEX('Справочник по %'!B:B,(MATCH(A1808,'Справочник по %'!A:A,0)))="кол-во",B1808*INDEX('Справочник по %'!C:C,(MATCH(A1808,'Справочник по %'!A:A,0))),ОТЧЕТ!C1808*INDEX('Справочник по %'!C:C,(MATCH(A1808,'Справочник по %'!A:A,0))))/100</f>
        <v>588.20000000000005</v>
      </c>
      <c r="E1808" s="29">
        <f>IF(ОТЧЕТ!A1808="SKU3",C1808+ОТЧЕТ!C1808*0.2,C1808+ОТЧЕТ!C1808*0.15)</f>
        <v>676.2</v>
      </c>
      <c r="F1808" s="7" t="s">
        <v>3699</v>
      </c>
      <c r="G1808" s="7">
        <v>7731334851</v>
      </c>
      <c r="H1808" s="20" t="s">
        <v>3700</v>
      </c>
      <c r="I1808" s="22" t="str">
        <f>INDEX('Справочник Сети'!B:B,(MATCH(G1808,'Справочник Сети'!C:C,0)))</f>
        <v>Планета здоровья</v>
      </c>
      <c r="J1808" s="7" t="s">
        <v>142</v>
      </c>
      <c r="K1808" s="7" t="s">
        <v>3118</v>
      </c>
      <c r="L1808" s="7" t="s">
        <v>142</v>
      </c>
      <c r="M1808" s="31">
        <v>45674</v>
      </c>
      <c r="N1808" s="7" t="s">
        <v>3701</v>
      </c>
      <c r="O1808" s="8">
        <v>1226</v>
      </c>
      <c r="P1808" s="24">
        <v>7211</v>
      </c>
      <c r="Q1808" s="22">
        <f>IF(COUNTIFS(A$2:A1808,A1808,I$2:I1808,I1808)=1,1,0)</f>
        <v>0</v>
      </c>
      <c r="R1808" s="22">
        <f t="shared" si="28"/>
        <v>1</v>
      </c>
      <c r="S1808" s="33">
        <f>IF(COUNTIF(O$2:O1808,O1808)=1,R1808,0)/2.5</f>
        <v>0.4</v>
      </c>
    </row>
    <row r="1809" spans="1:19" ht="18" customHeight="1" x14ac:dyDescent="0.25">
      <c r="A1809" s="7" t="s">
        <v>43</v>
      </c>
      <c r="B1809" s="8">
        <v>1</v>
      </c>
      <c r="C1809" s="9">
        <v>480.5</v>
      </c>
      <c r="D1809" s="29">
        <f>C1809+IF(INDEX('Справочник по %'!B:B,(MATCH(A1809,'Справочник по %'!A:A,0)))="кол-во",B1809*INDEX('Справочник по %'!C:C,(MATCH(A1809,'Справочник по %'!A:A,0))),ОТЧЕТ!C1809*INDEX('Справочник по %'!C:C,(MATCH(A1809,'Справочник по %'!A:A,0))))/100</f>
        <v>528.54999999999995</v>
      </c>
      <c r="E1809" s="29">
        <f>IF(ОТЧЕТ!A1809="SKU3",C1809+ОТЧЕТ!C1809*0.2,C1809+ОТЧЕТ!C1809*0.15)</f>
        <v>552.57500000000005</v>
      </c>
      <c r="F1809" s="7" t="s">
        <v>3702</v>
      </c>
      <c r="G1809" s="7">
        <v>7839481347</v>
      </c>
      <c r="H1809" s="20" t="s">
        <v>50</v>
      </c>
      <c r="I1809" s="22" t="str">
        <f>INDEX('Справочник Сети'!B:B,(MATCH(G1809,'Справочник Сети'!C:C,0)))</f>
        <v>Ригла</v>
      </c>
      <c r="J1809" s="7" t="s">
        <v>315</v>
      </c>
      <c r="K1809" s="7" t="s">
        <v>663</v>
      </c>
      <c r="L1809" s="7" t="s">
        <v>121</v>
      </c>
      <c r="M1809" s="31">
        <v>45671</v>
      </c>
      <c r="N1809" s="7" t="s">
        <v>3703</v>
      </c>
      <c r="O1809" s="8">
        <v>3143</v>
      </c>
      <c r="P1809" s="24">
        <v>7213</v>
      </c>
      <c r="Q1809" s="22">
        <f>IF(COUNTIFS(A$2:A1809,A1809,I$2:I1809,I1809)=1,1,0)</f>
        <v>0</v>
      </c>
      <c r="R1809" s="22">
        <f t="shared" si="28"/>
        <v>2</v>
      </c>
      <c r="S1809" s="33">
        <f>IF(COUNTIF(O$2:O1809,O1809)=1,R1809,0)/2.5</f>
        <v>0</v>
      </c>
    </row>
    <row r="1810" spans="1:19" ht="18" customHeight="1" x14ac:dyDescent="0.25">
      <c r="A1810" s="7" t="s">
        <v>43</v>
      </c>
      <c r="B1810" s="8">
        <v>1</v>
      </c>
      <c r="C1810" s="9">
        <v>409</v>
      </c>
      <c r="D1810" s="29">
        <f>C1810+IF(INDEX('Справочник по %'!B:B,(MATCH(A1810,'Справочник по %'!A:A,0)))="кол-во",B1810*INDEX('Справочник по %'!C:C,(MATCH(A1810,'Справочник по %'!A:A,0))),ОТЧЕТ!C1810*INDEX('Справочник по %'!C:C,(MATCH(A1810,'Справочник по %'!A:A,0))))/100</f>
        <v>449.9</v>
      </c>
      <c r="E1810" s="29">
        <f>IF(ОТЧЕТ!A1810="SKU3",C1810+ОТЧЕТ!C1810*0.2,C1810+ОТЧЕТ!C1810*0.15)</f>
        <v>470.35</v>
      </c>
      <c r="F1810" s="7" t="s">
        <v>3702</v>
      </c>
      <c r="G1810" s="7">
        <v>462003016756</v>
      </c>
      <c r="H1810" s="20" t="s">
        <v>91</v>
      </c>
      <c r="I1810" s="22">
        <f>INDEX('Справочник Сети'!B:B,(MATCH(G1810,'Справочник Сети'!C:C,0)))</f>
        <v>0</v>
      </c>
      <c r="J1810" s="7" t="s">
        <v>110</v>
      </c>
      <c r="K1810" s="7" t="s">
        <v>1823</v>
      </c>
      <c r="L1810" s="7" t="s">
        <v>110</v>
      </c>
      <c r="M1810" s="31">
        <v>45660</v>
      </c>
      <c r="N1810" s="7" t="s">
        <v>3704</v>
      </c>
      <c r="O1810" s="8">
        <v>2117</v>
      </c>
      <c r="P1810" s="24">
        <v>7216</v>
      </c>
      <c r="Q1810" s="22">
        <f>IF(COUNTIFS(A$2:A1810,A1810,I$2:I1810,I1810)=1,1,0)</f>
        <v>0</v>
      </c>
      <c r="R1810" s="22">
        <f t="shared" si="28"/>
        <v>2</v>
      </c>
      <c r="S1810" s="33">
        <f>IF(COUNTIF(O$2:O1810,O1810)=1,R1810,0)/2.5</f>
        <v>0.8</v>
      </c>
    </row>
    <row r="1811" spans="1:19" ht="18" customHeight="1" x14ac:dyDescent="0.25">
      <c r="A1811" s="7" t="s">
        <v>43</v>
      </c>
      <c r="B1811" s="8">
        <v>1</v>
      </c>
      <c r="C1811" s="9">
        <v>433.9</v>
      </c>
      <c r="D1811" s="29">
        <f>C1811+IF(INDEX('Справочник по %'!B:B,(MATCH(A1811,'Справочник по %'!A:A,0)))="кол-во",B1811*INDEX('Справочник по %'!C:C,(MATCH(A1811,'Справочник по %'!A:A,0))),ОТЧЕТ!C1811*INDEX('Справочник по %'!C:C,(MATCH(A1811,'Справочник по %'!A:A,0))))/100</f>
        <v>477.28999999999996</v>
      </c>
      <c r="E1811" s="29">
        <f>IF(ОТЧЕТ!A1811="SKU3",C1811+ОТЧЕТ!C1811*0.2,C1811+ОТЧЕТ!C1811*0.15)</f>
        <v>498.98499999999996</v>
      </c>
      <c r="F1811" s="7" t="s">
        <v>3702</v>
      </c>
      <c r="G1811" s="7">
        <v>4632047297</v>
      </c>
      <c r="H1811" s="20" t="s">
        <v>3052</v>
      </c>
      <c r="I1811" s="22">
        <f>INDEX('Справочник Сети'!B:B,(MATCH(G1811,'Справочник Сети'!C:C,0)))</f>
        <v>0</v>
      </c>
      <c r="J1811" s="7" t="s">
        <v>155</v>
      </c>
      <c r="K1811" s="7" t="s">
        <v>3576</v>
      </c>
      <c r="L1811" s="7" t="s">
        <v>155</v>
      </c>
      <c r="M1811" s="31">
        <v>45716</v>
      </c>
      <c r="N1811" s="7" t="s">
        <v>3705</v>
      </c>
      <c r="O1811" s="8">
        <v>1047</v>
      </c>
      <c r="P1811" s="24">
        <v>7217</v>
      </c>
      <c r="Q1811" s="22">
        <f>IF(COUNTIFS(A$2:A1811,A1811,I$2:I1811,I1811)=1,1,0)</f>
        <v>0</v>
      </c>
      <c r="R1811" s="22">
        <f t="shared" si="28"/>
        <v>6</v>
      </c>
      <c r="S1811" s="33">
        <f>IF(COUNTIF(O$2:O1811,O1811)=1,R1811,0)/2.5</f>
        <v>0</v>
      </c>
    </row>
    <row r="1812" spans="1:19" ht="18" customHeight="1" x14ac:dyDescent="0.25">
      <c r="A1812" s="7" t="s">
        <v>37</v>
      </c>
      <c r="B1812" s="8">
        <v>1</v>
      </c>
      <c r="C1812" s="9">
        <v>675</v>
      </c>
      <c r="D1812" s="29">
        <f>C1812+IF(INDEX('Справочник по %'!B:B,(MATCH(A1812,'Справочник по %'!A:A,0)))="кол-во",B1812*INDEX('Справочник по %'!C:C,(MATCH(A1812,'Справочник по %'!A:A,0))),ОТЧЕТ!C1812*INDEX('Справочник по %'!C:C,(MATCH(A1812,'Справочник по %'!A:A,0))))/100</f>
        <v>675.2</v>
      </c>
      <c r="E1812" s="29">
        <f>IF(ОТЧЕТ!A1812="SKU3",C1812+ОТЧЕТ!C1812*0.2,C1812+ОТЧЕТ!C1812*0.15)</f>
        <v>776.25</v>
      </c>
      <c r="F1812" s="7" t="s">
        <v>3706</v>
      </c>
      <c r="G1812" s="7">
        <v>5907998608</v>
      </c>
      <c r="H1812" s="20" t="s">
        <v>511</v>
      </c>
      <c r="I1812" s="22" t="str">
        <f>INDEX('Справочник Сети'!B:B,(MATCH(G1812,'Справочник Сети'!C:C,0)))</f>
        <v>Планета здоровья</v>
      </c>
      <c r="J1812" s="7" t="s">
        <v>512</v>
      </c>
      <c r="K1812" s="7" t="s">
        <v>2462</v>
      </c>
      <c r="L1812" s="7" t="s">
        <v>513</v>
      </c>
      <c r="M1812" s="31">
        <v>45701</v>
      </c>
      <c r="N1812" s="7" t="s">
        <v>3707</v>
      </c>
      <c r="O1812" s="8">
        <v>1253</v>
      </c>
      <c r="P1812" s="24">
        <v>7221</v>
      </c>
      <c r="Q1812" s="22">
        <f>IF(COUNTIFS(A$2:A1812,A1812,I$2:I1812,I1812)=1,1,0)</f>
        <v>0</v>
      </c>
      <c r="R1812" s="22">
        <f t="shared" si="28"/>
        <v>8</v>
      </c>
      <c r="S1812" s="33">
        <f>IF(COUNTIF(O$2:O1812,O1812)=1,R1812,0)/2.5</f>
        <v>0</v>
      </c>
    </row>
    <row r="1813" spans="1:19" ht="18" customHeight="1" x14ac:dyDescent="0.25">
      <c r="A1813" s="7" t="s">
        <v>43</v>
      </c>
      <c r="B1813" s="8">
        <v>1</v>
      </c>
      <c r="C1813" s="9">
        <v>545</v>
      </c>
      <c r="D1813" s="29">
        <f>C1813+IF(INDEX('Справочник по %'!B:B,(MATCH(A1813,'Справочник по %'!A:A,0)))="кол-во",B1813*INDEX('Справочник по %'!C:C,(MATCH(A1813,'Справочник по %'!A:A,0))),ОТЧЕТ!C1813*INDEX('Справочник по %'!C:C,(MATCH(A1813,'Справочник по %'!A:A,0))))/100</f>
        <v>599.5</v>
      </c>
      <c r="E1813" s="29">
        <f>IF(ОТЧЕТ!A1813="SKU3",C1813+ОТЧЕТ!C1813*0.2,C1813+ОТЧЕТ!C1813*0.15)</f>
        <v>626.75</v>
      </c>
      <c r="F1813" s="7" t="s">
        <v>3708</v>
      </c>
      <c r="G1813" s="7">
        <v>5017128086</v>
      </c>
      <c r="H1813" s="20" t="s">
        <v>378</v>
      </c>
      <c r="I1813" s="22" t="str">
        <f>INDEX('Справочник Сети'!B:B,(MATCH(G1813,'Справочник Сети'!C:C,0)))</f>
        <v>Столички</v>
      </c>
      <c r="J1813" s="7" t="s">
        <v>83</v>
      </c>
      <c r="K1813" s="7" t="s">
        <v>2052</v>
      </c>
      <c r="L1813" s="7" t="s">
        <v>83</v>
      </c>
      <c r="M1813" s="31">
        <v>45715</v>
      </c>
      <c r="N1813" s="7" t="s">
        <v>3709</v>
      </c>
      <c r="O1813" s="8">
        <v>3745</v>
      </c>
      <c r="P1813" s="24">
        <v>7222</v>
      </c>
      <c r="Q1813" s="22">
        <f>IF(COUNTIFS(A$2:A1813,A1813,I$2:I1813,I1813)=1,1,0)</f>
        <v>0</v>
      </c>
      <c r="R1813" s="22">
        <f t="shared" si="28"/>
        <v>1</v>
      </c>
      <c r="S1813" s="33">
        <f>IF(COUNTIF(O$2:O1813,O1813)=1,R1813,0)/2.5</f>
        <v>0.4</v>
      </c>
    </row>
    <row r="1814" spans="1:19" ht="18" customHeight="1" x14ac:dyDescent="0.25">
      <c r="A1814" s="7" t="s">
        <v>37</v>
      </c>
      <c r="B1814" s="8">
        <v>1</v>
      </c>
      <c r="C1814" s="9">
        <v>584</v>
      </c>
      <c r="D1814" s="29">
        <f>C1814+IF(INDEX('Справочник по %'!B:B,(MATCH(A1814,'Справочник по %'!A:A,0)))="кол-во",B1814*INDEX('Справочник по %'!C:C,(MATCH(A1814,'Справочник по %'!A:A,0))),ОТЧЕТ!C1814*INDEX('Справочник по %'!C:C,(MATCH(A1814,'Справочник по %'!A:A,0))))/100</f>
        <v>584.20000000000005</v>
      </c>
      <c r="E1814" s="29">
        <f>IF(ОТЧЕТ!A1814="SKU3",C1814+ОТЧЕТ!C1814*0.2,C1814+ОТЧЕТ!C1814*0.15)</f>
        <v>671.6</v>
      </c>
      <c r="F1814" s="7" t="s">
        <v>3710</v>
      </c>
      <c r="G1814" s="7">
        <v>2310096546</v>
      </c>
      <c r="H1814" s="20" t="s">
        <v>69</v>
      </c>
      <c r="I1814" s="22" t="str">
        <f>INDEX('Справочник Сети'!B:B,(MATCH(G1814,'Справочник Сети'!C:C,0)))</f>
        <v>36,6</v>
      </c>
      <c r="J1814" s="7" t="s">
        <v>57</v>
      </c>
      <c r="K1814" s="7" t="s">
        <v>534</v>
      </c>
      <c r="L1814" s="7" t="s">
        <v>57</v>
      </c>
      <c r="M1814" s="31">
        <v>45729</v>
      </c>
      <c r="N1814" s="7" t="s">
        <v>3711</v>
      </c>
      <c r="O1814" s="8">
        <v>2263</v>
      </c>
      <c r="P1814" s="24">
        <v>7224</v>
      </c>
      <c r="Q1814" s="22">
        <f>IF(COUNTIFS(A$2:A1814,A1814,I$2:I1814,I1814)=1,1,0)</f>
        <v>0</v>
      </c>
      <c r="R1814" s="22">
        <f t="shared" si="28"/>
        <v>3</v>
      </c>
      <c r="S1814" s="33">
        <f>IF(COUNTIF(O$2:O1814,O1814)=1,R1814,0)/2.5</f>
        <v>0</v>
      </c>
    </row>
    <row r="1815" spans="1:19" ht="18" customHeight="1" x14ac:dyDescent="0.25">
      <c r="A1815" s="7" t="s">
        <v>43</v>
      </c>
      <c r="B1815" s="8">
        <v>1</v>
      </c>
      <c r="C1815" s="9">
        <v>454</v>
      </c>
      <c r="D1815" s="29">
        <f>C1815+IF(INDEX('Справочник по %'!B:B,(MATCH(A1815,'Справочник по %'!A:A,0)))="кол-во",B1815*INDEX('Справочник по %'!C:C,(MATCH(A1815,'Справочник по %'!A:A,0))),ОТЧЕТ!C1815*INDEX('Справочник по %'!C:C,(MATCH(A1815,'Справочник по %'!A:A,0))))/100</f>
        <v>499.4</v>
      </c>
      <c r="E1815" s="29">
        <f>IF(ОТЧЕТ!A1815="SKU3",C1815+ОТЧЕТ!C1815*0.2,C1815+ОТЧЕТ!C1815*0.15)</f>
        <v>522.1</v>
      </c>
      <c r="F1815" s="7" t="s">
        <v>3712</v>
      </c>
      <c r="G1815" s="7">
        <v>2367014690</v>
      </c>
      <c r="H1815" s="20" t="s">
        <v>50</v>
      </c>
      <c r="I1815" s="22">
        <f>INDEX('Справочник Сети'!B:B,(MATCH(G1815,'Справочник Сети'!C:C,0)))</f>
        <v>0</v>
      </c>
      <c r="J1815" s="7" t="s">
        <v>96</v>
      </c>
      <c r="K1815" s="7" t="s">
        <v>1277</v>
      </c>
      <c r="L1815" s="7" t="s">
        <v>70</v>
      </c>
      <c r="M1815" s="31">
        <v>45728</v>
      </c>
      <c r="N1815" s="7" t="s">
        <v>3713</v>
      </c>
      <c r="O1815" s="8">
        <v>1341</v>
      </c>
      <c r="P1815" s="24">
        <v>7225</v>
      </c>
      <c r="Q1815" s="22">
        <f>IF(COUNTIFS(A$2:A1815,A1815,I$2:I1815,I1815)=1,1,0)</f>
        <v>0</v>
      </c>
      <c r="R1815" s="22">
        <f t="shared" si="28"/>
        <v>1</v>
      </c>
      <c r="S1815" s="33">
        <f>IF(COUNTIF(O$2:O1815,O1815)=1,R1815,0)/2.5</f>
        <v>0.4</v>
      </c>
    </row>
    <row r="1816" spans="1:19" ht="18" customHeight="1" x14ac:dyDescent="0.25">
      <c r="A1816" s="7" t="s">
        <v>37</v>
      </c>
      <c r="B1816" s="8">
        <v>1</v>
      </c>
      <c r="C1816" s="9">
        <v>592</v>
      </c>
      <c r="D1816" s="29">
        <f>C1816+IF(INDEX('Справочник по %'!B:B,(MATCH(A1816,'Справочник по %'!A:A,0)))="кол-во",B1816*INDEX('Справочник по %'!C:C,(MATCH(A1816,'Справочник по %'!A:A,0))),ОТЧЕТ!C1816*INDEX('Справочник по %'!C:C,(MATCH(A1816,'Справочник по %'!A:A,0))))/100</f>
        <v>592.20000000000005</v>
      </c>
      <c r="E1816" s="29">
        <f>IF(ОТЧЕТ!A1816="SKU3",C1816+ОТЧЕТ!C1816*0.2,C1816+ОТЧЕТ!C1816*0.15)</f>
        <v>680.8</v>
      </c>
      <c r="F1816" s="7" t="s">
        <v>3714</v>
      </c>
      <c r="G1816" s="7">
        <v>150402161852</v>
      </c>
      <c r="H1816" s="20" t="s">
        <v>725</v>
      </c>
      <c r="I1816" s="22">
        <f>INDEX('Справочник Сети'!B:B,(MATCH(G1816,'Справочник Сети'!C:C,0)))</f>
        <v>0</v>
      </c>
      <c r="J1816" s="7" t="s">
        <v>74</v>
      </c>
      <c r="K1816" s="7" t="s">
        <v>3081</v>
      </c>
      <c r="L1816" s="7" t="s">
        <v>74</v>
      </c>
      <c r="M1816" s="31">
        <v>45661</v>
      </c>
      <c r="N1816" s="7" t="s">
        <v>3715</v>
      </c>
      <c r="O1816" s="8">
        <v>3721</v>
      </c>
      <c r="P1816" s="24">
        <v>7231</v>
      </c>
      <c r="Q1816" s="22">
        <f>IF(COUNTIFS(A$2:A1816,A1816,I$2:I1816,I1816)=1,1,0)</f>
        <v>0</v>
      </c>
      <c r="R1816" s="22">
        <f t="shared" si="28"/>
        <v>3</v>
      </c>
      <c r="S1816" s="33">
        <f>IF(COUNTIF(O$2:O1816,O1816)=1,R1816,0)/2.5</f>
        <v>0</v>
      </c>
    </row>
    <row r="1817" spans="1:19" ht="18" customHeight="1" x14ac:dyDescent="0.25">
      <c r="A1817" s="7" t="s">
        <v>37</v>
      </c>
      <c r="B1817" s="8">
        <v>1</v>
      </c>
      <c r="C1817" s="9">
        <v>573</v>
      </c>
      <c r="D1817" s="29">
        <f>C1817+IF(INDEX('Справочник по %'!B:B,(MATCH(A1817,'Справочник по %'!A:A,0)))="кол-во",B1817*INDEX('Справочник по %'!C:C,(MATCH(A1817,'Справочник по %'!A:A,0))),ОТЧЕТ!C1817*INDEX('Справочник по %'!C:C,(MATCH(A1817,'Справочник по %'!A:A,0))))/100</f>
        <v>573.20000000000005</v>
      </c>
      <c r="E1817" s="29">
        <f>IF(ОТЧЕТ!A1817="SKU3",C1817+ОТЧЕТ!C1817*0.2,C1817+ОТЧЕТ!C1817*0.15)</f>
        <v>658.95</v>
      </c>
      <c r="F1817" s="7" t="s">
        <v>3714</v>
      </c>
      <c r="G1817" s="7">
        <v>7732121736</v>
      </c>
      <c r="H1817" s="20" t="s">
        <v>3362</v>
      </c>
      <c r="I1817" s="22" t="str">
        <f>INDEX('Справочник Сети'!B:B,(MATCH(G1817,'Справочник Сети'!C:C,0)))</f>
        <v>Планета здоровья</v>
      </c>
      <c r="J1817" s="7" t="s">
        <v>149</v>
      </c>
      <c r="K1817" s="7" t="s">
        <v>260</v>
      </c>
      <c r="L1817" s="7" t="s">
        <v>149</v>
      </c>
      <c r="M1817" s="31">
        <v>45673</v>
      </c>
      <c r="N1817" s="7" t="s">
        <v>3716</v>
      </c>
      <c r="O1817" s="8">
        <v>3046</v>
      </c>
      <c r="P1817" s="24">
        <v>7233</v>
      </c>
      <c r="Q1817" s="22">
        <f>IF(COUNTIFS(A$2:A1817,A1817,I$2:I1817,I1817)=1,1,0)</f>
        <v>0</v>
      </c>
      <c r="R1817" s="22">
        <f t="shared" si="28"/>
        <v>7</v>
      </c>
      <c r="S1817" s="33">
        <f>IF(COUNTIF(O$2:O1817,O1817)=1,R1817,0)/2.5</f>
        <v>0</v>
      </c>
    </row>
    <row r="1818" spans="1:19" ht="18" customHeight="1" x14ac:dyDescent="0.25">
      <c r="A1818" s="7" t="s">
        <v>43</v>
      </c>
      <c r="B1818" s="8">
        <v>1</v>
      </c>
      <c r="C1818" s="9">
        <v>464.1</v>
      </c>
      <c r="D1818" s="29">
        <f>C1818+IF(INDEX('Справочник по %'!B:B,(MATCH(A1818,'Справочник по %'!A:A,0)))="кол-во",B1818*INDEX('Справочник по %'!C:C,(MATCH(A1818,'Справочник по %'!A:A,0))),ОТЧЕТ!C1818*INDEX('Справочник по %'!C:C,(MATCH(A1818,'Справочник по %'!A:A,0))))/100</f>
        <v>510.51</v>
      </c>
      <c r="E1818" s="29">
        <f>IF(ОТЧЕТ!A1818="SKU3",C1818+ОТЧЕТ!C1818*0.2,C1818+ОТЧЕТ!C1818*0.15)</f>
        <v>533.71500000000003</v>
      </c>
      <c r="F1818" s="7" t="s">
        <v>3717</v>
      </c>
      <c r="G1818" s="7">
        <v>550310361355</v>
      </c>
      <c r="H1818" s="20" t="s">
        <v>50</v>
      </c>
      <c r="I1818" s="22" t="str">
        <f>INDEX('Справочник Сети'!B:B,(MATCH(G1818,'Справочник Сети'!C:C,0)))</f>
        <v>Столички</v>
      </c>
      <c r="J1818" s="7" t="s">
        <v>251</v>
      </c>
      <c r="K1818" s="7" t="s">
        <v>3182</v>
      </c>
      <c r="L1818" s="7" t="s">
        <v>110</v>
      </c>
      <c r="M1818" s="31">
        <v>45660</v>
      </c>
      <c r="N1818" s="7" t="s">
        <v>3718</v>
      </c>
      <c r="O1818" s="8">
        <v>994</v>
      </c>
      <c r="P1818" s="24">
        <v>7234</v>
      </c>
      <c r="Q1818" s="22">
        <f>IF(COUNTIFS(A$2:A1818,A1818,I$2:I1818,I1818)=1,1,0)</f>
        <v>0</v>
      </c>
      <c r="R1818" s="22">
        <f t="shared" si="28"/>
        <v>1</v>
      </c>
      <c r="S1818" s="33">
        <f>IF(COUNTIF(O$2:O1818,O1818)=1,R1818,0)/2.5</f>
        <v>0.4</v>
      </c>
    </row>
    <row r="1819" spans="1:19" ht="18" customHeight="1" x14ac:dyDescent="0.25">
      <c r="A1819" s="7" t="s">
        <v>43</v>
      </c>
      <c r="B1819" s="8">
        <v>1</v>
      </c>
      <c r="C1819" s="9">
        <v>350</v>
      </c>
      <c r="D1819" s="29">
        <f>C1819+IF(INDEX('Справочник по %'!B:B,(MATCH(A1819,'Справочник по %'!A:A,0)))="кол-во",B1819*INDEX('Справочник по %'!C:C,(MATCH(A1819,'Справочник по %'!A:A,0))),ОТЧЕТ!C1819*INDEX('Справочник по %'!C:C,(MATCH(A1819,'Справочник по %'!A:A,0))))/100</f>
        <v>385</v>
      </c>
      <c r="E1819" s="29">
        <f>IF(ОТЧЕТ!A1819="SKU3",C1819+ОТЧЕТ!C1819*0.2,C1819+ОТЧЕТ!C1819*0.15)</f>
        <v>402.5</v>
      </c>
      <c r="F1819" s="7" t="s">
        <v>3719</v>
      </c>
      <c r="G1819" s="7">
        <v>7807231471</v>
      </c>
      <c r="H1819" s="20" t="s">
        <v>91</v>
      </c>
      <c r="I1819" s="22">
        <f>INDEX('Справочник Сети'!B:B,(MATCH(G1819,'Справочник Сети'!C:C,0)))</f>
        <v>0</v>
      </c>
      <c r="J1819" s="7" t="s">
        <v>121</v>
      </c>
      <c r="K1819" s="7" t="s">
        <v>1051</v>
      </c>
      <c r="L1819" s="7" t="s">
        <v>353</v>
      </c>
      <c r="M1819" s="31">
        <v>45672</v>
      </c>
      <c r="N1819" s="7" t="s">
        <v>3720</v>
      </c>
      <c r="O1819" s="8">
        <v>3206</v>
      </c>
      <c r="P1819" s="24">
        <v>7236</v>
      </c>
      <c r="Q1819" s="22">
        <f>IF(COUNTIFS(A$2:A1819,A1819,I$2:I1819,I1819)=1,1,0)</f>
        <v>0</v>
      </c>
      <c r="R1819" s="22">
        <f t="shared" si="28"/>
        <v>1</v>
      </c>
      <c r="S1819" s="33">
        <f>IF(COUNTIF(O$2:O1819,O1819)=1,R1819,0)/2.5</f>
        <v>0.4</v>
      </c>
    </row>
    <row r="1820" spans="1:19" ht="18" customHeight="1" x14ac:dyDescent="0.25">
      <c r="A1820" s="7" t="s">
        <v>43</v>
      </c>
      <c r="B1820" s="8">
        <v>1</v>
      </c>
      <c r="C1820" s="9">
        <v>346.32</v>
      </c>
      <c r="D1820" s="29">
        <f>C1820+IF(INDEX('Справочник по %'!B:B,(MATCH(A1820,'Справочник по %'!A:A,0)))="кол-во",B1820*INDEX('Справочник по %'!C:C,(MATCH(A1820,'Справочник по %'!A:A,0))),ОТЧЕТ!C1820*INDEX('Справочник по %'!C:C,(MATCH(A1820,'Справочник по %'!A:A,0))))/100</f>
        <v>380.952</v>
      </c>
      <c r="E1820" s="29">
        <f>IF(ОТЧЕТ!A1820="SKU3",C1820+ОТЧЕТ!C1820*0.2,C1820+ОТЧЕТ!C1820*0.15)</f>
        <v>398.26799999999997</v>
      </c>
      <c r="F1820" s="7" t="s">
        <v>3721</v>
      </c>
      <c r="G1820" s="7">
        <v>5038049773</v>
      </c>
      <c r="H1820" s="20" t="s">
        <v>700</v>
      </c>
      <c r="I1820" s="22">
        <f>INDEX('Справочник Сети'!B:B,(MATCH(G1820,'Справочник Сети'!C:C,0)))</f>
        <v>0</v>
      </c>
      <c r="J1820" s="7" t="s">
        <v>92</v>
      </c>
      <c r="K1820" s="7" t="s">
        <v>172</v>
      </c>
      <c r="L1820" s="7" t="s">
        <v>92</v>
      </c>
      <c r="M1820" s="31">
        <v>45714</v>
      </c>
      <c r="N1820" s="7" t="s">
        <v>3722</v>
      </c>
      <c r="O1820" s="8">
        <v>3332</v>
      </c>
      <c r="P1820" s="24">
        <v>7239</v>
      </c>
      <c r="Q1820" s="22">
        <f>IF(COUNTIFS(A$2:A1820,A1820,I$2:I1820,I1820)=1,1,0)</f>
        <v>0</v>
      </c>
      <c r="R1820" s="22">
        <f t="shared" si="28"/>
        <v>3</v>
      </c>
      <c r="S1820" s="33">
        <f>IF(COUNTIF(O$2:O1820,O1820)=1,R1820,0)/2.5</f>
        <v>1.2</v>
      </c>
    </row>
    <row r="1821" spans="1:19" ht="18" customHeight="1" x14ac:dyDescent="0.25">
      <c r="A1821" s="7" t="s">
        <v>43</v>
      </c>
      <c r="B1821" s="8">
        <v>1</v>
      </c>
      <c r="C1821" s="9">
        <v>392</v>
      </c>
      <c r="D1821" s="29">
        <f>C1821+IF(INDEX('Справочник по %'!B:B,(MATCH(A1821,'Справочник по %'!A:A,0)))="кол-во",B1821*INDEX('Справочник по %'!C:C,(MATCH(A1821,'Справочник по %'!A:A,0))),ОТЧЕТ!C1821*INDEX('Справочник по %'!C:C,(MATCH(A1821,'Справочник по %'!A:A,0))))/100</f>
        <v>431.2</v>
      </c>
      <c r="E1821" s="29">
        <f>IF(ОТЧЕТ!A1821="SKU3",C1821+ОТЧЕТ!C1821*0.2,C1821+ОТЧЕТ!C1821*0.15)</f>
        <v>450.8</v>
      </c>
      <c r="F1821" s="7" t="s">
        <v>3721</v>
      </c>
      <c r="G1821" s="7">
        <v>7731334851</v>
      </c>
      <c r="H1821" s="20" t="s">
        <v>1168</v>
      </c>
      <c r="I1821" s="22" t="str">
        <f>INDEX('Справочник Сети'!B:B,(MATCH(G1821,'Справочник Сети'!C:C,0)))</f>
        <v>Планета здоровья</v>
      </c>
      <c r="J1821" s="7" t="s">
        <v>142</v>
      </c>
      <c r="K1821" s="7" t="s">
        <v>1407</v>
      </c>
      <c r="L1821" s="7" t="s">
        <v>142</v>
      </c>
      <c r="M1821" s="31">
        <v>45674</v>
      </c>
      <c r="N1821" s="7" t="s">
        <v>3723</v>
      </c>
      <c r="O1821" s="8">
        <v>2200</v>
      </c>
      <c r="P1821" s="24">
        <v>7240</v>
      </c>
      <c r="Q1821" s="22">
        <f>IF(COUNTIFS(A$2:A1821,A1821,I$2:I1821,I1821)=1,1,0)</f>
        <v>0</v>
      </c>
      <c r="R1821" s="22">
        <f t="shared" si="28"/>
        <v>5</v>
      </c>
      <c r="S1821" s="33">
        <f>IF(COUNTIF(O$2:O1821,O1821)=1,R1821,0)/2.5</f>
        <v>0</v>
      </c>
    </row>
    <row r="1822" spans="1:19" ht="18" customHeight="1" x14ac:dyDescent="0.25">
      <c r="A1822" s="7" t="s">
        <v>43</v>
      </c>
      <c r="B1822" s="8">
        <v>1</v>
      </c>
      <c r="C1822" s="9">
        <v>526</v>
      </c>
      <c r="D1822" s="29">
        <f>C1822+IF(INDEX('Справочник по %'!B:B,(MATCH(A1822,'Справочник по %'!A:A,0)))="кол-во",B1822*INDEX('Справочник по %'!C:C,(MATCH(A1822,'Справочник по %'!A:A,0))),ОТЧЕТ!C1822*INDEX('Справочник по %'!C:C,(MATCH(A1822,'Справочник по %'!A:A,0))))/100</f>
        <v>578.6</v>
      </c>
      <c r="E1822" s="29">
        <f>IF(ОТЧЕТ!A1822="SKU3",C1822+ОТЧЕТ!C1822*0.2,C1822+ОТЧЕТ!C1822*0.15)</f>
        <v>604.9</v>
      </c>
      <c r="F1822" s="7" t="s">
        <v>3724</v>
      </c>
      <c r="G1822" s="7">
        <v>5260408672</v>
      </c>
      <c r="H1822" s="20" t="s">
        <v>50</v>
      </c>
      <c r="I1822" s="22">
        <f>INDEX('Справочник Сети'!B:B,(MATCH(G1822,'Справочник Сети'!C:C,0)))</f>
        <v>0</v>
      </c>
      <c r="J1822" s="7" t="s">
        <v>92</v>
      </c>
      <c r="K1822" s="7" t="s">
        <v>762</v>
      </c>
      <c r="L1822" s="7" t="s">
        <v>92</v>
      </c>
      <c r="M1822" s="31">
        <v>45714</v>
      </c>
      <c r="N1822" s="7" t="s">
        <v>3725</v>
      </c>
      <c r="O1822" s="8">
        <v>2271</v>
      </c>
      <c r="P1822" s="24">
        <v>7244</v>
      </c>
      <c r="Q1822" s="22">
        <f>IF(COUNTIFS(A$2:A1822,A1822,I$2:I1822,I1822)=1,1,0)</f>
        <v>0</v>
      </c>
      <c r="R1822" s="22">
        <f t="shared" si="28"/>
        <v>2</v>
      </c>
      <c r="S1822" s="33">
        <f>IF(COUNTIF(O$2:O1822,O1822)=1,R1822,0)/2.5</f>
        <v>0.8</v>
      </c>
    </row>
    <row r="1823" spans="1:19" ht="18" customHeight="1" x14ac:dyDescent="0.25">
      <c r="A1823" s="7" t="s">
        <v>43</v>
      </c>
      <c r="B1823" s="8">
        <v>1</v>
      </c>
      <c r="C1823" s="9">
        <v>386</v>
      </c>
      <c r="D1823" s="29">
        <f>C1823+IF(INDEX('Справочник по %'!B:B,(MATCH(A1823,'Справочник по %'!A:A,0)))="кол-во",B1823*INDEX('Справочник по %'!C:C,(MATCH(A1823,'Справочник по %'!A:A,0))),ОТЧЕТ!C1823*INDEX('Справочник по %'!C:C,(MATCH(A1823,'Справочник по %'!A:A,0))))/100</f>
        <v>424.6</v>
      </c>
      <c r="E1823" s="29">
        <f>IF(ОТЧЕТ!A1823="SKU3",C1823+ОТЧЕТ!C1823*0.2,C1823+ОТЧЕТ!C1823*0.15)</f>
        <v>443.9</v>
      </c>
      <c r="F1823" s="7" t="s">
        <v>3724</v>
      </c>
      <c r="G1823" s="7">
        <v>7731334851</v>
      </c>
      <c r="H1823" s="20" t="s">
        <v>3726</v>
      </c>
      <c r="I1823" s="22" t="str">
        <f>INDEX('Справочник Сети'!B:B,(MATCH(G1823,'Справочник Сети'!C:C,0)))</f>
        <v>Планета здоровья</v>
      </c>
      <c r="J1823" s="7" t="s">
        <v>142</v>
      </c>
      <c r="K1823" s="7" t="s">
        <v>821</v>
      </c>
      <c r="L1823" s="7" t="s">
        <v>142</v>
      </c>
      <c r="M1823" s="31">
        <v>45674</v>
      </c>
      <c r="N1823" s="7" t="s">
        <v>3727</v>
      </c>
      <c r="O1823" s="8">
        <v>2691</v>
      </c>
      <c r="P1823" s="24">
        <v>7245</v>
      </c>
      <c r="Q1823" s="22">
        <f>IF(COUNTIFS(A$2:A1823,A1823,I$2:I1823,I1823)=1,1,0)</f>
        <v>0</v>
      </c>
      <c r="R1823" s="22">
        <f t="shared" si="28"/>
        <v>1</v>
      </c>
      <c r="S1823" s="33">
        <f>IF(COUNTIF(O$2:O1823,O1823)=1,R1823,0)/2.5</f>
        <v>0.4</v>
      </c>
    </row>
    <row r="1824" spans="1:19" ht="18" customHeight="1" x14ac:dyDescent="0.25">
      <c r="A1824" s="7" t="s">
        <v>43</v>
      </c>
      <c r="B1824" s="8">
        <v>1</v>
      </c>
      <c r="C1824" s="9">
        <v>434</v>
      </c>
      <c r="D1824" s="29">
        <f>C1824+IF(INDEX('Справочник по %'!B:B,(MATCH(A1824,'Справочник по %'!A:A,0)))="кол-во",B1824*INDEX('Справочник по %'!C:C,(MATCH(A1824,'Справочник по %'!A:A,0))),ОТЧЕТ!C1824*INDEX('Справочник по %'!C:C,(MATCH(A1824,'Справочник по %'!A:A,0))))/100</f>
        <v>477.4</v>
      </c>
      <c r="E1824" s="29">
        <f>IF(ОТЧЕТ!A1824="SKU3",C1824+ОТЧЕТ!C1824*0.2,C1824+ОТЧЕТ!C1824*0.15)</f>
        <v>499.1</v>
      </c>
      <c r="F1824" s="7" t="s">
        <v>3728</v>
      </c>
      <c r="G1824" s="7">
        <v>2310052764</v>
      </c>
      <c r="H1824" s="20" t="s">
        <v>1575</v>
      </c>
      <c r="I1824" s="22" t="str">
        <f>INDEX('Справочник Сети'!B:B,(MATCH(G1824,'Справочник Сети'!C:C,0)))</f>
        <v>Планета здоровья</v>
      </c>
      <c r="J1824" s="7" t="s">
        <v>57</v>
      </c>
      <c r="K1824" s="7" t="s">
        <v>762</v>
      </c>
      <c r="L1824" s="7" t="s">
        <v>57</v>
      </c>
      <c r="M1824" s="31">
        <v>45729</v>
      </c>
      <c r="N1824" s="7" t="s">
        <v>3729</v>
      </c>
      <c r="O1824" s="8">
        <v>3458</v>
      </c>
      <c r="P1824" s="24">
        <v>7249</v>
      </c>
      <c r="Q1824" s="22">
        <f>IF(COUNTIFS(A$2:A1824,A1824,I$2:I1824,I1824)=1,1,0)</f>
        <v>0</v>
      </c>
      <c r="R1824" s="22">
        <f t="shared" si="28"/>
        <v>4</v>
      </c>
      <c r="S1824" s="33">
        <f>IF(COUNTIF(O$2:O1824,O1824)=1,R1824,0)/2.5</f>
        <v>0</v>
      </c>
    </row>
    <row r="1825" spans="1:19" ht="18" customHeight="1" x14ac:dyDescent="0.25">
      <c r="A1825" s="7" t="s">
        <v>43</v>
      </c>
      <c r="B1825" s="8">
        <v>1</v>
      </c>
      <c r="C1825" s="9">
        <v>450</v>
      </c>
      <c r="D1825" s="29">
        <f>C1825+IF(INDEX('Справочник по %'!B:B,(MATCH(A1825,'Справочник по %'!A:A,0)))="кол-во",B1825*INDEX('Справочник по %'!C:C,(MATCH(A1825,'Справочник по %'!A:A,0))),ОТЧЕТ!C1825*INDEX('Справочник по %'!C:C,(MATCH(A1825,'Справочник по %'!A:A,0))))/100</f>
        <v>495</v>
      </c>
      <c r="E1825" s="29">
        <f>IF(ОТЧЕТ!A1825="SKU3",C1825+ОТЧЕТ!C1825*0.2,C1825+ОТЧЕТ!C1825*0.15)</f>
        <v>517.5</v>
      </c>
      <c r="F1825" s="7" t="s">
        <v>3728</v>
      </c>
      <c r="G1825" s="7">
        <v>462901346416</v>
      </c>
      <c r="H1825" s="20" t="s">
        <v>50</v>
      </c>
      <c r="I1825" s="22" t="str">
        <f>INDEX('Справочник Сети'!B:B,(MATCH(G1825,'Справочник Сети'!C:C,0)))</f>
        <v>Планета здоровья</v>
      </c>
      <c r="J1825" s="7" t="s">
        <v>110</v>
      </c>
      <c r="K1825" s="7" t="s">
        <v>2456</v>
      </c>
      <c r="L1825" s="7" t="s">
        <v>110</v>
      </c>
      <c r="M1825" s="31">
        <v>45660</v>
      </c>
      <c r="N1825" s="7" t="s">
        <v>3730</v>
      </c>
      <c r="O1825" s="8">
        <v>212</v>
      </c>
      <c r="P1825" s="24">
        <v>7250</v>
      </c>
      <c r="Q1825" s="22">
        <f>IF(COUNTIFS(A$2:A1825,A1825,I$2:I1825,I1825)=1,1,0)</f>
        <v>0</v>
      </c>
      <c r="R1825" s="22">
        <f t="shared" si="28"/>
        <v>3</v>
      </c>
      <c r="S1825" s="33">
        <f>IF(COUNTIF(O$2:O1825,O1825)=1,R1825,0)/2.5</f>
        <v>0</v>
      </c>
    </row>
    <row r="1826" spans="1:19" ht="18" customHeight="1" x14ac:dyDescent="0.25">
      <c r="A1826" s="7" t="s">
        <v>43</v>
      </c>
      <c r="B1826" s="8">
        <v>1</v>
      </c>
      <c r="C1826" s="9">
        <v>349</v>
      </c>
      <c r="D1826" s="29">
        <f>C1826+IF(INDEX('Справочник по %'!B:B,(MATCH(A1826,'Справочник по %'!A:A,0)))="кол-во",B1826*INDEX('Справочник по %'!C:C,(MATCH(A1826,'Справочник по %'!A:A,0))),ОТЧЕТ!C1826*INDEX('Справочник по %'!C:C,(MATCH(A1826,'Справочник по %'!A:A,0))))/100</f>
        <v>383.9</v>
      </c>
      <c r="E1826" s="29">
        <f>IF(ОТЧЕТ!A1826="SKU3",C1826+ОТЧЕТ!C1826*0.2,C1826+ОТЧЕТ!C1826*0.15)</f>
        <v>401.35</v>
      </c>
      <c r="F1826" s="7" t="s">
        <v>3728</v>
      </c>
      <c r="G1826" s="7">
        <v>2310174811</v>
      </c>
      <c r="H1826" s="20" t="s">
        <v>50</v>
      </c>
      <c r="I1826" s="22" t="str">
        <f>INDEX('Справочник Сети'!B:B,(MATCH(G1826,'Справочник Сети'!C:C,0)))</f>
        <v>Нео-фарм</v>
      </c>
      <c r="J1826" s="7" t="s">
        <v>57</v>
      </c>
      <c r="K1826" s="7" t="s">
        <v>1077</v>
      </c>
      <c r="L1826" s="7" t="s">
        <v>57</v>
      </c>
      <c r="M1826" s="31">
        <v>45729</v>
      </c>
      <c r="N1826" s="7" t="s">
        <v>3731</v>
      </c>
      <c r="O1826" s="8">
        <v>3245</v>
      </c>
      <c r="P1826" s="24">
        <v>7255</v>
      </c>
      <c r="Q1826" s="22">
        <f>IF(COUNTIFS(A$2:A1826,A1826,I$2:I1826,I1826)=1,1,0)</f>
        <v>0</v>
      </c>
      <c r="R1826" s="22">
        <f t="shared" si="28"/>
        <v>2</v>
      </c>
      <c r="S1826" s="33">
        <f>IF(COUNTIF(O$2:O1826,O1826)=1,R1826,0)/2.5</f>
        <v>0.8</v>
      </c>
    </row>
    <row r="1827" spans="1:19" ht="18" customHeight="1" x14ac:dyDescent="0.25">
      <c r="A1827" s="7" t="s">
        <v>43</v>
      </c>
      <c r="B1827" s="8">
        <v>1</v>
      </c>
      <c r="C1827" s="9">
        <v>329</v>
      </c>
      <c r="D1827" s="29">
        <f>C1827+IF(INDEX('Справочник по %'!B:B,(MATCH(A1827,'Справочник по %'!A:A,0)))="кол-во",B1827*INDEX('Справочник по %'!C:C,(MATCH(A1827,'Справочник по %'!A:A,0))),ОТЧЕТ!C1827*INDEX('Справочник по %'!C:C,(MATCH(A1827,'Справочник по %'!A:A,0))))/100</f>
        <v>361.9</v>
      </c>
      <c r="E1827" s="29">
        <f>IF(ОТЧЕТ!A1827="SKU3",C1827+ОТЧЕТ!C1827*0.2,C1827+ОТЧЕТ!C1827*0.15)</f>
        <v>378.35</v>
      </c>
      <c r="F1827" s="7" t="s">
        <v>3728</v>
      </c>
      <c r="G1827" s="7">
        <v>2310174811</v>
      </c>
      <c r="H1827" s="20" t="s">
        <v>50</v>
      </c>
      <c r="I1827" s="22" t="str">
        <f>INDEX('Справочник Сети'!B:B,(MATCH(G1827,'Справочник Сети'!C:C,0)))</f>
        <v>Нео-фарм</v>
      </c>
      <c r="J1827" s="7" t="s">
        <v>57</v>
      </c>
      <c r="K1827" s="7" t="s">
        <v>3688</v>
      </c>
      <c r="L1827" s="7" t="s">
        <v>57</v>
      </c>
      <c r="M1827" s="31">
        <v>45729</v>
      </c>
      <c r="N1827" s="7" t="s">
        <v>3732</v>
      </c>
      <c r="O1827" s="8">
        <v>3245</v>
      </c>
      <c r="P1827" s="24">
        <v>7257</v>
      </c>
      <c r="Q1827" s="22">
        <f>IF(COUNTIFS(A$2:A1827,A1827,I$2:I1827,I1827)=1,1,0)</f>
        <v>0</v>
      </c>
      <c r="R1827" s="22">
        <f t="shared" si="28"/>
        <v>2</v>
      </c>
      <c r="S1827" s="33">
        <f>IF(COUNTIF(O$2:O1827,O1827)=1,R1827,0)/2.5</f>
        <v>0</v>
      </c>
    </row>
    <row r="1828" spans="1:19" ht="18" customHeight="1" x14ac:dyDescent="0.25">
      <c r="A1828" s="7" t="s">
        <v>43</v>
      </c>
      <c r="B1828" s="8">
        <v>1</v>
      </c>
      <c r="C1828" s="9">
        <v>400</v>
      </c>
      <c r="D1828" s="29">
        <f>C1828+IF(INDEX('Справочник по %'!B:B,(MATCH(A1828,'Справочник по %'!A:A,0)))="кол-во",B1828*INDEX('Справочник по %'!C:C,(MATCH(A1828,'Справочник по %'!A:A,0))),ОТЧЕТ!C1828*INDEX('Справочник по %'!C:C,(MATCH(A1828,'Справочник по %'!A:A,0))))/100</f>
        <v>440</v>
      </c>
      <c r="E1828" s="29">
        <f>IF(ОТЧЕТ!A1828="SKU3",C1828+ОТЧЕТ!C1828*0.2,C1828+ОТЧЕТ!C1828*0.15)</f>
        <v>460</v>
      </c>
      <c r="F1828" s="7" t="s">
        <v>3728</v>
      </c>
      <c r="G1828" s="7">
        <v>7732121736</v>
      </c>
      <c r="H1828" s="20" t="s">
        <v>1035</v>
      </c>
      <c r="I1828" s="22" t="str">
        <f>INDEX('Справочник Сети'!B:B,(MATCH(G1828,'Справочник Сети'!C:C,0)))</f>
        <v>Планета здоровья</v>
      </c>
      <c r="J1828" s="7" t="s">
        <v>149</v>
      </c>
      <c r="K1828" s="7" t="s">
        <v>252</v>
      </c>
      <c r="L1828" s="7" t="s">
        <v>149</v>
      </c>
      <c r="M1828" s="31">
        <v>45673</v>
      </c>
      <c r="N1828" s="7" t="s">
        <v>3733</v>
      </c>
      <c r="O1828" s="8">
        <v>1091</v>
      </c>
      <c r="P1828" s="24">
        <v>7259</v>
      </c>
      <c r="Q1828" s="22">
        <f>IF(COUNTIFS(A$2:A1828,A1828,I$2:I1828,I1828)=1,1,0)</f>
        <v>0</v>
      </c>
      <c r="R1828" s="22">
        <f t="shared" si="28"/>
        <v>5</v>
      </c>
      <c r="S1828" s="33">
        <f>IF(COUNTIF(O$2:O1828,O1828)=1,R1828,0)/2.5</f>
        <v>0</v>
      </c>
    </row>
    <row r="1829" spans="1:19" ht="18" customHeight="1" x14ac:dyDescent="0.25">
      <c r="A1829" s="7" t="s">
        <v>43</v>
      </c>
      <c r="B1829" s="8">
        <v>1</v>
      </c>
      <c r="C1829" s="9">
        <v>460</v>
      </c>
      <c r="D1829" s="29">
        <f>C1829+IF(INDEX('Справочник по %'!B:B,(MATCH(A1829,'Справочник по %'!A:A,0)))="кол-во",B1829*INDEX('Справочник по %'!C:C,(MATCH(A1829,'Справочник по %'!A:A,0))),ОТЧЕТ!C1829*INDEX('Справочник по %'!C:C,(MATCH(A1829,'Справочник по %'!A:A,0))))/100</f>
        <v>506</v>
      </c>
      <c r="E1829" s="29">
        <f>IF(ОТЧЕТ!A1829="SKU3",C1829+ОТЧЕТ!C1829*0.2,C1829+ОТЧЕТ!C1829*0.15)</f>
        <v>529</v>
      </c>
      <c r="F1829" s="7" t="s">
        <v>3734</v>
      </c>
      <c r="G1829" s="7">
        <v>5257110237</v>
      </c>
      <c r="H1829" s="20" t="s">
        <v>69</v>
      </c>
      <c r="I1829" s="22">
        <f>INDEX('Справочник Сети'!B:B,(MATCH(G1829,'Справочник Сети'!C:C,0)))</f>
        <v>0</v>
      </c>
      <c r="J1829" s="7" t="s">
        <v>92</v>
      </c>
      <c r="K1829" s="7" t="s">
        <v>565</v>
      </c>
      <c r="L1829" s="7" t="s">
        <v>92</v>
      </c>
      <c r="M1829" s="31">
        <v>45714</v>
      </c>
      <c r="N1829" s="7" t="s">
        <v>3735</v>
      </c>
      <c r="O1829" s="8">
        <v>1568</v>
      </c>
      <c r="P1829" s="24">
        <v>7263</v>
      </c>
      <c r="Q1829" s="22">
        <f>IF(COUNTIFS(A$2:A1829,A1829,I$2:I1829,I1829)=1,1,0)</f>
        <v>0</v>
      </c>
      <c r="R1829" s="22">
        <f t="shared" si="28"/>
        <v>2</v>
      </c>
      <c r="S1829" s="33">
        <f>IF(COUNTIF(O$2:O1829,O1829)=1,R1829,0)/2.5</f>
        <v>0</v>
      </c>
    </row>
    <row r="1830" spans="1:19" ht="18" customHeight="1" x14ac:dyDescent="0.25">
      <c r="A1830" s="7" t="s">
        <v>43</v>
      </c>
      <c r="B1830" s="8">
        <v>1</v>
      </c>
      <c r="C1830" s="9">
        <v>500</v>
      </c>
      <c r="D1830" s="29">
        <f>C1830+IF(INDEX('Справочник по %'!B:B,(MATCH(A1830,'Справочник по %'!A:A,0)))="кол-во",B1830*INDEX('Справочник по %'!C:C,(MATCH(A1830,'Справочник по %'!A:A,0))),ОТЧЕТ!C1830*INDEX('Справочник по %'!C:C,(MATCH(A1830,'Справочник по %'!A:A,0))))/100</f>
        <v>550</v>
      </c>
      <c r="E1830" s="29">
        <f>IF(ОТЧЕТ!A1830="SKU3",C1830+ОТЧЕТ!C1830*0.2,C1830+ОТЧЕТ!C1830*0.15)</f>
        <v>575</v>
      </c>
      <c r="F1830" s="7" t="s">
        <v>3734</v>
      </c>
      <c r="G1830" s="7">
        <v>4632170357</v>
      </c>
      <c r="H1830" s="20" t="s">
        <v>153</v>
      </c>
      <c r="I1830" s="22" t="str">
        <f>INDEX('Справочник Сети'!B:B,(MATCH(G1830,'Справочник Сети'!C:C,0)))</f>
        <v>Столички</v>
      </c>
      <c r="J1830" s="7" t="s">
        <v>83</v>
      </c>
      <c r="K1830" s="7" t="s">
        <v>252</v>
      </c>
      <c r="L1830" s="7" t="s">
        <v>155</v>
      </c>
      <c r="M1830" s="31">
        <v>45716</v>
      </c>
      <c r="N1830" s="7" t="s">
        <v>3736</v>
      </c>
      <c r="O1830" s="8">
        <v>163</v>
      </c>
      <c r="P1830" s="24">
        <v>7264</v>
      </c>
      <c r="Q1830" s="22">
        <f>IF(COUNTIFS(A$2:A1830,A1830,I$2:I1830,I1830)=1,1,0)</f>
        <v>0</v>
      </c>
      <c r="R1830" s="22">
        <f t="shared" si="28"/>
        <v>5</v>
      </c>
      <c r="S1830" s="33">
        <f>IF(COUNTIF(O$2:O1830,O1830)=1,R1830,0)/2.5</f>
        <v>0</v>
      </c>
    </row>
    <row r="1831" spans="1:19" ht="18" customHeight="1" x14ac:dyDescent="0.25">
      <c r="A1831" s="7" t="s">
        <v>43</v>
      </c>
      <c r="B1831" s="8">
        <v>1</v>
      </c>
      <c r="C1831" s="9">
        <v>552</v>
      </c>
      <c r="D1831" s="29">
        <f>C1831+IF(INDEX('Справочник по %'!B:B,(MATCH(A1831,'Справочник по %'!A:A,0)))="кол-во",B1831*INDEX('Справочник по %'!C:C,(MATCH(A1831,'Справочник по %'!A:A,0))),ОТЧЕТ!C1831*INDEX('Справочник по %'!C:C,(MATCH(A1831,'Справочник по %'!A:A,0))))/100</f>
        <v>607.20000000000005</v>
      </c>
      <c r="E1831" s="29">
        <f>IF(ОТЧЕТ!A1831="SKU3",C1831+ОТЧЕТ!C1831*0.2,C1831+ОТЧЕТ!C1831*0.15)</f>
        <v>634.79999999999995</v>
      </c>
      <c r="F1831" s="7" t="s">
        <v>3737</v>
      </c>
      <c r="G1831" s="7">
        <v>7709068298</v>
      </c>
      <c r="H1831" s="20" t="s">
        <v>3738</v>
      </c>
      <c r="I1831" s="22" t="str">
        <f>INDEX('Справочник Сети'!B:B,(MATCH(G1831,'Справочник Сети'!C:C,0)))</f>
        <v>36,6</v>
      </c>
      <c r="J1831" s="7" t="s">
        <v>504</v>
      </c>
      <c r="K1831" s="7" t="s">
        <v>647</v>
      </c>
      <c r="L1831" s="7" t="s">
        <v>504</v>
      </c>
      <c r="M1831" s="31">
        <v>45690</v>
      </c>
      <c r="N1831" s="7" t="s">
        <v>3739</v>
      </c>
      <c r="O1831" s="8">
        <v>129</v>
      </c>
      <c r="P1831" s="24">
        <v>7268</v>
      </c>
      <c r="Q1831" s="22">
        <f>IF(COUNTIFS(A$2:A1831,A1831,I$2:I1831,I1831)=1,1,0)</f>
        <v>0</v>
      </c>
      <c r="R1831" s="22">
        <f t="shared" si="28"/>
        <v>1</v>
      </c>
      <c r="S1831" s="33">
        <f>IF(COUNTIF(O$2:O1831,O1831)=1,R1831,0)/2.5</f>
        <v>0.4</v>
      </c>
    </row>
    <row r="1832" spans="1:19" ht="18" customHeight="1" x14ac:dyDescent="0.25">
      <c r="A1832" s="7" t="s">
        <v>43</v>
      </c>
      <c r="B1832" s="8">
        <v>1</v>
      </c>
      <c r="C1832" s="9">
        <v>430</v>
      </c>
      <c r="D1832" s="29">
        <f>C1832+IF(INDEX('Справочник по %'!B:B,(MATCH(A1832,'Справочник по %'!A:A,0)))="кол-во",B1832*INDEX('Справочник по %'!C:C,(MATCH(A1832,'Справочник по %'!A:A,0))),ОТЧЕТ!C1832*INDEX('Справочник по %'!C:C,(MATCH(A1832,'Справочник по %'!A:A,0))))/100</f>
        <v>473</v>
      </c>
      <c r="E1832" s="29">
        <f>IF(ОТЧЕТ!A1832="SKU3",C1832+ОТЧЕТ!C1832*0.2,C1832+ОТЧЕТ!C1832*0.15)</f>
        <v>494.5</v>
      </c>
      <c r="F1832" s="7" t="s">
        <v>3737</v>
      </c>
      <c r="G1832" s="7">
        <v>312825165467</v>
      </c>
      <c r="H1832" s="20" t="s">
        <v>1778</v>
      </c>
      <c r="I1832" s="22">
        <f>INDEX('Справочник Сети'!B:B,(MATCH(G1832,'Справочник Сети'!C:C,0)))</f>
        <v>0</v>
      </c>
      <c r="J1832" s="7" t="s">
        <v>110</v>
      </c>
      <c r="K1832" s="7" t="s">
        <v>781</v>
      </c>
      <c r="L1832" s="7" t="s">
        <v>110</v>
      </c>
      <c r="M1832" s="31">
        <v>45660</v>
      </c>
      <c r="N1832" s="7" t="s">
        <v>3740</v>
      </c>
      <c r="O1832" s="8">
        <v>136</v>
      </c>
      <c r="P1832" s="24">
        <v>7269</v>
      </c>
      <c r="Q1832" s="22">
        <f>IF(COUNTIFS(A$2:A1832,A1832,I$2:I1832,I1832)=1,1,0)</f>
        <v>0</v>
      </c>
      <c r="R1832" s="22">
        <f t="shared" si="28"/>
        <v>3</v>
      </c>
      <c r="S1832" s="33">
        <f>IF(COUNTIF(O$2:O1832,O1832)=1,R1832,0)/2.5</f>
        <v>1.2</v>
      </c>
    </row>
    <row r="1833" spans="1:19" ht="18" customHeight="1" x14ac:dyDescent="0.25">
      <c r="A1833" s="7" t="s">
        <v>43</v>
      </c>
      <c r="B1833" s="8">
        <v>1</v>
      </c>
      <c r="C1833" s="9">
        <v>412</v>
      </c>
      <c r="D1833" s="29">
        <f>C1833+IF(INDEX('Справочник по %'!B:B,(MATCH(A1833,'Справочник по %'!A:A,0)))="кол-во",B1833*INDEX('Справочник по %'!C:C,(MATCH(A1833,'Справочник по %'!A:A,0))),ОТЧЕТ!C1833*INDEX('Справочник по %'!C:C,(MATCH(A1833,'Справочник по %'!A:A,0))))/100</f>
        <v>453.2</v>
      </c>
      <c r="E1833" s="29">
        <f>IF(ОТЧЕТ!A1833="SKU3",C1833+ОТЧЕТ!C1833*0.2,C1833+ОТЧЕТ!C1833*0.15)</f>
        <v>473.8</v>
      </c>
      <c r="F1833" s="7" t="s">
        <v>3741</v>
      </c>
      <c r="G1833" s="7">
        <v>2310096546</v>
      </c>
      <c r="H1833" s="20" t="s">
        <v>69</v>
      </c>
      <c r="I1833" s="22" t="str">
        <f>INDEX('Справочник Сети'!B:B,(MATCH(G1833,'Справочник Сети'!C:C,0)))</f>
        <v>36,6</v>
      </c>
      <c r="J1833" s="7" t="s">
        <v>57</v>
      </c>
      <c r="K1833" s="7" t="s">
        <v>244</v>
      </c>
      <c r="L1833" s="7" t="s">
        <v>57</v>
      </c>
      <c r="M1833" s="31">
        <v>45729</v>
      </c>
      <c r="N1833" s="7" t="s">
        <v>3742</v>
      </c>
      <c r="O1833" s="8">
        <v>779</v>
      </c>
      <c r="P1833" s="24">
        <v>7271</v>
      </c>
      <c r="Q1833" s="22">
        <f>IF(COUNTIFS(A$2:A1833,A1833,I$2:I1833,I1833)=1,1,0)</f>
        <v>0</v>
      </c>
      <c r="R1833" s="22">
        <f t="shared" si="28"/>
        <v>3</v>
      </c>
      <c r="S1833" s="33">
        <f>IF(COUNTIF(O$2:O1833,O1833)=1,R1833,0)/2.5</f>
        <v>0</v>
      </c>
    </row>
    <row r="1834" spans="1:19" ht="18" customHeight="1" x14ac:dyDescent="0.25">
      <c r="A1834" s="7" t="s">
        <v>43</v>
      </c>
      <c r="B1834" s="8">
        <v>1</v>
      </c>
      <c r="C1834" s="9">
        <v>401</v>
      </c>
      <c r="D1834" s="29">
        <f>C1834+IF(INDEX('Справочник по %'!B:B,(MATCH(A1834,'Справочник по %'!A:A,0)))="кол-во",B1834*INDEX('Справочник по %'!C:C,(MATCH(A1834,'Справочник по %'!A:A,0))),ОТЧЕТ!C1834*INDEX('Справочник по %'!C:C,(MATCH(A1834,'Справочник по %'!A:A,0))))/100</f>
        <v>441.1</v>
      </c>
      <c r="E1834" s="29">
        <f>IF(ОТЧЕТ!A1834="SKU3",C1834+ОТЧЕТ!C1834*0.2,C1834+ОТЧЕТ!C1834*0.15)</f>
        <v>461.15</v>
      </c>
      <c r="F1834" s="7" t="s">
        <v>3743</v>
      </c>
      <c r="G1834" s="7">
        <v>5752042253</v>
      </c>
      <c r="H1834" s="20" t="s">
        <v>50</v>
      </c>
      <c r="I1834" s="22" t="str">
        <f>INDEX('Справочник Сети'!B:B,(MATCH(G1834,'Справочник Сети'!C:C,0)))</f>
        <v>Ригла</v>
      </c>
      <c r="J1834" s="7" t="s">
        <v>40</v>
      </c>
      <c r="K1834" s="7" t="s">
        <v>3277</v>
      </c>
      <c r="L1834" s="7" t="s">
        <v>255</v>
      </c>
      <c r="M1834" s="31">
        <v>45713</v>
      </c>
      <c r="N1834" s="7" t="s">
        <v>3744</v>
      </c>
      <c r="O1834" s="8">
        <v>3584</v>
      </c>
      <c r="P1834" s="24">
        <v>7273</v>
      </c>
      <c r="Q1834" s="22">
        <f>IF(COUNTIFS(A$2:A1834,A1834,I$2:I1834,I1834)=1,1,0)</f>
        <v>0</v>
      </c>
      <c r="R1834" s="22">
        <f t="shared" si="28"/>
        <v>5</v>
      </c>
      <c r="S1834" s="33">
        <f>IF(COUNTIF(O$2:O1834,O1834)=1,R1834,0)/2.5</f>
        <v>0</v>
      </c>
    </row>
    <row r="1835" spans="1:19" ht="18" customHeight="1" x14ac:dyDescent="0.25">
      <c r="A1835" s="7" t="s">
        <v>43</v>
      </c>
      <c r="B1835" s="8">
        <v>1</v>
      </c>
      <c r="C1835" s="9">
        <v>439.66</v>
      </c>
      <c r="D1835" s="29">
        <f>C1835+IF(INDEX('Справочник по %'!B:B,(MATCH(A1835,'Справочник по %'!A:A,0)))="кол-во",B1835*INDEX('Справочник по %'!C:C,(MATCH(A1835,'Справочник по %'!A:A,0))),ОТЧЕТ!C1835*INDEX('Справочник по %'!C:C,(MATCH(A1835,'Справочник по %'!A:A,0))))/100</f>
        <v>483.62600000000003</v>
      </c>
      <c r="E1835" s="29">
        <f>IF(ОТЧЕТ!A1835="SKU3",C1835+ОТЧЕТ!C1835*0.2,C1835+ОТЧЕТ!C1835*0.15)</f>
        <v>505.60900000000004</v>
      </c>
      <c r="F1835" s="7" t="s">
        <v>3745</v>
      </c>
      <c r="G1835" s="7">
        <v>7203539016</v>
      </c>
      <c r="H1835" s="20" t="s">
        <v>50</v>
      </c>
      <c r="I1835" s="22">
        <f>INDEX('Справочник Сети'!B:B,(MATCH(G1835,'Справочник Сети'!C:C,0)))</f>
        <v>0</v>
      </c>
      <c r="J1835" s="7" t="s">
        <v>104</v>
      </c>
      <c r="K1835" s="7" t="s">
        <v>2141</v>
      </c>
      <c r="L1835" s="7" t="s">
        <v>106</v>
      </c>
      <c r="M1835" s="31">
        <v>45694</v>
      </c>
      <c r="N1835" s="7" t="s">
        <v>3746</v>
      </c>
      <c r="O1835" s="8">
        <v>3023</v>
      </c>
      <c r="P1835" s="24">
        <v>7295</v>
      </c>
      <c r="Q1835" s="22">
        <f>IF(COUNTIFS(A$2:A1835,A1835,I$2:I1835,I1835)=1,1,0)</f>
        <v>0</v>
      </c>
      <c r="R1835" s="22">
        <f t="shared" si="28"/>
        <v>3</v>
      </c>
      <c r="S1835" s="33">
        <f>IF(COUNTIF(O$2:O1835,O1835)=1,R1835,0)/2.5</f>
        <v>1.2</v>
      </c>
    </row>
    <row r="1836" spans="1:19" ht="18" customHeight="1" x14ac:dyDescent="0.25">
      <c r="A1836" s="7" t="s">
        <v>43</v>
      </c>
      <c r="B1836" s="8">
        <v>1</v>
      </c>
      <c r="C1836" s="9">
        <v>515</v>
      </c>
      <c r="D1836" s="29">
        <f>C1836+IF(INDEX('Справочник по %'!B:B,(MATCH(A1836,'Справочник по %'!A:A,0)))="кол-во",B1836*INDEX('Справочник по %'!C:C,(MATCH(A1836,'Справочник по %'!A:A,0))),ОТЧЕТ!C1836*INDEX('Справочник по %'!C:C,(MATCH(A1836,'Справочник по %'!A:A,0))))/100</f>
        <v>566.5</v>
      </c>
      <c r="E1836" s="29">
        <f>IF(ОТЧЕТ!A1836="SKU3",C1836+ОТЧЕТ!C1836*0.2,C1836+ОТЧЕТ!C1836*0.15)</f>
        <v>592.25</v>
      </c>
      <c r="F1836" s="7" t="s">
        <v>3745</v>
      </c>
      <c r="G1836" s="7">
        <v>7714844316</v>
      </c>
      <c r="H1836" s="20" t="s">
        <v>50</v>
      </c>
      <c r="I1836" s="22" t="str">
        <f>INDEX('Справочник Сети'!B:B,(MATCH(G1836,'Справочник Сети'!C:C,0)))</f>
        <v>Планета здоровья</v>
      </c>
      <c r="J1836" s="7" t="s">
        <v>504</v>
      </c>
      <c r="K1836" s="7" t="s">
        <v>1868</v>
      </c>
      <c r="L1836" s="7" t="s">
        <v>504</v>
      </c>
      <c r="M1836" s="31">
        <v>45690</v>
      </c>
      <c r="N1836" s="7" t="s">
        <v>3747</v>
      </c>
      <c r="O1836" s="8">
        <v>898</v>
      </c>
      <c r="P1836" s="24">
        <v>7298</v>
      </c>
      <c r="Q1836" s="22">
        <f>IF(COUNTIFS(A$2:A1836,A1836,I$2:I1836,I1836)=1,1,0)</f>
        <v>0</v>
      </c>
      <c r="R1836" s="22">
        <f t="shared" si="28"/>
        <v>3</v>
      </c>
      <c r="S1836" s="33">
        <f>IF(COUNTIF(O$2:O1836,O1836)=1,R1836,0)/2.5</f>
        <v>0</v>
      </c>
    </row>
    <row r="1837" spans="1:19" ht="18" customHeight="1" x14ac:dyDescent="0.25">
      <c r="A1837" s="7" t="s">
        <v>43</v>
      </c>
      <c r="B1837" s="8">
        <v>1</v>
      </c>
      <c r="C1837" s="9">
        <v>461.72</v>
      </c>
      <c r="D1837" s="29">
        <f>C1837+IF(INDEX('Справочник по %'!B:B,(MATCH(A1837,'Справочник по %'!A:A,0)))="кол-во",B1837*INDEX('Справочник по %'!C:C,(MATCH(A1837,'Справочник по %'!A:A,0))),ОТЧЕТ!C1837*INDEX('Справочник по %'!C:C,(MATCH(A1837,'Справочник по %'!A:A,0))))/100</f>
        <v>507.89200000000005</v>
      </c>
      <c r="E1837" s="29">
        <f>IF(ОТЧЕТ!A1837="SKU3",C1837+ОТЧЕТ!C1837*0.2,C1837+ОТЧЕТ!C1837*0.15)</f>
        <v>530.97800000000007</v>
      </c>
      <c r="F1837" s="7" t="s">
        <v>3745</v>
      </c>
      <c r="G1837" s="7">
        <v>7726423062</v>
      </c>
      <c r="H1837" s="20" t="s">
        <v>50</v>
      </c>
      <c r="I1837" s="22" t="str">
        <f>INDEX('Справочник Сети'!B:B,(MATCH(G1837,'Справочник Сети'!C:C,0)))</f>
        <v>Ригла</v>
      </c>
      <c r="J1837" s="7" t="s">
        <v>185</v>
      </c>
      <c r="K1837" s="7" t="s">
        <v>234</v>
      </c>
      <c r="L1837" s="7" t="s">
        <v>185</v>
      </c>
      <c r="M1837" s="31">
        <v>45675</v>
      </c>
      <c r="N1837" s="7" t="s">
        <v>3748</v>
      </c>
      <c r="O1837" s="8">
        <v>32</v>
      </c>
      <c r="P1837" s="24">
        <v>7299</v>
      </c>
      <c r="Q1837" s="22">
        <f>IF(COUNTIFS(A$2:A1837,A1837,I$2:I1837,I1837)=1,1,0)</f>
        <v>0</v>
      </c>
      <c r="R1837" s="22">
        <f t="shared" si="28"/>
        <v>3</v>
      </c>
      <c r="S1837" s="33">
        <f>IF(COUNTIF(O$2:O1837,O1837)=1,R1837,0)/2.5</f>
        <v>0</v>
      </c>
    </row>
    <row r="1838" spans="1:19" ht="18" customHeight="1" x14ac:dyDescent="0.25">
      <c r="A1838" s="7" t="s">
        <v>43</v>
      </c>
      <c r="B1838" s="8">
        <v>1</v>
      </c>
      <c r="C1838" s="9">
        <v>405</v>
      </c>
      <c r="D1838" s="29">
        <f>C1838+IF(INDEX('Справочник по %'!B:B,(MATCH(A1838,'Справочник по %'!A:A,0)))="кол-во",B1838*INDEX('Справочник по %'!C:C,(MATCH(A1838,'Справочник по %'!A:A,0))),ОТЧЕТ!C1838*INDEX('Справочник по %'!C:C,(MATCH(A1838,'Справочник по %'!A:A,0))))/100</f>
        <v>445.5</v>
      </c>
      <c r="E1838" s="29">
        <f>IF(ОТЧЕТ!A1838="SKU3",C1838+ОТЧЕТ!C1838*0.2,C1838+ОТЧЕТ!C1838*0.15)</f>
        <v>465.75</v>
      </c>
      <c r="F1838" s="7" t="s">
        <v>3745</v>
      </c>
      <c r="G1838" s="7">
        <v>7705947629</v>
      </c>
      <c r="H1838" s="20" t="s">
        <v>50</v>
      </c>
      <c r="I1838" s="22" t="str">
        <f>INDEX('Справочник Сети'!B:B,(MATCH(G1838,'Справочник Сети'!C:C,0)))</f>
        <v>36,6</v>
      </c>
      <c r="J1838" s="7" t="s">
        <v>116</v>
      </c>
      <c r="K1838" s="7" t="s">
        <v>805</v>
      </c>
      <c r="L1838" s="7" t="s">
        <v>116</v>
      </c>
      <c r="M1838" s="31">
        <v>45692</v>
      </c>
      <c r="N1838" s="7" t="s">
        <v>3749</v>
      </c>
      <c r="O1838" s="8">
        <v>3663</v>
      </c>
      <c r="P1838" s="24">
        <v>7306</v>
      </c>
      <c r="Q1838" s="22">
        <f>IF(COUNTIFS(A$2:A1838,A1838,I$2:I1838,I1838)=1,1,0)</f>
        <v>0</v>
      </c>
      <c r="R1838" s="22">
        <f t="shared" si="28"/>
        <v>1</v>
      </c>
      <c r="S1838" s="33">
        <f>IF(COUNTIF(O$2:O1838,O1838)=1,R1838,0)/2.5</f>
        <v>0.4</v>
      </c>
    </row>
    <row r="1839" spans="1:19" ht="18" customHeight="1" x14ac:dyDescent="0.25">
      <c r="A1839" s="7" t="s">
        <v>43</v>
      </c>
      <c r="B1839" s="8">
        <v>1</v>
      </c>
      <c r="C1839" s="9">
        <v>450</v>
      </c>
      <c r="D1839" s="29">
        <f>C1839+IF(INDEX('Справочник по %'!B:B,(MATCH(A1839,'Справочник по %'!A:A,0)))="кол-во",B1839*INDEX('Справочник по %'!C:C,(MATCH(A1839,'Справочник по %'!A:A,0))),ОТЧЕТ!C1839*INDEX('Справочник по %'!C:C,(MATCH(A1839,'Справочник по %'!A:A,0))))/100</f>
        <v>495</v>
      </c>
      <c r="E1839" s="29">
        <f>IF(ОТЧЕТ!A1839="SKU3",C1839+ОТЧЕТ!C1839*0.2,C1839+ОТЧЕТ!C1839*0.15)</f>
        <v>517.5</v>
      </c>
      <c r="F1839" s="7" t="s">
        <v>3745</v>
      </c>
      <c r="G1839" s="7">
        <v>7827008961</v>
      </c>
      <c r="H1839" s="20" t="s">
        <v>64</v>
      </c>
      <c r="I1839" s="22" t="str">
        <f>INDEX('Справочник Сети'!B:B,(MATCH(G1839,'Справочник Сети'!C:C,0)))</f>
        <v>Планета здоровья</v>
      </c>
      <c r="J1839" s="7" t="s">
        <v>121</v>
      </c>
      <c r="K1839" s="7" t="s">
        <v>3342</v>
      </c>
      <c r="L1839" s="7" t="s">
        <v>121</v>
      </c>
      <c r="M1839" s="31">
        <v>45671</v>
      </c>
      <c r="N1839" s="7" t="s">
        <v>3750</v>
      </c>
      <c r="O1839" s="8">
        <v>50</v>
      </c>
      <c r="P1839" s="24">
        <v>7307</v>
      </c>
      <c r="Q1839" s="22">
        <f>IF(COUNTIFS(A$2:A1839,A1839,I$2:I1839,I1839)=1,1,0)</f>
        <v>0</v>
      </c>
      <c r="R1839" s="22">
        <f t="shared" si="28"/>
        <v>1</v>
      </c>
      <c r="S1839" s="33">
        <f>IF(COUNTIF(O$2:O1839,O1839)=1,R1839,0)/2.5</f>
        <v>0.4</v>
      </c>
    </row>
    <row r="1840" spans="1:19" ht="18" customHeight="1" x14ac:dyDescent="0.25">
      <c r="A1840" s="7" t="s">
        <v>43</v>
      </c>
      <c r="B1840" s="8">
        <v>1</v>
      </c>
      <c r="C1840" s="9">
        <v>484.5</v>
      </c>
      <c r="D1840" s="29">
        <f>C1840+IF(INDEX('Справочник по %'!B:B,(MATCH(A1840,'Справочник по %'!A:A,0)))="кол-во",B1840*INDEX('Справочник по %'!C:C,(MATCH(A1840,'Справочник по %'!A:A,0))),ОТЧЕТ!C1840*INDEX('Справочник по %'!C:C,(MATCH(A1840,'Справочник по %'!A:A,0))))/100</f>
        <v>532.95000000000005</v>
      </c>
      <c r="E1840" s="29">
        <f>IF(ОТЧЕТ!A1840="SKU3",C1840+ОТЧЕТ!C1840*0.2,C1840+ОТЧЕТ!C1840*0.15)</f>
        <v>557.17499999999995</v>
      </c>
      <c r="F1840" s="7" t="s">
        <v>3745</v>
      </c>
      <c r="G1840" s="7">
        <v>5012079068</v>
      </c>
      <c r="H1840" s="20" t="s">
        <v>50</v>
      </c>
      <c r="I1840" s="22">
        <f>INDEX('Справочник Сети'!B:B,(MATCH(G1840,'Справочник Сети'!C:C,0)))</f>
        <v>0</v>
      </c>
      <c r="J1840" s="7" t="s">
        <v>83</v>
      </c>
      <c r="K1840" s="7" t="s">
        <v>3751</v>
      </c>
      <c r="L1840" s="7" t="s">
        <v>83</v>
      </c>
      <c r="M1840" s="31">
        <v>45715</v>
      </c>
      <c r="N1840" s="7" t="s">
        <v>3752</v>
      </c>
      <c r="O1840" s="8">
        <v>2427</v>
      </c>
      <c r="P1840" s="24">
        <v>7310</v>
      </c>
      <c r="Q1840" s="22">
        <f>IF(COUNTIFS(A$2:A1840,A1840,I$2:I1840,I1840)=1,1,0)</f>
        <v>0</v>
      </c>
      <c r="R1840" s="22">
        <f t="shared" si="28"/>
        <v>2</v>
      </c>
      <c r="S1840" s="33">
        <f>IF(COUNTIF(O$2:O1840,O1840)=1,R1840,0)/2.5</f>
        <v>0</v>
      </c>
    </row>
    <row r="1841" spans="1:19" ht="18" customHeight="1" x14ac:dyDescent="0.25">
      <c r="A1841" s="7" t="s">
        <v>43</v>
      </c>
      <c r="B1841" s="8">
        <v>1</v>
      </c>
      <c r="C1841" s="9">
        <v>397</v>
      </c>
      <c r="D1841" s="29">
        <f>C1841+IF(INDEX('Справочник по %'!B:B,(MATCH(A1841,'Справочник по %'!A:A,0)))="кол-во",B1841*INDEX('Справочник по %'!C:C,(MATCH(A1841,'Справочник по %'!A:A,0))),ОТЧЕТ!C1841*INDEX('Справочник по %'!C:C,(MATCH(A1841,'Справочник по %'!A:A,0))))/100</f>
        <v>436.7</v>
      </c>
      <c r="E1841" s="29">
        <f>IF(ОТЧЕТ!A1841="SKU3",C1841+ОТЧЕТ!C1841*0.2,C1841+ОТЧЕТ!C1841*0.15)</f>
        <v>456.55</v>
      </c>
      <c r="F1841" s="7" t="s">
        <v>3753</v>
      </c>
      <c r="G1841" s="7">
        <v>7732121736</v>
      </c>
      <c r="H1841" s="20" t="s">
        <v>1035</v>
      </c>
      <c r="I1841" s="22" t="str">
        <f>INDEX('Справочник Сети'!B:B,(MATCH(G1841,'Справочник Сети'!C:C,0)))</f>
        <v>Планета здоровья</v>
      </c>
      <c r="J1841" s="7" t="s">
        <v>149</v>
      </c>
      <c r="K1841" s="7" t="s">
        <v>1710</v>
      </c>
      <c r="L1841" s="7" t="s">
        <v>149</v>
      </c>
      <c r="M1841" s="31">
        <v>45673</v>
      </c>
      <c r="N1841" s="7" t="s">
        <v>3754</v>
      </c>
      <c r="O1841" s="8">
        <v>1091</v>
      </c>
      <c r="P1841" s="24">
        <v>7312</v>
      </c>
      <c r="Q1841" s="22">
        <f>IF(COUNTIFS(A$2:A1841,A1841,I$2:I1841,I1841)=1,1,0)</f>
        <v>0</v>
      </c>
      <c r="R1841" s="22">
        <f t="shared" si="28"/>
        <v>5</v>
      </c>
      <c r="S1841" s="33">
        <f>IF(COUNTIF(O$2:O1841,O1841)=1,R1841,0)/2.5</f>
        <v>0</v>
      </c>
    </row>
    <row r="1842" spans="1:19" ht="18" customHeight="1" x14ac:dyDescent="0.25">
      <c r="A1842" s="7" t="s">
        <v>37</v>
      </c>
      <c r="B1842" s="8">
        <v>1</v>
      </c>
      <c r="C1842" s="9">
        <v>655</v>
      </c>
      <c r="D1842" s="29">
        <f>C1842+IF(INDEX('Справочник по %'!B:B,(MATCH(A1842,'Справочник по %'!A:A,0)))="кол-во",B1842*INDEX('Справочник по %'!C:C,(MATCH(A1842,'Справочник по %'!A:A,0))),ОТЧЕТ!C1842*INDEX('Справочник по %'!C:C,(MATCH(A1842,'Справочник по %'!A:A,0))))/100</f>
        <v>655.20000000000005</v>
      </c>
      <c r="E1842" s="29">
        <f>IF(ОТЧЕТ!A1842="SKU3",C1842+ОТЧЕТ!C1842*0.2,C1842+ОТЧЕТ!C1842*0.15)</f>
        <v>753.25</v>
      </c>
      <c r="F1842" s="7" t="s">
        <v>3753</v>
      </c>
      <c r="G1842" s="7">
        <v>5907998608</v>
      </c>
      <c r="H1842" s="20" t="s">
        <v>511</v>
      </c>
      <c r="I1842" s="22" t="str">
        <f>INDEX('Справочник Сети'!B:B,(MATCH(G1842,'Справочник Сети'!C:C,0)))</f>
        <v>Планета здоровья</v>
      </c>
      <c r="J1842" s="7" t="s">
        <v>512</v>
      </c>
      <c r="K1842" s="7" t="s">
        <v>3755</v>
      </c>
      <c r="L1842" s="7" t="s">
        <v>512</v>
      </c>
      <c r="M1842" s="31">
        <v>45700</v>
      </c>
      <c r="N1842" s="7" t="s">
        <v>3756</v>
      </c>
      <c r="O1842" s="8">
        <v>1253</v>
      </c>
      <c r="P1842" s="24">
        <v>7314</v>
      </c>
      <c r="Q1842" s="22">
        <f>IF(COUNTIFS(A$2:A1842,A1842,I$2:I1842,I1842)=1,1,0)</f>
        <v>0</v>
      </c>
      <c r="R1842" s="22">
        <f t="shared" si="28"/>
        <v>8</v>
      </c>
      <c r="S1842" s="33">
        <f>IF(COUNTIF(O$2:O1842,O1842)=1,R1842,0)/2.5</f>
        <v>0</v>
      </c>
    </row>
    <row r="1843" spans="1:19" ht="18" customHeight="1" x14ac:dyDescent="0.25">
      <c r="A1843" s="7" t="s">
        <v>43</v>
      </c>
      <c r="B1843" s="8">
        <v>1</v>
      </c>
      <c r="C1843" s="9">
        <v>406</v>
      </c>
      <c r="D1843" s="29">
        <f>C1843+IF(INDEX('Справочник по %'!B:B,(MATCH(A1843,'Справочник по %'!A:A,0)))="кол-во",B1843*INDEX('Справочник по %'!C:C,(MATCH(A1843,'Справочник по %'!A:A,0))),ОТЧЕТ!C1843*INDEX('Справочник по %'!C:C,(MATCH(A1843,'Справочник по %'!A:A,0))))/100</f>
        <v>446.6</v>
      </c>
      <c r="E1843" s="29">
        <f>IF(ОТЧЕТ!A1843="SKU3",C1843+ОТЧЕТ!C1843*0.2,C1843+ОТЧЕТ!C1843*0.15)</f>
        <v>466.9</v>
      </c>
      <c r="F1843" s="7" t="s">
        <v>3757</v>
      </c>
      <c r="G1843" s="7">
        <v>2310212231</v>
      </c>
      <c r="H1843" s="20" t="s">
        <v>69</v>
      </c>
      <c r="I1843" s="22" t="str">
        <f>INDEX('Справочник Сети'!B:B,(MATCH(G1843,'Справочник Сети'!C:C,0)))</f>
        <v>Нео-фарм</v>
      </c>
      <c r="J1843" s="7" t="s">
        <v>70</v>
      </c>
      <c r="K1843" s="7" t="s">
        <v>252</v>
      </c>
      <c r="L1843" s="7" t="s">
        <v>70</v>
      </c>
      <c r="M1843" s="31">
        <v>45728</v>
      </c>
      <c r="N1843" s="7" t="s">
        <v>3758</v>
      </c>
      <c r="O1843" s="8">
        <v>2051</v>
      </c>
      <c r="P1843" s="24">
        <v>7322</v>
      </c>
      <c r="Q1843" s="22">
        <f>IF(COUNTIFS(A$2:A1843,A1843,I$2:I1843,I1843)=1,1,0)</f>
        <v>0</v>
      </c>
      <c r="R1843" s="22">
        <f t="shared" si="28"/>
        <v>2</v>
      </c>
      <c r="S1843" s="33">
        <f>IF(COUNTIF(O$2:O1843,O1843)=1,R1843,0)/2.5</f>
        <v>0.8</v>
      </c>
    </row>
    <row r="1844" spans="1:19" ht="18" customHeight="1" x14ac:dyDescent="0.25">
      <c r="A1844" s="7" t="s">
        <v>43</v>
      </c>
      <c r="B1844" s="8">
        <v>1</v>
      </c>
      <c r="C1844" s="9">
        <v>616</v>
      </c>
      <c r="D1844" s="29">
        <f>C1844+IF(INDEX('Справочник по %'!B:B,(MATCH(A1844,'Справочник по %'!A:A,0)))="кол-во",B1844*INDEX('Справочник по %'!C:C,(MATCH(A1844,'Справочник по %'!A:A,0))),ОТЧЕТ!C1844*INDEX('Справочник по %'!C:C,(MATCH(A1844,'Справочник по %'!A:A,0))))/100</f>
        <v>677.6</v>
      </c>
      <c r="E1844" s="29">
        <f>IF(ОТЧЕТ!A1844="SKU3",C1844+ОТЧЕТ!C1844*0.2,C1844+ОТЧЕТ!C1844*0.15)</f>
        <v>708.4</v>
      </c>
      <c r="F1844" s="7" t="s">
        <v>3759</v>
      </c>
      <c r="G1844" s="7">
        <v>7705947629</v>
      </c>
      <c r="H1844" s="20" t="s">
        <v>50</v>
      </c>
      <c r="I1844" s="22" t="str">
        <f>INDEX('Справочник Сети'!B:B,(MATCH(G1844,'Справочник Сети'!C:C,0)))</f>
        <v>36,6</v>
      </c>
      <c r="J1844" s="7" t="s">
        <v>104</v>
      </c>
      <c r="K1844" s="7" t="s">
        <v>1339</v>
      </c>
      <c r="L1844" s="7" t="s">
        <v>104</v>
      </c>
      <c r="M1844" s="31">
        <v>45693</v>
      </c>
      <c r="N1844" s="7" t="s">
        <v>3760</v>
      </c>
      <c r="O1844" s="8">
        <v>1524</v>
      </c>
      <c r="P1844" s="24">
        <v>7325</v>
      </c>
      <c r="Q1844" s="22">
        <f>IF(COUNTIFS(A$2:A1844,A1844,I$2:I1844,I1844)=1,1,0)</f>
        <v>0</v>
      </c>
      <c r="R1844" s="22">
        <f t="shared" si="28"/>
        <v>1</v>
      </c>
      <c r="S1844" s="33">
        <f>IF(COUNTIF(O$2:O1844,O1844)=1,R1844,0)/2.5</f>
        <v>0.4</v>
      </c>
    </row>
    <row r="1845" spans="1:19" ht="18" customHeight="1" x14ac:dyDescent="0.25">
      <c r="A1845" s="7" t="s">
        <v>37</v>
      </c>
      <c r="B1845" s="8">
        <v>1</v>
      </c>
      <c r="C1845" s="9">
        <v>640</v>
      </c>
      <c r="D1845" s="29">
        <f>C1845+IF(INDEX('Справочник по %'!B:B,(MATCH(A1845,'Справочник по %'!A:A,0)))="кол-во",B1845*INDEX('Справочник по %'!C:C,(MATCH(A1845,'Справочник по %'!A:A,0))),ОТЧЕТ!C1845*INDEX('Справочник по %'!C:C,(MATCH(A1845,'Справочник по %'!A:A,0))))/100</f>
        <v>640.20000000000005</v>
      </c>
      <c r="E1845" s="29">
        <f>IF(ОТЧЕТ!A1845="SKU3",C1845+ОТЧЕТ!C1845*0.2,C1845+ОТЧЕТ!C1845*0.15)</f>
        <v>736</v>
      </c>
      <c r="F1845" s="7" t="s">
        <v>3761</v>
      </c>
      <c r="G1845" s="7">
        <v>4205048353</v>
      </c>
      <c r="H1845" s="20" t="s">
        <v>634</v>
      </c>
      <c r="I1845" s="22" t="str">
        <f>INDEX('Справочник Сети'!B:B,(MATCH(G1845,'Справочник Сети'!C:C,0)))</f>
        <v>Планета здоровья</v>
      </c>
      <c r="J1845" s="7" t="s">
        <v>155</v>
      </c>
      <c r="K1845" s="7" t="s">
        <v>3762</v>
      </c>
      <c r="L1845" s="7" t="s">
        <v>155</v>
      </c>
      <c r="M1845" s="31">
        <v>45716</v>
      </c>
      <c r="N1845" s="7" t="s">
        <v>3763</v>
      </c>
      <c r="O1845" s="8">
        <v>2316</v>
      </c>
      <c r="P1845" s="24">
        <v>7327</v>
      </c>
      <c r="Q1845" s="22">
        <f>IF(COUNTIFS(A$2:A1845,A1845,I$2:I1845,I1845)=1,1,0)</f>
        <v>0</v>
      </c>
      <c r="R1845" s="22">
        <f t="shared" si="28"/>
        <v>2</v>
      </c>
      <c r="S1845" s="33">
        <f>IF(COUNTIF(O$2:O1845,O1845)=1,R1845,0)/2.5</f>
        <v>0</v>
      </c>
    </row>
    <row r="1846" spans="1:19" ht="18" customHeight="1" x14ac:dyDescent="0.25">
      <c r="A1846" s="7" t="s">
        <v>43</v>
      </c>
      <c r="B1846" s="8">
        <v>1</v>
      </c>
      <c r="C1846" s="9">
        <v>400</v>
      </c>
      <c r="D1846" s="29">
        <f>C1846+IF(INDEX('Справочник по %'!B:B,(MATCH(A1846,'Справочник по %'!A:A,0)))="кол-во",B1846*INDEX('Справочник по %'!C:C,(MATCH(A1846,'Справочник по %'!A:A,0))),ОТЧЕТ!C1846*INDEX('Справочник по %'!C:C,(MATCH(A1846,'Справочник по %'!A:A,0))))/100</f>
        <v>440</v>
      </c>
      <c r="E1846" s="29">
        <f>IF(ОТЧЕТ!A1846="SKU3",C1846+ОТЧЕТ!C1846*0.2,C1846+ОТЧЕТ!C1846*0.15)</f>
        <v>460</v>
      </c>
      <c r="F1846" s="7" t="s">
        <v>3764</v>
      </c>
      <c r="G1846" s="7">
        <v>6166074939</v>
      </c>
      <c r="H1846" s="20" t="s">
        <v>3765</v>
      </c>
      <c r="I1846" s="22">
        <f>INDEX('Справочник Сети'!B:B,(MATCH(G1846,'Справочник Сети'!C:C,0)))</f>
        <v>0</v>
      </c>
      <c r="J1846" s="7" t="s">
        <v>203</v>
      </c>
      <c r="K1846" s="7" t="s">
        <v>3165</v>
      </c>
      <c r="L1846" s="7" t="s">
        <v>203</v>
      </c>
      <c r="M1846" s="31">
        <v>45696</v>
      </c>
      <c r="N1846" s="7" t="s">
        <v>3766</v>
      </c>
      <c r="O1846" s="8">
        <v>1793</v>
      </c>
      <c r="P1846" s="24">
        <v>7330</v>
      </c>
      <c r="Q1846" s="22">
        <f>IF(COUNTIFS(A$2:A1846,A1846,I$2:I1846,I1846)=1,1,0)</f>
        <v>0</v>
      </c>
      <c r="R1846" s="22">
        <f t="shared" si="28"/>
        <v>2</v>
      </c>
      <c r="S1846" s="33">
        <f>IF(COUNTIF(O$2:O1846,O1846)=1,R1846,0)/2.5</f>
        <v>0</v>
      </c>
    </row>
    <row r="1847" spans="1:19" ht="18" customHeight="1" x14ac:dyDescent="0.25">
      <c r="A1847" s="7" t="s">
        <v>43</v>
      </c>
      <c r="B1847" s="8">
        <v>1</v>
      </c>
      <c r="C1847" s="9">
        <v>462.45</v>
      </c>
      <c r="D1847" s="29">
        <f>C1847+IF(INDEX('Справочник по %'!B:B,(MATCH(A1847,'Справочник по %'!A:A,0)))="кол-во",B1847*INDEX('Справочник по %'!C:C,(MATCH(A1847,'Справочник по %'!A:A,0))),ОТЧЕТ!C1847*INDEX('Справочник по %'!C:C,(MATCH(A1847,'Справочник по %'!A:A,0))))/100</f>
        <v>508.69499999999999</v>
      </c>
      <c r="E1847" s="29">
        <f>IF(ОТЧЕТ!A1847="SKU3",C1847+ОТЧЕТ!C1847*0.2,C1847+ОТЧЕТ!C1847*0.15)</f>
        <v>531.8175</v>
      </c>
      <c r="F1847" s="7" t="s">
        <v>3764</v>
      </c>
      <c r="G1847" s="7">
        <v>5260245562</v>
      </c>
      <c r="H1847" s="20" t="s">
        <v>3767</v>
      </c>
      <c r="I1847" s="22">
        <f>INDEX('Справочник Сети'!B:B,(MATCH(G1847,'Справочник Сети'!C:C,0)))</f>
        <v>0</v>
      </c>
      <c r="J1847" s="7" t="s">
        <v>92</v>
      </c>
      <c r="K1847" s="7" t="s">
        <v>3295</v>
      </c>
      <c r="L1847" s="7" t="s">
        <v>92</v>
      </c>
      <c r="M1847" s="31">
        <v>45714</v>
      </c>
      <c r="N1847" s="7" t="s">
        <v>3768</v>
      </c>
      <c r="O1847" s="8">
        <v>1513</v>
      </c>
      <c r="P1847" s="24">
        <v>7331</v>
      </c>
      <c r="Q1847" s="22">
        <f>IF(COUNTIFS(A$2:A1847,A1847,I$2:I1847,I1847)=1,1,0)</f>
        <v>0</v>
      </c>
      <c r="R1847" s="22">
        <f t="shared" si="28"/>
        <v>1</v>
      </c>
      <c r="S1847" s="33">
        <f>IF(COUNTIF(O$2:O1847,O1847)=1,R1847,0)/2.5</f>
        <v>0.4</v>
      </c>
    </row>
    <row r="1848" spans="1:19" ht="18" customHeight="1" x14ac:dyDescent="0.25">
      <c r="A1848" s="7" t="s">
        <v>37</v>
      </c>
      <c r="B1848" s="8">
        <v>1</v>
      </c>
      <c r="C1848" s="9">
        <v>719</v>
      </c>
      <c r="D1848" s="29">
        <f>C1848+IF(INDEX('Справочник по %'!B:B,(MATCH(A1848,'Справочник по %'!A:A,0)))="кол-во",B1848*INDEX('Справочник по %'!C:C,(MATCH(A1848,'Справочник по %'!A:A,0))),ОТЧЕТ!C1848*INDEX('Справочник по %'!C:C,(MATCH(A1848,'Справочник по %'!A:A,0))))/100</f>
        <v>719.2</v>
      </c>
      <c r="E1848" s="29">
        <f>IF(ОТЧЕТ!A1848="SKU3",C1848+ОТЧЕТ!C1848*0.2,C1848+ОТЧЕТ!C1848*0.15)</f>
        <v>826.85</v>
      </c>
      <c r="F1848" s="7" t="s">
        <v>3764</v>
      </c>
      <c r="G1848" s="7">
        <v>220300048989</v>
      </c>
      <c r="H1848" s="20" t="s">
        <v>50</v>
      </c>
      <c r="I1848" s="22">
        <f>INDEX('Справочник Сети'!B:B,(MATCH(G1848,'Справочник Сети'!C:C,0)))</f>
        <v>0</v>
      </c>
      <c r="J1848" s="7" t="s">
        <v>74</v>
      </c>
      <c r="K1848" s="7" t="s">
        <v>414</v>
      </c>
      <c r="L1848" s="7" t="s">
        <v>74</v>
      </c>
      <c r="M1848" s="31">
        <v>45661</v>
      </c>
      <c r="N1848" s="7" t="s">
        <v>3769</v>
      </c>
      <c r="O1848" s="8">
        <v>2</v>
      </c>
      <c r="P1848" s="24">
        <v>7333</v>
      </c>
      <c r="Q1848" s="22">
        <f>IF(COUNTIFS(A$2:A1848,A1848,I$2:I1848,I1848)=1,1,0)</f>
        <v>0</v>
      </c>
      <c r="R1848" s="22">
        <f t="shared" si="28"/>
        <v>5</v>
      </c>
      <c r="S1848" s="33">
        <f>IF(COUNTIF(O$2:O1848,O1848)=1,R1848,0)/2.5</f>
        <v>0</v>
      </c>
    </row>
    <row r="1849" spans="1:19" ht="18" customHeight="1" x14ac:dyDescent="0.25">
      <c r="A1849" s="7" t="s">
        <v>43</v>
      </c>
      <c r="B1849" s="8">
        <v>1</v>
      </c>
      <c r="C1849" s="9">
        <v>399</v>
      </c>
      <c r="D1849" s="29">
        <f>C1849+IF(INDEX('Справочник по %'!B:B,(MATCH(A1849,'Справочник по %'!A:A,0)))="кол-во",B1849*INDEX('Справочник по %'!C:C,(MATCH(A1849,'Справочник по %'!A:A,0))),ОТЧЕТ!C1849*INDEX('Справочник по %'!C:C,(MATCH(A1849,'Справочник по %'!A:A,0))))/100</f>
        <v>438.9</v>
      </c>
      <c r="E1849" s="29">
        <f>IF(ОТЧЕТ!A1849="SKU3",C1849+ОТЧЕТ!C1849*0.2,C1849+ОТЧЕТ!C1849*0.15)</f>
        <v>458.85</v>
      </c>
      <c r="F1849" s="7" t="s">
        <v>3770</v>
      </c>
      <c r="G1849" s="7">
        <v>7728339546</v>
      </c>
      <c r="H1849" s="20" t="s">
        <v>1792</v>
      </c>
      <c r="I1849" s="22" t="str">
        <f>INDEX('Справочник Сети'!B:B,(MATCH(G1849,'Справочник Сети'!C:C,0)))</f>
        <v>Планета здоровья</v>
      </c>
      <c r="J1849" s="7" t="s">
        <v>142</v>
      </c>
      <c r="K1849" s="7" t="s">
        <v>3297</v>
      </c>
      <c r="L1849" s="7" t="s">
        <v>142</v>
      </c>
      <c r="M1849" s="31">
        <v>45674</v>
      </c>
      <c r="N1849" s="7" t="s">
        <v>3771</v>
      </c>
      <c r="O1849" s="8">
        <v>2395</v>
      </c>
      <c r="P1849" s="24">
        <v>7340</v>
      </c>
      <c r="Q1849" s="22">
        <f>IF(COUNTIFS(A$2:A1849,A1849,I$2:I1849,I1849)=1,1,0)</f>
        <v>0</v>
      </c>
      <c r="R1849" s="22">
        <f t="shared" si="28"/>
        <v>2</v>
      </c>
      <c r="S1849" s="33">
        <f>IF(COUNTIF(O$2:O1849,O1849)=1,R1849,0)/2.5</f>
        <v>0.8</v>
      </c>
    </row>
    <row r="1850" spans="1:19" ht="18" customHeight="1" x14ac:dyDescent="0.25">
      <c r="A1850" s="7" t="s">
        <v>43</v>
      </c>
      <c r="B1850" s="8">
        <v>1</v>
      </c>
      <c r="C1850" s="9">
        <v>377</v>
      </c>
      <c r="D1850" s="29">
        <f>C1850+IF(INDEX('Справочник по %'!B:B,(MATCH(A1850,'Справочник по %'!A:A,0)))="кол-во",B1850*INDEX('Справочник по %'!C:C,(MATCH(A1850,'Справочник по %'!A:A,0))),ОТЧЕТ!C1850*INDEX('Справочник по %'!C:C,(MATCH(A1850,'Справочник по %'!A:A,0))))/100</f>
        <v>414.7</v>
      </c>
      <c r="E1850" s="29">
        <f>IF(ОТЧЕТ!A1850="SKU3",C1850+ОТЧЕТ!C1850*0.2,C1850+ОТЧЕТ!C1850*0.15)</f>
        <v>433.55</v>
      </c>
      <c r="F1850" s="7" t="s">
        <v>3772</v>
      </c>
      <c r="G1850" s="7">
        <v>7706795062</v>
      </c>
      <c r="H1850" s="20" t="s">
        <v>3631</v>
      </c>
      <c r="I1850" s="22" t="str">
        <f>INDEX('Справочник Сети'!B:B,(MATCH(G1850,'Справочник Сети'!C:C,0)))</f>
        <v>Планета здоровья</v>
      </c>
      <c r="J1850" s="7" t="s">
        <v>87</v>
      </c>
      <c r="K1850" s="7" t="s">
        <v>3192</v>
      </c>
      <c r="L1850" s="7" t="s">
        <v>87</v>
      </c>
      <c r="M1850" s="31">
        <v>45691</v>
      </c>
      <c r="N1850" s="7" t="s">
        <v>3773</v>
      </c>
      <c r="O1850" s="8">
        <v>1981</v>
      </c>
      <c r="P1850" s="24">
        <v>7344</v>
      </c>
      <c r="Q1850" s="22">
        <f>IF(COUNTIFS(A$2:A1850,A1850,I$2:I1850,I1850)=1,1,0)</f>
        <v>0</v>
      </c>
      <c r="R1850" s="22">
        <f t="shared" si="28"/>
        <v>4</v>
      </c>
      <c r="S1850" s="33">
        <f>IF(COUNTIF(O$2:O1850,O1850)=1,R1850,0)/2.5</f>
        <v>0</v>
      </c>
    </row>
    <row r="1851" spans="1:19" ht="18" customHeight="1" x14ac:dyDescent="0.25">
      <c r="A1851" s="7" t="s">
        <v>43</v>
      </c>
      <c r="B1851" s="8">
        <v>1</v>
      </c>
      <c r="C1851" s="9">
        <v>303</v>
      </c>
      <c r="D1851" s="29">
        <f>C1851+IF(INDEX('Справочник по %'!B:B,(MATCH(A1851,'Справочник по %'!A:A,0)))="кол-во",B1851*INDEX('Справочник по %'!C:C,(MATCH(A1851,'Справочник по %'!A:A,0))),ОТЧЕТ!C1851*INDEX('Справочник по %'!C:C,(MATCH(A1851,'Справочник по %'!A:A,0))))/100</f>
        <v>333.3</v>
      </c>
      <c r="E1851" s="29">
        <f>IF(ОТЧЕТ!A1851="SKU3",C1851+ОТЧЕТ!C1851*0.2,C1851+ОТЧЕТ!C1851*0.15)</f>
        <v>348.45</v>
      </c>
      <c r="F1851" s="7" t="s">
        <v>3774</v>
      </c>
      <c r="G1851" s="7">
        <v>2309137766</v>
      </c>
      <c r="H1851" s="20" t="s">
        <v>50</v>
      </c>
      <c r="I1851" s="22" t="str">
        <f>INDEX('Справочник Сети'!B:B,(MATCH(G1851,'Справочник Сети'!C:C,0)))</f>
        <v>Ригла</v>
      </c>
      <c r="J1851" s="7" t="s">
        <v>57</v>
      </c>
      <c r="K1851" s="7" t="s">
        <v>3775</v>
      </c>
      <c r="L1851" s="7" t="s">
        <v>57</v>
      </c>
      <c r="M1851" s="31">
        <v>45729</v>
      </c>
      <c r="N1851" s="7" t="s">
        <v>3776</v>
      </c>
      <c r="O1851" s="8">
        <v>680</v>
      </c>
      <c r="P1851" s="24">
        <v>7350</v>
      </c>
      <c r="Q1851" s="22">
        <f>IF(COUNTIFS(A$2:A1851,A1851,I$2:I1851,I1851)=1,1,0)</f>
        <v>0</v>
      </c>
      <c r="R1851" s="22">
        <f t="shared" si="28"/>
        <v>2</v>
      </c>
      <c r="S1851" s="33">
        <f>IF(COUNTIF(O$2:O1851,O1851)=1,R1851,0)/2.5</f>
        <v>0.8</v>
      </c>
    </row>
    <row r="1852" spans="1:19" ht="18" customHeight="1" x14ac:dyDescent="0.25">
      <c r="A1852" s="7" t="s">
        <v>43</v>
      </c>
      <c r="B1852" s="8">
        <v>1</v>
      </c>
      <c r="C1852" s="9">
        <v>446</v>
      </c>
      <c r="D1852" s="29">
        <f>C1852+IF(INDEX('Справочник по %'!B:B,(MATCH(A1852,'Справочник по %'!A:A,0)))="кол-во",B1852*INDEX('Справочник по %'!C:C,(MATCH(A1852,'Справочник по %'!A:A,0))),ОТЧЕТ!C1852*INDEX('Справочник по %'!C:C,(MATCH(A1852,'Справочник по %'!A:A,0))))/100</f>
        <v>490.6</v>
      </c>
      <c r="E1852" s="29">
        <f>IF(ОТЧЕТ!A1852="SKU3",C1852+ОТЧЕТ!C1852*0.2,C1852+ОТЧЕТ!C1852*0.15)</f>
        <v>512.9</v>
      </c>
      <c r="F1852" s="7" t="s">
        <v>3774</v>
      </c>
      <c r="G1852" s="7">
        <v>7724211288</v>
      </c>
      <c r="H1852" s="20" t="s">
        <v>3777</v>
      </c>
      <c r="I1852" s="22" t="str">
        <f>INDEX('Справочник Сети'!B:B,(MATCH(G1852,'Справочник Сети'!C:C,0)))</f>
        <v>Планета здоровья</v>
      </c>
      <c r="J1852" s="7" t="s">
        <v>185</v>
      </c>
      <c r="K1852" s="7" t="s">
        <v>2136</v>
      </c>
      <c r="L1852" s="7" t="s">
        <v>185</v>
      </c>
      <c r="M1852" s="31">
        <v>45675</v>
      </c>
      <c r="N1852" s="7" t="s">
        <v>3778</v>
      </c>
      <c r="O1852" s="8">
        <v>1537</v>
      </c>
      <c r="P1852" s="24">
        <v>7351</v>
      </c>
      <c r="Q1852" s="22">
        <f>IF(COUNTIFS(A$2:A1852,A1852,I$2:I1852,I1852)=1,1,0)</f>
        <v>0</v>
      </c>
      <c r="R1852" s="22">
        <f t="shared" si="28"/>
        <v>2</v>
      </c>
      <c r="S1852" s="33">
        <f>IF(COUNTIF(O$2:O1852,O1852)=1,R1852,0)/2.5</f>
        <v>0.8</v>
      </c>
    </row>
    <row r="1853" spans="1:19" ht="18" customHeight="1" x14ac:dyDescent="0.25">
      <c r="A1853" s="7" t="s">
        <v>43</v>
      </c>
      <c r="B1853" s="8">
        <v>1</v>
      </c>
      <c r="C1853" s="9">
        <v>459</v>
      </c>
      <c r="D1853" s="29">
        <f>C1853+IF(INDEX('Справочник по %'!B:B,(MATCH(A1853,'Справочник по %'!A:A,0)))="кол-во",B1853*INDEX('Справочник по %'!C:C,(MATCH(A1853,'Справочник по %'!A:A,0))),ОТЧЕТ!C1853*INDEX('Справочник по %'!C:C,(MATCH(A1853,'Справочник по %'!A:A,0))))/100</f>
        <v>504.9</v>
      </c>
      <c r="E1853" s="29">
        <f>IF(ОТЧЕТ!A1853="SKU3",C1853+ОТЧЕТ!C1853*0.2,C1853+ОТЧЕТ!C1853*0.15)</f>
        <v>527.85</v>
      </c>
      <c r="F1853" s="7" t="s">
        <v>3774</v>
      </c>
      <c r="G1853" s="7">
        <v>7724211288</v>
      </c>
      <c r="H1853" s="20" t="s">
        <v>3777</v>
      </c>
      <c r="I1853" s="22" t="str">
        <f>INDEX('Справочник Сети'!B:B,(MATCH(G1853,'Справочник Сети'!C:C,0)))</f>
        <v>Планета здоровья</v>
      </c>
      <c r="J1853" s="7" t="s">
        <v>185</v>
      </c>
      <c r="K1853" s="7" t="s">
        <v>2136</v>
      </c>
      <c r="L1853" s="7" t="s">
        <v>185</v>
      </c>
      <c r="M1853" s="31">
        <v>45675</v>
      </c>
      <c r="N1853" s="7" t="s">
        <v>3778</v>
      </c>
      <c r="O1853" s="8">
        <v>1537</v>
      </c>
      <c r="P1853" s="24">
        <v>7351</v>
      </c>
      <c r="Q1853" s="22">
        <f>IF(COUNTIFS(A$2:A1853,A1853,I$2:I1853,I1853)=1,1,0)</f>
        <v>0</v>
      </c>
      <c r="R1853" s="22">
        <f t="shared" si="28"/>
        <v>2</v>
      </c>
      <c r="S1853" s="33">
        <f>IF(COUNTIF(O$2:O1853,O1853)=1,R1853,0)/2.5</f>
        <v>0</v>
      </c>
    </row>
    <row r="1854" spans="1:19" ht="18" customHeight="1" x14ac:dyDescent="0.25">
      <c r="A1854" s="7" t="s">
        <v>37</v>
      </c>
      <c r="B1854" s="8">
        <v>1</v>
      </c>
      <c r="C1854" s="9">
        <v>739</v>
      </c>
      <c r="D1854" s="29">
        <f>C1854+IF(INDEX('Справочник по %'!B:B,(MATCH(A1854,'Справочник по %'!A:A,0)))="кол-во",B1854*INDEX('Справочник по %'!C:C,(MATCH(A1854,'Справочник по %'!A:A,0))),ОТЧЕТ!C1854*INDEX('Справочник по %'!C:C,(MATCH(A1854,'Справочник по %'!A:A,0))))/100</f>
        <v>739.2</v>
      </c>
      <c r="E1854" s="29">
        <f>IF(ОТЧЕТ!A1854="SKU3",C1854+ОТЧЕТ!C1854*0.2,C1854+ОТЧЕТ!C1854*0.15)</f>
        <v>849.85</v>
      </c>
      <c r="F1854" s="7" t="s">
        <v>3774</v>
      </c>
      <c r="G1854" s="7">
        <v>9729278681</v>
      </c>
      <c r="H1854" s="20" t="s">
        <v>91</v>
      </c>
      <c r="I1854" s="22">
        <f>INDEX('Справочник Сети'!B:B,(MATCH(G1854,'Справочник Сети'!C:C,0)))</f>
        <v>0</v>
      </c>
      <c r="J1854" s="7" t="s">
        <v>74</v>
      </c>
      <c r="K1854" s="7" t="s">
        <v>3779</v>
      </c>
      <c r="L1854" s="7" t="s">
        <v>74</v>
      </c>
      <c r="M1854" s="31">
        <v>45661</v>
      </c>
      <c r="N1854" s="7" t="s">
        <v>3780</v>
      </c>
      <c r="O1854" s="8">
        <v>860</v>
      </c>
      <c r="P1854" s="24">
        <v>7352</v>
      </c>
      <c r="Q1854" s="22">
        <f>IF(COUNTIFS(A$2:A1854,A1854,I$2:I1854,I1854)=1,1,0)</f>
        <v>0</v>
      </c>
      <c r="R1854" s="22">
        <f t="shared" si="28"/>
        <v>2</v>
      </c>
      <c r="S1854" s="33">
        <f>IF(COUNTIF(O$2:O1854,O1854)=1,R1854,0)/2.5</f>
        <v>0</v>
      </c>
    </row>
    <row r="1855" spans="1:19" ht="18" customHeight="1" x14ac:dyDescent="0.25">
      <c r="A1855" s="7" t="s">
        <v>43</v>
      </c>
      <c r="B1855" s="8">
        <v>1</v>
      </c>
      <c r="C1855" s="9">
        <v>356</v>
      </c>
      <c r="D1855" s="29">
        <f>C1855+IF(INDEX('Справочник по %'!B:B,(MATCH(A1855,'Справочник по %'!A:A,0)))="кол-во",B1855*INDEX('Справочник по %'!C:C,(MATCH(A1855,'Справочник по %'!A:A,0))),ОТЧЕТ!C1855*INDEX('Справочник по %'!C:C,(MATCH(A1855,'Справочник по %'!A:A,0))))/100</f>
        <v>391.6</v>
      </c>
      <c r="E1855" s="29">
        <f>IF(ОТЧЕТ!A1855="SKU3",C1855+ОТЧЕТ!C1855*0.2,C1855+ОТЧЕТ!C1855*0.15)</f>
        <v>409.4</v>
      </c>
      <c r="F1855" s="7" t="s">
        <v>3774</v>
      </c>
      <c r="G1855" s="7">
        <v>2309137766</v>
      </c>
      <c r="H1855" s="20" t="s">
        <v>50</v>
      </c>
      <c r="I1855" s="22" t="str">
        <f>INDEX('Справочник Сети'!B:B,(MATCH(G1855,'Справочник Сети'!C:C,0)))</f>
        <v>Ригла</v>
      </c>
      <c r="J1855" s="7" t="s">
        <v>57</v>
      </c>
      <c r="K1855" s="7" t="s">
        <v>3751</v>
      </c>
      <c r="L1855" s="7" t="s">
        <v>57</v>
      </c>
      <c r="M1855" s="31">
        <v>45729</v>
      </c>
      <c r="N1855" s="7" t="s">
        <v>3781</v>
      </c>
      <c r="O1855" s="8">
        <v>680</v>
      </c>
      <c r="P1855" s="24">
        <v>7354</v>
      </c>
      <c r="Q1855" s="22">
        <f>IF(COUNTIFS(A$2:A1855,A1855,I$2:I1855,I1855)=1,1,0)</f>
        <v>0</v>
      </c>
      <c r="R1855" s="22">
        <f t="shared" si="28"/>
        <v>2</v>
      </c>
      <c r="S1855" s="33">
        <f>IF(COUNTIF(O$2:O1855,O1855)=1,R1855,0)/2.5</f>
        <v>0</v>
      </c>
    </row>
    <row r="1856" spans="1:19" ht="18" customHeight="1" x14ac:dyDescent="0.25">
      <c r="A1856" s="7" t="s">
        <v>43</v>
      </c>
      <c r="B1856" s="8">
        <v>1</v>
      </c>
      <c r="C1856" s="9">
        <v>480</v>
      </c>
      <c r="D1856" s="29">
        <f>C1856+IF(INDEX('Справочник по %'!B:B,(MATCH(A1856,'Справочник по %'!A:A,0)))="кол-во",B1856*INDEX('Справочник по %'!C:C,(MATCH(A1856,'Справочник по %'!A:A,0))),ОТЧЕТ!C1856*INDEX('Справочник по %'!C:C,(MATCH(A1856,'Справочник по %'!A:A,0))))/100</f>
        <v>528</v>
      </c>
      <c r="E1856" s="29">
        <f>IF(ОТЧЕТ!A1856="SKU3",C1856+ОТЧЕТ!C1856*0.2,C1856+ОТЧЕТ!C1856*0.15)</f>
        <v>552</v>
      </c>
      <c r="F1856" s="7" t="s">
        <v>3782</v>
      </c>
      <c r="G1856" s="7">
        <v>5835063641</v>
      </c>
      <c r="H1856" s="20" t="s">
        <v>3783</v>
      </c>
      <c r="I1856" s="22">
        <f>INDEX('Справочник Сети'!B:B,(MATCH(G1856,'Справочник Сети'!C:C,0)))</f>
        <v>0</v>
      </c>
      <c r="J1856" s="7" t="s">
        <v>40</v>
      </c>
      <c r="K1856" s="7" t="s">
        <v>3784</v>
      </c>
      <c r="L1856" s="7" t="s">
        <v>40</v>
      </c>
      <c r="M1856" s="31">
        <v>45712</v>
      </c>
      <c r="N1856" s="7" t="s">
        <v>3785</v>
      </c>
      <c r="O1856" s="8">
        <v>1560</v>
      </c>
      <c r="P1856" s="24">
        <v>7357</v>
      </c>
      <c r="Q1856" s="22">
        <f>IF(COUNTIFS(A$2:A1856,A1856,I$2:I1856,I1856)=1,1,0)</f>
        <v>0</v>
      </c>
      <c r="R1856" s="22">
        <f t="shared" si="28"/>
        <v>1</v>
      </c>
      <c r="S1856" s="33">
        <f>IF(COUNTIF(O$2:O1856,O1856)=1,R1856,0)/2.5</f>
        <v>0.4</v>
      </c>
    </row>
    <row r="1857" spans="1:19" ht="18" customHeight="1" x14ac:dyDescent="0.25">
      <c r="A1857" s="7" t="s">
        <v>43</v>
      </c>
      <c r="B1857" s="8">
        <v>1</v>
      </c>
      <c r="C1857" s="9">
        <v>437</v>
      </c>
      <c r="D1857" s="29">
        <f>C1857+IF(INDEX('Справочник по %'!B:B,(MATCH(A1857,'Справочник по %'!A:A,0)))="кол-во",B1857*INDEX('Справочник по %'!C:C,(MATCH(A1857,'Справочник по %'!A:A,0))),ОТЧЕТ!C1857*INDEX('Справочник по %'!C:C,(MATCH(A1857,'Справочник по %'!A:A,0))))/100</f>
        <v>480.7</v>
      </c>
      <c r="E1857" s="29">
        <f>IF(ОТЧЕТ!A1857="SKU3",C1857+ОТЧЕТ!C1857*0.2,C1857+ОТЧЕТ!C1857*0.15)</f>
        <v>502.55</v>
      </c>
      <c r="F1857" s="7" t="s">
        <v>3782</v>
      </c>
      <c r="G1857" s="7">
        <v>7705947629</v>
      </c>
      <c r="H1857" s="20" t="s">
        <v>50</v>
      </c>
      <c r="I1857" s="22" t="str">
        <f>INDEX('Справочник Сети'!B:B,(MATCH(G1857,'Справочник Сети'!C:C,0)))</f>
        <v>36,6</v>
      </c>
      <c r="J1857" s="7" t="s">
        <v>104</v>
      </c>
      <c r="K1857" s="7" t="s">
        <v>2647</v>
      </c>
      <c r="L1857" s="7" t="s">
        <v>104</v>
      </c>
      <c r="M1857" s="31">
        <v>45693</v>
      </c>
      <c r="N1857" s="7" t="s">
        <v>3786</v>
      </c>
      <c r="O1857" s="8">
        <v>1240</v>
      </c>
      <c r="P1857" s="24">
        <v>7358</v>
      </c>
      <c r="Q1857" s="22">
        <f>IF(COUNTIFS(A$2:A1857,A1857,I$2:I1857,I1857)=1,1,0)</f>
        <v>0</v>
      </c>
      <c r="R1857" s="22">
        <f t="shared" si="28"/>
        <v>1</v>
      </c>
      <c r="S1857" s="33">
        <f>IF(COUNTIF(O$2:O1857,O1857)=1,R1857,0)/2.5</f>
        <v>0.4</v>
      </c>
    </row>
    <row r="1858" spans="1:19" ht="18" customHeight="1" x14ac:dyDescent="0.25">
      <c r="A1858" s="7" t="s">
        <v>37</v>
      </c>
      <c r="B1858" s="8">
        <v>1</v>
      </c>
      <c r="C1858" s="9">
        <v>639</v>
      </c>
      <c r="D1858" s="29">
        <f>C1858+IF(INDEX('Справочник по %'!B:B,(MATCH(A1858,'Справочник по %'!A:A,0)))="кол-во",B1858*INDEX('Справочник по %'!C:C,(MATCH(A1858,'Справочник по %'!A:A,0))),ОТЧЕТ!C1858*INDEX('Справочник по %'!C:C,(MATCH(A1858,'Справочник по %'!A:A,0))))/100</f>
        <v>639.20000000000005</v>
      </c>
      <c r="E1858" s="29">
        <f>IF(ОТЧЕТ!A1858="SKU3",C1858+ОТЧЕТ!C1858*0.2,C1858+ОТЧЕТ!C1858*0.15)</f>
        <v>734.85</v>
      </c>
      <c r="F1858" s="7" t="s">
        <v>3787</v>
      </c>
      <c r="G1858" s="7">
        <v>7714635601</v>
      </c>
      <c r="H1858" s="20" t="s">
        <v>39</v>
      </c>
      <c r="I1858" s="22">
        <f>INDEX('Справочник Сети'!B:B,(MATCH(G1858,'Справочник Сети'!C:C,0)))</f>
        <v>0</v>
      </c>
      <c r="J1858" s="7" t="s">
        <v>504</v>
      </c>
      <c r="K1858" s="7" t="s">
        <v>348</v>
      </c>
      <c r="L1858" s="7" t="s">
        <v>504</v>
      </c>
      <c r="M1858" s="31">
        <v>45690</v>
      </c>
      <c r="N1858" s="7" t="s">
        <v>3788</v>
      </c>
      <c r="O1858" s="8">
        <v>1943</v>
      </c>
      <c r="P1858" s="24">
        <v>7359</v>
      </c>
      <c r="Q1858" s="22">
        <f>IF(COUNTIFS(A$2:A1858,A1858,I$2:I1858,I1858)=1,1,0)</f>
        <v>0</v>
      </c>
      <c r="R1858" s="22">
        <f t="shared" si="28"/>
        <v>2</v>
      </c>
      <c r="S1858" s="33">
        <f>IF(COUNTIF(O$2:O1858,O1858)=1,R1858,0)/2.5</f>
        <v>0.8</v>
      </c>
    </row>
    <row r="1859" spans="1:19" ht="18" customHeight="1" x14ac:dyDescent="0.25">
      <c r="A1859" s="7" t="s">
        <v>37</v>
      </c>
      <c r="B1859" s="8">
        <v>1</v>
      </c>
      <c r="C1859" s="9">
        <v>615.42999999999995</v>
      </c>
      <c r="D1859" s="29">
        <f>C1859+IF(INDEX('Справочник по %'!B:B,(MATCH(A1859,'Справочник по %'!A:A,0)))="кол-во",B1859*INDEX('Справочник по %'!C:C,(MATCH(A1859,'Справочник по %'!A:A,0))),ОТЧЕТ!C1859*INDEX('Справочник по %'!C:C,(MATCH(A1859,'Справочник по %'!A:A,0))))/100</f>
        <v>615.63</v>
      </c>
      <c r="E1859" s="29">
        <f>IF(ОТЧЕТ!A1859="SKU3",C1859+ОТЧЕТ!C1859*0.2,C1859+ОТЧЕТ!C1859*0.15)</f>
        <v>707.7444999999999</v>
      </c>
      <c r="F1859" s="7" t="s">
        <v>3787</v>
      </c>
      <c r="G1859" s="7">
        <v>7714635601</v>
      </c>
      <c r="H1859" s="20" t="s">
        <v>39</v>
      </c>
      <c r="I1859" s="22">
        <f>INDEX('Справочник Сети'!B:B,(MATCH(G1859,'Справочник Сети'!C:C,0)))</f>
        <v>0</v>
      </c>
      <c r="J1859" s="7" t="s">
        <v>504</v>
      </c>
      <c r="K1859" s="7" t="s">
        <v>3178</v>
      </c>
      <c r="L1859" s="7" t="s">
        <v>504</v>
      </c>
      <c r="M1859" s="31">
        <v>45690</v>
      </c>
      <c r="N1859" s="7" t="s">
        <v>3789</v>
      </c>
      <c r="O1859" s="8">
        <v>1943</v>
      </c>
      <c r="P1859" s="24">
        <v>7360</v>
      </c>
      <c r="Q1859" s="22">
        <f>IF(COUNTIFS(A$2:A1859,A1859,I$2:I1859,I1859)=1,1,0)</f>
        <v>0</v>
      </c>
      <c r="R1859" s="22">
        <f t="shared" ref="R1859:R1922" si="29">COUNTIF(O:O,O1859)</f>
        <v>2</v>
      </c>
      <c r="S1859" s="33">
        <f>IF(COUNTIF(O$2:O1859,O1859)=1,R1859,0)/2.5</f>
        <v>0</v>
      </c>
    </row>
    <row r="1860" spans="1:19" ht="18" customHeight="1" x14ac:dyDescent="0.25">
      <c r="A1860" s="7" t="s">
        <v>43</v>
      </c>
      <c r="B1860" s="8">
        <v>1</v>
      </c>
      <c r="C1860" s="9">
        <v>433</v>
      </c>
      <c r="D1860" s="29">
        <f>C1860+IF(INDEX('Справочник по %'!B:B,(MATCH(A1860,'Справочник по %'!A:A,0)))="кол-во",B1860*INDEX('Справочник по %'!C:C,(MATCH(A1860,'Справочник по %'!A:A,0))),ОТЧЕТ!C1860*INDEX('Справочник по %'!C:C,(MATCH(A1860,'Справочник по %'!A:A,0))))/100</f>
        <v>476.3</v>
      </c>
      <c r="E1860" s="29">
        <f>IF(ОТЧЕТ!A1860="SKU3",C1860+ОТЧЕТ!C1860*0.2,C1860+ОТЧЕТ!C1860*0.15)</f>
        <v>497.95</v>
      </c>
      <c r="F1860" s="7" t="s">
        <v>3790</v>
      </c>
      <c r="G1860" s="7">
        <v>3907029575</v>
      </c>
      <c r="H1860" s="20" t="s">
        <v>1517</v>
      </c>
      <c r="I1860" s="22" t="str">
        <f>INDEX('Справочник Сети'!B:B,(MATCH(G1860,'Справочник Сети'!C:C,0)))</f>
        <v>Столички</v>
      </c>
      <c r="J1860" s="7" t="s">
        <v>155</v>
      </c>
      <c r="K1860" s="7" t="s">
        <v>1720</v>
      </c>
      <c r="L1860" s="7" t="s">
        <v>155</v>
      </c>
      <c r="M1860" s="31">
        <v>45716</v>
      </c>
      <c r="N1860" s="7" t="s">
        <v>3791</v>
      </c>
      <c r="O1860" s="8">
        <v>2712</v>
      </c>
      <c r="P1860" s="24">
        <v>7362</v>
      </c>
      <c r="Q1860" s="22">
        <f>IF(COUNTIFS(A$2:A1860,A1860,I$2:I1860,I1860)=1,1,0)</f>
        <v>0</v>
      </c>
      <c r="R1860" s="22">
        <f t="shared" si="29"/>
        <v>1</v>
      </c>
      <c r="S1860" s="33">
        <f>IF(COUNTIF(O$2:O1860,O1860)=1,R1860,0)/2.5</f>
        <v>0.4</v>
      </c>
    </row>
    <row r="1861" spans="1:19" ht="18" customHeight="1" x14ac:dyDescent="0.25">
      <c r="A1861" s="7" t="s">
        <v>43</v>
      </c>
      <c r="B1861" s="8">
        <v>1</v>
      </c>
      <c r="C1861" s="9">
        <v>435</v>
      </c>
      <c r="D1861" s="29">
        <f>C1861+IF(INDEX('Справочник по %'!B:B,(MATCH(A1861,'Справочник по %'!A:A,0)))="кол-во",B1861*INDEX('Справочник по %'!C:C,(MATCH(A1861,'Справочник по %'!A:A,0))),ОТЧЕТ!C1861*INDEX('Справочник по %'!C:C,(MATCH(A1861,'Справочник по %'!A:A,0))))/100</f>
        <v>478.5</v>
      </c>
      <c r="E1861" s="29">
        <f>IF(ОТЧЕТ!A1861="SKU3",C1861+ОТЧЕТ!C1861*0.2,C1861+ОТЧЕТ!C1861*0.15)</f>
        <v>500.25</v>
      </c>
      <c r="F1861" s="7" t="s">
        <v>3790</v>
      </c>
      <c r="G1861" s="7">
        <v>2310052764</v>
      </c>
      <c r="H1861" s="20" t="s">
        <v>1575</v>
      </c>
      <c r="I1861" s="22" t="str">
        <f>INDEX('Справочник Сети'!B:B,(MATCH(G1861,'Справочник Сети'!C:C,0)))</f>
        <v>Планета здоровья</v>
      </c>
      <c r="J1861" s="7" t="s">
        <v>57</v>
      </c>
      <c r="K1861" s="7" t="s">
        <v>3792</v>
      </c>
      <c r="L1861" s="7" t="s">
        <v>57</v>
      </c>
      <c r="M1861" s="31">
        <v>45729</v>
      </c>
      <c r="N1861" s="7" t="s">
        <v>3793</v>
      </c>
      <c r="O1861" s="8">
        <v>3458</v>
      </c>
      <c r="P1861" s="24">
        <v>7369</v>
      </c>
      <c r="Q1861" s="22">
        <f>IF(COUNTIFS(A$2:A1861,A1861,I$2:I1861,I1861)=1,1,0)</f>
        <v>0</v>
      </c>
      <c r="R1861" s="22">
        <f t="shared" si="29"/>
        <v>4</v>
      </c>
      <c r="S1861" s="33">
        <f>IF(COUNTIF(O$2:O1861,O1861)=1,R1861,0)/2.5</f>
        <v>0</v>
      </c>
    </row>
    <row r="1862" spans="1:19" ht="18" customHeight="1" x14ac:dyDescent="0.25">
      <c r="A1862" s="7" t="s">
        <v>43</v>
      </c>
      <c r="B1862" s="8">
        <v>1</v>
      </c>
      <c r="C1862" s="9">
        <v>460.8</v>
      </c>
      <c r="D1862" s="29">
        <f>C1862+IF(INDEX('Справочник по %'!B:B,(MATCH(A1862,'Справочник по %'!A:A,0)))="кол-во",B1862*INDEX('Справочник по %'!C:C,(MATCH(A1862,'Справочник по %'!A:A,0))),ОТЧЕТ!C1862*INDEX('Справочник по %'!C:C,(MATCH(A1862,'Справочник по %'!A:A,0))))/100</f>
        <v>506.88</v>
      </c>
      <c r="E1862" s="29">
        <f>IF(ОТЧЕТ!A1862="SKU3",C1862+ОТЧЕТ!C1862*0.2,C1862+ОТЧЕТ!C1862*0.15)</f>
        <v>529.92000000000007</v>
      </c>
      <c r="F1862" s="7" t="s">
        <v>3790</v>
      </c>
      <c r="G1862" s="7">
        <v>4720031507</v>
      </c>
      <c r="H1862" s="20" t="s">
        <v>650</v>
      </c>
      <c r="I1862" s="22" t="str">
        <f>INDEX('Справочник Сети'!B:B,(MATCH(G1862,'Справочник Сети'!C:C,0)))</f>
        <v>Ригла</v>
      </c>
      <c r="J1862" s="7" t="s">
        <v>83</v>
      </c>
      <c r="K1862" s="7" t="s">
        <v>269</v>
      </c>
      <c r="L1862" s="7" t="s">
        <v>83</v>
      </c>
      <c r="M1862" s="31">
        <v>45715</v>
      </c>
      <c r="N1862" s="7" t="s">
        <v>3794</v>
      </c>
      <c r="O1862" s="8">
        <v>461</v>
      </c>
      <c r="P1862" s="24">
        <v>7372</v>
      </c>
      <c r="Q1862" s="22">
        <f>IF(COUNTIFS(A$2:A1862,A1862,I$2:I1862,I1862)=1,1,0)</f>
        <v>0</v>
      </c>
      <c r="R1862" s="22">
        <f t="shared" si="29"/>
        <v>4</v>
      </c>
      <c r="S1862" s="33">
        <f>IF(COUNTIF(O$2:O1862,O1862)=1,R1862,0)/2.5</f>
        <v>0</v>
      </c>
    </row>
    <row r="1863" spans="1:19" ht="18" customHeight="1" x14ac:dyDescent="0.25">
      <c r="A1863" s="7" t="s">
        <v>43</v>
      </c>
      <c r="B1863" s="8">
        <v>1</v>
      </c>
      <c r="C1863" s="9">
        <v>435</v>
      </c>
      <c r="D1863" s="29">
        <f>C1863+IF(INDEX('Справочник по %'!B:B,(MATCH(A1863,'Справочник по %'!A:A,0)))="кол-во",B1863*INDEX('Справочник по %'!C:C,(MATCH(A1863,'Справочник по %'!A:A,0))),ОТЧЕТ!C1863*INDEX('Справочник по %'!C:C,(MATCH(A1863,'Справочник по %'!A:A,0))))/100</f>
        <v>478.5</v>
      </c>
      <c r="E1863" s="29">
        <f>IF(ОТЧЕТ!A1863="SKU3",C1863+ОТЧЕТ!C1863*0.2,C1863+ОТЧЕТ!C1863*0.15)</f>
        <v>500.25</v>
      </c>
      <c r="F1863" s="7" t="s">
        <v>3795</v>
      </c>
      <c r="G1863" s="7">
        <v>5024197242</v>
      </c>
      <c r="H1863" s="20" t="s">
        <v>50</v>
      </c>
      <c r="I1863" s="22" t="str">
        <f>INDEX('Справочник Сети'!B:B,(MATCH(G1863,'Справочник Сети'!C:C,0)))</f>
        <v>36,6</v>
      </c>
      <c r="J1863" s="7" t="s">
        <v>92</v>
      </c>
      <c r="K1863" s="7" t="s">
        <v>3796</v>
      </c>
      <c r="L1863" s="7" t="s">
        <v>83</v>
      </c>
      <c r="M1863" s="31">
        <v>45715</v>
      </c>
      <c r="N1863" s="7" t="s">
        <v>3797</v>
      </c>
      <c r="O1863" s="8">
        <v>3767</v>
      </c>
      <c r="P1863" s="24">
        <v>7375</v>
      </c>
      <c r="Q1863" s="22">
        <f>IF(COUNTIFS(A$2:A1863,A1863,I$2:I1863,I1863)=1,1,0)</f>
        <v>0</v>
      </c>
      <c r="R1863" s="22">
        <f t="shared" si="29"/>
        <v>3</v>
      </c>
      <c r="S1863" s="33">
        <f>IF(COUNTIF(O$2:O1863,O1863)=1,R1863,0)/2.5</f>
        <v>0</v>
      </c>
    </row>
    <row r="1864" spans="1:19" ht="18" customHeight="1" x14ac:dyDescent="0.25">
      <c r="A1864" s="7" t="s">
        <v>43</v>
      </c>
      <c r="B1864" s="8">
        <v>1</v>
      </c>
      <c r="C1864" s="9">
        <v>595</v>
      </c>
      <c r="D1864" s="29">
        <f>C1864+IF(INDEX('Справочник по %'!B:B,(MATCH(A1864,'Справочник по %'!A:A,0)))="кол-во",B1864*INDEX('Справочник по %'!C:C,(MATCH(A1864,'Справочник по %'!A:A,0))),ОТЧЕТ!C1864*INDEX('Справочник по %'!C:C,(MATCH(A1864,'Справочник по %'!A:A,0))))/100</f>
        <v>654.5</v>
      </c>
      <c r="E1864" s="29">
        <f>IF(ОТЧЕТ!A1864="SKU3",C1864+ОТЧЕТ!C1864*0.2,C1864+ОТЧЕТ!C1864*0.15)</f>
        <v>684.25</v>
      </c>
      <c r="F1864" s="7" t="s">
        <v>3798</v>
      </c>
      <c r="G1864" s="7">
        <v>7714844316</v>
      </c>
      <c r="H1864" s="20" t="s">
        <v>50</v>
      </c>
      <c r="I1864" s="22" t="str">
        <f>INDEX('Справочник Сети'!B:B,(MATCH(G1864,'Справочник Сети'!C:C,0)))</f>
        <v>Планета здоровья</v>
      </c>
      <c r="J1864" s="7" t="s">
        <v>504</v>
      </c>
      <c r="K1864" s="7" t="s">
        <v>3784</v>
      </c>
      <c r="L1864" s="7" t="s">
        <v>504</v>
      </c>
      <c r="M1864" s="31">
        <v>45690</v>
      </c>
      <c r="N1864" s="7" t="s">
        <v>3799</v>
      </c>
      <c r="O1864" s="8">
        <v>2496</v>
      </c>
      <c r="P1864" s="24">
        <v>7376</v>
      </c>
      <c r="Q1864" s="22">
        <f>IF(COUNTIFS(A$2:A1864,A1864,I$2:I1864,I1864)=1,1,0)</f>
        <v>0</v>
      </c>
      <c r="R1864" s="22">
        <f t="shared" si="29"/>
        <v>6</v>
      </c>
      <c r="S1864" s="33">
        <f>IF(COUNTIF(O$2:O1864,O1864)=1,R1864,0)/2.5</f>
        <v>0</v>
      </c>
    </row>
    <row r="1865" spans="1:19" ht="18" customHeight="1" x14ac:dyDescent="0.25">
      <c r="A1865" s="7" t="s">
        <v>43</v>
      </c>
      <c r="B1865" s="8">
        <v>1</v>
      </c>
      <c r="C1865" s="9">
        <v>378</v>
      </c>
      <c r="D1865" s="29">
        <f>C1865+IF(INDEX('Справочник по %'!B:B,(MATCH(A1865,'Справочник по %'!A:A,0)))="кол-во",B1865*INDEX('Справочник по %'!C:C,(MATCH(A1865,'Справочник по %'!A:A,0))),ОТЧЕТ!C1865*INDEX('Справочник по %'!C:C,(MATCH(A1865,'Справочник по %'!A:A,0))))/100</f>
        <v>415.8</v>
      </c>
      <c r="E1865" s="29">
        <f>IF(ОТЧЕТ!A1865="SKU3",C1865+ОТЧЕТ!C1865*0.2,C1865+ОТЧЕТ!C1865*0.15)</f>
        <v>434.7</v>
      </c>
      <c r="F1865" s="7" t="s">
        <v>3800</v>
      </c>
      <c r="G1865" s="7">
        <v>2310200444</v>
      </c>
      <c r="H1865" s="20" t="s">
        <v>69</v>
      </c>
      <c r="I1865" s="22" t="str">
        <f>INDEX('Справочник Сети'!B:B,(MATCH(G1865,'Справочник Сети'!C:C,0)))</f>
        <v>Планета здоровья</v>
      </c>
      <c r="J1865" s="7" t="s">
        <v>70</v>
      </c>
      <c r="K1865" s="7" t="s">
        <v>827</v>
      </c>
      <c r="L1865" s="7" t="s">
        <v>57</v>
      </c>
      <c r="M1865" s="31">
        <v>45729</v>
      </c>
      <c r="N1865" s="7" t="s">
        <v>3801</v>
      </c>
      <c r="O1865" s="8">
        <v>1176</v>
      </c>
      <c r="P1865" s="24">
        <v>7379</v>
      </c>
      <c r="Q1865" s="22">
        <f>IF(COUNTIFS(A$2:A1865,A1865,I$2:I1865,I1865)=1,1,0)</f>
        <v>0</v>
      </c>
      <c r="R1865" s="22">
        <f t="shared" si="29"/>
        <v>2</v>
      </c>
      <c r="S1865" s="33">
        <f>IF(COUNTIF(O$2:O1865,O1865)=1,R1865,0)/2.5</f>
        <v>0</v>
      </c>
    </row>
    <row r="1866" spans="1:19" ht="18" customHeight="1" x14ac:dyDescent="0.25">
      <c r="A1866" s="7" t="s">
        <v>43</v>
      </c>
      <c r="B1866" s="8">
        <v>1</v>
      </c>
      <c r="C1866" s="9">
        <v>398.7</v>
      </c>
      <c r="D1866" s="29">
        <f>C1866+IF(INDEX('Справочник по %'!B:B,(MATCH(A1866,'Справочник по %'!A:A,0)))="кол-во",B1866*INDEX('Справочник по %'!C:C,(MATCH(A1866,'Справочник по %'!A:A,0))),ОТЧЕТ!C1866*INDEX('Справочник по %'!C:C,(MATCH(A1866,'Справочник по %'!A:A,0))))/100</f>
        <v>438.57</v>
      </c>
      <c r="E1866" s="29">
        <f>IF(ОТЧЕТ!A1866="SKU3",C1866+ОТЧЕТ!C1866*0.2,C1866+ОТЧЕТ!C1866*0.15)</f>
        <v>458.505</v>
      </c>
      <c r="F1866" s="7" t="s">
        <v>3802</v>
      </c>
      <c r="G1866" s="7">
        <v>5321137817</v>
      </c>
      <c r="H1866" s="20" t="s">
        <v>50</v>
      </c>
      <c r="I1866" s="22" t="str">
        <f>INDEX('Справочник Сети'!B:B,(MATCH(G1866,'Справочник Сети'!C:C,0)))</f>
        <v>Ригла</v>
      </c>
      <c r="J1866" s="7" t="s">
        <v>92</v>
      </c>
      <c r="K1866" s="7" t="s">
        <v>2533</v>
      </c>
      <c r="L1866" s="7" t="s">
        <v>92</v>
      </c>
      <c r="M1866" s="31">
        <v>45714</v>
      </c>
      <c r="N1866" s="7" t="s">
        <v>3803</v>
      </c>
      <c r="O1866" s="8">
        <v>2881</v>
      </c>
      <c r="P1866" s="24">
        <v>7383</v>
      </c>
      <c r="Q1866" s="22">
        <f>IF(COUNTIFS(A$2:A1866,A1866,I$2:I1866,I1866)=1,1,0)</f>
        <v>0</v>
      </c>
      <c r="R1866" s="22">
        <f t="shared" si="29"/>
        <v>4</v>
      </c>
      <c r="S1866" s="33">
        <f>IF(COUNTIF(O$2:O1866,O1866)=1,R1866,0)/2.5</f>
        <v>0</v>
      </c>
    </row>
    <row r="1867" spans="1:19" ht="18" customHeight="1" x14ac:dyDescent="0.25">
      <c r="A1867" s="7" t="s">
        <v>43</v>
      </c>
      <c r="B1867" s="8">
        <v>1</v>
      </c>
      <c r="C1867" s="9">
        <v>362.71</v>
      </c>
      <c r="D1867" s="29">
        <f>C1867+IF(INDEX('Справочник по %'!B:B,(MATCH(A1867,'Справочник по %'!A:A,0)))="кол-во",B1867*INDEX('Справочник по %'!C:C,(MATCH(A1867,'Справочник по %'!A:A,0))),ОТЧЕТ!C1867*INDEX('Справочник по %'!C:C,(MATCH(A1867,'Справочник по %'!A:A,0))))/100</f>
        <v>398.98099999999999</v>
      </c>
      <c r="E1867" s="29">
        <f>IF(ОТЧЕТ!A1867="SKU3",C1867+ОТЧЕТ!C1867*0.2,C1867+ОТЧЕТ!C1867*0.15)</f>
        <v>417.11649999999997</v>
      </c>
      <c r="F1867" s="7" t="s">
        <v>3802</v>
      </c>
      <c r="G1867" s="7">
        <v>5321137817</v>
      </c>
      <c r="H1867" s="20" t="s">
        <v>50</v>
      </c>
      <c r="I1867" s="22" t="str">
        <f>INDEX('Справочник Сети'!B:B,(MATCH(G1867,'Справочник Сети'!C:C,0)))</f>
        <v>Ригла</v>
      </c>
      <c r="J1867" s="7" t="s">
        <v>92</v>
      </c>
      <c r="K1867" s="7" t="s">
        <v>2533</v>
      </c>
      <c r="L1867" s="7" t="s">
        <v>92</v>
      </c>
      <c r="M1867" s="31">
        <v>45714</v>
      </c>
      <c r="N1867" s="7" t="s">
        <v>3803</v>
      </c>
      <c r="O1867" s="8">
        <v>2881</v>
      </c>
      <c r="P1867" s="24">
        <v>7383</v>
      </c>
      <c r="Q1867" s="22">
        <f>IF(COUNTIFS(A$2:A1867,A1867,I$2:I1867,I1867)=1,1,0)</f>
        <v>0</v>
      </c>
      <c r="R1867" s="22">
        <f t="shared" si="29"/>
        <v>4</v>
      </c>
      <c r="S1867" s="33">
        <f>IF(COUNTIF(O$2:O1867,O1867)=1,R1867,0)/2.5</f>
        <v>0</v>
      </c>
    </row>
    <row r="1868" spans="1:19" ht="18" customHeight="1" x14ac:dyDescent="0.25">
      <c r="A1868" s="7" t="s">
        <v>37</v>
      </c>
      <c r="B1868" s="8">
        <v>1</v>
      </c>
      <c r="C1868" s="9">
        <v>452</v>
      </c>
      <c r="D1868" s="29">
        <f>C1868+IF(INDEX('Справочник по %'!B:B,(MATCH(A1868,'Справочник по %'!A:A,0)))="кол-во",B1868*INDEX('Справочник по %'!C:C,(MATCH(A1868,'Справочник по %'!A:A,0))),ОТЧЕТ!C1868*INDEX('Справочник по %'!C:C,(MATCH(A1868,'Справочник по %'!A:A,0))))/100</f>
        <v>452.2</v>
      </c>
      <c r="E1868" s="29">
        <f>IF(ОТЧЕТ!A1868="SKU3",C1868+ОТЧЕТ!C1868*0.2,C1868+ОТЧЕТ!C1868*0.15)</f>
        <v>519.79999999999995</v>
      </c>
      <c r="F1868" s="7" t="s">
        <v>3802</v>
      </c>
      <c r="G1868" s="7">
        <v>7714844316</v>
      </c>
      <c r="H1868" s="20" t="s">
        <v>50</v>
      </c>
      <c r="I1868" s="22" t="str">
        <f>INDEX('Справочник Сети'!B:B,(MATCH(G1868,'Справочник Сети'!C:C,0)))</f>
        <v>Планета здоровья</v>
      </c>
      <c r="J1868" s="7" t="s">
        <v>504</v>
      </c>
      <c r="K1868" s="7" t="s">
        <v>1849</v>
      </c>
      <c r="L1868" s="7" t="s">
        <v>504</v>
      </c>
      <c r="M1868" s="31">
        <v>45690</v>
      </c>
      <c r="N1868" s="7" t="s">
        <v>3804</v>
      </c>
      <c r="O1868" s="8">
        <v>1048</v>
      </c>
      <c r="P1868" s="24">
        <v>7387</v>
      </c>
      <c r="Q1868" s="22">
        <f>IF(COUNTIFS(A$2:A1868,A1868,I$2:I1868,I1868)=1,1,0)</f>
        <v>0</v>
      </c>
      <c r="R1868" s="22">
        <f t="shared" si="29"/>
        <v>5</v>
      </c>
      <c r="S1868" s="33">
        <f>IF(COUNTIF(O$2:O1868,O1868)=1,R1868,0)/2.5</f>
        <v>0</v>
      </c>
    </row>
    <row r="1869" spans="1:19" ht="18" customHeight="1" x14ac:dyDescent="0.25">
      <c r="A1869" s="7" t="s">
        <v>43</v>
      </c>
      <c r="B1869" s="8">
        <v>1</v>
      </c>
      <c r="C1869" s="9">
        <v>435</v>
      </c>
      <c r="D1869" s="29">
        <f>C1869+IF(INDEX('Справочник по %'!B:B,(MATCH(A1869,'Справочник по %'!A:A,0)))="кол-во",B1869*INDEX('Справочник по %'!C:C,(MATCH(A1869,'Справочник по %'!A:A,0))),ОТЧЕТ!C1869*INDEX('Справочник по %'!C:C,(MATCH(A1869,'Справочник по %'!A:A,0))))/100</f>
        <v>478.5</v>
      </c>
      <c r="E1869" s="29">
        <f>IF(ОТЧЕТ!A1869="SKU3",C1869+ОТЧЕТ!C1869*0.2,C1869+ОТЧЕТ!C1869*0.15)</f>
        <v>500.25</v>
      </c>
      <c r="F1869" s="7" t="s">
        <v>3802</v>
      </c>
      <c r="G1869" s="7">
        <v>5024197242</v>
      </c>
      <c r="H1869" s="20" t="s">
        <v>50</v>
      </c>
      <c r="I1869" s="22" t="str">
        <f>INDEX('Справочник Сети'!B:B,(MATCH(G1869,'Справочник Сети'!C:C,0)))</f>
        <v>36,6</v>
      </c>
      <c r="J1869" s="7" t="s">
        <v>92</v>
      </c>
      <c r="K1869" s="7" t="s">
        <v>3805</v>
      </c>
      <c r="L1869" s="7" t="s">
        <v>83</v>
      </c>
      <c r="M1869" s="31">
        <v>45715</v>
      </c>
      <c r="N1869" s="7" t="s">
        <v>3806</v>
      </c>
      <c r="O1869" s="8">
        <v>3767</v>
      </c>
      <c r="P1869" s="24">
        <v>7391</v>
      </c>
      <c r="Q1869" s="22">
        <f>IF(COUNTIFS(A$2:A1869,A1869,I$2:I1869,I1869)=1,1,0)</f>
        <v>0</v>
      </c>
      <c r="R1869" s="22">
        <f t="shared" si="29"/>
        <v>3</v>
      </c>
      <c r="S1869" s="33">
        <f>IF(COUNTIF(O$2:O1869,O1869)=1,R1869,0)/2.5</f>
        <v>0</v>
      </c>
    </row>
    <row r="1870" spans="1:19" ht="18" customHeight="1" x14ac:dyDescent="0.25">
      <c r="A1870" s="7" t="s">
        <v>43</v>
      </c>
      <c r="B1870" s="8">
        <v>1</v>
      </c>
      <c r="C1870" s="9">
        <v>393</v>
      </c>
      <c r="D1870" s="29">
        <f>C1870+IF(INDEX('Справочник по %'!B:B,(MATCH(A1870,'Справочник по %'!A:A,0)))="кол-во",B1870*INDEX('Справочник по %'!C:C,(MATCH(A1870,'Справочник по %'!A:A,0))),ОТЧЕТ!C1870*INDEX('Справочник по %'!C:C,(MATCH(A1870,'Справочник по %'!A:A,0))))/100</f>
        <v>432.3</v>
      </c>
      <c r="E1870" s="29">
        <f>IF(ОТЧЕТ!A1870="SKU3",C1870+ОТЧЕТ!C1870*0.2,C1870+ОТЧЕТ!C1870*0.15)</f>
        <v>451.95</v>
      </c>
      <c r="F1870" s="7" t="s">
        <v>3802</v>
      </c>
      <c r="G1870" s="7">
        <v>2721128441</v>
      </c>
      <c r="H1870" s="20" t="s">
        <v>69</v>
      </c>
      <c r="I1870" s="22">
        <f>INDEX('Справочник Сети'!B:B,(MATCH(G1870,'Справочник Сети'!C:C,0)))</f>
        <v>0</v>
      </c>
      <c r="J1870" s="7" t="s">
        <v>51</v>
      </c>
      <c r="K1870" s="7" t="s">
        <v>3807</v>
      </c>
      <c r="L1870" s="7" t="s">
        <v>46</v>
      </c>
      <c r="M1870" s="31">
        <v>45726</v>
      </c>
      <c r="N1870" s="7" t="s">
        <v>3808</v>
      </c>
      <c r="O1870" s="8">
        <v>481</v>
      </c>
      <c r="P1870" s="24">
        <v>7393</v>
      </c>
      <c r="Q1870" s="22">
        <f>IF(COUNTIFS(A$2:A1870,A1870,I$2:I1870,I1870)=1,1,0)</f>
        <v>0</v>
      </c>
      <c r="R1870" s="22">
        <f t="shared" si="29"/>
        <v>1</v>
      </c>
      <c r="S1870" s="33">
        <f>IF(COUNTIF(O$2:O1870,O1870)=1,R1870,0)/2.5</f>
        <v>0.4</v>
      </c>
    </row>
    <row r="1871" spans="1:19" ht="18" customHeight="1" x14ac:dyDescent="0.25">
      <c r="A1871" s="7" t="s">
        <v>43</v>
      </c>
      <c r="B1871" s="8">
        <v>1</v>
      </c>
      <c r="C1871" s="9">
        <v>449.32</v>
      </c>
      <c r="D1871" s="29">
        <f>C1871+IF(INDEX('Справочник по %'!B:B,(MATCH(A1871,'Справочник по %'!A:A,0)))="кол-во",B1871*INDEX('Справочник по %'!C:C,(MATCH(A1871,'Справочник по %'!A:A,0))),ОТЧЕТ!C1871*INDEX('Справочник по %'!C:C,(MATCH(A1871,'Справочник по %'!A:A,0))))/100</f>
        <v>494.25200000000001</v>
      </c>
      <c r="E1871" s="29">
        <f>IF(ОТЧЕТ!A1871="SKU3",C1871+ОТЧЕТ!C1871*0.2,C1871+ОТЧЕТ!C1871*0.15)</f>
        <v>516.71799999999996</v>
      </c>
      <c r="F1871" s="7" t="s">
        <v>3809</v>
      </c>
      <c r="G1871" s="7">
        <v>550704589807</v>
      </c>
      <c r="H1871" s="20" t="s">
        <v>50</v>
      </c>
      <c r="I1871" s="22" t="str">
        <f>INDEX('Справочник Сети'!B:B,(MATCH(G1871,'Справочник Сети'!C:C,0)))</f>
        <v>Столички</v>
      </c>
      <c r="J1871" s="7" t="s">
        <v>251</v>
      </c>
      <c r="K1871" s="7" t="s">
        <v>630</v>
      </c>
      <c r="L1871" s="7" t="s">
        <v>251</v>
      </c>
      <c r="M1871" s="31">
        <v>45659</v>
      </c>
      <c r="N1871" s="7" t="s">
        <v>3810</v>
      </c>
      <c r="O1871" s="8">
        <v>2526</v>
      </c>
      <c r="P1871" s="24">
        <v>7397</v>
      </c>
      <c r="Q1871" s="22">
        <f>IF(COUNTIFS(A$2:A1871,A1871,I$2:I1871,I1871)=1,1,0)</f>
        <v>0</v>
      </c>
      <c r="R1871" s="22">
        <f t="shared" si="29"/>
        <v>3</v>
      </c>
      <c r="S1871" s="33">
        <f>IF(COUNTIF(O$2:O1871,O1871)=1,R1871,0)/2.5</f>
        <v>0</v>
      </c>
    </row>
    <row r="1872" spans="1:19" ht="18" customHeight="1" x14ac:dyDescent="0.25">
      <c r="A1872" s="7" t="s">
        <v>43</v>
      </c>
      <c r="B1872" s="8">
        <v>1</v>
      </c>
      <c r="C1872" s="9">
        <v>395</v>
      </c>
      <c r="D1872" s="29">
        <f>C1872+IF(INDEX('Справочник по %'!B:B,(MATCH(A1872,'Справочник по %'!A:A,0)))="кол-во",B1872*INDEX('Справочник по %'!C:C,(MATCH(A1872,'Справочник по %'!A:A,0))),ОТЧЕТ!C1872*INDEX('Справочник по %'!C:C,(MATCH(A1872,'Справочник по %'!A:A,0))))/100</f>
        <v>434.5</v>
      </c>
      <c r="E1872" s="29">
        <f>IF(ОТЧЕТ!A1872="SKU3",C1872+ОТЧЕТ!C1872*0.2,C1872+ОТЧЕТ!C1872*0.15)</f>
        <v>454.25</v>
      </c>
      <c r="F1872" s="7" t="s">
        <v>3811</v>
      </c>
      <c r="G1872" s="7">
        <v>7728339546</v>
      </c>
      <c r="H1872" s="20" t="s">
        <v>410</v>
      </c>
      <c r="I1872" s="22" t="str">
        <f>INDEX('Справочник Сети'!B:B,(MATCH(G1872,'Справочник Сети'!C:C,0)))</f>
        <v>Планета здоровья</v>
      </c>
      <c r="J1872" s="7" t="s">
        <v>142</v>
      </c>
      <c r="K1872" s="7" t="s">
        <v>1169</v>
      </c>
      <c r="L1872" s="7" t="s">
        <v>142</v>
      </c>
      <c r="M1872" s="31">
        <v>45674</v>
      </c>
      <c r="N1872" s="7" t="s">
        <v>3812</v>
      </c>
      <c r="O1872" s="8">
        <v>3271</v>
      </c>
      <c r="P1872" s="24">
        <v>7400</v>
      </c>
      <c r="Q1872" s="22">
        <f>IF(COUNTIFS(A$2:A1872,A1872,I$2:I1872,I1872)=1,1,0)</f>
        <v>0</v>
      </c>
      <c r="R1872" s="22">
        <f t="shared" si="29"/>
        <v>4</v>
      </c>
      <c r="S1872" s="33">
        <f>IF(COUNTIF(O$2:O1872,O1872)=1,R1872,0)/2.5</f>
        <v>0</v>
      </c>
    </row>
    <row r="1873" spans="1:19" ht="18" customHeight="1" x14ac:dyDescent="0.25">
      <c r="A1873" s="7" t="s">
        <v>43</v>
      </c>
      <c r="B1873" s="8">
        <v>1</v>
      </c>
      <c r="C1873" s="9">
        <v>410</v>
      </c>
      <c r="D1873" s="29">
        <f>C1873+IF(INDEX('Справочник по %'!B:B,(MATCH(A1873,'Справочник по %'!A:A,0)))="кол-во",B1873*INDEX('Справочник по %'!C:C,(MATCH(A1873,'Справочник по %'!A:A,0))),ОТЧЕТ!C1873*INDEX('Справочник по %'!C:C,(MATCH(A1873,'Справочник по %'!A:A,0))))/100</f>
        <v>451</v>
      </c>
      <c r="E1873" s="29">
        <f>IF(ОТЧЕТ!A1873="SKU3",C1873+ОТЧЕТ!C1873*0.2,C1873+ОТЧЕТ!C1873*0.15)</f>
        <v>471.5</v>
      </c>
      <c r="F1873" s="7" t="s">
        <v>3811</v>
      </c>
      <c r="G1873" s="7">
        <v>7702514360</v>
      </c>
      <c r="H1873" s="20" t="s">
        <v>50</v>
      </c>
      <c r="I1873" s="22" t="str">
        <f>INDEX('Справочник Сети'!B:B,(MATCH(G1873,'Справочник Сети'!C:C,0)))</f>
        <v>Ригла</v>
      </c>
      <c r="J1873" s="7" t="s">
        <v>104</v>
      </c>
      <c r="K1873" s="7" t="s">
        <v>3813</v>
      </c>
      <c r="L1873" s="7" t="s">
        <v>104</v>
      </c>
      <c r="M1873" s="31">
        <v>45693</v>
      </c>
      <c r="N1873" s="7" t="s">
        <v>3814</v>
      </c>
      <c r="O1873" s="8">
        <v>462</v>
      </c>
      <c r="P1873" s="24">
        <v>7404</v>
      </c>
      <c r="Q1873" s="22">
        <f>IF(COUNTIFS(A$2:A1873,A1873,I$2:I1873,I1873)=1,1,0)</f>
        <v>0</v>
      </c>
      <c r="R1873" s="22">
        <f t="shared" si="29"/>
        <v>4</v>
      </c>
      <c r="S1873" s="33">
        <f>IF(COUNTIF(O$2:O1873,O1873)=1,R1873,0)/2.5</f>
        <v>0</v>
      </c>
    </row>
    <row r="1874" spans="1:19" ht="18" customHeight="1" x14ac:dyDescent="0.25">
      <c r="A1874" s="7" t="s">
        <v>43</v>
      </c>
      <c r="B1874" s="8">
        <v>1</v>
      </c>
      <c r="C1874" s="9">
        <v>395</v>
      </c>
      <c r="D1874" s="29">
        <f>C1874+IF(INDEX('Справочник по %'!B:B,(MATCH(A1874,'Справочник по %'!A:A,0)))="кол-во",B1874*INDEX('Справочник по %'!C:C,(MATCH(A1874,'Справочник по %'!A:A,0))),ОТЧЕТ!C1874*INDEX('Справочник по %'!C:C,(MATCH(A1874,'Справочник по %'!A:A,0))))/100</f>
        <v>434.5</v>
      </c>
      <c r="E1874" s="29">
        <f>IF(ОТЧЕТ!A1874="SKU3",C1874+ОТЧЕТ!C1874*0.2,C1874+ОТЧЕТ!C1874*0.15)</f>
        <v>454.25</v>
      </c>
      <c r="F1874" s="7" t="s">
        <v>3811</v>
      </c>
      <c r="G1874" s="7">
        <v>5406181780</v>
      </c>
      <c r="H1874" s="20" t="s">
        <v>50</v>
      </c>
      <c r="I1874" s="22">
        <f>INDEX('Справочник Сети'!B:B,(MATCH(G1874,'Справочник Сети'!C:C,0)))</f>
        <v>0</v>
      </c>
      <c r="J1874" s="7" t="s">
        <v>255</v>
      </c>
      <c r="K1874" s="7" t="s">
        <v>531</v>
      </c>
      <c r="L1874" s="7" t="s">
        <v>92</v>
      </c>
      <c r="M1874" s="31">
        <v>45714</v>
      </c>
      <c r="N1874" s="7" t="s">
        <v>3815</v>
      </c>
      <c r="O1874" s="8">
        <v>354</v>
      </c>
      <c r="P1874" s="24">
        <v>7405</v>
      </c>
      <c r="Q1874" s="22">
        <f>IF(COUNTIFS(A$2:A1874,A1874,I$2:I1874,I1874)=1,1,0)</f>
        <v>0</v>
      </c>
      <c r="R1874" s="22">
        <f t="shared" si="29"/>
        <v>1</v>
      </c>
      <c r="S1874" s="33">
        <f>IF(COUNTIF(O$2:O1874,O1874)=1,R1874,0)/2.5</f>
        <v>0.4</v>
      </c>
    </row>
    <row r="1875" spans="1:19" ht="18" customHeight="1" x14ac:dyDescent="0.25">
      <c r="A1875" s="7" t="s">
        <v>43</v>
      </c>
      <c r="B1875" s="8">
        <v>1</v>
      </c>
      <c r="C1875" s="9">
        <v>399.09</v>
      </c>
      <c r="D1875" s="29">
        <f>C1875+IF(INDEX('Справочник по %'!B:B,(MATCH(A1875,'Справочник по %'!A:A,0)))="кол-во",B1875*INDEX('Справочник по %'!C:C,(MATCH(A1875,'Справочник по %'!A:A,0))),ОТЧЕТ!C1875*INDEX('Справочник по %'!C:C,(MATCH(A1875,'Справочник по %'!A:A,0))))/100</f>
        <v>438.99899999999997</v>
      </c>
      <c r="E1875" s="29">
        <f>IF(ОТЧЕТ!A1875="SKU3",C1875+ОТЧЕТ!C1875*0.2,C1875+ОТЧЕТ!C1875*0.15)</f>
        <v>458.95349999999996</v>
      </c>
      <c r="F1875" s="7" t="s">
        <v>3811</v>
      </c>
      <c r="G1875" s="7">
        <v>6318162011</v>
      </c>
      <c r="H1875" s="20" t="s">
        <v>64</v>
      </c>
      <c r="I1875" s="22">
        <f>INDEX('Справочник Сети'!B:B,(MATCH(G1875,'Справочник Сети'!C:C,0)))</f>
        <v>0</v>
      </c>
      <c r="J1875" s="7" t="s">
        <v>203</v>
      </c>
      <c r="K1875" s="7" t="s">
        <v>2012</v>
      </c>
      <c r="L1875" s="7" t="s">
        <v>203</v>
      </c>
      <c r="M1875" s="31">
        <v>45696</v>
      </c>
      <c r="N1875" s="7" t="s">
        <v>3816</v>
      </c>
      <c r="O1875" s="8">
        <v>2413</v>
      </c>
      <c r="P1875" s="24">
        <v>7407</v>
      </c>
      <c r="Q1875" s="22">
        <f>IF(COUNTIFS(A$2:A1875,A1875,I$2:I1875,I1875)=1,1,0)</f>
        <v>0</v>
      </c>
      <c r="R1875" s="22">
        <f t="shared" si="29"/>
        <v>2</v>
      </c>
      <c r="S1875" s="33">
        <f>IF(COUNTIF(O$2:O1875,O1875)=1,R1875,0)/2.5</f>
        <v>0</v>
      </c>
    </row>
    <row r="1876" spans="1:19" ht="18" customHeight="1" x14ac:dyDescent="0.25">
      <c r="A1876" s="7" t="s">
        <v>43</v>
      </c>
      <c r="B1876" s="8">
        <v>1</v>
      </c>
      <c r="C1876" s="9">
        <v>327</v>
      </c>
      <c r="D1876" s="29">
        <f>C1876+IF(INDEX('Справочник по %'!B:B,(MATCH(A1876,'Справочник по %'!A:A,0)))="кол-во",B1876*INDEX('Справочник по %'!C:C,(MATCH(A1876,'Справочник по %'!A:A,0))),ОТЧЕТ!C1876*INDEX('Справочник по %'!C:C,(MATCH(A1876,'Справочник по %'!A:A,0))))/100</f>
        <v>359.7</v>
      </c>
      <c r="E1876" s="29">
        <f>IF(ОТЧЕТ!A1876="SKU3",C1876+ОТЧЕТ!C1876*0.2,C1876+ОТЧЕТ!C1876*0.15)</f>
        <v>376.05</v>
      </c>
      <c r="F1876" s="7" t="s">
        <v>3817</v>
      </c>
      <c r="G1876" s="7">
        <v>2543023195</v>
      </c>
      <c r="H1876" s="20" t="s">
        <v>39</v>
      </c>
      <c r="I1876" s="22" t="str">
        <f>INDEX('Справочник Сети'!B:B,(MATCH(G1876,'Справочник Сети'!C:C,0)))</f>
        <v>36,6</v>
      </c>
      <c r="J1876" s="7" t="s">
        <v>46</v>
      </c>
      <c r="K1876" s="7" t="s">
        <v>129</v>
      </c>
      <c r="L1876" s="7" t="s">
        <v>46</v>
      </c>
      <c r="M1876" s="31">
        <v>45726</v>
      </c>
      <c r="N1876" s="7" t="s">
        <v>3818</v>
      </c>
      <c r="O1876" s="8">
        <v>534</v>
      </c>
      <c r="P1876" s="24">
        <v>7417</v>
      </c>
      <c r="Q1876" s="22">
        <f>IF(COUNTIFS(A$2:A1876,A1876,I$2:I1876,I1876)=1,1,0)</f>
        <v>0</v>
      </c>
      <c r="R1876" s="22">
        <f t="shared" si="29"/>
        <v>3</v>
      </c>
      <c r="S1876" s="33">
        <f>IF(COUNTIF(O$2:O1876,O1876)=1,R1876,0)/2.5</f>
        <v>1.2</v>
      </c>
    </row>
    <row r="1877" spans="1:19" ht="18" customHeight="1" x14ac:dyDescent="0.25">
      <c r="A1877" s="7" t="s">
        <v>43</v>
      </c>
      <c r="B1877" s="8">
        <v>1</v>
      </c>
      <c r="C1877" s="9">
        <v>505</v>
      </c>
      <c r="D1877" s="29">
        <f>C1877+IF(INDEX('Справочник по %'!B:B,(MATCH(A1877,'Справочник по %'!A:A,0)))="кол-во",B1877*INDEX('Справочник по %'!C:C,(MATCH(A1877,'Справочник по %'!A:A,0))),ОТЧЕТ!C1877*INDEX('Справочник по %'!C:C,(MATCH(A1877,'Справочник по %'!A:A,0))))/100</f>
        <v>555.5</v>
      </c>
      <c r="E1877" s="29">
        <f>IF(ОТЧЕТ!A1877="SKU3",C1877+ОТЧЕТ!C1877*0.2,C1877+ОТЧЕТ!C1877*0.15)</f>
        <v>580.75</v>
      </c>
      <c r="F1877" s="7" t="s">
        <v>3817</v>
      </c>
      <c r="G1877" s="7">
        <v>1650103421</v>
      </c>
      <c r="H1877" s="20" t="s">
        <v>2092</v>
      </c>
      <c r="I1877" s="22" t="str">
        <f>INDEX('Справочник Сети'!B:B,(MATCH(G1877,'Справочник Сети'!C:C,0)))</f>
        <v>Ригла</v>
      </c>
      <c r="J1877" s="7" t="s">
        <v>335</v>
      </c>
      <c r="K1877" s="7" t="s">
        <v>1274</v>
      </c>
      <c r="L1877" s="7" t="s">
        <v>335</v>
      </c>
      <c r="M1877" s="31">
        <v>45731</v>
      </c>
      <c r="N1877" s="7" t="s">
        <v>3819</v>
      </c>
      <c r="O1877" s="8">
        <v>160</v>
      </c>
      <c r="P1877" s="24">
        <v>7419</v>
      </c>
      <c r="Q1877" s="22">
        <f>IF(COUNTIFS(A$2:A1877,A1877,I$2:I1877,I1877)=1,1,0)</f>
        <v>0</v>
      </c>
      <c r="R1877" s="22">
        <f t="shared" si="29"/>
        <v>1</v>
      </c>
      <c r="S1877" s="33">
        <f>IF(COUNTIF(O$2:O1877,O1877)=1,R1877,0)/2.5</f>
        <v>0.4</v>
      </c>
    </row>
    <row r="1878" spans="1:19" ht="18" customHeight="1" x14ac:dyDescent="0.25">
      <c r="A1878" s="7" t="s">
        <v>43</v>
      </c>
      <c r="B1878" s="8">
        <v>1</v>
      </c>
      <c r="C1878" s="9">
        <v>547.08000000000004</v>
      </c>
      <c r="D1878" s="29">
        <f>C1878+IF(INDEX('Справочник по %'!B:B,(MATCH(A1878,'Справочник по %'!A:A,0)))="кол-во",B1878*INDEX('Справочник по %'!C:C,(MATCH(A1878,'Справочник по %'!A:A,0))),ОТЧЕТ!C1878*INDEX('Справочник по %'!C:C,(MATCH(A1878,'Справочник по %'!A:A,0))))/100</f>
        <v>601.78800000000001</v>
      </c>
      <c r="E1878" s="29">
        <f>IF(ОТЧЕТ!A1878="SKU3",C1878+ОТЧЕТ!C1878*0.2,C1878+ОТЧЕТ!C1878*0.15)</f>
        <v>629.14200000000005</v>
      </c>
      <c r="F1878" s="7" t="s">
        <v>3820</v>
      </c>
      <c r="G1878" s="7">
        <v>550310361355</v>
      </c>
      <c r="H1878" s="20" t="s">
        <v>50</v>
      </c>
      <c r="I1878" s="22" t="str">
        <f>INDEX('Справочник Сети'!B:B,(MATCH(G1878,'Справочник Сети'!C:C,0)))</f>
        <v>Столички</v>
      </c>
      <c r="J1878" s="7" t="s">
        <v>251</v>
      </c>
      <c r="K1878" s="7" t="s">
        <v>881</v>
      </c>
      <c r="L1878" s="7" t="s">
        <v>251</v>
      </c>
      <c r="M1878" s="31">
        <v>45659</v>
      </c>
      <c r="N1878" s="7" t="s">
        <v>3821</v>
      </c>
      <c r="O1878" s="8">
        <v>1812</v>
      </c>
      <c r="P1878" s="24">
        <v>7425</v>
      </c>
      <c r="Q1878" s="22">
        <f>IF(COUNTIFS(A$2:A1878,A1878,I$2:I1878,I1878)=1,1,0)</f>
        <v>0</v>
      </c>
      <c r="R1878" s="22">
        <f t="shared" si="29"/>
        <v>1</v>
      </c>
      <c r="S1878" s="33">
        <f>IF(COUNTIF(O$2:O1878,O1878)=1,R1878,0)/2.5</f>
        <v>0.4</v>
      </c>
    </row>
    <row r="1879" spans="1:19" ht="18" customHeight="1" x14ac:dyDescent="0.25">
      <c r="A1879" s="7" t="s">
        <v>37</v>
      </c>
      <c r="B1879" s="8">
        <v>1</v>
      </c>
      <c r="C1879" s="9">
        <v>669</v>
      </c>
      <c r="D1879" s="29">
        <f>C1879+IF(INDEX('Справочник по %'!B:B,(MATCH(A1879,'Справочник по %'!A:A,0)))="кол-во",B1879*INDEX('Справочник по %'!C:C,(MATCH(A1879,'Справочник по %'!A:A,0))),ОТЧЕТ!C1879*INDEX('Справочник по %'!C:C,(MATCH(A1879,'Справочник по %'!A:A,0))))/100</f>
        <v>669.2</v>
      </c>
      <c r="E1879" s="29">
        <f>IF(ОТЧЕТ!A1879="SKU3",C1879+ОТЧЕТ!C1879*0.2,C1879+ОТЧЕТ!C1879*0.15)</f>
        <v>769.35</v>
      </c>
      <c r="F1879" s="7" t="s">
        <v>3820</v>
      </c>
      <c r="G1879" s="7">
        <v>7718698722</v>
      </c>
      <c r="H1879" s="20" t="s">
        <v>50</v>
      </c>
      <c r="I1879" s="22">
        <f>INDEX('Справочник Сети'!B:B,(MATCH(G1879,'Справочник Сети'!C:C,0)))</f>
        <v>0</v>
      </c>
      <c r="J1879" s="7" t="s">
        <v>168</v>
      </c>
      <c r="K1879" s="7" t="s">
        <v>1828</v>
      </c>
      <c r="L1879" s="7" t="s">
        <v>168</v>
      </c>
      <c r="M1879" s="31">
        <v>45676</v>
      </c>
      <c r="N1879" s="7" t="s">
        <v>3822</v>
      </c>
      <c r="O1879" s="8">
        <v>1298</v>
      </c>
      <c r="P1879" s="24">
        <v>7426</v>
      </c>
      <c r="Q1879" s="22">
        <f>IF(COUNTIFS(A$2:A1879,A1879,I$2:I1879,I1879)=1,1,0)</f>
        <v>0</v>
      </c>
      <c r="R1879" s="22">
        <f t="shared" si="29"/>
        <v>1</v>
      </c>
      <c r="S1879" s="33">
        <f>IF(COUNTIF(O$2:O1879,O1879)=1,R1879,0)/2.5</f>
        <v>0.4</v>
      </c>
    </row>
    <row r="1880" spans="1:19" ht="18" customHeight="1" x14ac:dyDescent="0.25">
      <c r="A1880" s="7" t="s">
        <v>43</v>
      </c>
      <c r="B1880" s="8">
        <v>1</v>
      </c>
      <c r="C1880" s="9">
        <v>368.69</v>
      </c>
      <c r="D1880" s="29">
        <f>C1880+IF(INDEX('Справочник по %'!B:B,(MATCH(A1880,'Справочник по %'!A:A,0)))="кол-во",B1880*INDEX('Справочник по %'!C:C,(MATCH(A1880,'Справочник по %'!A:A,0))),ОТЧЕТ!C1880*INDEX('Справочник по %'!C:C,(MATCH(A1880,'Справочник по %'!A:A,0))))/100</f>
        <v>405.55899999999997</v>
      </c>
      <c r="E1880" s="29">
        <f>IF(ОТЧЕТ!A1880="SKU3",C1880+ОТЧЕТ!C1880*0.2,C1880+ОТЧЕТ!C1880*0.15)</f>
        <v>423.99349999999998</v>
      </c>
      <c r="F1880" s="7" t="s">
        <v>3820</v>
      </c>
      <c r="G1880" s="7">
        <v>7728339546</v>
      </c>
      <c r="H1880" s="20" t="s">
        <v>3823</v>
      </c>
      <c r="I1880" s="22" t="str">
        <f>INDEX('Справочник Сети'!B:B,(MATCH(G1880,'Справочник Сети'!C:C,0)))</f>
        <v>Планета здоровья</v>
      </c>
      <c r="J1880" s="7" t="s">
        <v>142</v>
      </c>
      <c r="K1880" s="7" t="s">
        <v>1107</v>
      </c>
      <c r="L1880" s="7" t="s">
        <v>142</v>
      </c>
      <c r="M1880" s="31">
        <v>45674</v>
      </c>
      <c r="N1880" s="7" t="s">
        <v>3824</v>
      </c>
      <c r="O1880" s="8">
        <v>3172</v>
      </c>
      <c r="P1880" s="24">
        <v>7427</v>
      </c>
      <c r="Q1880" s="22">
        <f>IF(COUNTIFS(A$2:A1880,A1880,I$2:I1880,I1880)=1,1,0)</f>
        <v>0</v>
      </c>
      <c r="R1880" s="22">
        <f t="shared" si="29"/>
        <v>2</v>
      </c>
      <c r="S1880" s="33">
        <f>IF(COUNTIF(O$2:O1880,O1880)=1,R1880,0)/2.5</f>
        <v>0.8</v>
      </c>
    </row>
    <row r="1881" spans="1:19" ht="18" customHeight="1" x14ac:dyDescent="0.25">
      <c r="A1881" s="7" t="s">
        <v>43</v>
      </c>
      <c r="B1881" s="8">
        <v>1</v>
      </c>
      <c r="C1881" s="9">
        <v>368.69</v>
      </c>
      <c r="D1881" s="29">
        <f>C1881+IF(INDEX('Справочник по %'!B:B,(MATCH(A1881,'Справочник по %'!A:A,0)))="кол-во",B1881*INDEX('Справочник по %'!C:C,(MATCH(A1881,'Справочник по %'!A:A,0))),ОТЧЕТ!C1881*INDEX('Справочник по %'!C:C,(MATCH(A1881,'Справочник по %'!A:A,0))))/100</f>
        <v>405.55899999999997</v>
      </c>
      <c r="E1881" s="29">
        <f>IF(ОТЧЕТ!A1881="SKU3",C1881+ОТЧЕТ!C1881*0.2,C1881+ОТЧЕТ!C1881*0.15)</f>
        <v>423.99349999999998</v>
      </c>
      <c r="F1881" s="7" t="s">
        <v>3825</v>
      </c>
      <c r="G1881" s="7">
        <v>7728339546</v>
      </c>
      <c r="H1881" s="20" t="s">
        <v>3823</v>
      </c>
      <c r="I1881" s="22" t="str">
        <f>INDEX('Справочник Сети'!B:B,(MATCH(G1881,'Справочник Сети'!C:C,0)))</f>
        <v>Планета здоровья</v>
      </c>
      <c r="J1881" s="7" t="s">
        <v>142</v>
      </c>
      <c r="K1881" s="7" t="s">
        <v>1107</v>
      </c>
      <c r="L1881" s="7" t="s">
        <v>142</v>
      </c>
      <c r="M1881" s="31">
        <v>45674</v>
      </c>
      <c r="N1881" s="7" t="s">
        <v>3824</v>
      </c>
      <c r="O1881" s="8">
        <v>3172</v>
      </c>
      <c r="P1881" s="24">
        <v>7427</v>
      </c>
      <c r="Q1881" s="22">
        <f>IF(COUNTIFS(A$2:A1881,A1881,I$2:I1881,I1881)=1,1,0)</f>
        <v>0</v>
      </c>
      <c r="R1881" s="22">
        <f t="shared" si="29"/>
        <v>2</v>
      </c>
      <c r="S1881" s="33">
        <f>IF(COUNTIF(O$2:O1881,O1881)=1,R1881,0)/2.5</f>
        <v>0</v>
      </c>
    </row>
    <row r="1882" spans="1:19" ht="18" customHeight="1" x14ac:dyDescent="0.25">
      <c r="A1882" s="7" t="s">
        <v>43</v>
      </c>
      <c r="B1882" s="8">
        <v>1</v>
      </c>
      <c r="C1882" s="9">
        <v>540</v>
      </c>
      <c r="D1882" s="29">
        <f>C1882+IF(INDEX('Справочник по %'!B:B,(MATCH(A1882,'Справочник по %'!A:A,0)))="кол-во",B1882*INDEX('Справочник по %'!C:C,(MATCH(A1882,'Справочник по %'!A:A,0))),ОТЧЕТ!C1882*INDEX('Справочник по %'!C:C,(MATCH(A1882,'Справочник по %'!A:A,0))))/100</f>
        <v>594</v>
      </c>
      <c r="E1882" s="29">
        <f>IF(ОТЧЕТ!A1882="SKU3",C1882+ОТЧЕТ!C1882*0.2,C1882+ОТЧЕТ!C1882*0.15)</f>
        <v>621</v>
      </c>
      <c r="F1882" s="7" t="s">
        <v>3826</v>
      </c>
      <c r="G1882" s="7">
        <v>2700023857</v>
      </c>
      <c r="H1882" s="20" t="s">
        <v>50</v>
      </c>
      <c r="I1882" s="22" t="str">
        <f>INDEX('Справочник Сети'!B:B,(MATCH(G1882,'Справочник Сети'!C:C,0)))</f>
        <v>Ригла</v>
      </c>
      <c r="J1882" s="7" t="s">
        <v>46</v>
      </c>
      <c r="K1882" s="7" t="s">
        <v>3827</v>
      </c>
      <c r="L1882" s="7" t="s">
        <v>46</v>
      </c>
      <c r="M1882" s="31">
        <v>45726</v>
      </c>
      <c r="N1882" s="7" t="s">
        <v>3828</v>
      </c>
      <c r="O1882" s="8">
        <v>2246</v>
      </c>
      <c r="P1882" s="24">
        <v>7431</v>
      </c>
      <c r="Q1882" s="22">
        <f>IF(COUNTIFS(A$2:A1882,A1882,I$2:I1882,I1882)=1,1,0)</f>
        <v>0</v>
      </c>
      <c r="R1882" s="22">
        <f t="shared" si="29"/>
        <v>1</v>
      </c>
      <c r="S1882" s="33">
        <f>IF(COUNTIF(O$2:O1882,O1882)=1,R1882,0)/2.5</f>
        <v>0.4</v>
      </c>
    </row>
    <row r="1883" spans="1:19" ht="18" customHeight="1" x14ac:dyDescent="0.25">
      <c r="A1883" s="7" t="s">
        <v>43</v>
      </c>
      <c r="B1883" s="8">
        <v>1</v>
      </c>
      <c r="C1883" s="9">
        <v>449</v>
      </c>
      <c r="D1883" s="29">
        <f>C1883+IF(INDEX('Справочник по %'!B:B,(MATCH(A1883,'Справочник по %'!A:A,0)))="кол-во",B1883*INDEX('Справочник по %'!C:C,(MATCH(A1883,'Справочник по %'!A:A,0))),ОТЧЕТ!C1883*INDEX('Справочник по %'!C:C,(MATCH(A1883,'Справочник по %'!A:A,0))))/100</f>
        <v>493.9</v>
      </c>
      <c r="E1883" s="29">
        <f>IF(ОТЧЕТ!A1883="SKU3",C1883+ОТЧЕТ!C1883*0.2,C1883+ОТЧЕТ!C1883*0.15)</f>
        <v>516.35</v>
      </c>
      <c r="F1883" s="7" t="s">
        <v>3826</v>
      </c>
      <c r="G1883" s="7">
        <v>5018012052</v>
      </c>
      <c r="H1883" s="20" t="s">
        <v>50</v>
      </c>
      <c r="I1883" s="22" t="str">
        <f>INDEX('Справочник Сети'!B:B,(MATCH(G1883,'Справочник Сети'!C:C,0)))</f>
        <v>Столички</v>
      </c>
      <c r="J1883" s="7" t="s">
        <v>83</v>
      </c>
      <c r="K1883" s="7" t="s">
        <v>3829</v>
      </c>
      <c r="L1883" s="7" t="s">
        <v>83</v>
      </c>
      <c r="M1883" s="31">
        <v>45715</v>
      </c>
      <c r="N1883" s="7" t="s">
        <v>3830</v>
      </c>
      <c r="O1883" s="8">
        <v>1318</v>
      </c>
      <c r="P1883" s="24">
        <v>7433</v>
      </c>
      <c r="Q1883" s="22">
        <f>IF(COUNTIFS(A$2:A1883,A1883,I$2:I1883,I1883)=1,1,0)</f>
        <v>0</v>
      </c>
      <c r="R1883" s="22">
        <f t="shared" si="29"/>
        <v>1</v>
      </c>
      <c r="S1883" s="33">
        <f>IF(COUNTIF(O$2:O1883,O1883)=1,R1883,0)/2.5</f>
        <v>0.4</v>
      </c>
    </row>
    <row r="1884" spans="1:19" ht="18" customHeight="1" x14ac:dyDescent="0.25">
      <c r="A1884" s="7" t="s">
        <v>43</v>
      </c>
      <c r="B1884" s="8">
        <v>1</v>
      </c>
      <c r="C1884" s="9">
        <v>400.62</v>
      </c>
      <c r="D1884" s="29">
        <f>C1884+IF(INDEX('Справочник по %'!B:B,(MATCH(A1884,'Справочник по %'!A:A,0)))="кол-во",B1884*INDEX('Справочник по %'!C:C,(MATCH(A1884,'Справочник по %'!A:A,0))),ОТЧЕТ!C1884*INDEX('Справочник по %'!C:C,(MATCH(A1884,'Справочник по %'!A:A,0))))/100</f>
        <v>440.68200000000002</v>
      </c>
      <c r="E1884" s="29">
        <f>IF(ОТЧЕТ!A1884="SKU3",C1884+ОТЧЕТ!C1884*0.2,C1884+ОТЧЕТ!C1884*0.15)</f>
        <v>460.71300000000002</v>
      </c>
      <c r="F1884" s="7" t="s">
        <v>3826</v>
      </c>
      <c r="G1884" s="7">
        <v>5507102175</v>
      </c>
      <c r="H1884" s="20" t="s">
        <v>50</v>
      </c>
      <c r="I1884" s="22" t="str">
        <f>INDEX('Справочник Сети'!B:B,(MATCH(G1884,'Справочник Сети'!C:C,0)))</f>
        <v>Столички</v>
      </c>
      <c r="J1884" s="7" t="s">
        <v>255</v>
      </c>
      <c r="K1884" s="7" t="s">
        <v>3831</v>
      </c>
      <c r="L1884" s="7" t="s">
        <v>255</v>
      </c>
      <c r="M1884" s="31">
        <v>45713</v>
      </c>
      <c r="N1884" s="7" t="s">
        <v>3832</v>
      </c>
      <c r="O1884" s="8">
        <v>1363</v>
      </c>
      <c r="P1884" s="24">
        <v>7434</v>
      </c>
      <c r="Q1884" s="22">
        <f>IF(COUNTIFS(A$2:A1884,A1884,I$2:I1884,I1884)=1,1,0)</f>
        <v>0</v>
      </c>
      <c r="R1884" s="22">
        <f t="shared" si="29"/>
        <v>3</v>
      </c>
      <c r="S1884" s="33">
        <f>IF(COUNTIF(O$2:O1884,O1884)=1,R1884,0)/2.5</f>
        <v>1.2</v>
      </c>
    </row>
    <row r="1885" spans="1:19" ht="18" customHeight="1" x14ac:dyDescent="0.25">
      <c r="A1885" s="7" t="s">
        <v>43</v>
      </c>
      <c r="B1885" s="8">
        <v>1</v>
      </c>
      <c r="C1885" s="9">
        <v>481</v>
      </c>
      <c r="D1885" s="29">
        <f>C1885+IF(INDEX('Справочник по %'!B:B,(MATCH(A1885,'Справочник по %'!A:A,0)))="кол-во",B1885*INDEX('Справочник по %'!C:C,(MATCH(A1885,'Справочник по %'!A:A,0))),ОТЧЕТ!C1885*INDEX('Справочник по %'!C:C,(MATCH(A1885,'Справочник по %'!A:A,0))))/100</f>
        <v>529.1</v>
      </c>
      <c r="E1885" s="29">
        <f>IF(ОТЧЕТ!A1885="SKU3",C1885+ОТЧЕТ!C1885*0.2,C1885+ОТЧЕТ!C1885*0.15)</f>
        <v>553.15</v>
      </c>
      <c r="F1885" s="7" t="s">
        <v>3833</v>
      </c>
      <c r="G1885" s="7">
        <v>2539096225</v>
      </c>
      <c r="H1885" s="20" t="s">
        <v>3834</v>
      </c>
      <c r="I1885" s="22" t="str">
        <f>INDEX('Справочник Сети'!B:B,(MATCH(G1885,'Справочник Сети'!C:C,0)))</f>
        <v>36,6</v>
      </c>
      <c r="J1885" s="7" t="s">
        <v>46</v>
      </c>
      <c r="K1885" s="7" t="s">
        <v>2267</v>
      </c>
      <c r="L1885" s="7" t="s">
        <v>46</v>
      </c>
      <c r="M1885" s="31">
        <v>45726</v>
      </c>
      <c r="N1885" s="7" t="s">
        <v>3835</v>
      </c>
      <c r="O1885" s="8">
        <v>2192</v>
      </c>
      <c r="P1885" s="24">
        <v>7439</v>
      </c>
      <c r="Q1885" s="22">
        <f>IF(COUNTIFS(A$2:A1885,A1885,I$2:I1885,I1885)=1,1,0)</f>
        <v>0</v>
      </c>
      <c r="R1885" s="22">
        <f t="shared" si="29"/>
        <v>1</v>
      </c>
      <c r="S1885" s="33">
        <f>IF(COUNTIF(O$2:O1885,O1885)=1,R1885,0)/2.5</f>
        <v>0.4</v>
      </c>
    </row>
    <row r="1886" spans="1:19" ht="18" customHeight="1" x14ac:dyDescent="0.25">
      <c r="A1886" s="7" t="s">
        <v>43</v>
      </c>
      <c r="B1886" s="8">
        <v>1</v>
      </c>
      <c r="C1886" s="9">
        <v>401</v>
      </c>
      <c r="D1886" s="29">
        <f>C1886+IF(INDEX('Справочник по %'!B:B,(MATCH(A1886,'Справочник по %'!A:A,0)))="кол-во",B1886*INDEX('Справочник по %'!C:C,(MATCH(A1886,'Справочник по %'!A:A,0))),ОТЧЕТ!C1886*INDEX('Справочник по %'!C:C,(MATCH(A1886,'Справочник по %'!A:A,0))))/100</f>
        <v>441.1</v>
      </c>
      <c r="E1886" s="29">
        <f>IF(ОТЧЕТ!A1886="SKU3",C1886+ОТЧЕТ!C1886*0.2,C1886+ОТЧЕТ!C1886*0.15)</f>
        <v>461.15</v>
      </c>
      <c r="F1886" s="7" t="s">
        <v>3833</v>
      </c>
      <c r="G1886" s="7">
        <v>4205407651</v>
      </c>
      <c r="H1886" s="20" t="s">
        <v>820</v>
      </c>
      <c r="I1886" s="22">
        <f>INDEX('Справочник Сети'!B:B,(MATCH(G1886,'Справочник Сети'!C:C,0)))</f>
        <v>0</v>
      </c>
      <c r="J1886" s="7" t="s">
        <v>155</v>
      </c>
      <c r="K1886" s="7" t="s">
        <v>3836</v>
      </c>
      <c r="L1886" s="7" t="s">
        <v>155</v>
      </c>
      <c r="M1886" s="31">
        <v>45716</v>
      </c>
      <c r="N1886" s="7" t="s">
        <v>3837</v>
      </c>
      <c r="O1886" s="8">
        <v>1108</v>
      </c>
      <c r="P1886" s="24">
        <v>7441</v>
      </c>
      <c r="Q1886" s="22">
        <f>IF(COUNTIFS(A$2:A1886,A1886,I$2:I1886,I1886)=1,1,0)</f>
        <v>0</v>
      </c>
      <c r="R1886" s="22">
        <f t="shared" si="29"/>
        <v>3</v>
      </c>
      <c r="S1886" s="33">
        <f>IF(COUNTIF(O$2:O1886,O1886)=1,R1886,0)/2.5</f>
        <v>0</v>
      </c>
    </row>
    <row r="1887" spans="1:19" ht="18" customHeight="1" x14ac:dyDescent="0.25">
      <c r="A1887" s="7" t="s">
        <v>43</v>
      </c>
      <c r="B1887" s="8">
        <v>1</v>
      </c>
      <c r="C1887" s="9">
        <v>415</v>
      </c>
      <c r="D1887" s="29">
        <f>C1887+IF(INDEX('Справочник по %'!B:B,(MATCH(A1887,'Справочник по %'!A:A,0)))="кол-во",B1887*INDEX('Справочник по %'!C:C,(MATCH(A1887,'Справочник по %'!A:A,0))),ОТЧЕТ!C1887*INDEX('Справочник по %'!C:C,(MATCH(A1887,'Справочник по %'!A:A,0))))/100</f>
        <v>456.5</v>
      </c>
      <c r="E1887" s="29">
        <f>IF(ОТЧЕТ!A1887="SKU3",C1887+ОТЧЕТ!C1887*0.2,C1887+ОТЧЕТ!C1887*0.15)</f>
        <v>477.25</v>
      </c>
      <c r="F1887" s="7" t="s">
        <v>3838</v>
      </c>
      <c r="G1887" s="7">
        <v>2225105670</v>
      </c>
      <c r="H1887" s="20" t="s">
        <v>69</v>
      </c>
      <c r="I1887" s="22" t="str">
        <f>INDEX('Справочник Сети'!B:B,(MATCH(G1887,'Справочник Сети'!C:C,0)))</f>
        <v>Столички</v>
      </c>
      <c r="J1887" s="7" t="s">
        <v>372</v>
      </c>
      <c r="K1887" s="7" t="s">
        <v>707</v>
      </c>
      <c r="L1887" s="7" t="s">
        <v>372</v>
      </c>
      <c r="M1887" s="31">
        <v>45730</v>
      </c>
      <c r="N1887" s="7" t="s">
        <v>3839</v>
      </c>
      <c r="O1887" s="8">
        <v>176</v>
      </c>
      <c r="P1887" s="24">
        <v>7443</v>
      </c>
      <c r="Q1887" s="22">
        <f>IF(COUNTIFS(A$2:A1887,A1887,I$2:I1887,I1887)=1,1,0)</f>
        <v>0</v>
      </c>
      <c r="R1887" s="22">
        <f t="shared" si="29"/>
        <v>1</v>
      </c>
      <c r="S1887" s="33">
        <f>IF(COUNTIF(O$2:O1887,O1887)=1,R1887,0)/2.5</f>
        <v>0.4</v>
      </c>
    </row>
    <row r="1888" spans="1:19" ht="18" customHeight="1" x14ac:dyDescent="0.25">
      <c r="A1888" s="7" t="s">
        <v>43</v>
      </c>
      <c r="B1888" s="8">
        <v>1</v>
      </c>
      <c r="C1888" s="9">
        <v>411.9</v>
      </c>
      <c r="D1888" s="29">
        <f>C1888+IF(INDEX('Справочник по %'!B:B,(MATCH(A1888,'Справочник по %'!A:A,0)))="кол-во",B1888*INDEX('Справочник по %'!C:C,(MATCH(A1888,'Справочник по %'!A:A,0))),ОТЧЕТ!C1888*INDEX('Справочник по %'!C:C,(MATCH(A1888,'Справочник по %'!A:A,0))))/100</f>
        <v>453.09</v>
      </c>
      <c r="E1888" s="29">
        <f>IF(ОТЧЕТ!A1888="SKU3",C1888+ОТЧЕТ!C1888*0.2,C1888+ОТЧЕТ!C1888*0.15)</f>
        <v>473.68499999999995</v>
      </c>
      <c r="F1888" s="7" t="s">
        <v>3840</v>
      </c>
      <c r="G1888" s="7">
        <v>7204146152</v>
      </c>
      <c r="H1888" s="20" t="s">
        <v>1009</v>
      </c>
      <c r="I1888" s="22" t="str">
        <f>INDEX('Справочник Сети'!B:B,(MATCH(G1888,'Справочник Сети'!C:C,0)))</f>
        <v>36,6</v>
      </c>
      <c r="J1888" s="7" t="s">
        <v>104</v>
      </c>
      <c r="K1888" s="7" t="s">
        <v>2447</v>
      </c>
      <c r="L1888" s="7" t="s">
        <v>106</v>
      </c>
      <c r="M1888" s="31">
        <v>45694</v>
      </c>
      <c r="N1888" s="7" t="s">
        <v>3841</v>
      </c>
      <c r="O1888" s="8">
        <v>763</v>
      </c>
      <c r="P1888" s="24">
        <v>7448</v>
      </c>
      <c r="Q1888" s="22">
        <f>IF(COUNTIFS(A$2:A1888,A1888,I$2:I1888,I1888)=1,1,0)</f>
        <v>0</v>
      </c>
      <c r="R1888" s="22">
        <f t="shared" si="29"/>
        <v>2</v>
      </c>
      <c r="S1888" s="33">
        <f>IF(COUNTIF(O$2:O1888,O1888)=1,R1888,0)/2.5</f>
        <v>0</v>
      </c>
    </row>
    <row r="1889" spans="1:19" ht="18" customHeight="1" x14ac:dyDescent="0.25">
      <c r="A1889" s="7" t="s">
        <v>37</v>
      </c>
      <c r="B1889" s="8">
        <v>1</v>
      </c>
      <c r="C1889" s="9">
        <v>594</v>
      </c>
      <c r="D1889" s="29">
        <f>C1889+IF(INDEX('Справочник по %'!B:B,(MATCH(A1889,'Справочник по %'!A:A,0)))="кол-во",B1889*INDEX('Справочник по %'!C:C,(MATCH(A1889,'Справочник по %'!A:A,0))),ОТЧЕТ!C1889*INDEX('Справочник по %'!C:C,(MATCH(A1889,'Справочник по %'!A:A,0))))/100</f>
        <v>594.20000000000005</v>
      </c>
      <c r="E1889" s="29">
        <f>IF(ОТЧЕТ!A1889="SKU3",C1889+ОТЧЕТ!C1889*0.2,C1889+ОТЧЕТ!C1889*0.15)</f>
        <v>683.1</v>
      </c>
      <c r="F1889" s="7" t="s">
        <v>3842</v>
      </c>
      <c r="G1889" s="7">
        <v>7204146152</v>
      </c>
      <c r="H1889" s="20" t="s">
        <v>103</v>
      </c>
      <c r="I1889" s="22" t="str">
        <f>INDEX('Справочник Сети'!B:B,(MATCH(G1889,'Справочник Сети'!C:C,0)))</f>
        <v>36,6</v>
      </c>
      <c r="J1889" s="7" t="s">
        <v>104</v>
      </c>
      <c r="K1889" s="7" t="s">
        <v>3843</v>
      </c>
      <c r="L1889" s="7" t="s">
        <v>106</v>
      </c>
      <c r="M1889" s="31">
        <v>45694</v>
      </c>
      <c r="N1889" s="7" t="s">
        <v>3844</v>
      </c>
      <c r="O1889" s="8">
        <v>1683</v>
      </c>
      <c r="P1889" s="24">
        <v>7453</v>
      </c>
      <c r="Q1889" s="22">
        <f>IF(COUNTIFS(A$2:A1889,A1889,I$2:I1889,I1889)=1,1,0)</f>
        <v>0</v>
      </c>
      <c r="R1889" s="22">
        <f t="shared" si="29"/>
        <v>9</v>
      </c>
      <c r="S1889" s="33">
        <f>IF(COUNTIF(O$2:O1889,O1889)=1,R1889,0)/2.5</f>
        <v>0</v>
      </c>
    </row>
    <row r="1890" spans="1:19" ht="18" customHeight="1" x14ac:dyDescent="0.25">
      <c r="A1890" s="7" t="s">
        <v>43</v>
      </c>
      <c r="B1890" s="8">
        <v>1</v>
      </c>
      <c r="C1890" s="9">
        <v>410.6</v>
      </c>
      <c r="D1890" s="29">
        <f>C1890+IF(INDEX('Справочник по %'!B:B,(MATCH(A1890,'Справочник по %'!A:A,0)))="кол-во",B1890*INDEX('Справочник по %'!C:C,(MATCH(A1890,'Справочник по %'!A:A,0))),ОТЧЕТ!C1890*INDEX('Справочник по %'!C:C,(MATCH(A1890,'Справочник по %'!A:A,0))))/100</f>
        <v>451.66</v>
      </c>
      <c r="E1890" s="29">
        <f>IF(ОТЧЕТ!A1890="SKU3",C1890+ОТЧЕТ!C1890*0.2,C1890+ОТЧЕТ!C1890*0.15)</f>
        <v>472.19000000000005</v>
      </c>
      <c r="F1890" s="7" t="s">
        <v>3845</v>
      </c>
      <c r="G1890" s="7">
        <v>583500580818</v>
      </c>
      <c r="H1890" s="20" t="s">
        <v>167</v>
      </c>
      <c r="I1890" s="22" t="str">
        <f>INDEX('Справочник Сети'!B:B,(MATCH(G1890,'Справочник Сети'!C:C,0)))</f>
        <v>Ригла</v>
      </c>
      <c r="J1890" s="7" t="s">
        <v>251</v>
      </c>
      <c r="K1890" s="7" t="s">
        <v>2063</v>
      </c>
      <c r="L1890" s="7" t="s">
        <v>251</v>
      </c>
      <c r="M1890" s="31">
        <v>45659</v>
      </c>
      <c r="N1890" s="7" t="s">
        <v>3846</v>
      </c>
      <c r="O1890" s="8">
        <v>2479</v>
      </c>
      <c r="P1890" s="24">
        <v>7456</v>
      </c>
      <c r="Q1890" s="22">
        <f>IF(COUNTIFS(A$2:A1890,A1890,I$2:I1890,I1890)=1,1,0)</f>
        <v>0</v>
      </c>
      <c r="R1890" s="22">
        <f t="shared" si="29"/>
        <v>4</v>
      </c>
      <c r="S1890" s="33">
        <f>IF(COUNTIF(O$2:O1890,O1890)=1,R1890,0)/2.5</f>
        <v>0</v>
      </c>
    </row>
    <row r="1891" spans="1:19" ht="18" customHeight="1" x14ac:dyDescent="0.25">
      <c r="A1891" s="7" t="s">
        <v>37</v>
      </c>
      <c r="B1891" s="8">
        <v>1</v>
      </c>
      <c r="C1891" s="9">
        <v>640</v>
      </c>
      <c r="D1891" s="29">
        <f>C1891+IF(INDEX('Справочник по %'!B:B,(MATCH(A1891,'Справочник по %'!A:A,0)))="кол-во",B1891*INDEX('Справочник по %'!C:C,(MATCH(A1891,'Справочник по %'!A:A,0))),ОТЧЕТ!C1891*INDEX('Справочник по %'!C:C,(MATCH(A1891,'Справочник по %'!A:A,0))))/100</f>
        <v>640.20000000000005</v>
      </c>
      <c r="E1891" s="29">
        <f>IF(ОТЧЕТ!A1891="SKU3",C1891+ОТЧЕТ!C1891*0.2,C1891+ОТЧЕТ!C1891*0.15)</f>
        <v>736</v>
      </c>
      <c r="F1891" s="7" t="s">
        <v>3845</v>
      </c>
      <c r="G1891" s="7">
        <v>6673189463</v>
      </c>
      <c r="H1891" s="20" t="s">
        <v>132</v>
      </c>
      <c r="I1891" s="22" t="str">
        <f>INDEX('Справочник Сети'!B:B,(MATCH(G1891,'Справочник Сети'!C:C,0)))</f>
        <v>Нео-фарм</v>
      </c>
      <c r="J1891" s="7" t="s">
        <v>133</v>
      </c>
      <c r="K1891" s="7" t="s">
        <v>691</v>
      </c>
      <c r="L1891" s="7" t="s">
        <v>133</v>
      </c>
      <c r="M1891" s="31">
        <v>45695</v>
      </c>
      <c r="N1891" s="7" t="s">
        <v>3847</v>
      </c>
      <c r="O1891" s="8">
        <v>2068</v>
      </c>
      <c r="P1891" s="24">
        <v>7472</v>
      </c>
      <c r="Q1891" s="22">
        <f>IF(COUNTIFS(A$2:A1891,A1891,I$2:I1891,I1891)=1,1,0)</f>
        <v>0</v>
      </c>
      <c r="R1891" s="22">
        <f t="shared" si="29"/>
        <v>1</v>
      </c>
      <c r="S1891" s="33">
        <f>IF(COUNTIF(O$2:O1891,O1891)=1,R1891,0)/2.5</f>
        <v>0.4</v>
      </c>
    </row>
    <row r="1892" spans="1:19" ht="18" customHeight="1" x14ac:dyDescent="0.25">
      <c r="A1892" s="7" t="s">
        <v>37</v>
      </c>
      <c r="B1892" s="8">
        <v>1</v>
      </c>
      <c r="C1892" s="9">
        <v>710</v>
      </c>
      <c r="D1892" s="29">
        <f>C1892+IF(INDEX('Справочник по %'!B:B,(MATCH(A1892,'Справочник по %'!A:A,0)))="кол-во",B1892*INDEX('Справочник по %'!C:C,(MATCH(A1892,'Справочник по %'!A:A,0))),ОТЧЕТ!C1892*INDEX('Справочник по %'!C:C,(MATCH(A1892,'Справочник по %'!A:A,0))))/100</f>
        <v>710.2</v>
      </c>
      <c r="E1892" s="29">
        <f>IF(ОТЧЕТ!A1892="SKU3",C1892+ОТЧЕТ!C1892*0.2,C1892+ОТЧЕТ!C1892*0.15)</f>
        <v>816.5</v>
      </c>
      <c r="F1892" s="7" t="s">
        <v>3845</v>
      </c>
      <c r="G1892" s="7">
        <v>4632192826</v>
      </c>
      <c r="H1892" s="20" t="s">
        <v>3444</v>
      </c>
      <c r="I1892" s="22">
        <f>INDEX('Справочник Сети'!B:B,(MATCH(G1892,'Справочник Сети'!C:C,0)))</f>
        <v>0</v>
      </c>
      <c r="J1892" s="7" t="s">
        <v>83</v>
      </c>
      <c r="K1892" s="7" t="s">
        <v>1169</v>
      </c>
      <c r="L1892" s="7" t="s">
        <v>155</v>
      </c>
      <c r="M1892" s="31">
        <v>45716</v>
      </c>
      <c r="N1892" s="7" t="s">
        <v>3848</v>
      </c>
      <c r="O1892" s="8">
        <v>3689</v>
      </c>
      <c r="P1892" s="24">
        <v>7477</v>
      </c>
      <c r="Q1892" s="22">
        <f>IF(COUNTIFS(A$2:A1892,A1892,I$2:I1892,I1892)=1,1,0)</f>
        <v>0</v>
      </c>
      <c r="R1892" s="22">
        <f t="shared" si="29"/>
        <v>6</v>
      </c>
      <c r="S1892" s="33">
        <f>IF(COUNTIF(O$2:O1892,O1892)=1,R1892,0)/2.5</f>
        <v>0</v>
      </c>
    </row>
    <row r="1893" spans="1:19" ht="18" customHeight="1" x14ac:dyDescent="0.25">
      <c r="A1893" s="7" t="s">
        <v>43</v>
      </c>
      <c r="B1893" s="8">
        <v>1</v>
      </c>
      <c r="C1893" s="9">
        <v>427.48</v>
      </c>
      <c r="D1893" s="29">
        <f>C1893+IF(INDEX('Справочник по %'!B:B,(MATCH(A1893,'Справочник по %'!A:A,0)))="кол-во",B1893*INDEX('Справочник по %'!C:C,(MATCH(A1893,'Справочник по %'!A:A,0))),ОТЧЕТ!C1893*INDEX('Справочник по %'!C:C,(MATCH(A1893,'Справочник по %'!A:A,0))))/100</f>
        <v>470.22800000000001</v>
      </c>
      <c r="E1893" s="29">
        <f>IF(ОТЧЕТ!A1893="SKU3",C1893+ОТЧЕТ!C1893*0.2,C1893+ОТЧЕТ!C1893*0.15)</f>
        <v>491.60200000000003</v>
      </c>
      <c r="F1893" s="7" t="s">
        <v>3849</v>
      </c>
      <c r="G1893" s="7">
        <v>7840368240</v>
      </c>
      <c r="H1893" s="20" t="s">
        <v>3072</v>
      </c>
      <c r="I1893" s="22" t="str">
        <f>INDEX('Справочник Сети'!B:B,(MATCH(G1893,'Справочник Сети'!C:C,0)))</f>
        <v>Ригла</v>
      </c>
      <c r="J1893" s="7" t="s">
        <v>315</v>
      </c>
      <c r="K1893" s="7" t="s">
        <v>2848</v>
      </c>
      <c r="L1893" s="7" t="s">
        <v>121</v>
      </c>
      <c r="M1893" s="31">
        <v>45671</v>
      </c>
      <c r="N1893" s="7" t="s">
        <v>1081</v>
      </c>
      <c r="O1893" s="8">
        <v>942</v>
      </c>
      <c r="P1893" s="24">
        <v>7480</v>
      </c>
      <c r="Q1893" s="22">
        <f>IF(COUNTIFS(A$2:A1893,A1893,I$2:I1893,I1893)=1,1,0)</f>
        <v>0</v>
      </c>
      <c r="R1893" s="22">
        <f t="shared" si="29"/>
        <v>2</v>
      </c>
      <c r="S1893" s="33">
        <f>IF(COUNTIF(O$2:O1893,O1893)=1,R1893,0)/2.5</f>
        <v>0</v>
      </c>
    </row>
    <row r="1894" spans="1:19" ht="18" customHeight="1" x14ac:dyDescent="0.25">
      <c r="A1894" s="7" t="s">
        <v>43</v>
      </c>
      <c r="B1894" s="8">
        <v>1</v>
      </c>
      <c r="C1894" s="9">
        <v>446</v>
      </c>
      <c r="D1894" s="29">
        <f>C1894+IF(INDEX('Справочник по %'!B:B,(MATCH(A1894,'Справочник по %'!A:A,0)))="кол-во",B1894*INDEX('Справочник по %'!C:C,(MATCH(A1894,'Справочник по %'!A:A,0))),ОТЧЕТ!C1894*INDEX('Справочник по %'!C:C,(MATCH(A1894,'Справочник по %'!A:A,0))))/100</f>
        <v>490.6</v>
      </c>
      <c r="E1894" s="29">
        <f>IF(ОТЧЕТ!A1894="SKU3",C1894+ОТЧЕТ!C1894*0.2,C1894+ОТЧЕТ!C1894*0.15)</f>
        <v>512.9</v>
      </c>
      <c r="F1894" s="7" t="s">
        <v>3850</v>
      </c>
      <c r="G1894" s="7">
        <v>6673189456</v>
      </c>
      <c r="H1894" s="20" t="s">
        <v>132</v>
      </c>
      <c r="I1894" s="22" t="str">
        <f>INDEX('Справочник Сети'!B:B,(MATCH(G1894,'Справочник Сети'!C:C,0)))</f>
        <v>Столички</v>
      </c>
      <c r="J1894" s="7" t="s">
        <v>133</v>
      </c>
      <c r="K1894" s="7" t="s">
        <v>3851</v>
      </c>
      <c r="L1894" s="7" t="s">
        <v>133</v>
      </c>
      <c r="M1894" s="31">
        <v>45695</v>
      </c>
      <c r="N1894" s="7" t="s">
        <v>3852</v>
      </c>
      <c r="O1894" s="8">
        <v>3459</v>
      </c>
      <c r="P1894" s="24">
        <v>7482</v>
      </c>
      <c r="Q1894" s="22">
        <f>IF(COUNTIFS(A$2:A1894,A1894,I$2:I1894,I1894)=1,1,0)</f>
        <v>0</v>
      </c>
      <c r="R1894" s="22">
        <f t="shared" si="29"/>
        <v>1</v>
      </c>
      <c r="S1894" s="33">
        <f>IF(COUNTIF(O$2:O1894,O1894)=1,R1894,0)/2.5</f>
        <v>0.4</v>
      </c>
    </row>
    <row r="1895" spans="1:19" ht="18" customHeight="1" x14ac:dyDescent="0.25">
      <c r="A1895" s="7" t="s">
        <v>37</v>
      </c>
      <c r="B1895" s="8">
        <v>1</v>
      </c>
      <c r="C1895" s="9">
        <v>549</v>
      </c>
      <c r="D1895" s="29">
        <f>C1895+IF(INDEX('Справочник по %'!B:B,(MATCH(A1895,'Справочник по %'!A:A,0)))="кол-во",B1895*INDEX('Справочник по %'!C:C,(MATCH(A1895,'Справочник по %'!A:A,0))),ОТЧЕТ!C1895*INDEX('Справочник по %'!C:C,(MATCH(A1895,'Справочник по %'!A:A,0))))/100</f>
        <v>549.20000000000005</v>
      </c>
      <c r="E1895" s="29">
        <f>IF(ОТЧЕТ!A1895="SKU3",C1895+ОТЧЕТ!C1895*0.2,C1895+ОТЧЕТ!C1895*0.15)</f>
        <v>631.35</v>
      </c>
      <c r="F1895" s="7" t="s">
        <v>3853</v>
      </c>
      <c r="G1895" s="7">
        <v>5406712079</v>
      </c>
      <c r="H1895" s="20" t="s">
        <v>3854</v>
      </c>
      <c r="I1895" s="22" t="str">
        <f>INDEX('Справочник Сети'!B:B,(MATCH(G1895,'Справочник Сети'!C:C,0)))</f>
        <v>Ригла</v>
      </c>
      <c r="J1895" s="7" t="s">
        <v>255</v>
      </c>
      <c r="K1895" s="7" t="s">
        <v>3855</v>
      </c>
      <c r="L1895" s="7" t="s">
        <v>92</v>
      </c>
      <c r="M1895" s="31">
        <v>45714</v>
      </c>
      <c r="N1895" s="7" t="s">
        <v>3856</v>
      </c>
      <c r="O1895" s="8">
        <v>3622</v>
      </c>
      <c r="P1895" s="24">
        <v>7484</v>
      </c>
      <c r="Q1895" s="22">
        <f>IF(COUNTIFS(A$2:A1895,A1895,I$2:I1895,I1895)=1,1,0)</f>
        <v>0</v>
      </c>
      <c r="R1895" s="22">
        <f t="shared" si="29"/>
        <v>1</v>
      </c>
      <c r="S1895" s="33">
        <f>IF(COUNTIF(O$2:O1895,O1895)=1,R1895,0)/2.5</f>
        <v>0.4</v>
      </c>
    </row>
    <row r="1896" spans="1:19" ht="18" customHeight="1" x14ac:dyDescent="0.25">
      <c r="A1896" s="7" t="s">
        <v>43</v>
      </c>
      <c r="B1896" s="8">
        <v>1</v>
      </c>
      <c r="C1896" s="9">
        <v>436</v>
      </c>
      <c r="D1896" s="29">
        <f>C1896+IF(INDEX('Справочник по %'!B:B,(MATCH(A1896,'Справочник по %'!A:A,0)))="кол-во",B1896*INDEX('Справочник по %'!C:C,(MATCH(A1896,'Справочник по %'!A:A,0))),ОТЧЕТ!C1896*INDEX('Справочник по %'!C:C,(MATCH(A1896,'Справочник по %'!A:A,0))))/100</f>
        <v>479.6</v>
      </c>
      <c r="E1896" s="29">
        <f>IF(ОТЧЕТ!A1896="SKU3",C1896+ОТЧЕТ!C1896*0.2,C1896+ОТЧЕТ!C1896*0.15)</f>
        <v>501.4</v>
      </c>
      <c r="F1896" s="7" t="s">
        <v>3857</v>
      </c>
      <c r="G1896" s="7">
        <v>2310200444</v>
      </c>
      <c r="H1896" s="20" t="s">
        <v>69</v>
      </c>
      <c r="I1896" s="22" t="str">
        <f>INDEX('Справочник Сети'!B:B,(MATCH(G1896,'Справочник Сети'!C:C,0)))</f>
        <v>Планета здоровья</v>
      </c>
      <c r="J1896" s="7" t="s">
        <v>70</v>
      </c>
      <c r="K1896" s="7" t="s">
        <v>971</v>
      </c>
      <c r="L1896" s="7" t="s">
        <v>57</v>
      </c>
      <c r="M1896" s="31">
        <v>45729</v>
      </c>
      <c r="N1896" s="7" t="s">
        <v>3858</v>
      </c>
      <c r="O1896" s="8">
        <v>1461</v>
      </c>
      <c r="P1896" s="24">
        <v>7492</v>
      </c>
      <c r="Q1896" s="22">
        <f>IF(COUNTIFS(A$2:A1896,A1896,I$2:I1896,I1896)=1,1,0)</f>
        <v>0</v>
      </c>
      <c r="R1896" s="22">
        <f t="shared" si="29"/>
        <v>1</v>
      </c>
      <c r="S1896" s="33">
        <f>IF(COUNTIF(O$2:O1896,O1896)=1,R1896,0)/2.5</f>
        <v>0.4</v>
      </c>
    </row>
    <row r="1897" spans="1:19" ht="18" customHeight="1" x14ac:dyDescent="0.25">
      <c r="A1897" s="7" t="s">
        <v>43</v>
      </c>
      <c r="B1897" s="8">
        <v>1</v>
      </c>
      <c r="C1897" s="9">
        <v>510</v>
      </c>
      <c r="D1897" s="29">
        <f>C1897+IF(INDEX('Справочник по %'!B:B,(MATCH(A1897,'Справочник по %'!A:A,0)))="кол-во",B1897*INDEX('Справочник по %'!C:C,(MATCH(A1897,'Справочник по %'!A:A,0))),ОТЧЕТ!C1897*INDEX('Справочник по %'!C:C,(MATCH(A1897,'Справочник по %'!A:A,0))))/100</f>
        <v>561</v>
      </c>
      <c r="E1897" s="29">
        <f>IF(ОТЧЕТ!A1897="SKU3",C1897+ОТЧЕТ!C1897*0.2,C1897+ОТЧЕТ!C1897*0.15)</f>
        <v>586.5</v>
      </c>
      <c r="F1897" s="7" t="s">
        <v>3857</v>
      </c>
      <c r="G1897" s="7">
        <v>9102260029</v>
      </c>
      <c r="H1897" s="20" t="s">
        <v>1449</v>
      </c>
      <c r="I1897" s="22">
        <f>INDEX('Справочник Сети'!B:B,(MATCH(G1897,'Справочник Сети'!C:C,0)))</f>
        <v>0</v>
      </c>
      <c r="J1897" s="7" t="s">
        <v>737</v>
      </c>
      <c r="K1897" s="7" t="s">
        <v>1169</v>
      </c>
      <c r="L1897" s="7" t="s">
        <v>315</v>
      </c>
      <c r="M1897" s="31">
        <v>45670</v>
      </c>
      <c r="N1897" s="7" t="s">
        <v>3859</v>
      </c>
      <c r="O1897" s="8">
        <v>2420</v>
      </c>
      <c r="P1897" s="24">
        <v>7494</v>
      </c>
      <c r="Q1897" s="22">
        <f>IF(COUNTIFS(A$2:A1897,A1897,I$2:I1897,I1897)=1,1,0)</f>
        <v>0</v>
      </c>
      <c r="R1897" s="22">
        <f t="shared" si="29"/>
        <v>3</v>
      </c>
      <c r="S1897" s="33">
        <f>IF(COUNTIF(O$2:O1897,O1897)=1,R1897,0)/2.5</f>
        <v>0</v>
      </c>
    </row>
    <row r="1898" spans="1:19" ht="18" customHeight="1" x14ac:dyDescent="0.25">
      <c r="A1898" s="7" t="s">
        <v>43</v>
      </c>
      <c r="B1898" s="8">
        <v>1</v>
      </c>
      <c r="C1898" s="9">
        <v>496</v>
      </c>
      <c r="D1898" s="29">
        <f>C1898+IF(INDEX('Справочник по %'!B:B,(MATCH(A1898,'Справочник по %'!A:A,0)))="кол-во",B1898*INDEX('Справочник по %'!C:C,(MATCH(A1898,'Справочник по %'!A:A,0))),ОТЧЕТ!C1898*INDEX('Справочник по %'!C:C,(MATCH(A1898,'Справочник по %'!A:A,0))))/100</f>
        <v>545.6</v>
      </c>
      <c r="E1898" s="29">
        <f>IF(ОТЧЕТ!A1898="SKU3",C1898+ОТЧЕТ!C1898*0.2,C1898+ОТЧЕТ!C1898*0.15)</f>
        <v>570.4</v>
      </c>
      <c r="F1898" s="7" t="s">
        <v>3860</v>
      </c>
      <c r="G1898" s="7">
        <v>2465354616</v>
      </c>
      <c r="H1898" s="20" t="s">
        <v>2928</v>
      </c>
      <c r="I1898" s="22">
        <f>INDEX('Справочник Сети'!B:B,(MATCH(G1898,'Справочник Сети'!C:C,0)))</f>
        <v>0</v>
      </c>
      <c r="J1898" s="7" t="s">
        <v>96</v>
      </c>
      <c r="K1898" s="7" t="s">
        <v>529</v>
      </c>
      <c r="L1898" s="7" t="s">
        <v>96</v>
      </c>
      <c r="M1898" s="31">
        <v>45727</v>
      </c>
      <c r="N1898" s="7" t="s">
        <v>3861</v>
      </c>
      <c r="O1898" s="8">
        <v>173</v>
      </c>
      <c r="P1898" s="24">
        <v>7497</v>
      </c>
      <c r="Q1898" s="22">
        <f>IF(COUNTIFS(A$2:A1898,A1898,I$2:I1898,I1898)=1,1,0)</f>
        <v>0</v>
      </c>
      <c r="R1898" s="22">
        <f t="shared" si="29"/>
        <v>3</v>
      </c>
      <c r="S1898" s="33">
        <f>IF(COUNTIF(O$2:O1898,O1898)=1,R1898,0)/2.5</f>
        <v>0</v>
      </c>
    </row>
    <row r="1899" spans="1:19" ht="18" customHeight="1" x14ac:dyDescent="0.25">
      <c r="A1899" s="7" t="s">
        <v>43</v>
      </c>
      <c r="B1899" s="8">
        <v>1</v>
      </c>
      <c r="C1899" s="9">
        <v>439</v>
      </c>
      <c r="D1899" s="29">
        <f>C1899+IF(INDEX('Справочник по %'!B:B,(MATCH(A1899,'Справочник по %'!A:A,0)))="кол-во",B1899*INDEX('Справочник по %'!C:C,(MATCH(A1899,'Справочник по %'!A:A,0))),ОТЧЕТ!C1899*INDEX('Справочник по %'!C:C,(MATCH(A1899,'Справочник по %'!A:A,0))))/100</f>
        <v>482.9</v>
      </c>
      <c r="E1899" s="29">
        <f>IF(ОТЧЕТ!A1899="SKU3",C1899+ОТЧЕТ!C1899*0.2,C1899+ОТЧЕТ!C1899*0.15)</f>
        <v>504.85</v>
      </c>
      <c r="F1899" s="7" t="s">
        <v>3862</v>
      </c>
      <c r="G1899" s="7">
        <v>7724397441</v>
      </c>
      <c r="H1899" s="20" t="s">
        <v>50</v>
      </c>
      <c r="I1899" s="22">
        <f>INDEX('Справочник Сети'!B:B,(MATCH(G1899,'Справочник Сети'!C:C,0)))</f>
        <v>0</v>
      </c>
      <c r="J1899" s="7" t="s">
        <v>185</v>
      </c>
      <c r="K1899" s="7" t="s">
        <v>379</v>
      </c>
      <c r="L1899" s="7" t="s">
        <v>185</v>
      </c>
      <c r="M1899" s="31">
        <v>45675</v>
      </c>
      <c r="N1899" s="7" t="s">
        <v>3863</v>
      </c>
      <c r="O1899" s="8">
        <v>1512</v>
      </c>
      <c r="P1899" s="24">
        <v>7499</v>
      </c>
      <c r="Q1899" s="22">
        <f>IF(COUNTIFS(A$2:A1899,A1899,I$2:I1899,I1899)=1,1,0)</f>
        <v>0</v>
      </c>
      <c r="R1899" s="22">
        <f t="shared" si="29"/>
        <v>2</v>
      </c>
      <c r="S1899" s="33">
        <f>IF(COUNTIF(O$2:O1899,O1899)=1,R1899,0)/2.5</f>
        <v>0.8</v>
      </c>
    </row>
    <row r="1900" spans="1:19" ht="18" customHeight="1" x14ac:dyDescent="0.25">
      <c r="A1900" s="7" t="s">
        <v>43</v>
      </c>
      <c r="B1900" s="8">
        <v>1</v>
      </c>
      <c r="C1900" s="9">
        <v>446.8</v>
      </c>
      <c r="D1900" s="29">
        <f>C1900+IF(INDEX('Справочник по %'!B:B,(MATCH(A1900,'Справочник по %'!A:A,0)))="кол-во",B1900*INDEX('Справочник по %'!C:C,(MATCH(A1900,'Справочник по %'!A:A,0))),ОТЧЕТ!C1900*INDEX('Справочник по %'!C:C,(MATCH(A1900,'Справочник по %'!A:A,0))))/100</f>
        <v>491.48</v>
      </c>
      <c r="E1900" s="29">
        <f>IF(ОТЧЕТ!A1900="SKU3",C1900+ОТЧЕТ!C1900*0.2,C1900+ОТЧЕТ!C1900*0.15)</f>
        <v>513.82000000000005</v>
      </c>
      <c r="F1900" s="7" t="s">
        <v>3864</v>
      </c>
      <c r="G1900" s="7">
        <v>6673189463</v>
      </c>
      <c r="H1900" s="20" t="s">
        <v>132</v>
      </c>
      <c r="I1900" s="22" t="str">
        <f>INDEX('Справочник Сети'!B:B,(MATCH(G1900,'Справочник Сети'!C:C,0)))</f>
        <v>Нео-фарм</v>
      </c>
      <c r="J1900" s="7" t="s">
        <v>133</v>
      </c>
      <c r="K1900" s="7" t="s">
        <v>3865</v>
      </c>
      <c r="L1900" s="7" t="s">
        <v>133</v>
      </c>
      <c r="M1900" s="31">
        <v>45695</v>
      </c>
      <c r="N1900" s="7" t="s">
        <v>3866</v>
      </c>
      <c r="O1900" s="8">
        <v>1441</v>
      </c>
      <c r="P1900" s="24">
        <v>7500</v>
      </c>
      <c r="Q1900" s="22">
        <f>IF(COUNTIFS(A$2:A1900,A1900,I$2:I1900,I1900)=1,1,0)</f>
        <v>0</v>
      </c>
      <c r="R1900" s="22">
        <f t="shared" si="29"/>
        <v>1</v>
      </c>
      <c r="S1900" s="33">
        <f>IF(COUNTIF(O$2:O1900,O1900)=1,R1900,0)/2.5</f>
        <v>0.4</v>
      </c>
    </row>
    <row r="1901" spans="1:19" ht="18" customHeight="1" x14ac:dyDescent="0.25">
      <c r="A1901" s="7" t="s">
        <v>43</v>
      </c>
      <c r="B1901" s="8">
        <v>1</v>
      </c>
      <c r="C1901" s="9">
        <v>369</v>
      </c>
      <c r="D1901" s="29">
        <f>C1901+IF(INDEX('Справочник по %'!B:B,(MATCH(A1901,'Справочник по %'!A:A,0)))="кол-во",B1901*INDEX('Справочник по %'!C:C,(MATCH(A1901,'Справочник по %'!A:A,0))),ОТЧЕТ!C1901*INDEX('Справочник по %'!C:C,(MATCH(A1901,'Справочник по %'!A:A,0))))/100</f>
        <v>405.9</v>
      </c>
      <c r="E1901" s="29">
        <f>IF(ОТЧЕТ!A1901="SKU3",C1901+ОТЧЕТ!C1901*0.2,C1901+ОТЧЕТ!C1901*0.15)</f>
        <v>424.35</v>
      </c>
      <c r="F1901" s="7" t="s">
        <v>3864</v>
      </c>
      <c r="G1901" s="7">
        <v>6454125393</v>
      </c>
      <c r="H1901" s="20" t="s">
        <v>50</v>
      </c>
      <c r="I1901" s="22">
        <f>INDEX('Справочник Сети'!B:B,(MATCH(G1901,'Справочник Сети'!C:C,0)))</f>
        <v>0</v>
      </c>
      <c r="J1901" s="7" t="s">
        <v>133</v>
      </c>
      <c r="K1901" s="7" t="s">
        <v>1482</v>
      </c>
      <c r="L1901" s="7" t="s">
        <v>133</v>
      </c>
      <c r="M1901" s="31">
        <v>45695</v>
      </c>
      <c r="N1901" s="7" t="s">
        <v>3867</v>
      </c>
      <c r="O1901" s="8">
        <v>1996</v>
      </c>
      <c r="P1901" s="24">
        <v>7505</v>
      </c>
      <c r="Q1901" s="22">
        <f>IF(COUNTIFS(A$2:A1901,A1901,I$2:I1901,I1901)=1,1,0)</f>
        <v>0</v>
      </c>
      <c r="R1901" s="22">
        <f t="shared" si="29"/>
        <v>1</v>
      </c>
      <c r="S1901" s="33">
        <f>IF(COUNTIF(O$2:O1901,O1901)=1,R1901,0)/2.5</f>
        <v>0.4</v>
      </c>
    </row>
    <row r="1902" spans="1:19" ht="18" customHeight="1" x14ac:dyDescent="0.25">
      <c r="A1902" s="7" t="s">
        <v>43</v>
      </c>
      <c r="B1902" s="8">
        <v>1</v>
      </c>
      <c r="C1902" s="9">
        <v>447</v>
      </c>
      <c r="D1902" s="29">
        <f>C1902+IF(INDEX('Справочник по %'!B:B,(MATCH(A1902,'Справочник по %'!A:A,0)))="кол-во",B1902*INDEX('Справочник по %'!C:C,(MATCH(A1902,'Справочник по %'!A:A,0))),ОТЧЕТ!C1902*INDEX('Справочник по %'!C:C,(MATCH(A1902,'Справочник по %'!A:A,0))))/100</f>
        <v>491.7</v>
      </c>
      <c r="E1902" s="29">
        <f>IF(ОТЧЕТ!A1902="SKU3",C1902+ОТЧЕТ!C1902*0.2,C1902+ОТЧЕТ!C1902*0.15)</f>
        <v>514.04999999999995</v>
      </c>
      <c r="F1902" s="7" t="s">
        <v>3864</v>
      </c>
      <c r="G1902" s="7">
        <v>7709068298</v>
      </c>
      <c r="H1902" s="20" t="s">
        <v>3868</v>
      </c>
      <c r="I1902" s="22" t="str">
        <f>INDEX('Справочник Сети'!B:B,(MATCH(G1902,'Справочник Сети'!C:C,0)))</f>
        <v>36,6</v>
      </c>
      <c r="J1902" s="7" t="s">
        <v>504</v>
      </c>
      <c r="K1902" s="7" t="s">
        <v>249</v>
      </c>
      <c r="L1902" s="7" t="s">
        <v>504</v>
      </c>
      <c r="M1902" s="31">
        <v>45690</v>
      </c>
      <c r="N1902" s="7" t="s">
        <v>3869</v>
      </c>
      <c r="O1902" s="8">
        <v>1320</v>
      </c>
      <c r="P1902" s="24">
        <v>7511</v>
      </c>
      <c r="Q1902" s="22">
        <f>IF(COUNTIFS(A$2:A1902,A1902,I$2:I1902,I1902)=1,1,0)</f>
        <v>0</v>
      </c>
      <c r="R1902" s="22">
        <f t="shared" si="29"/>
        <v>1</v>
      </c>
      <c r="S1902" s="33">
        <f>IF(COUNTIF(O$2:O1902,O1902)=1,R1902,0)/2.5</f>
        <v>0.4</v>
      </c>
    </row>
    <row r="1903" spans="1:19" ht="18" customHeight="1" x14ac:dyDescent="0.25">
      <c r="A1903" s="7" t="s">
        <v>43</v>
      </c>
      <c r="B1903" s="8">
        <v>1</v>
      </c>
      <c r="C1903" s="9">
        <v>349.02</v>
      </c>
      <c r="D1903" s="29">
        <f>C1903+IF(INDEX('Справочник по %'!B:B,(MATCH(A1903,'Справочник по %'!A:A,0)))="кол-во",B1903*INDEX('Справочник по %'!C:C,(MATCH(A1903,'Справочник по %'!A:A,0))),ОТЧЕТ!C1903*INDEX('Справочник по %'!C:C,(MATCH(A1903,'Справочник по %'!A:A,0))))/100</f>
        <v>383.92199999999997</v>
      </c>
      <c r="E1903" s="29">
        <f>IF(ОТЧЕТ!A1903="SKU3",C1903+ОТЧЕТ!C1903*0.2,C1903+ОТЧЕТ!C1903*0.15)</f>
        <v>401.37299999999999</v>
      </c>
      <c r="F1903" s="7" t="s">
        <v>3864</v>
      </c>
      <c r="G1903" s="7">
        <v>7732121736</v>
      </c>
      <c r="H1903" s="20" t="s">
        <v>2028</v>
      </c>
      <c r="I1903" s="22" t="str">
        <f>INDEX('Справочник Сети'!B:B,(MATCH(G1903,'Справочник Сети'!C:C,0)))</f>
        <v>Планета здоровья</v>
      </c>
      <c r="J1903" s="7" t="s">
        <v>149</v>
      </c>
      <c r="K1903" s="7" t="s">
        <v>1967</v>
      </c>
      <c r="L1903" s="7" t="s">
        <v>149</v>
      </c>
      <c r="M1903" s="31">
        <v>45673</v>
      </c>
      <c r="N1903" s="7" t="s">
        <v>3870</v>
      </c>
      <c r="O1903" s="8">
        <v>3101</v>
      </c>
      <c r="P1903" s="24">
        <v>7512</v>
      </c>
      <c r="Q1903" s="22">
        <f>IF(COUNTIFS(A$2:A1903,A1903,I$2:I1903,I1903)=1,1,0)</f>
        <v>0</v>
      </c>
      <c r="R1903" s="22">
        <f t="shared" si="29"/>
        <v>2</v>
      </c>
      <c r="S1903" s="33">
        <f>IF(COUNTIF(O$2:O1903,O1903)=1,R1903,0)/2.5</f>
        <v>0</v>
      </c>
    </row>
    <row r="1904" spans="1:19" ht="18" customHeight="1" x14ac:dyDescent="0.25">
      <c r="A1904" s="7" t="s">
        <v>43</v>
      </c>
      <c r="B1904" s="8">
        <v>1</v>
      </c>
      <c r="C1904" s="9">
        <v>441</v>
      </c>
      <c r="D1904" s="29">
        <f>C1904+IF(INDEX('Справочник по %'!B:B,(MATCH(A1904,'Справочник по %'!A:A,0)))="кол-во",B1904*INDEX('Справочник по %'!C:C,(MATCH(A1904,'Справочник по %'!A:A,0))),ОТЧЕТ!C1904*INDEX('Справочник по %'!C:C,(MATCH(A1904,'Справочник по %'!A:A,0))))/100</f>
        <v>485.1</v>
      </c>
      <c r="E1904" s="29">
        <f>IF(ОТЧЕТ!A1904="SKU3",C1904+ОТЧЕТ!C1904*0.2,C1904+ОТЧЕТ!C1904*0.15)</f>
        <v>507.15</v>
      </c>
      <c r="F1904" s="7" t="s">
        <v>3864</v>
      </c>
      <c r="G1904" s="7">
        <v>7801162790</v>
      </c>
      <c r="H1904" s="20" t="s">
        <v>50</v>
      </c>
      <c r="I1904" s="22" t="str">
        <f>INDEX('Справочник Сети'!B:B,(MATCH(G1904,'Справочник Сети'!C:C,0)))</f>
        <v>Ригла</v>
      </c>
      <c r="J1904" s="7" t="s">
        <v>353</v>
      </c>
      <c r="K1904" s="7" t="s">
        <v>332</v>
      </c>
      <c r="L1904" s="7" t="s">
        <v>353</v>
      </c>
      <c r="M1904" s="31">
        <v>45672</v>
      </c>
      <c r="N1904" s="7" t="s">
        <v>3871</v>
      </c>
      <c r="O1904" s="8">
        <v>1635</v>
      </c>
      <c r="P1904" s="24">
        <v>7516</v>
      </c>
      <c r="Q1904" s="22">
        <f>IF(COUNTIFS(A$2:A1904,A1904,I$2:I1904,I1904)=1,1,0)</f>
        <v>0</v>
      </c>
      <c r="R1904" s="22">
        <f t="shared" si="29"/>
        <v>2</v>
      </c>
      <c r="S1904" s="33">
        <f>IF(COUNTIF(O$2:O1904,O1904)=1,R1904,0)/2.5</f>
        <v>0</v>
      </c>
    </row>
    <row r="1905" spans="1:19" ht="18" customHeight="1" x14ac:dyDescent="0.25">
      <c r="A1905" s="7" t="s">
        <v>43</v>
      </c>
      <c r="B1905" s="8">
        <v>1</v>
      </c>
      <c r="C1905" s="9">
        <v>434.96</v>
      </c>
      <c r="D1905" s="29">
        <f>C1905+IF(INDEX('Справочник по %'!B:B,(MATCH(A1905,'Справочник по %'!A:A,0)))="кол-во",B1905*INDEX('Справочник по %'!C:C,(MATCH(A1905,'Справочник по %'!A:A,0))),ОТЧЕТ!C1905*INDEX('Справочник по %'!C:C,(MATCH(A1905,'Справочник по %'!A:A,0))))/100</f>
        <v>478.45599999999996</v>
      </c>
      <c r="E1905" s="29">
        <f>IF(ОТЧЕТ!A1905="SKU3",C1905+ОТЧЕТ!C1905*0.2,C1905+ОТЧЕТ!C1905*0.15)</f>
        <v>500.20399999999995</v>
      </c>
      <c r="F1905" s="7" t="s">
        <v>3872</v>
      </c>
      <c r="G1905" s="7">
        <v>6674334297</v>
      </c>
      <c r="H1905" s="20" t="s">
        <v>3659</v>
      </c>
      <c r="I1905" s="22">
        <f>INDEX('Справочник Сети'!B:B,(MATCH(G1905,'Справочник Сети'!C:C,0)))</f>
        <v>0</v>
      </c>
      <c r="J1905" s="7" t="s">
        <v>106</v>
      </c>
      <c r="K1905" s="7" t="s">
        <v>1407</v>
      </c>
      <c r="L1905" s="7" t="s">
        <v>133</v>
      </c>
      <c r="M1905" s="31">
        <v>45695</v>
      </c>
      <c r="N1905" s="7" t="s">
        <v>3873</v>
      </c>
      <c r="O1905" s="8">
        <v>1086</v>
      </c>
      <c r="P1905" s="24">
        <v>7519</v>
      </c>
      <c r="Q1905" s="22">
        <f>IF(COUNTIFS(A$2:A1905,A1905,I$2:I1905,I1905)=1,1,0)</f>
        <v>0</v>
      </c>
      <c r="R1905" s="22">
        <f t="shared" si="29"/>
        <v>3</v>
      </c>
      <c r="S1905" s="33">
        <f>IF(COUNTIF(O$2:O1905,O1905)=1,R1905,0)/2.5</f>
        <v>0</v>
      </c>
    </row>
    <row r="1906" spans="1:19" ht="18" customHeight="1" x14ac:dyDescent="0.25">
      <c r="A1906" s="7" t="s">
        <v>43</v>
      </c>
      <c r="B1906" s="8">
        <v>1</v>
      </c>
      <c r="C1906" s="9">
        <v>453</v>
      </c>
      <c r="D1906" s="29">
        <f>C1906+IF(INDEX('Справочник по %'!B:B,(MATCH(A1906,'Справочник по %'!A:A,0)))="кол-во",B1906*INDEX('Справочник по %'!C:C,(MATCH(A1906,'Справочник по %'!A:A,0))),ОТЧЕТ!C1906*INDEX('Справочник по %'!C:C,(MATCH(A1906,'Справочник по %'!A:A,0))))/100</f>
        <v>498.3</v>
      </c>
      <c r="E1906" s="29">
        <f>IF(ОТЧЕТ!A1906="SKU3",C1906+ОТЧЕТ!C1906*0.2,C1906+ОТЧЕТ!C1906*0.15)</f>
        <v>520.95000000000005</v>
      </c>
      <c r="F1906" s="7" t="s">
        <v>3874</v>
      </c>
      <c r="G1906" s="7">
        <v>7705947629</v>
      </c>
      <c r="H1906" s="20" t="s">
        <v>50</v>
      </c>
      <c r="I1906" s="22" t="str">
        <f>INDEX('Справочник Сети'!B:B,(MATCH(G1906,'Справочник Сети'!C:C,0)))</f>
        <v>36,6</v>
      </c>
      <c r="J1906" s="7" t="s">
        <v>116</v>
      </c>
      <c r="K1906" s="7" t="s">
        <v>1209</v>
      </c>
      <c r="L1906" s="7" t="s">
        <v>104</v>
      </c>
      <c r="M1906" s="31">
        <v>45693</v>
      </c>
      <c r="N1906" s="7" t="s">
        <v>3875</v>
      </c>
      <c r="O1906" s="8">
        <v>2985</v>
      </c>
      <c r="P1906" s="24">
        <v>7520</v>
      </c>
      <c r="Q1906" s="22">
        <f>IF(COUNTIFS(A$2:A1906,A1906,I$2:I1906,I1906)=1,1,0)</f>
        <v>0</v>
      </c>
      <c r="R1906" s="22">
        <f t="shared" si="29"/>
        <v>1</v>
      </c>
      <c r="S1906" s="33">
        <f>IF(COUNTIF(O$2:O1906,O1906)=1,R1906,0)/2.5</f>
        <v>0.4</v>
      </c>
    </row>
    <row r="1907" spans="1:19" ht="18" customHeight="1" x14ac:dyDescent="0.25">
      <c r="A1907" s="7" t="s">
        <v>37</v>
      </c>
      <c r="B1907" s="8">
        <v>1</v>
      </c>
      <c r="C1907" s="9">
        <v>549</v>
      </c>
      <c r="D1907" s="29">
        <f>C1907+IF(INDEX('Справочник по %'!B:B,(MATCH(A1907,'Справочник по %'!A:A,0)))="кол-во",B1907*INDEX('Справочник по %'!C:C,(MATCH(A1907,'Справочник по %'!A:A,0))),ОТЧЕТ!C1907*INDEX('Справочник по %'!C:C,(MATCH(A1907,'Справочник по %'!A:A,0))))/100</f>
        <v>549.20000000000005</v>
      </c>
      <c r="E1907" s="29">
        <f>IF(ОТЧЕТ!A1907="SKU3",C1907+ОТЧЕТ!C1907*0.2,C1907+ОТЧЕТ!C1907*0.15)</f>
        <v>631.35</v>
      </c>
      <c r="F1907" s="7" t="s">
        <v>3876</v>
      </c>
      <c r="G1907" s="7">
        <v>7706795062</v>
      </c>
      <c r="H1907" s="20" t="s">
        <v>233</v>
      </c>
      <c r="I1907" s="22" t="str">
        <f>INDEX('Справочник Сети'!B:B,(MATCH(G1907,'Справочник Сети'!C:C,0)))</f>
        <v>Планета здоровья</v>
      </c>
      <c r="J1907" s="7" t="s">
        <v>87</v>
      </c>
      <c r="K1907" s="7" t="s">
        <v>3053</v>
      </c>
      <c r="L1907" s="7" t="s">
        <v>87</v>
      </c>
      <c r="M1907" s="31">
        <v>45691</v>
      </c>
      <c r="N1907" s="7" t="s">
        <v>3877</v>
      </c>
      <c r="O1907" s="8">
        <v>1796</v>
      </c>
      <c r="P1907" s="24">
        <v>7522</v>
      </c>
      <c r="Q1907" s="22">
        <f>IF(COUNTIFS(A$2:A1907,A1907,I$2:I1907,I1907)=1,1,0)</f>
        <v>0</v>
      </c>
      <c r="R1907" s="22">
        <f t="shared" si="29"/>
        <v>8</v>
      </c>
      <c r="S1907" s="33">
        <f>IF(COUNTIF(O$2:O1907,O1907)=1,R1907,0)/2.5</f>
        <v>0</v>
      </c>
    </row>
    <row r="1908" spans="1:19" ht="18" customHeight="1" x14ac:dyDescent="0.25">
      <c r="A1908" s="7" t="s">
        <v>43</v>
      </c>
      <c r="B1908" s="8">
        <v>1</v>
      </c>
      <c r="C1908" s="9">
        <v>480.53</v>
      </c>
      <c r="D1908" s="29">
        <f>C1908+IF(INDEX('Справочник по %'!B:B,(MATCH(A1908,'Справочник по %'!A:A,0)))="кол-во",B1908*INDEX('Справочник по %'!C:C,(MATCH(A1908,'Справочник по %'!A:A,0))),ОТЧЕТ!C1908*INDEX('Справочник по %'!C:C,(MATCH(A1908,'Справочник по %'!A:A,0))))/100</f>
        <v>528.58299999999997</v>
      </c>
      <c r="E1908" s="29">
        <f>IF(ОТЧЕТ!A1908="SKU3",C1908+ОТЧЕТ!C1908*0.2,C1908+ОТЧЕТ!C1908*0.15)</f>
        <v>552.60950000000003</v>
      </c>
      <c r="F1908" s="7" t="s">
        <v>3878</v>
      </c>
      <c r="G1908" s="7">
        <v>7705947629</v>
      </c>
      <c r="H1908" s="20" t="s">
        <v>50</v>
      </c>
      <c r="I1908" s="22" t="str">
        <f>INDEX('Справочник Сети'!B:B,(MATCH(G1908,'Справочник Сети'!C:C,0)))</f>
        <v>36,6</v>
      </c>
      <c r="J1908" s="7" t="s">
        <v>116</v>
      </c>
      <c r="K1908" s="7" t="s">
        <v>2412</v>
      </c>
      <c r="L1908" s="7" t="s">
        <v>116</v>
      </c>
      <c r="M1908" s="31">
        <v>45692</v>
      </c>
      <c r="N1908" s="7" t="s">
        <v>3879</v>
      </c>
      <c r="O1908" s="8">
        <v>3756</v>
      </c>
      <c r="P1908" s="24">
        <v>7523</v>
      </c>
      <c r="Q1908" s="22">
        <f>IF(COUNTIFS(A$2:A1908,A1908,I$2:I1908,I1908)=1,1,0)</f>
        <v>0</v>
      </c>
      <c r="R1908" s="22">
        <f t="shared" si="29"/>
        <v>4</v>
      </c>
      <c r="S1908" s="33">
        <f>IF(COUNTIF(O$2:O1908,O1908)=1,R1908,0)/2.5</f>
        <v>0</v>
      </c>
    </row>
    <row r="1909" spans="1:19" ht="18" customHeight="1" x14ac:dyDescent="0.25">
      <c r="A1909" s="7" t="s">
        <v>37</v>
      </c>
      <c r="B1909" s="8">
        <v>1</v>
      </c>
      <c r="C1909" s="9">
        <v>551</v>
      </c>
      <c r="D1909" s="29">
        <f>C1909+IF(INDEX('Справочник по %'!B:B,(MATCH(A1909,'Справочник по %'!A:A,0)))="кол-во",B1909*INDEX('Справочник по %'!C:C,(MATCH(A1909,'Справочник по %'!A:A,0))),ОТЧЕТ!C1909*INDEX('Справочник по %'!C:C,(MATCH(A1909,'Справочник по %'!A:A,0))))/100</f>
        <v>551.20000000000005</v>
      </c>
      <c r="E1909" s="29">
        <f>IF(ОТЧЕТ!A1909="SKU3",C1909+ОТЧЕТ!C1909*0.2,C1909+ОТЧЕТ!C1909*0.15)</f>
        <v>633.65</v>
      </c>
      <c r="F1909" s="7" t="s">
        <v>3880</v>
      </c>
      <c r="G1909" s="7">
        <v>7728339546</v>
      </c>
      <c r="H1909" s="20" t="s">
        <v>3881</v>
      </c>
      <c r="I1909" s="22" t="str">
        <f>INDEX('Справочник Сети'!B:B,(MATCH(G1909,'Справочник Сети'!C:C,0)))</f>
        <v>Планета здоровья</v>
      </c>
      <c r="J1909" s="7" t="s">
        <v>142</v>
      </c>
      <c r="K1909" s="7" t="s">
        <v>1453</v>
      </c>
      <c r="L1909" s="7" t="s">
        <v>142</v>
      </c>
      <c r="M1909" s="31">
        <v>45674</v>
      </c>
      <c r="N1909" s="7" t="s">
        <v>3882</v>
      </c>
      <c r="O1909" s="8">
        <v>1581</v>
      </c>
      <c r="P1909" s="24">
        <v>7525</v>
      </c>
      <c r="Q1909" s="22">
        <f>IF(COUNTIFS(A$2:A1909,A1909,I$2:I1909,I1909)=1,1,0)</f>
        <v>0</v>
      </c>
      <c r="R1909" s="22">
        <f t="shared" si="29"/>
        <v>1</v>
      </c>
      <c r="S1909" s="33">
        <f>IF(COUNTIF(O$2:O1909,O1909)=1,R1909,0)/2.5</f>
        <v>0.4</v>
      </c>
    </row>
    <row r="1910" spans="1:19" ht="18" customHeight="1" x14ac:dyDescent="0.25">
      <c r="A1910" s="7" t="s">
        <v>43</v>
      </c>
      <c r="B1910" s="8">
        <v>1</v>
      </c>
      <c r="C1910" s="9">
        <v>484</v>
      </c>
      <c r="D1910" s="29">
        <f>C1910+IF(INDEX('Справочник по %'!B:B,(MATCH(A1910,'Справочник по %'!A:A,0)))="кол-во",B1910*INDEX('Справочник по %'!C:C,(MATCH(A1910,'Справочник по %'!A:A,0))),ОТЧЕТ!C1910*INDEX('Справочник по %'!C:C,(MATCH(A1910,'Справочник по %'!A:A,0))))/100</f>
        <v>532.4</v>
      </c>
      <c r="E1910" s="29">
        <f>IF(ОТЧЕТ!A1910="SKU3",C1910+ОТЧЕТ!C1910*0.2,C1910+ОТЧЕТ!C1910*0.15)</f>
        <v>556.6</v>
      </c>
      <c r="F1910" s="7" t="s">
        <v>3880</v>
      </c>
      <c r="G1910" s="7">
        <v>5009127201</v>
      </c>
      <c r="H1910" s="20" t="s">
        <v>50</v>
      </c>
      <c r="I1910" s="22">
        <f>INDEX('Справочник Сети'!B:B,(MATCH(G1910,'Справочник Сети'!C:C,0)))</f>
        <v>0</v>
      </c>
      <c r="J1910" s="7" t="s">
        <v>83</v>
      </c>
      <c r="K1910" s="7" t="s">
        <v>172</v>
      </c>
      <c r="L1910" s="7" t="s">
        <v>83</v>
      </c>
      <c r="M1910" s="31">
        <v>45715</v>
      </c>
      <c r="N1910" s="7" t="s">
        <v>3883</v>
      </c>
      <c r="O1910" s="8">
        <v>1707</v>
      </c>
      <c r="P1910" s="24">
        <v>7528</v>
      </c>
      <c r="Q1910" s="22">
        <f>IF(COUNTIFS(A$2:A1910,A1910,I$2:I1910,I1910)=1,1,0)</f>
        <v>0</v>
      </c>
      <c r="R1910" s="22">
        <f t="shared" si="29"/>
        <v>1</v>
      </c>
      <c r="S1910" s="33">
        <f>IF(COUNTIF(O$2:O1910,O1910)=1,R1910,0)/2.5</f>
        <v>0.4</v>
      </c>
    </row>
    <row r="1911" spans="1:19" ht="18" customHeight="1" x14ac:dyDescent="0.25">
      <c r="A1911" s="7" t="s">
        <v>43</v>
      </c>
      <c r="B1911" s="8">
        <v>1</v>
      </c>
      <c r="C1911" s="9">
        <v>388.3</v>
      </c>
      <c r="D1911" s="29">
        <f>C1911+IF(INDEX('Справочник по %'!B:B,(MATCH(A1911,'Справочник по %'!A:A,0)))="кол-во",B1911*INDEX('Справочник по %'!C:C,(MATCH(A1911,'Справочник по %'!A:A,0))),ОТЧЕТ!C1911*INDEX('Справочник по %'!C:C,(MATCH(A1911,'Справочник по %'!A:A,0))))/100</f>
        <v>427.13</v>
      </c>
      <c r="E1911" s="29">
        <f>IF(ОТЧЕТ!A1911="SKU3",C1911+ОТЧЕТ!C1911*0.2,C1911+ОТЧЕТ!C1911*0.15)</f>
        <v>446.54500000000002</v>
      </c>
      <c r="F1911" s="7" t="s">
        <v>3884</v>
      </c>
      <c r="G1911" s="7">
        <v>7840411560</v>
      </c>
      <c r="H1911" s="20" t="s">
        <v>1193</v>
      </c>
      <c r="I1911" s="22" t="str">
        <f>INDEX('Справочник Сети'!B:B,(MATCH(G1911,'Справочник Сети'!C:C,0)))</f>
        <v>Столички</v>
      </c>
      <c r="J1911" s="7" t="s">
        <v>315</v>
      </c>
      <c r="K1911" s="7" t="s">
        <v>2441</v>
      </c>
      <c r="L1911" s="7" t="s">
        <v>315</v>
      </c>
      <c r="M1911" s="31">
        <v>45670</v>
      </c>
      <c r="N1911" s="7" t="s">
        <v>3885</v>
      </c>
      <c r="O1911" s="8">
        <v>720</v>
      </c>
      <c r="P1911" s="24">
        <v>7532</v>
      </c>
      <c r="Q1911" s="22">
        <f>IF(COUNTIFS(A$2:A1911,A1911,I$2:I1911,I1911)=1,1,0)</f>
        <v>0</v>
      </c>
      <c r="R1911" s="22">
        <f t="shared" si="29"/>
        <v>3</v>
      </c>
      <c r="S1911" s="33">
        <f>IF(COUNTIF(O$2:O1911,O1911)=1,R1911,0)/2.5</f>
        <v>0</v>
      </c>
    </row>
    <row r="1912" spans="1:19" ht="18" customHeight="1" x14ac:dyDescent="0.25">
      <c r="A1912" s="7" t="s">
        <v>37</v>
      </c>
      <c r="B1912" s="8">
        <v>1</v>
      </c>
      <c r="C1912" s="9">
        <v>645.04999999999995</v>
      </c>
      <c r="D1912" s="29">
        <f>C1912+IF(INDEX('Справочник по %'!B:B,(MATCH(A1912,'Справочник по %'!A:A,0)))="кол-во",B1912*INDEX('Справочник по %'!C:C,(MATCH(A1912,'Справочник по %'!A:A,0))),ОТЧЕТ!C1912*INDEX('Справочник по %'!C:C,(MATCH(A1912,'Справочник по %'!A:A,0))))/100</f>
        <v>645.25</v>
      </c>
      <c r="E1912" s="29">
        <f>IF(ОТЧЕТ!A1912="SKU3",C1912+ОТЧЕТ!C1912*0.2,C1912+ОТЧЕТ!C1912*0.15)</f>
        <v>741.80749999999989</v>
      </c>
      <c r="F1912" s="7" t="s">
        <v>3884</v>
      </c>
      <c r="G1912" s="7">
        <v>7726423062</v>
      </c>
      <c r="H1912" s="20" t="s">
        <v>50</v>
      </c>
      <c r="I1912" s="22" t="str">
        <f>INDEX('Справочник Сети'!B:B,(MATCH(G1912,'Справочник Сети'!C:C,0)))</f>
        <v>Ригла</v>
      </c>
      <c r="J1912" s="7" t="s">
        <v>185</v>
      </c>
      <c r="K1912" s="7" t="s">
        <v>1815</v>
      </c>
      <c r="L1912" s="7" t="s">
        <v>185</v>
      </c>
      <c r="M1912" s="31">
        <v>45675</v>
      </c>
      <c r="N1912" s="7" t="s">
        <v>3886</v>
      </c>
      <c r="O1912" s="8">
        <v>21</v>
      </c>
      <c r="P1912" s="24">
        <v>7533</v>
      </c>
      <c r="Q1912" s="22">
        <f>IF(COUNTIFS(A$2:A1912,A1912,I$2:I1912,I1912)=1,1,0)</f>
        <v>0</v>
      </c>
      <c r="R1912" s="22">
        <f t="shared" si="29"/>
        <v>1</v>
      </c>
      <c r="S1912" s="33">
        <f>IF(COUNTIF(O$2:O1912,O1912)=1,R1912,0)/2.5</f>
        <v>0.4</v>
      </c>
    </row>
    <row r="1913" spans="1:19" ht="18" customHeight="1" x14ac:dyDescent="0.25">
      <c r="A1913" s="7" t="s">
        <v>37</v>
      </c>
      <c r="B1913" s="8">
        <v>1</v>
      </c>
      <c r="C1913" s="9">
        <v>541</v>
      </c>
      <c r="D1913" s="29">
        <f>C1913+IF(INDEX('Справочник по %'!B:B,(MATCH(A1913,'Справочник по %'!A:A,0)))="кол-во",B1913*INDEX('Справочник по %'!C:C,(MATCH(A1913,'Справочник по %'!A:A,0))),ОТЧЕТ!C1913*INDEX('Справочник по %'!C:C,(MATCH(A1913,'Справочник по %'!A:A,0))))/100</f>
        <v>541.20000000000005</v>
      </c>
      <c r="E1913" s="29">
        <f>IF(ОТЧЕТ!A1913="SKU3",C1913+ОТЧЕТ!C1913*0.2,C1913+ОТЧЕТ!C1913*0.15)</f>
        <v>622.15</v>
      </c>
      <c r="F1913" s="7" t="s">
        <v>3884</v>
      </c>
      <c r="G1913" s="7">
        <v>7706795062</v>
      </c>
      <c r="H1913" s="20" t="s">
        <v>487</v>
      </c>
      <c r="I1913" s="22" t="str">
        <f>INDEX('Справочник Сети'!B:B,(MATCH(G1913,'Справочник Сети'!C:C,0)))</f>
        <v>Планета здоровья</v>
      </c>
      <c r="J1913" s="7" t="s">
        <v>87</v>
      </c>
      <c r="K1913" s="7" t="s">
        <v>529</v>
      </c>
      <c r="L1913" s="7" t="s">
        <v>87</v>
      </c>
      <c r="M1913" s="31">
        <v>45691</v>
      </c>
      <c r="N1913" s="7" t="s">
        <v>3887</v>
      </c>
      <c r="O1913" s="8">
        <v>1549</v>
      </c>
      <c r="P1913" s="24">
        <v>7535</v>
      </c>
      <c r="Q1913" s="22">
        <f>IF(COUNTIFS(A$2:A1913,A1913,I$2:I1913,I1913)=1,1,0)</f>
        <v>0</v>
      </c>
      <c r="R1913" s="22">
        <f t="shared" si="29"/>
        <v>8</v>
      </c>
      <c r="S1913" s="33">
        <f>IF(COUNTIF(O$2:O1913,O1913)=1,R1913,0)/2.5</f>
        <v>0</v>
      </c>
    </row>
    <row r="1914" spans="1:19" ht="18" customHeight="1" x14ac:dyDescent="0.25">
      <c r="A1914" s="7" t="s">
        <v>43</v>
      </c>
      <c r="B1914" s="8">
        <v>1</v>
      </c>
      <c r="C1914" s="9">
        <v>461</v>
      </c>
      <c r="D1914" s="29">
        <f>C1914+IF(INDEX('Справочник по %'!B:B,(MATCH(A1914,'Справочник по %'!A:A,0)))="кол-во",B1914*INDEX('Справочник по %'!C:C,(MATCH(A1914,'Справочник по %'!A:A,0))),ОТЧЕТ!C1914*INDEX('Справочник по %'!C:C,(MATCH(A1914,'Справочник по %'!A:A,0))))/100</f>
        <v>507.1</v>
      </c>
      <c r="E1914" s="29">
        <f>IF(ОТЧЕТ!A1914="SKU3",C1914+ОТЧЕТ!C1914*0.2,C1914+ОТЧЕТ!C1914*0.15)</f>
        <v>530.15</v>
      </c>
      <c r="F1914" s="7" t="s">
        <v>3884</v>
      </c>
      <c r="G1914" s="7">
        <v>7810468745</v>
      </c>
      <c r="H1914" s="20" t="s">
        <v>700</v>
      </c>
      <c r="I1914" s="22" t="str">
        <f>INDEX('Справочник Сети'!B:B,(MATCH(G1914,'Справочник Сети'!C:C,0)))</f>
        <v>Столички</v>
      </c>
      <c r="J1914" s="7" t="s">
        <v>121</v>
      </c>
      <c r="K1914" s="7" t="s">
        <v>214</v>
      </c>
      <c r="L1914" s="7" t="s">
        <v>353</v>
      </c>
      <c r="M1914" s="31">
        <v>45672</v>
      </c>
      <c r="N1914" s="7" t="s">
        <v>3888</v>
      </c>
      <c r="O1914" s="8">
        <v>2214</v>
      </c>
      <c r="P1914" s="24">
        <v>7536</v>
      </c>
      <c r="Q1914" s="22">
        <f>IF(COUNTIFS(A$2:A1914,A1914,I$2:I1914,I1914)=1,1,0)</f>
        <v>0</v>
      </c>
      <c r="R1914" s="22">
        <f t="shared" si="29"/>
        <v>2</v>
      </c>
      <c r="S1914" s="33">
        <f>IF(COUNTIF(O$2:O1914,O1914)=1,R1914,0)/2.5</f>
        <v>0.8</v>
      </c>
    </row>
    <row r="1915" spans="1:19" ht="18" customHeight="1" x14ac:dyDescent="0.25">
      <c r="A1915" s="7" t="s">
        <v>43</v>
      </c>
      <c r="B1915" s="8">
        <v>1</v>
      </c>
      <c r="C1915" s="9">
        <v>468.2</v>
      </c>
      <c r="D1915" s="29">
        <f>C1915+IF(INDEX('Справочник по %'!B:B,(MATCH(A1915,'Справочник по %'!A:A,0)))="кол-во",B1915*INDEX('Справочник по %'!C:C,(MATCH(A1915,'Справочник по %'!A:A,0))),ОТЧЕТ!C1915*INDEX('Справочник по %'!C:C,(MATCH(A1915,'Справочник по %'!A:A,0))))/100</f>
        <v>515.02</v>
      </c>
      <c r="E1915" s="29">
        <f>IF(ОТЧЕТ!A1915="SKU3",C1915+ОТЧЕТ!C1915*0.2,C1915+ОТЧЕТ!C1915*0.15)</f>
        <v>538.42999999999995</v>
      </c>
      <c r="F1915" s="7" t="s">
        <v>3884</v>
      </c>
      <c r="G1915" s="7">
        <v>6673189456</v>
      </c>
      <c r="H1915" s="20" t="s">
        <v>132</v>
      </c>
      <c r="I1915" s="22" t="str">
        <f>INDEX('Справочник Сети'!B:B,(MATCH(G1915,'Справочник Сети'!C:C,0)))</f>
        <v>Столички</v>
      </c>
      <c r="J1915" s="7" t="s">
        <v>133</v>
      </c>
      <c r="K1915" s="7" t="s">
        <v>134</v>
      </c>
      <c r="L1915" s="7" t="s">
        <v>133</v>
      </c>
      <c r="M1915" s="31">
        <v>45695</v>
      </c>
      <c r="N1915" s="7" t="s">
        <v>3889</v>
      </c>
      <c r="O1915" s="8">
        <v>2667</v>
      </c>
      <c r="P1915" s="24">
        <v>7538</v>
      </c>
      <c r="Q1915" s="22">
        <f>IF(COUNTIFS(A$2:A1915,A1915,I$2:I1915,I1915)=1,1,0)</f>
        <v>0</v>
      </c>
      <c r="R1915" s="22">
        <f t="shared" si="29"/>
        <v>1</v>
      </c>
      <c r="S1915" s="33">
        <f>IF(COUNTIF(O$2:O1915,O1915)=1,R1915,0)/2.5</f>
        <v>0.4</v>
      </c>
    </row>
    <row r="1916" spans="1:19" ht="18" customHeight="1" x14ac:dyDescent="0.25">
      <c r="A1916" s="7" t="s">
        <v>37</v>
      </c>
      <c r="B1916" s="8">
        <v>1</v>
      </c>
      <c r="C1916" s="9">
        <v>567</v>
      </c>
      <c r="D1916" s="29">
        <f>C1916+IF(INDEX('Справочник по %'!B:B,(MATCH(A1916,'Справочник по %'!A:A,0)))="кол-во",B1916*INDEX('Справочник по %'!C:C,(MATCH(A1916,'Справочник по %'!A:A,0))),ОТЧЕТ!C1916*INDEX('Справочник по %'!C:C,(MATCH(A1916,'Справочник по %'!A:A,0))))/100</f>
        <v>567.20000000000005</v>
      </c>
      <c r="E1916" s="29">
        <f>IF(ОТЧЕТ!A1916="SKU3",C1916+ОТЧЕТ!C1916*0.2,C1916+ОТЧЕТ!C1916*0.15)</f>
        <v>652.04999999999995</v>
      </c>
      <c r="F1916" s="7" t="s">
        <v>3884</v>
      </c>
      <c r="G1916" s="7">
        <v>7731334851</v>
      </c>
      <c r="H1916" s="20" t="s">
        <v>3890</v>
      </c>
      <c r="I1916" s="22" t="str">
        <f>INDEX('Справочник Сети'!B:B,(MATCH(G1916,'Справочник Сети'!C:C,0)))</f>
        <v>Планета здоровья</v>
      </c>
      <c r="J1916" s="7" t="s">
        <v>142</v>
      </c>
      <c r="K1916" s="7" t="s">
        <v>241</v>
      </c>
      <c r="L1916" s="7" t="s">
        <v>142</v>
      </c>
      <c r="M1916" s="31">
        <v>45674</v>
      </c>
      <c r="N1916" s="7" t="s">
        <v>3891</v>
      </c>
      <c r="O1916" s="8">
        <v>3388</v>
      </c>
      <c r="P1916" s="24">
        <v>7545</v>
      </c>
      <c r="Q1916" s="22">
        <f>IF(COUNTIFS(A$2:A1916,A1916,I$2:I1916,I1916)=1,1,0)</f>
        <v>0</v>
      </c>
      <c r="R1916" s="22">
        <f t="shared" si="29"/>
        <v>2</v>
      </c>
      <c r="S1916" s="33">
        <f>IF(COUNTIF(O$2:O1916,O1916)=1,R1916,0)/2.5</f>
        <v>0.8</v>
      </c>
    </row>
    <row r="1917" spans="1:19" ht="18" customHeight="1" x14ac:dyDescent="0.25">
      <c r="A1917" s="7" t="s">
        <v>37</v>
      </c>
      <c r="B1917" s="8">
        <v>1</v>
      </c>
      <c r="C1917" s="9">
        <v>545</v>
      </c>
      <c r="D1917" s="29">
        <f>C1917+IF(INDEX('Справочник по %'!B:B,(MATCH(A1917,'Справочник по %'!A:A,0)))="кол-во",B1917*INDEX('Справочник по %'!C:C,(MATCH(A1917,'Справочник по %'!A:A,0))),ОТЧЕТ!C1917*INDEX('Справочник по %'!C:C,(MATCH(A1917,'Справочник по %'!A:A,0))))/100</f>
        <v>545.20000000000005</v>
      </c>
      <c r="E1917" s="29">
        <f>IF(ОТЧЕТ!A1917="SKU3",C1917+ОТЧЕТ!C1917*0.2,C1917+ОТЧЕТ!C1917*0.15)</f>
        <v>626.75</v>
      </c>
      <c r="F1917" s="7" t="s">
        <v>3884</v>
      </c>
      <c r="G1917" s="7">
        <v>7706795062</v>
      </c>
      <c r="H1917" s="20" t="s">
        <v>3631</v>
      </c>
      <c r="I1917" s="22" t="str">
        <f>INDEX('Справочник Сети'!B:B,(MATCH(G1917,'Справочник Сети'!C:C,0)))</f>
        <v>Планета здоровья</v>
      </c>
      <c r="J1917" s="7" t="s">
        <v>87</v>
      </c>
      <c r="K1917" s="7" t="s">
        <v>3182</v>
      </c>
      <c r="L1917" s="7" t="s">
        <v>87</v>
      </c>
      <c r="M1917" s="31">
        <v>45691</v>
      </c>
      <c r="N1917" s="7" t="s">
        <v>3892</v>
      </c>
      <c r="O1917" s="8">
        <v>1981</v>
      </c>
      <c r="P1917" s="24">
        <v>7548</v>
      </c>
      <c r="Q1917" s="22">
        <f>IF(COUNTIFS(A$2:A1917,A1917,I$2:I1917,I1917)=1,1,0)</f>
        <v>0</v>
      </c>
      <c r="R1917" s="22">
        <f t="shared" si="29"/>
        <v>4</v>
      </c>
      <c r="S1917" s="33">
        <f>IF(COUNTIF(O$2:O1917,O1917)=1,R1917,0)/2.5</f>
        <v>0</v>
      </c>
    </row>
    <row r="1918" spans="1:19" ht="18" customHeight="1" x14ac:dyDescent="0.25">
      <c r="A1918" s="7" t="s">
        <v>43</v>
      </c>
      <c r="B1918" s="8">
        <v>1</v>
      </c>
      <c r="C1918" s="9">
        <v>550</v>
      </c>
      <c r="D1918" s="29">
        <f>C1918+IF(INDEX('Справочник по %'!B:B,(MATCH(A1918,'Справочник по %'!A:A,0)))="кол-во",B1918*INDEX('Справочник по %'!C:C,(MATCH(A1918,'Справочник по %'!A:A,0))),ОТЧЕТ!C1918*INDEX('Справочник по %'!C:C,(MATCH(A1918,'Справочник по %'!A:A,0))))/100</f>
        <v>605</v>
      </c>
      <c r="E1918" s="29">
        <f>IF(ОТЧЕТ!A1918="SKU3",C1918+ОТЧЕТ!C1918*0.2,C1918+ОТЧЕТ!C1918*0.15)</f>
        <v>632.5</v>
      </c>
      <c r="F1918" s="7" t="s">
        <v>3893</v>
      </c>
      <c r="G1918" s="7">
        <v>2320218433</v>
      </c>
      <c r="H1918" s="20" t="s">
        <v>50</v>
      </c>
      <c r="I1918" s="22" t="str">
        <f>INDEX('Справочник Сети'!B:B,(MATCH(G1918,'Справочник Сети'!C:C,0)))</f>
        <v>Планета здоровья</v>
      </c>
      <c r="J1918" s="7" t="s">
        <v>96</v>
      </c>
      <c r="K1918" s="7" t="s">
        <v>3796</v>
      </c>
      <c r="L1918" s="7" t="s">
        <v>70</v>
      </c>
      <c r="M1918" s="31">
        <v>45728</v>
      </c>
      <c r="N1918" s="7" t="s">
        <v>3894</v>
      </c>
      <c r="O1918" s="8">
        <v>2432</v>
      </c>
      <c r="P1918" s="24">
        <v>7552</v>
      </c>
      <c r="Q1918" s="22">
        <f>IF(COUNTIFS(A$2:A1918,A1918,I$2:I1918,I1918)=1,1,0)</f>
        <v>0</v>
      </c>
      <c r="R1918" s="22">
        <f t="shared" si="29"/>
        <v>1</v>
      </c>
      <c r="S1918" s="33">
        <f>IF(COUNTIF(O$2:O1918,O1918)=1,R1918,0)/2.5</f>
        <v>0.4</v>
      </c>
    </row>
    <row r="1919" spans="1:19" ht="18" customHeight="1" x14ac:dyDescent="0.25">
      <c r="A1919" s="7" t="s">
        <v>43</v>
      </c>
      <c r="B1919" s="8">
        <v>1</v>
      </c>
      <c r="C1919" s="9">
        <v>322</v>
      </c>
      <c r="D1919" s="29">
        <f>C1919+IF(INDEX('Справочник по %'!B:B,(MATCH(A1919,'Справочник по %'!A:A,0)))="кол-во",B1919*INDEX('Справочник по %'!C:C,(MATCH(A1919,'Справочник по %'!A:A,0))),ОТЧЕТ!C1919*INDEX('Справочник по %'!C:C,(MATCH(A1919,'Справочник по %'!A:A,0))))/100</f>
        <v>354.2</v>
      </c>
      <c r="E1919" s="29">
        <f>IF(ОТЧЕТ!A1919="SKU3",C1919+ОТЧЕТ!C1919*0.2,C1919+ОТЧЕТ!C1919*0.15)</f>
        <v>370.3</v>
      </c>
      <c r="F1919" s="7" t="s">
        <v>3895</v>
      </c>
      <c r="G1919" s="7">
        <v>2543023195</v>
      </c>
      <c r="H1919" s="20" t="s">
        <v>69</v>
      </c>
      <c r="I1919" s="22" t="str">
        <f>INDEX('Справочник Сети'!B:B,(MATCH(G1919,'Справочник Сети'!C:C,0)))</f>
        <v>36,6</v>
      </c>
      <c r="J1919" s="7" t="s">
        <v>46</v>
      </c>
      <c r="K1919" s="7" t="s">
        <v>1457</v>
      </c>
      <c r="L1919" s="7" t="s">
        <v>46</v>
      </c>
      <c r="M1919" s="31">
        <v>45726</v>
      </c>
      <c r="N1919" s="7" t="s">
        <v>3896</v>
      </c>
      <c r="O1919" s="8">
        <v>1621</v>
      </c>
      <c r="P1919" s="24">
        <v>7556</v>
      </c>
      <c r="Q1919" s="22">
        <f>IF(COUNTIFS(A$2:A1919,A1919,I$2:I1919,I1919)=1,1,0)</f>
        <v>0</v>
      </c>
      <c r="R1919" s="22">
        <f t="shared" si="29"/>
        <v>4</v>
      </c>
      <c r="S1919" s="33">
        <f>IF(COUNTIF(O$2:O1919,O1919)=1,R1919,0)/2.5</f>
        <v>0</v>
      </c>
    </row>
    <row r="1920" spans="1:19" ht="18" customHeight="1" x14ac:dyDescent="0.25">
      <c r="A1920" s="7" t="s">
        <v>43</v>
      </c>
      <c r="B1920" s="8">
        <v>1</v>
      </c>
      <c r="C1920" s="9">
        <v>399.6</v>
      </c>
      <c r="D1920" s="29">
        <f>C1920+IF(INDEX('Справочник по %'!B:B,(MATCH(A1920,'Справочник по %'!A:A,0)))="кол-во",B1920*INDEX('Справочник по %'!C:C,(MATCH(A1920,'Справочник по %'!A:A,0))),ОТЧЕТ!C1920*INDEX('Справочник по %'!C:C,(MATCH(A1920,'Справочник по %'!A:A,0))))/100</f>
        <v>439.56</v>
      </c>
      <c r="E1920" s="29">
        <f>IF(ОТЧЕТ!A1920="SKU3",C1920+ОТЧЕТ!C1920*0.2,C1920+ОТЧЕТ!C1920*0.15)</f>
        <v>459.54</v>
      </c>
      <c r="F1920" s="7" t="s">
        <v>3897</v>
      </c>
      <c r="G1920" s="7">
        <v>3801042576</v>
      </c>
      <c r="H1920" s="20" t="s">
        <v>64</v>
      </c>
      <c r="I1920" s="22" t="str">
        <f>INDEX('Справочник Сети'!B:B,(MATCH(G1920,'Справочник Сети'!C:C,0)))</f>
        <v>Планета здоровья</v>
      </c>
      <c r="J1920" s="7" t="s">
        <v>65</v>
      </c>
      <c r="K1920" s="7" t="s">
        <v>3807</v>
      </c>
      <c r="L1920" s="7" t="s">
        <v>65</v>
      </c>
      <c r="M1920" s="31">
        <v>45717</v>
      </c>
      <c r="N1920" s="7" t="s">
        <v>3898</v>
      </c>
      <c r="O1920" s="8">
        <v>3048</v>
      </c>
      <c r="P1920" s="24">
        <v>7565</v>
      </c>
      <c r="Q1920" s="22">
        <f>IF(COUNTIFS(A$2:A1920,A1920,I$2:I1920,I1920)=1,1,0)</f>
        <v>0</v>
      </c>
      <c r="R1920" s="22">
        <f t="shared" si="29"/>
        <v>6</v>
      </c>
      <c r="S1920" s="33">
        <f>IF(COUNTIF(O$2:O1920,O1920)=1,R1920,0)/2.5</f>
        <v>0</v>
      </c>
    </row>
    <row r="1921" spans="1:19" ht="18" customHeight="1" x14ac:dyDescent="0.25">
      <c r="A1921" s="7" t="s">
        <v>43</v>
      </c>
      <c r="B1921" s="8">
        <v>1</v>
      </c>
      <c r="C1921" s="9">
        <v>599</v>
      </c>
      <c r="D1921" s="29">
        <f>C1921+IF(INDEX('Справочник по %'!B:B,(MATCH(A1921,'Справочник по %'!A:A,0)))="кол-во",B1921*INDEX('Справочник по %'!C:C,(MATCH(A1921,'Справочник по %'!A:A,0))),ОТЧЕТ!C1921*INDEX('Справочник по %'!C:C,(MATCH(A1921,'Справочник по %'!A:A,0))))/100</f>
        <v>658.9</v>
      </c>
      <c r="E1921" s="29">
        <f>IF(ОТЧЕТ!A1921="SKU3",C1921+ОТЧЕТ!C1921*0.2,C1921+ОТЧЕТ!C1921*0.15)</f>
        <v>688.85</v>
      </c>
      <c r="F1921" s="7" t="s">
        <v>3897</v>
      </c>
      <c r="G1921" s="7">
        <v>7714844316</v>
      </c>
      <c r="H1921" s="20" t="s">
        <v>50</v>
      </c>
      <c r="I1921" s="22" t="str">
        <f>INDEX('Справочник Сети'!B:B,(MATCH(G1921,'Справочник Сети'!C:C,0)))</f>
        <v>Планета здоровья</v>
      </c>
      <c r="J1921" s="7" t="s">
        <v>504</v>
      </c>
      <c r="K1921" s="7" t="s">
        <v>3899</v>
      </c>
      <c r="L1921" s="7" t="s">
        <v>504</v>
      </c>
      <c r="M1921" s="31">
        <v>45690</v>
      </c>
      <c r="N1921" s="7" t="s">
        <v>3900</v>
      </c>
      <c r="O1921" s="8">
        <v>2496</v>
      </c>
      <c r="P1921" s="24">
        <v>7566</v>
      </c>
      <c r="Q1921" s="22">
        <f>IF(COUNTIFS(A$2:A1921,A1921,I$2:I1921,I1921)=1,1,0)</f>
        <v>0</v>
      </c>
      <c r="R1921" s="22">
        <f t="shared" si="29"/>
        <v>6</v>
      </c>
      <c r="S1921" s="33">
        <f>IF(COUNTIF(O$2:O1921,O1921)=1,R1921,0)/2.5</f>
        <v>0</v>
      </c>
    </row>
    <row r="1922" spans="1:19" ht="18" customHeight="1" x14ac:dyDescent="0.25">
      <c r="A1922" s="7" t="s">
        <v>43</v>
      </c>
      <c r="B1922" s="8">
        <v>1</v>
      </c>
      <c r="C1922" s="9">
        <v>323</v>
      </c>
      <c r="D1922" s="29">
        <f>C1922+IF(INDEX('Справочник по %'!B:B,(MATCH(A1922,'Справочник по %'!A:A,0)))="кол-во",B1922*INDEX('Справочник по %'!C:C,(MATCH(A1922,'Справочник по %'!A:A,0))),ОТЧЕТ!C1922*INDEX('Справочник по %'!C:C,(MATCH(A1922,'Справочник по %'!A:A,0))))/100</f>
        <v>355.3</v>
      </c>
      <c r="E1922" s="29">
        <f>IF(ОТЧЕТ!A1922="SKU3",C1922+ОТЧЕТ!C1922*0.2,C1922+ОТЧЕТ!C1922*0.15)</f>
        <v>371.45</v>
      </c>
      <c r="F1922" s="7" t="s">
        <v>3897</v>
      </c>
      <c r="G1922" s="7">
        <v>2543023195</v>
      </c>
      <c r="H1922" s="20" t="s">
        <v>69</v>
      </c>
      <c r="I1922" s="22" t="str">
        <f>INDEX('Справочник Сети'!B:B,(MATCH(G1922,'Справочник Сети'!C:C,0)))</f>
        <v>36,6</v>
      </c>
      <c r="J1922" s="7" t="s">
        <v>46</v>
      </c>
      <c r="K1922" s="7" t="s">
        <v>1238</v>
      </c>
      <c r="L1922" s="7" t="s">
        <v>46</v>
      </c>
      <c r="M1922" s="31">
        <v>45726</v>
      </c>
      <c r="N1922" s="7" t="s">
        <v>3901</v>
      </c>
      <c r="O1922" s="8">
        <v>1426</v>
      </c>
      <c r="P1922" s="24">
        <v>7567</v>
      </c>
      <c r="Q1922" s="22">
        <f>IF(COUNTIFS(A$2:A1922,A1922,I$2:I1922,I1922)=1,1,0)</f>
        <v>0</v>
      </c>
      <c r="R1922" s="22">
        <f t="shared" si="29"/>
        <v>1</v>
      </c>
      <c r="S1922" s="33">
        <f>IF(COUNTIF(O$2:O1922,O1922)=1,R1922,0)/2.5</f>
        <v>0.4</v>
      </c>
    </row>
    <row r="1923" spans="1:19" ht="18" customHeight="1" x14ac:dyDescent="0.25">
      <c r="A1923" s="7" t="s">
        <v>43</v>
      </c>
      <c r="B1923" s="8">
        <v>1</v>
      </c>
      <c r="C1923" s="9">
        <v>465</v>
      </c>
      <c r="D1923" s="29">
        <f>C1923+IF(INDEX('Справочник по %'!B:B,(MATCH(A1923,'Справочник по %'!A:A,0)))="кол-во",B1923*INDEX('Справочник по %'!C:C,(MATCH(A1923,'Справочник по %'!A:A,0))),ОТЧЕТ!C1923*INDEX('Справочник по %'!C:C,(MATCH(A1923,'Справочник по %'!A:A,0))))/100</f>
        <v>511.5</v>
      </c>
      <c r="E1923" s="29">
        <f>IF(ОТЧЕТ!A1923="SKU3",C1923+ОТЧЕТ!C1923*0.2,C1923+ОТЧЕТ!C1923*0.15)</f>
        <v>534.75</v>
      </c>
      <c r="F1923" s="7" t="s">
        <v>3897</v>
      </c>
      <c r="G1923" s="7">
        <v>2538017661</v>
      </c>
      <c r="H1923" s="20" t="s">
        <v>50</v>
      </c>
      <c r="I1923" s="22">
        <f>INDEX('Справочник Сети'!B:B,(MATCH(G1923,'Справочник Сети'!C:C,0)))</f>
        <v>0</v>
      </c>
      <c r="J1923" s="7" t="s">
        <v>46</v>
      </c>
      <c r="K1923" s="7" t="s">
        <v>2798</v>
      </c>
      <c r="L1923" s="7" t="s">
        <v>96</v>
      </c>
      <c r="M1923" s="31">
        <v>45727</v>
      </c>
      <c r="N1923" s="7" t="s">
        <v>3902</v>
      </c>
      <c r="O1923" s="8">
        <v>655</v>
      </c>
      <c r="P1923" s="24">
        <v>7570</v>
      </c>
      <c r="Q1923" s="22">
        <f>IF(COUNTIFS(A$2:A1923,A1923,I$2:I1923,I1923)=1,1,0)</f>
        <v>0</v>
      </c>
      <c r="R1923" s="22">
        <f t="shared" ref="R1923:R1986" si="30">COUNTIF(O:O,O1923)</f>
        <v>1</v>
      </c>
      <c r="S1923" s="33">
        <f>IF(COUNTIF(O$2:O1923,O1923)=1,R1923,0)/2.5</f>
        <v>0.4</v>
      </c>
    </row>
    <row r="1924" spans="1:19" ht="18" customHeight="1" x14ac:dyDescent="0.25">
      <c r="A1924" s="7" t="s">
        <v>43</v>
      </c>
      <c r="B1924" s="8">
        <v>1</v>
      </c>
      <c r="C1924" s="9">
        <v>395</v>
      </c>
      <c r="D1924" s="29">
        <f>C1924+IF(INDEX('Справочник по %'!B:B,(MATCH(A1924,'Справочник по %'!A:A,0)))="кол-во",B1924*INDEX('Справочник по %'!C:C,(MATCH(A1924,'Справочник по %'!A:A,0))),ОТЧЕТ!C1924*INDEX('Справочник по %'!C:C,(MATCH(A1924,'Справочник по %'!A:A,0))))/100</f>
        <v>434.5</v>
      </c>
      <c r="E1924" s="29">
        <f>IF(ОТЧЕТ!A1924="SKU3",C1924+ОТЧЕТ!C1924*0.2,C1924+ОТЧЕТ!C1924*0.15)</f>
        <v>454.25</v>
      </c>
      <c r="F1924" s="7" t="s">
        <v>3897</v>
      </c>
      <c r="G1924" s="7">
        <v>2466189073</v>
      </c>
      <c r="H1924" s="20" t="s">
        <v>1601</v>
      </c>
      <c r="I1924" s="22" t="str">
        <f>INDEX('Справочник Сети'!B:B,(MATCH(G1924,'Справочник Сети'!C:C,0)))</f>
        <v>Нео-фарм</v>
      </c>
      <c r="J1924" s="7" t="s">
        <v>96</v>
      </c>
      <c r="K1924" s="7" t="s">
        <v>1345</v>
      </c>
      <c r="L1924" s="7" t="s">
        <v>96</v>
      </c>
      <c r="M1924" s="31">
        <v>45727</v>
      </c>
      <c r="N1924" s="7" t="s">
        <v>3903</v>
      </c>
      <c r="O1924" s="8">
        <v>2841</v>
      </c>
      <c r="P1924" s="24">
        <v>7571</v>
      </c>
      <c r="Q1924" s="22">
        <f>IF(COUNTIFS(A$2:A1924,A1924,I$2:I1924,I1924)=1,1,0)</f>
        <v>0</v>
      </c>
      <c r="R1924" s="22">
        <f t="shared" si="30"/>
        <v>5</v>
      </c>
      <c r="S1924" s="33">
        <f>IF(COUNTIF(O$2:O1924,O1924)=1,R1924,0)/2.5</f>
        <v>0</v>
      </c>
    </row>
    <row r="1925" spans="1:19" ht="18" customHeight="1" x14ac:dyDescent="0.25">
      <c r="A1925" s="7" t="s">
        <v>43</v>
      </c>
      <c r="B1925" s="8">
        <v>1</v>
      </c>
      <c r="C1925" s="9">
        <v>454</v>
      </c>
      <c r="D1925" s="29">
        <f>C1925+IF(INDEX('Справочник по %'!B:B,(MATCH(A1925,'Справочник по %'!A:A,0)))="кол-во",B1925*INDEX('Справочник по %'!C:C,(MATCH(A1925,'Справочник по %'!A:A,0))),ОТЧЕТ!C1925*INDEX('Справочник по %'!C:C,(MATCH(A1925,'Справочник по %'!A:A,0))))/100</f>
        <v>499.4</v>
      </c>
      <c r="E1925" s="29">
        <f>IF(ОТЧЕТ!A1925="SKU3",C1925+ОТЧЕТ!C1925*0.2,C1925+ОТЧЕТ!C1925*0.15)</f>
        <v>522.1</v>
      </c>
      <c r="F1925" s="7" t="s">
        <v>3897</v>
      </c>
      <c r="G1925" s="7">
        <v>1901111188</v>
      </c>
      <c r="H1925" s="20" t="s">
        <v>3904</v>
      </c>
      <c r="I1925" s="22">
        <f>INDEX('Справочник Сети'!B:B,(MATCH(G1925,'Справочник Сети'!C:C,0)))</f>
        <v>0</v>
      </c>
      <c r="J1925" s="7" t="s">
        <v>372</v>
      </c>
      <c r="K1925" s="7" t="s">
        <v>3905</v>
      </c>
      <c r="L1925" s="7" t="s">
        <v>372</v>
      </c>
      <c r="M1925" s="31">
        <v>45730</v>
      </c>
      <c r="N1925" s="7" t="s">
        <v>3906</v>
      </c>
      <c r="O1925" s="8">
        <v>861</v>
      </c>
      <c r="P1925" s="24">
        <v>7574</v>
      </c>
      <c r="Q1925" s="22">
        <f>IF(COUNTIFS(A$2:A1925,A1925,I$2:I1925,I1925)=1,1,0)</f>
        <v>0</v>
      </c>
      <c r="R1925" s="22">
        <f t="shared" si="30"/>
        <v>1</v>
      </c>
      <c r="S1925" s="33">
        <f>IF(COUNTIF(O$2:O1925,O1925)=1,R1925,0)/2.5</f>
        <v>0.4</v>
      </c>
    </row>
    <row r="1926" spans="1:19" ht="18" customHeight="1" x14ac:dyDescent="0.25">
      <c r="A1926" s="7" t="s">
        <v>43</v>
      </c>
      <c r="B1926" s="8">
        <v>1</v>
      </c>
      <c r="C1926" s="9">
        <v>398</v>
      </c>
      <c r="D1926" s="29">
        <f>C1926+IF(INDEX('Справочник по %'!B:B,(MATCH(A1926,'Справочник по %'!A:A,0)))="кол-во",B1926*INDEX('Справочник по %'!C:C,(MATCH(A1926,'Справочник по %'!A:A,0))),ОТЧЕТ!C1926*INDEX('Справочник по %'!C:C,(MATCH(A1926,'Справочник по %'!A:A,0))))/100</f>
        <v>437.8</v>
      </c>
      <c r="E1926" s="29">
        <f>IF(ОТЧЕТ!A1926="SKU3",C1926+ОТЧЕТ!C1926*0.2,C1926+ОТЧЕТ!C1926*0.15)</f>
        <v>457.7</v>
      </c>
      <c r="F1926" s="7" t="s">
        <v>3897</v>
      </c>
      <c r="G1926" s="7">
        <v>5405071520</v>
      </c>
      <c r="H1926" s="20" t="s">
        <v>3485</v>
      </c>
      <c r="I1926" s="22" t="str">
        <f>INDEX('Справочник Сети'!B:B,(MATCH(G1926,'Справочник Сети'!C:C,0)))</f>
        <v>Ригла</v>
      </c>
      <c r="J1926" s="7" t="s">
        <v>92</v>
      </c>
      <c r="K1926" s="7" t="s">
        <v>2077</v>
      </c>
      <c r="L1926" s="7" t="s">
        <v>92</v>
      </c>
      <c r="M1926" s="31">
        <v>45714</v>
      </c>
      <c r="N1926" s="7" t="s">
        <v>3907</v>
      </c>
      <c r="O1926" s="8">
        <v>2560</v>
      </c>
      <c r="P1926" s="24">
        <v>7578</v>
      </c>
      <c r="Q1926" s="22">
        <f>IF(COUNTIFS(A$2:A1926,A1926,I$2:I1926,I1926)=1,1,0)</f>
        <v>0</v>
      </c>
      <c r="R1926" s="22">
        <f t="shared" si="30"/>
        <v>2</v>
      </c>
      <c r="S1926" s="33">
        <f>IF(COUNTIF(O$2:O1926,O1926)=1,R1926,0)/2.5</f>
        <v>0</v>
      </c>
    </row>
    <row r="1927" spans="1:19" ht="18" customHeight="1" x14ac:dyDescent="0.25">
      <c r="A1927" s="7" t="s">
        <v>43</v>
      </c>
      <c r="B1927" s="8">
        <v>1</v>
      </c>
      <c r="C1927" s="9">
        <v>550</v>
      </c>
      <c r="D1927" s="29">
        <f>C1927+IF(INDEX('Справочник по %'!B:B,(MATCH(A1927,'Справочник по %'!A:A,0)))="кол-во",B1927*INDEX('Справочник по %'!C:C,(MATCH(A1927,'Справочник по %'!A:A,0))),ОТЧЕТ!C1927*INDEX('Справочник по %'!C:C,(MATCH(A1927,'Справочник по %'!A:A,0))))/100</f>
        <v>605</v>
      </c>
      <c r="E1927" s="29">
        <f>IF(ОТЧЕТ!A1927="SKU3",C1927+ОТЧЕТ!C1927*0.2,C1927+ОТЧЕТ!C1927*0.15)</f>
        <v>632.5</v>
      </c>
      <c r="F1927" s="7" t="s">
        <v>3908</v>
      </c>
      <c r="G1927" s="7">
        <v>2502053747</v>
      </c>
      <c r="H1927" s="20" t="s">
        <v>50</v>
      </c>
      <c r="I1927" s="22">
        <f>INDEX('Справочник Сети'!B:B,(MATCH(G1927,'Справочник Сети'!C:C,0)))</f>
        <v>0</v>
      </c>
      <c r="J1927" s="7" t="s">
        <v>96</v>
      </c>
      <c r="K1927" s="7" t="s">
        <v>3909</v>
      </c>
      <c r="L1927" s="7" t="s">
        <v>96</v>
      </c>
      <c r="M1927" s="31">
        <v>45727</v>
      </c>
      <c r="N1927" s="7" t="s">
        <v>3910</v>
      </c>
      <c r="O1927" s="8">
        <v>2544</v>
      </c>
      <c r="P1927" s="24">
        <v>7581</v>
      </c>
      <c r="Q1927" s="22">
        <f>IF(COUNTIFS(A$2:A1927,A1927,I$2:I1927,I1927)=1,1,0)</f>
        <v>0</v>
      </c>
      <c r="R1927" s="22">
        <f t="shared" si="30"/>
        <v>6</v>
      </c>
      <c r="S1927" s="33">
        <f>IF(COUNTIF(O$2:O1927,O1927)=1,R1927,0)/2.5</f>
        <v>0</v>
      </c>
    </row>
    <row r="1928" spans="1:19" ht="18" customHeight="1" x14ac:dyDescent="0.25">
      <c r="A1928" s="7" t="s">
        <v>43</v>
      </c>
      <c r="B1928" s="8">
        <v>1</v>
      </c>
      <c r="C1928" s="9">
        <v>507.84</v>
      </c>
      <c r="D1928" s="29">
        <f>C1928+IF(INDEX('Справочник по %'!B:B,(MATCH(A1928,'Справочник по %'!A:A,0)))="кол-во",B1928*INDEX('Справочник по %'!C:C,(MATCH(A1928,'Справочник по %'!A:A,0))),ОТЧЕТ!C1928*INDEX('Справочник по %'!C:C,(MATCH(A1928,'Справочник по %'!A:A,0))))/100</f>
        <v>558.62400000000002</v>
      </c>
      <c r="E1928" s="29">
        <f>IF(ОТЧЕТ!A1928="SKU3",C1928+ОТЧЕТ!C1928*0.2,C1928+ОТЧЕТ!C1928*0.15)</f>
        <v>584.01599999999996</v>
      </c>
      <c r="F1928" s="7" t="s">
        <v>3911</v>
      </c>
      <c r="G1928" s="7">
        <v>550310361355</v>
      </c>
      <c r="H1928" s="20" t="s">
        <v>50</v>
      </c>
      <c r="I1928" s="22" t="str">
        <f>INDEX('Справочник Сети'!B:B,(MATCH(G1928,'Справочник Сети'!C:C,0)))</f>
        <v>Столички</v>
      </c>
      <c r="J1928" s="7" t="s">
        <v>251</v>
      </c>
      <c r="K1928" s="7" t="s">
        <v>2726</v>
      </c>
      <c r="L1928" s="7" t="s">
        <v>110</v>
      </c>
      <c r="M1928" s="31">
        <v>45660</v>
      </c>
      <c r="N1928" s="7" t="s">
        <v>3912</v>
      </c>
      <c r="O1928" s="8">
        <v>851</v>
      </c>
      <c r="P1928" s="24">
        <v>7582</v>
      </c>
      <c r="Q1928" s="22">
        <f>IF(COUNTIFS(A$2:A1928,A1928,I$2:I1928,I1928)=1,1,0)</f>
        <v>0</v>
      </c>
      <c r="R1928" s="22">
        <f t="shared" si="30"/>
        <v>1</v>
      </c>
      <c r="S1928" s="33">
        <f>IF(COUNTIF(O$2:O1928,O1928)=1,R1928,0)/2.5</f>
        <v>0.4</v>
      </c>
    </row>
    <row r="1929" spans="1:19" ht="18" customHeight="1" x14ac:dyDescent="0.25">
      <c r="A1929" s="7" t="s">
        <v>43</v>
      </c>
      <c r="B1929" s="8">
        <v>1</v>
      </c>
      <c r="C1929" s="9">
        <v>445</v>
      </c>
      <c r="D1929" s="29">
        <f>C1929+IF(INDEX('Справочник по %'!B:B,(MATCH(A1929,'Справочник по %'!A:A,0)))="кол-во",B1929*INDEX('Справочник по %'!C:C,(MATCH(A1929,'Справочник по %'!A:A,0))),ОТЧЕТ!C1929*INDEX('Справочник по %'!C:C,(MATCH(A1929,'Справочник по %'!A:A,0))))/100</f>
        <v>489.5</v>
      </c>
      <c r="E1929" s="29">
        <f>IF(ОТЧЕТ!A1929="SKU3",C1929+ОТЧЕТ!C1929*0.2,C1929+ОТЧЕТ!C1929*0.15)</f>
        <v>511.75</v>
      </c>
      <c r="F1929" s="7" t="s">
        <v>3911</v>
      </c>
      <c r="G1929" s="7">
        <v>326537584</v>
      </c>
      <c r="H1929" s="20" t="s">
        <v>459</v>
      </c>
      <c r="I1929" s="22" t="str">
        <f>INDEX('Справочник Сети'!B:B,(MATCH(G1929,'Справочник Сети'!C:C,0)))</f>
        <v>Планета здоровья</v>
      </c>
      <c r="J1929" s="7" t="s">
        <v>362</v>
      </c>
      <c r="K1929" s="7" t="s">
        <v>2085</v>
      </c>
      <c r="L1929" s="7" t="s">
        <v>362</v>
      </c>
      <c r="M1929" s="31">
        <v>45732</v>
      </c>
      <c r="N1929" s="7" t="s">
        <v>3913</v>
      </c>
      <c r="O1929" s="8">
        <v>820</v>
      </c>
      <c r="P1929" s="24">
        <v>7584</v>
      </c>
      <c r="Q1929" s="22">
        <f>IF(COUNTIFS(A$2:A1929,A1929,I$2:I1929,I1929)=1,1,0)</f>
        <v>0</v>
      </c>
      <c r="R1929" s="22">
        <f t="shared" si="30"/>
        <v>4</v>
      </c>
      <c r="S1929" s="33">
        <f>IF(COUNTIF(O$2:O1929,O1929)=1,R1929,0)/2.5</f>
        <v>0</v>
      </c>
    </row>
    <row r="1930" spans="1:19" ht="18" customHeight="1" x14ac:dyDescent="0.25">
      <c r="A1930" s="7" t="s">
        <v>43</v>
      </c>
      <c r="B1930" s="8">
        <v>1</v>
      </c>
      <c r="C1930" s="9">
        <v>603</v>
      </c>
      <c r="D1930" s="29">
        <f>C1930+IF(INDEX('Справочник по %'!B:B,(MATCH(A1930,'Справочник по %'!A:A,0)))="кол-во",B1930*INDEX('Справочник по %'!C:C,(MATCH(A1930,'Справочник по %'!A:A,0))),ОТЧЕТ!C1930*INDEX('Справочник по %'!C:C,(MATCH(A1930,'Справочник по %'!A:A,0))))/100</f>
        <v>663.3</v>
      </c>
      <c r="E1930" s="29">
        <f>IF(ОТЧЕТ!A1930="SKU3",C1930+ОТЧЕТ!C1930*0.2,C1930+ОТЧЕТ!C1930*0.15)</f>
        <v>693.45</v>
      </c>
      <c r="F1930" s="7" t="s">
        <v>3911</v>
      </c>
      <c r="G1930" s="7">
        <v>7714844316</v>
      </c>
      <c r="H1930" s="20" t="s">
        <v>50</v>
      </c>
      <c r="I1930" s="22" t="str">
        <f>INDEX('Справочник Сети'!B:B,(MATCH(G1930,'Справочник Сети'!C:C,0)))</f>
        <v>Планета здоровья</v>
      </c>
      <c r="J1930" s="7" t="s">
        <v>504</v>
      </c>
      <c r="K1930" s="7" t="s">
        <v>3914</v>
      </c>
      <c r="L1930" s="7" t="s">
        <v>504</v>
      </c>
      <c r="M1930" s="31">
        <v>45690</v>
      </c>
      <c r="N1930" s="7" t="s">
        <v>3915</v>
      </c>
      <c r="O1930" s="8">
        <v>2496</v>
      </c>
      <c r="P1930" s="24">
        <v>7585</v>
      </c>
      <c r="Q1930" s="22">
        <f>IF(COUNTIFS(A$2:A1930,A1930,I$2:I1930,I1930)=1,1,0)</f>
        <v>0</v>
      </c>
      <c r="R1930" s="22">
        <f t="shared" si="30"/>
        <v>6</v>
      </c>
      <c r="S1930" s="33">
        <f>IF(COUNTIF(O$2:O1930,O1930)=1,R1930,0)/2.5</f>
        <v>0</v>
      </c>
    </row>
    <row r="1931" spans="1:19" ht="18" customHeight="1" x14ac:dyDescent="0.25">
      <c r="A1931" s="7" t="s">
        <v>37</v>
      </c>
      <c r="B1931" s="8">
        <v>1</v>
      </c>
      <c r="C1931" s="9">
        <v>555.5</v>
      </c>
      <c r="D1931" s="29">
        <f>C1931+IF(INDEX('Справочник по %'!B:B,(MATCH(A1931,'Справочник по %'!A:A,0)))="кол-во",B1931*INDEX('Справочник по %'!C:C,(MATCH(A1931,'Справочник по %'!A:A,0))),ОТЧЕТ!C1931*INDEX('Справочник по %'!C:C,(MATCH(A1931,'Справочник по %'!A:A,0))))/100</f>
        <v>555.70000000000005</v>
      </c>
      <c r="E1931" s="29">
        <f>IF(ОТЧЕТ!A1931="SKU3",C1931+ОТЧЕТ!C1931*0.2,C1931+ОТЧЕТ!C1931*0.15)</f>
        <v>638.82500000000005</v>
      </c>
      <c r="F1931" s="7" t="s">
        <v>3916</v>
      </c>
      <c r="G1931" s="7">
        <v>4206030711</v>
      </c>
      <c r="H1931" s="20" t="s">
        <v>69</v>
      </c>
      <c r="I1931" s="22">
        <f>INDEX('Справочник Сети'!B:B,(MATCH(G1931,'Справочник Сети'!C:C,0)))</f>
        <v>0</v>
      </c>
      <c r="J1931" s="7" t="s">
        <v>155</v>
      </c>
      <c r="K1931" s="7" t="s">
        <v>3383</v>
      </c>
      <c r="L1931" s="7" t="s">
        <v>155</v>
      </c>
      <c r="M1931" s="31">
        <v>45716</v>
      </c>
      <c r="N1931" s="7" t="s">
        <v>3917</v>
      </c>
      <c r="O1931" s="8">
        <v>1988</v>
      </c>
      <c r="P1931" s="24">
        <v>7587</v>
      </c>
      <c r="Q1931" s="22">
        <f>IF(COUNTIFS(A$2:A1931,A1931,I$2:I1931,I1931)=1,1,0)</f>
        <v>0</v>
      </c>
      <c r="R1931" s="22">
        <f t="shared" si="30"/>
        <v>1</v>
      </c>
      <c r="S1931" s="33">
        <f>IF(COUNTIF(O$2:O1931,O1931)=1,R1931,0)/2.5</f>
        <v>0.4</v>
      </c>
    </row>
    <row r="1932" spans="1:19" ht="18" customHeight="1" x14ac:dyDescent="0.25">
      <c r="A1932" s="7" t="s">
        <v>43</v>
      </c>
      <c r="B1932" s="8">
        <v>1</v>
      </c>
      <c r="C1932" s="9">
        <v>630</v>
      </c>
      <c r="D1932" s="29">
        <f>C1932+IF(INDEX('Справочник по %'!B:B,(MATCH(A1932,'Справочник по %'!A:A,0)))="кол-во",B1932*INDEX('Справочник по %'!C:C,(MATCH(A1932,'Справочник по %'!A:A,0))),ОТЧЕТ!C1932*INDEX('Справочник по %'!C:C,(MATCH(A1932,'Справочник по %'!A:A,0))))/100</f>
        <v>693</v>
      </c>
      <c r="E1932" s="29">
        <f>IF(ОТЧЕТ!A1932="SKU3",C1932+ОТЧЕТ!C1932*0.2,C1932+ОТЧЕТ!C1932*0.15)</f>
        <v>724.5</v>
      </c>
      <c r="F1932" s="7" t="s">
        <v>3918</v>
      </c>
      <c r="G1932" s="7">
        <v>1435268848</v>
      </c>
      <c r="H1932" s="20" t="s">
        <v>50</v>
      </c>
      <c r="I1932" s="22" t="str">
        <f>INDEX('Справочник Сети'!B:B,(MATCH(G1932,'Справочник Сети'!C:C,0)))</f>
        <v>Столички</v>
      </c>
      <c r="J1932" s="7" t="s">
        <v>335</v>
      </c>
      <c r="K1932" s="7" t="s">
        <v>3033</v>
      </c>
      <c r="L1932" s="7" t="s">
        <v>335</v>
      </c>
      <c r="M1932" s="31">
        <v>45731</v>
      </c>
      <c r="N1932" s="7" t="s">
        <v>3919</v>
      </c>
      <c r="O1932" s="8">
        <v>476</v>
      </c>
      <c r="P1932" s="24">
        <v>7591</v>
      </c>
      <c r="Q1932" s="22">
        <f>IF(COUNTIFS(A$2:A1932,A1932,I$2:I1932,I1932)=1,1,0)</f>
        <v>0</v>
      </c>
      <c r="R1932" s="22">
        <f t="shared" si="30"/>
        <v>2</v>
      </c>
      <c r="S1932" s="33">
        <f>IF(COUNTIF(O$2:O1932,O1932)=1,R1932,0)/2.5</f>
        <v>0.8</v>
      </c>
    </row>
    <row r="1933" spans="1:19" ht="18" customHeight="1" x14ac:dyDescent="0.25">
      <c r="A1933" s="7" t="s">
        <v>43</v>
      </c>
      <c r="B1933" s="8">
        <v>1</v>
      </c>
      <c r="C1933" s="9">
        <v>385.9</v>
      </c>
      <c r="D1933" s="29">
        <f>C1933+IF(INDEX('Справочник по %'!B:B,(MATCH(A1933,'Справочник по %'!A:A,0)))="кол-во",B1933*INDEX('Справочник по %'!C:C,(MATCH(A1933,'Справочник по %'!A:A,0))),ОТЧЕТ!C1933*INDEX('Справочник по %'!C:C,(MATCH(A1933,'Справочник по %'!A:A,0))))/100</f>
        <v>424.49</v>
      </c>
      <c r="E1933" s="29">
        <f>IF(ОТЧЕТ!A1933="SKU3",C1933+ОТЧЕТ!C1933*0.2,C1933+ОТЧЕТ!C1933*0.15)</f>
        <v>443.78499999999997</v>
      </c>
      <c r="F1933" s="7" t="s">
        <v>3918</v>
      </c>
      <c r="G1933" s="7">
        <v>3801042576</v>
      </c>
      <c r="H1933" s="20" t="s">
        <v>50</v>
      </c>
      <c r="I1933" s="22" t="str">
        <f>INDEX('Справочник Сети'!B:B,(MATCH(G1933,'Справочник Сети'!C:C,0)))</f>
        <v>Планета здоровья</v>
      </c>
      <c r="J1933" s="7" t="s">
        <v>65</v>
      </c>
      <c r="K1933" s="7" t="s">
        <v>1003</v>
      </c>
      <c r="L1933" s="7" t="s">
        <v>65</v>
      </c>
      <c r="M1933" s="31">
        <v>45717</v>
      </c>
      <c r="N1933" s="7" t="s">
        <v>3920</v>
      </c>
      <c r="O1933" s="8">
        <v>3272</v>
      </c>
      <c r="P1933" s="24">
        <v>7592</v>
      </c>
      <c r="Q1933" s="22">
        <f>IF(COUNTIFS(A$2:A1933,A1933,I$2:I1933,I1933)=1,1,0)</f>
        <v>0</v>
      </c>
      <c r="R1933" s="22">
        <f t="shared" si="30"/>
        <v>2</v>
      </c>
      <c r="S1933" s="33">
        <f>IF(COUNTIF(O$2:O1933,O1933)=1,R1933,0)/2.5</f>
        <v>0</v>
      </c>
    </row>
    <row r="1934" spans="1:19" ht="18" customHeight="1" x14ac:dyDescent="0.25">
      <c r="A1934" s="7" t="s">
        <v>43</v>
      </c>
      <c r="B1934" s="8">
        <v>1</v>
      </c>
      <c r="C1934" s="9">
        <v>366</v>
      </c>
      <c r="D1934" s="29">
        <f>C1934+IF(INDEX('Справочник по %'!B:B,(MATCH(A1934,'Справочник по %'!A:A,0)))="кол-во",B1934*INDEX('Справочник по %'!C:C,(MATCH(A1934,'Справочник по %'!A:A,0))),ОТЧЕТ!C1934*INDEX('Справочник по %'!C:C,(MATCH(A1934,'Справочник по %'!A:A,0))))/100</f>
        <v>402.6</v>
      </c>
      <c r="E1934" s="29">
        <f>IF(ОТЧЕТ!A1934="SKU3",C1934+ОТЧЕТ!C1934*0.2,C1934+ОТЧЕТ!C1934*0.15)</f>
        <v>420.9</v>
      </c>
      <c r="F1934" s="7" t="s">
        <v>3918</v>
      </c>
      <c r="G1934" s="7">
        <v>7020028423</v>
      </c>
      <c r="H1934" s="20" t="s">
        <v>1143</v>
      </c>
      <c r="I1934" s="22" t="str">
        <f>INDEX('Справочник Сети'!B:B,(MATCH(G1934,'Справочник Сети'!C:C,0)))</f>
        <v>36,6</v>
      </c>
      <c r="J1934" s="7" t="s">
        <v>106</v>
      </c>
      <c r="K1934" s="7" t="s">
        <v>3413</v>
      </c>
      <c r="L1934" s="7" t="s">
        <v>106</v>
      </c>
      <c r="M1934" s="31">
        <v>45694</v>
      </c>
      <c r="N1934" s="7" t="s">
        <v>3921</v>
      </c>
      <c r="O1934" s="8">
        <v>2668</v>
      </c>
      <c r="P1934" s="24">
        <v>7593</v>
      </c>
      <c r="Q1934" s="22">
        <f>IF(COUNTIFS(A$2:A1934,A1934,I$2:I1934,I1934)=1,1,0)</f>
        <v>0</v>
      </c>
      <c r="R1934" s="22">
        <f t="shared" si="30"/>
        <v>1</v>
      </c>
      <c r="S1934" s="33">
        <f>IF(COUNTIF(O$2:O1934,O1934)=1,R1934,0)/2.5</f>
        <v>0.4</v>
      </c>
    </row>
    <row r="1935" spans="1:19" ht="18" customHeight="1" x14ac:dyDescent="0.25">
      <c r="A1935" s="7" t="s">
        <v>37</v>
      </c>
      <c r="B1935" s="8">
        <v>1</v>
      </c>
      <c r="C1935" s="9">
        <v>605.9</v>
      </c>
      <c r="D1935" s="29">
        <f>C1935+IF(INDEX('Справочник по %'!B:B,(MATCH(A1935,'Справочник по %'!A:A,0)))="кол-во",B1935*INDEX('Справочник по %'!C:C,(MATCH(A1935,'Справочник по %'!A:A,0))),ОТЧЕТ!C1935*INDEX('Справочник по %'!C:C,(MATCH(A1935,'Справочник по %'!A:A,0))))/100</f>
        <v>606.1</v>
      </c>
      <c r="E1935" s="29">
        <f>IF(ОТЧЕТ!A1935="SKU3",C1935+ОТЧЕТ!C1935*0.2,C1935+ОТЧЕТ!C1935*0.15)</f>
        <v>696.78499999999997</v>
      </c>
      <c r="F1935" s="7" t="s">
        <v>3922</v>
      </c>
      <c r="G1935" s="7">
        <v>1840003432</v>
      </c>
      <c r="H1935" s="20" t="s">
        <v>2197</v>
      </c>
      <c r="I1935" s="22">
        <f>INDEX('Справочник Сети'!B:B,(MATCH(G1935,'Справочник Сети'!C:C,0)))</f>
        <v>0</v>
      </c>
      <c r="J1935" s="7" t="s">
        <v>372</v>
      </c>
      <c r="K1935" s="7" t="s">
        <v>3244</v>
      </c>
      <c r="L1935" s="7" t="s">
        <v>335</v>
      </c>
      <c r="M1935" s="31">
        <v>45731</v>
      </c>
      <c r="N1935" s="7" t="s">
        <v>3923</v>
      </c>
      <c r="O1935" s="8">
        <v>2223</v>
      </c>
      <c r="P1935" s="24">
        <v>7596</v>
      </c>
      <c r="Q1935" s="22">
        <f>IF(COUNTIFS(A$2:A1935,A1935,I$2:I1935,I1935)=1,1,0)</f>
        <v>0</v>
      </c>
      <c r="R1935" s="22">
        <f t="shared" si="30"/>
        <v>2</v>
      </c>
      <c r="S1935" s="33">
        <f>IF(COUNTIF(O$2:O1935,O1935)=1,R1935,0)/2.5</f>
        <v>0</v>
      </c>
    </row>
    <row r="1936" spans="1:19" ht="18" customHeight="1" x14ac:dyDescent="0.25">
      <c r="A1936" s="7" t="s">
        <v>37</v>
      </c>
      <c r="B1936" s="8">
        <v>1</v>
      </c>
      <c r="C1936" s="9">
        <v>496</v>
      </c>
      <c r="D1936" s="29">
        <f>C1936+IF(INDEX('Справочник по %'!B:B,(MATCH(A1936,'Справочник по %'!A:A,0)))="кол-во",B1936*INDEX('Справочник по %'!C:C,(MATCH(A1936,'Справочник по %'!A:A,0))),ОТЧЕТ!C1936*INDEX('Справочник по %'!C:C,(MATCH(A1936,'Справочник по %'!A:A,0))))/100</f>
        <v>496.2</v>
      </c>
      <c r="E1936" s="29">
        <f>IF(ОТЧЕТ!A1936="SKU3",C1936+ОТЧЕТ!C1936*0.2,C1936+ОТЧЕТ!C1936*0.15)</f>
        <v>570.4</v>
      </c>
      <c r="F1936" s="7" t="s">
        <v>3924</v>
      </c>
      <c r="G1936" s="7">
        <v>2543023195</v>
      </c>
      <c r="H1936" s="20" t="s">
        <v>3925</v>
      </c>
      <c r="I1936" s="22" t="str">
        <f>INDEX('Справочник Сети'!B:B,(MATCH(G1936,'Справочник Сети'!C:C,0)))</f>
        <v>36,6</v>
      </c>
      <c r="J1936" s="7" t="s">
        <v>46</v>
      </c>
      <c r="K1936" s="7" t="s">
        <v>627</v>
      </c>
      <c r="L1936" s="7" t="s">
        <v>46</v>
      </c>
      <c r="M1936" s="31">
        <v>45726</v>
      </c>
      <c r="N1936" s="7" t="s">
        <v>3926</v>
      </c>
      <c r="O1936" s="8">
        <v>2028</v>
      </c>
      <c r="P1936" s="24">
        <v>7599</v>
      </c>
      <c r="Q1936" s="22">
        <f>IF(COUNTIFS(A$2:A1936,A1936,I$2:I1936,I1936)=1,1,0)</f>
        <v>0</v>
      </c>
      <c r="R1936" s="22">
        <f t="shared" si="30"/>
        <v>1</v>
      </c>
      <c r="S1936" s="33">
        <f>IF(COUNTIF(O$2:O1936,O1936)=1,R1936,0)/2.5</f>
        <v>0.4</v>
      </c>
    </row>
    <row r="1937" spans="1:19" ht="18" customHeight="1" x14ac:dyDescent="0.25">
      <c r="A1937" s="7" t="s">
        <v>43</v>
      </c>
      <c r="B1937" s="8">
        <v>1</v>
      </c>
      <c r="C1937" s="9">
        <v>432</v>
      </c>
      <c r="D1937" s="29">
        <f>C1937+IF(INDEX('Справочник по %'!B:B,(MATCH(A1937,'Справочник по %'!A:A,0)))="кол-во",B1937*INDEX('Справочник по %'!C:C,(MATCH(A1937,'Справочник по %'!A:A,0))),ОТЧЕТ!C1937*INDEX('Справочник по %'!C:C,(MATCH(A1937,'Справочник по %'!A:A,0))))/100</f>
        <v>475.2</v>
      </c>
      <c r="E1937" s="29">
        <f>IF(ОТЧЕТ!A1937="SKU3",C1937+ОТЧЕТ!C1937*0.2,C1937+ОТЧЕТ!C1937*0.15)</f>
        <v>496.8</v>
      </c>
      <c r="F1937" s="7" t="s">
        <v>3924</v>
      </c>
      <c r="G1937" s="7">
        <v>2543102471</v>
      </c>
      <c r="H1937" s="20" t="s">
        <v>3927</v>
      </c>
      <c r="I1937" s="22" t="str">
        <f>INDEX('Справочник Сети'!B:B,(MATCH(G1937,'Справочник Сети'!C:C,0)))</f>
        <v>Столички</v>
      </c>
      <c r="J1937" s="7" t="s">
        <v>46</v>
      </c>
      <c r="K1937" s="7" t="s">
        <v>2620</v>
      </c>
      <c r="L1937" s="7" t="s">
        <v>46</v>
      </c>
      <c r="M1937" s="31">
        <v>45726</v>
      </c>
      <c r="N1937" s="7" t="s">
        <v>3928</v>
      </c>
      <c r="O1937" s="8">
        <v>800</v>
      </c>
      <c r="P1937" s="24">
        <v>7600</v>
      </c>
      <c r="Q1937" s="22">
        <f>IF(COUNTIFS(A$2:A1937,A1937,I$2:I1937,I1937)=1,1,0)</f>
        <v>0</v>
      </c>
      <c r="R1937" s="22">
        <f t="shared" si="30"/>
        <v>3</v>
      </c>
      <c r="S1937" s="33">
        <f>IF(COUNTIF(O$2:O1937,O1937)=1,R1937,0)/2.5</f>
        <v>0</v>
      </c>
    </row>
    <row r="1938" spans="1:19" ht="18" customHeight="1" x14ac:dyDescent="0.25">
      <c r="A1938" s="7" t="s">
        <v>43</v>
      </c>
      <c r="B1938" s="8">
        <v>1</v>
      </c>
      <c r="C1938" s="9">
        <v>400</v>
      </c>
      <c r="D1938" s="29">
        <f>C1938+IF(INDEX('Справочник по %'!B:B,(MATCH(A1938,'Справочник по %'!A:A,0)))="кол-во",B1938*INDEX('Справочник по %'!C:C,(MATCH(A1938,'Справочник по %'!A:A,0))),ОТЧЕТ!C1938*INDEX('Справочник по %'!C:C,(MATCH(A1938,'Справочник по %'!A:A,0))))/100</f>
        <v>440</v>
      </c>
      <c r="E1938" s="29">
        <f>IF(ОТЧЕТ!A1938="SKU3",C1938+ОТЧЕТ!C1938*0.2,C1938+ОТЧЕТ!C1938*0.15)</f>
        <v>460</v>
      </c>
      <c r="F1938" s="7" t="s">
        <v>3929</v>
      </c>
      <c r="G1938" s="7">
        <v>2225105670</v>
      </c>
      <c r="H1938" s="20" t="s">
        <v>69</v>
      </c>
      <c r="I1938" s="22" t="str">
        <f>INDEX('Справочник Сети'!B:B,(MATCH(G1938,'Справочник Сети'!C:C,0)))</f>
        <v>Столички</v>
      </c>
      <c r="J1938" s="7" t="s">
        <v>372</v>
      </c>
      <c r="K1938" s="7" t="s">
        <v>3930</v>
      </c>
      <c r="L1938" s="7" t="s">
        <v>372</v>
      </c>
      <c r="M1938" s="31">
        <v>45730</v>
      </c>
      <c r="N1938" s="7" t="s">
        <v>3931</v>
      </c>
      <c r="O1938" s="8">
        <v>3258</v>
      </c>
      <c r="P1938" s="24">
        <v>7601</v>
      </c>
      <c r="Q1938" s="22">
        <f>IF(COUNTIFS(A$2:A1938,A1938,I$2:I1938,I1938)=1,1,0)</f>
        <v>0</v>
      </c>
      <c r="R1938" s="22">
        <f t="shared" si="30"/>
        <v>1</v>
      </c>
      <c r="S1938" s="33">
        <f>IF(COUNTIF(O$2:O1938,O1938)=1,R1938,0)/2.5</f>
        <v>0.4</v>
      </c>
    </row>
    <row r="1939" spans="1:19" ht="18" customHeight="1" x14ac:dyDescent="0.25">
      <c r="A1939" s="7" t="s">
        <v>43</v>
      </c>
      <c r="B1939" s="8">
        <v>1</v>
      </c>
      <c r="C1939" s="9">
        <v>382.27</v>
      </c>
      <c r="D1939" s="29">
        <f>C1939+IF(INDEX('Справочник по %'!B:B,(MATCH(A1939,'Справочник по %'!A:A,0)))="кол-во",B1939*INDEX('Справочник по %'!C:C,(MATCH(A1939,'Справочник по %'!A:A,0))),ОТЧЕТ!C1939*INDEX('Справочник по %'!C:C,(MATCH(A1939,'Справочник по %'!A:A,0))))/100</f>
        <v>420.49699999999996</v>
      </c>
      <c r="E1939" s="29">
        <f>IF(ОТЧЕТ!A1939="SKU3",C1939+ОТЧЕТ!C1939*0.2,C1939+ОТЧЕТ!C1939*0.15)</f>
        <v>439.6105</v>
      </c>
      <c r="F1939" s="7" t="s">
        <v>3929</v>
      </c>
      <c r="G1939" s="7">
        <v>5902132100</v>
      </c>
      <c r="H1939" s="20" t="s">
        <v>39</v>
      </c>
      <c r="I1939" s="22">
        <f>INDEX('Справочник Сети'!B:B,(MATCH(G1939,'Справочник Сети'!C:C,0)))</f>
        <v>0</v>
      </c>
      <c r="J1939" s="7" t="s">
        <v>40</v>
      </c>
      <c r="K1939" s="7" t="s">
        <v>3932</v>
      </c>
      <c r="L1939" s="7" t="s">
        <v>40</v>
      </c>
      <c r="M1939" s="31">
        <v>45712</v>
      </c>
      <c r="N1939" s="7" t="s">
        <v>3933</v>
      </c>
      <c r="O1939" s="8">
        <v>1820</v>
      </c>
      <c r="P1939" s="24">
        <v>7602</v>
      </c>
      <c r="Q1939" s="22">
        <f>IF(COUNTIFS(A$2:A1939,A1939,I$2:I1939,I1939)=1,1,0)</f>
        <v>0</v>
      </c>
      <c r="R1939" s="22">
        <f t="shared" si="30"/>
        <v>1</v>
      </c>
      <c r="S1939" s="33">
        <f>IF(COUNTIF(O$2:O1939,O1939)=1,R1939,0)/2.5</f>
        <v>0.4</v>
      </c>
    </row>
    <row r="1940" spans="1:19" ht="18" customHeight="1" x14ac:dyDescent="0.25">
      <c r="A1940" s="7" t="s">
        <v>43</v>
      </c>
      <c r="B1940" s="8">
        <v>1</v>
      </c>
      <c r="C1940" s="9">
        <v>399.5</v>
      </c>
      <c r="D1940" s="29">
        <f>C1940+IF(INDEX('Справочник по %'!B:B,(MATCH(A1940,'Справочник по %'!A:A,0)))="кол-во",B1940*INDEX('Справочник по %'!C:C,(MATCH(A1940,'Справочник по %'!A:A,0))),ОТЧЕТ!C1940*INDEX('Справочник по %'!C:C,(MATCH(A1940,'Справочник по %'!A:A,0))))/100</f>
        <v>439.45</v>
      </c>
      <c r="E1940" s="29">
        <f>IF(ОТЧЕТ!A1940="SKU3",C1940+ОТЧЕТ!C1940*0.2,C1940+ОТЧЕТ!C1940*0.15)</f>
        <v>459.42500000000001</v>
      </c>
      <c r="F1940" s="7" t="s">
        <v>3929</v>
      </c>
      <c r="G1940" s="7">
        <v>3801042576</v>
      </c>
      <c r="H1940" s="20" t="s">
        <v>64</v>
      </c>
      <c r="I1940" s="22" t="str">
        <f>INDEX('Справочник Сети'!B:B,(MATCH(G1940,'Справочник Сети'!C:C,0)))</f>
        <v>Планета здоровья</v>
      </c>
      <c r="J1940" s="7" t="s">
        <v>65</v>
      </c>
      <c r="K1940" s="7" t="s">
        <v>1033</v>
      </c>
      <c r="L1940" s="7" t="s">
        <v>65</v>
      </c>
      <c r="M1940" s="31">
        <v>45717</v>
      </c>
      <c r="N1940" s="7" t="s">
        <v>3934</v>
      </c>
      <c r="O1940" s="8">
        <v>3048</v>
      </c>
      <c r="P1940" s="24">
        <v>7603</v>
      </c>
      <c r="Q1940" s="22">
        <f>IF(COUNTIFS(A$2:A1940,A1940,I$2:I1940,I1940)=1,1,0)</f>
        <v>0</v>
      </c>
      <c r="R1940" s="22">
        <f t="shared" si="30"/>
        <v>6</v>
      </c>
      <c r="S1940" s="33">
        <f>IF(COUNTIF(O$2:O1940,O1940)=1,R1940,0)/2.5</f>
        <v>0</v>
      </c>
    </row>
    <row r="1941" spans="1:19" ht="18" customHeight="1" x14ac:dyDescent="0.25">
      <c r="A1941" s="7" t="s">
        <v>43</v>
      </c>
      <c r="B1941" s="8">
        <v>1</v>
      </c>
      <c r="C1941" s="9">
        <v>611.99</v>
      </c>
      <c r="D1941" s="29">
        <f>C1941+IF(INDEX('Справочник по %'!B:B,(MATCH(A1941,'Справочник по %'!A:A,0)))="кол-во",B1941*INDEX('Справочник по %'!C:C,(MATCH(A1941,'Справочник по %'!A:A,0))),ОТЧЕТ!C1941*INDEX('Справочник по %'!C:C,(MATCH(A1941,'Справочник по %'!A:A,0))))/100</f>
        <v>673.18899999999996</v>
      </c>
      <c r="E1941" s="29">
        <f>IF(ОТЧЕТ!A1941="SKU3",C1941+ОТЧЕТ!C1941*0.2,C1941+ОТЧЕТ!C1941*0.15)</f>
        <v>703.7885</v>
      </c>
      <c r="F1941" s="7" t="s">
        <v>3935</v>
      </c>
      <c r="G1941" s="7">
        <v>2225198434</v>
      </c>
      <c r="H1941" s="20" t="s">
        <v>91</v>
      </c>
      <c r="I1941" s="22">
        <f>INDEX('Справочник Сети'!B:B,(MATCH(G1941,'Справочник Сети'!C:C,0)))</f>
        <v>0</v>
      </c>
      <c r="J1941" s="7" t="s">
        <v>372</v>
      </c>
      <c r="K1941" s="7" t="s">
        <v>3242</v>
      </c>
      <c r="L1941" s="7" t="s">
        <v>372</v>
      </c>
      <c r="M1941" s="31">
        <v>45730</v>
      </c>
      <c r="N1941" s="7" t="s">
        <v>3936</v>
      </c>
      <c r="O1941" s="8">
        <v>188</v>
      </c>
      <c r="P1941" s="24">
        <v>7605</v>
      </c>
      <c r="Q1941" s="22">
        <f>IF(COUNTIFS(A$2:A1941,A1941,I$2:I1941,I1941)=1,1,0)</f>
        <v>0</v>
      </c>
      <c r="R1941" s="22">
        <f t="shared" si="30"/>
        <v>5</v>
      </c>
      <c r="S1941" s="33">
        <f>IF(COUNTIF(O$2:O1941,O1941)=1,R1941,0)/2.5</f>
        <v>0</v>
      </c>
    </row>
    <row r="1942" spans="1:19" ht="18" customHeight="1" x14ac:dyDescent="0.25">
      <c r="A1942" s="7" t="s">
        <v>43</v>
      </c>
      <c r="B1942" s="8">
        <v>1</v>
      </c>
      <c r="C1942" s="9">
        <v>448.99</v>
      </c>
      <c r="D1942" s="29">
        <f>C1942+IF(INDEX('Справочник по %'!B:B,(MATCH(A1942,'Справочник по %'!A:A,0)))="кол-во",B1942*INDEX('Справочник по %'!C:C,(MATCH(A1942,'Справочник по %'!A:A,0))),ОТЧЕТ!C1942*INDEX('Справочник по %'!C:C,(MATCH(A1942,'Справочник по %'!A:A,0))))/100</f>
        <v>493.88900000000001</v>
      </c>
      <c r="E1942" s="29">
        <f>IF(ОТЧЕТ!A1942="SKU3",C1942+ОТЧЕТ!C1942*0.2,C1942+ОТЧЕТ!C1942*0.15)</f>
        <v>516.33850000000007</v>
      </c>
      <c r="F1942" s="7" t="s">
        <v>3935</v>
      </c>
      <c r="G1942" s="7">
        <v>2464263772</v>
      </c>
      <c r="H1942" s="20" t="s">
        <v>3937</v>
      </c>
      <c r="I1942" s="22">
        <f>INDEX('Справочник Сети'!B:B,(MATCH(G1942,'Справочник Сети'!C:C,0)))</f>
        <v>0</v>
      </c>
      <c r="J1942" s="7" t="s">
        <v>96</v>
      </c>
      <c r="K1942" s="7" t="s">
        <v>488</v>
      </c>
      <c r="L1942" s="7" t="s">
        <v>96</v>
      </c>
      <c r="M1942" s="31">
        <v>45727</v>
      </c>
      <c r="N1942" s="7" t="s">
        <v>3938</v>
      </c>
      <c r="O1942" s="8">
        <v>2804</v>
      </c>
      <c r="P1942" s="24">
        <v>7609</v>
      </c>
      <c r="Q1942" s="22">
        <f>IF(COUNTIFS(A$2:A1942,A1942,I$2:I1942,I1942)=1,1,0)</f>
        <v>0</v>
      </c>
      <c r="R1942" s="22">
        <f t="shared" si="30"/>
        <v>1</v>
      </c>
      <c r="S1942" s="33">
        <f>IF(COUNTIF(O$2:O1942,O1942)=1,R1942,0)/2.5</f>
        <v>0.4</v>
      </c>
    </row>
    <row r="1943" spans="1:19" ht="18" customHeight="1" x14ac:dyDescent="0.25">
      <c r="A1943" s="7" t="s">
        <v>43</v>
      </c>
      <c r="B1943" s="8">
        <v>1</v>
      </c>
      <c r="C1943" s="9">
        <v>384</v>
      </c>
      <c r="D1943" s="29">
        <f>C1943+IF(INDEX('Справочник по %'!B:B,(MATCH(A1943,'Справочник по %'!A:A,0)))="кол-во",B1943*INDEX('Справочник по %'!C:C,(MATCH(A1943,'Справочник по %'!A:A,0))),ОТЧЕТ!C1943*INDEX('Справочник по %'!C:C,(MATCH(A1943,'Справочник по %'!A:A,0))))/100</f>
        <v>422.4</v>
      </c>
      <c r="E1943" s="29">
        <f>IF(ОТЧЕТ!A1943="SKU3",C1943+ОТЧЕТ!C1943*0.2,C1943+ОТЧЕТ!C1943*0.15)</f>
        <v>441.6</v>
      </c>
      <c r="F1943" s="7" t="s">
        <v>3939</v>
      </c>
      <c r="G1943" s="7">
        <v>2221019606</v>
      </c>
      <c r="H1943" s="20" t="s">
        <v>2678</v>
      </c>
      <c r="I1943" s="22">
        <f>INDEX('Справочник Сети'!B:B,(MATCH(G1943,'Справочник Сети'!C:C,0)))</f>
        <v>0</v>
      </c>
      <c r="J1943" s="7" t="s">
        <v>372</v>
      </c>
      <c r="K1943" s="7" t="s">
        <v>1535</v>
      </c>
      <c r="L1943" s="7" t="s">
        <v>372</v>
      </c>
      <c r="M1943" s="31">
        <v>45730</v>
      </c>
      <c r="N1943" s="7" t="s">
        <v>3940</v>
      </c>
      <c r="O1943" s="8">
        <v>3451</v>
      </c>
      <c r="P1943" s="24">
        <v>7613</v>
      </c>
      <c r="Q1943" s="22">
        <f>IF(COUNTIFS(A$2:A1943,A1943,I$2:I1943,I1943)=1,1,0)</f>
        <v>0</v>
      </c>
      <c r="R1943" s="22">
        <f t="shared" si="30"/>
        <v>3</v>
      </c>
      <c r="S1943" s="33">
        <f>IF(COUNTIF(O$2:O1943,O1943)=1,R1943,0)/2.5</f>
        <v>0</v>
      </c>
    </row>
    <row r="1944" spans="1:19" ht="18" customHeight="1" x14ac:dyDescent="0.25">
      <c r="A1944" s="7" t="s">
        <v>43</v>
      </c>
      <c r="B1944" s="8">
        <v>1</v>
      </c>
      <c r="C1944" s="9">
        <v>452</v>
      </c>
      <c r="D1944" s="29">
        <f>C1944+IF(INDEX('Справочник по %'!B:B,(MATCH(A1944,'Справочник по %'!A:A,0)))="кол-во",B1944*INDEX('Справочник по %'!C:C,(MATCH(A1944,'Справочник по %'!A:A,0))),ОТЧЕТ!C1944*INDEX('Справочник по %'!C:C,(MATCH(A1944,'Справочник по %'!A:A,0))))/100</f>
        <v>497.2</v>
      </c>
      <c r="E1944" s="29">
        <f>IF(ОТЧЕТ!A1944="SKU3",C1944+ОТЧЕТ!C1944*0.2,C1944+ОТЧЕТ!C1944*0.15)</f>
        <v>519.79999999999995</v>
      </c>
      <c r="F1944" s="7" t="s">
        <v>3941</v>
      </c>
      <c r="G1944" s="7">
        <v>2222896536</v>
      </c>
      <c r="H1944" s="20" t="s">
        <v>50</v>
      </c>
      <c r="I1944" s="22" t="str">
        <f>INDEX('Справочник Сети'!B:B,(MATCH(G1944,'Справочник Сети'!C:C,0)))</f>
        <v>Нео-фарм</v>
      </c>
      <c r="J1944" s="7" t="s">
        <v>372</v>
      </c>
      <c r="K1944" s="7" t="s">
        <v>2181</v>
      </c>
      <c r="L1944" s="7" t="s">
        <v>372</v>
      </c>
      <c r="M1944" s="31">
        <v>45730</v>
      </c>
      <c r="N1944" s="7" t="s">
        <v>3942</v>
      </c>
      <c r="O1944" s="8">
        <v>1918</v>
      </c>
      <c r="P1944" s="24">
        <v>7619</v>
      </c>
      <c r="Q1944" s="22">
        <f>IF(COUNTIFS(A$2:A1944,A1944,I$2:I1944,I1944)=1,1,0)</f>
        <v>0</v>
      </c>
      <c r="R1944" s="22">
        <f t="shared" si="30"/>
        <v>13</v>
      </c>
      <c r="S1944" s="33">
        <f>IF(COUNTIF(O$2:O1944,O1944)=1,R1944,0)/2.5</f>
        <v>0</v>
      </c>
    </row>
    <row r="1945" spans="1:19" ht="18" customHeight="1" x14ac:dyDescent="0.25">
      <c r="A1945" s="7" t="s">
        <v>37</v>
      </c>
      <c r="B1945" s="8">
        <v>1</v>
      </c>
      <c r="C1945" s="9">
        <v>680</v>
      </c>
      <c r="D1945" s="29">
        <f>C1945+IF(INDEX('Справочник по %'!B:B,(MATCH(A1945,'Справочник по %'!A:A,0)))="кол-во",B1945*INDEX('Справочник по %'!C:C,(MATCH(A1945,'Справочник по %'!A:A,0))),ОТЧЕТ!C1945*INDEX('Справочник по %'!C:C,(MATCH(A1945,'Справочник по %'!A:A,0))))/100</f>
        <v>680.2</v>
      </c>
      <c r="E1945" s="29">
        <f>IF(ОТЧЕТ!A1945="SKU3",C1945+ОТЧЕТ!C1945*0.2,C1945+ОТЧЕТ!C1945*0.15)</f>
        <v>782</v>
      </c>
      <c r="F1945" s="7" t="s">
        <v>3941</v>
      </c>
      <c r="G1945" s="7">
        <v>9103070398</v>
      </c>
      <c r="H1945" s="20" t="s">
        <v>50</v>
      </c>
      <c r="I1945" s="22">
        <f>INDEX('Справочник Сети'!B:B,(MATCH(G1945,'Справочник Сети'!C:C,0)))</f>
        <v>0</v>
      </c>
      <c r="J1945" s="7" t="s">
        <v>2538</v>
      </c>
      <c r="K1945" s="7" t="s">
        <v>3943</v>
      </c>
      <c r="L1945" s="7" t="s">
        <v>737</v>
      </c>
      <c r="M1945" s="31">
        <v>45669</v>
      </c>
      <c r="N1945" s="7" t="s">
        <v>3944</v>
      </c>
      <c r="O1945" s="8">
        <v>3436</v>
      </c>
      <c r="P1945" s="24">
        <v>7620</v>
      </c>
      <c r="Q1945" s="22">
        <f>IF(COUNTIFS(A$2:A1945,A1945,I$2:I1945,I1945)=1,1,0)</f>
        <v>0</v>
      </c>
      <c r="R1945" s="22">
        <f t="shared" si="30"/>
        <v>3</v>
      </c>
      <c r="S1945" s="33">
        <f>IF(COUNTIF(O$2:O1945,O1945)=1,R1945,0)/2.5</f>
        <v>0</v>
      </c>
    </row>
    <row r="1946" spans="1:19" ht="18" customHeight="1" x14ac:dyDescent="0.25">
      <c r="A1946" s="7" t="s">
        <v>43</v>
      </c>
      <c r="B1946" s="8">
        <v>1</v>
      </c>
      <c r="C1946" s="9">
        <v>379</v>
      </c>
      <c r="D1946" s="29">
        <f>C1946+IF(INDEX('Справочник по %'!B:B,(MATCH(A1946,'Справочник по %'!A:A,0)))="кол-во",B1946*INDEX('Справочник по %'!C:C,(MATCH(A1946,'Справочник по %'!A:A,0))),ОТЧЕТ!C1946*INDEX('Справочник по %'!C:C,(MATCH(A1946,'Справочник по %'!A:A,0))))/100</f>
        <v>416.9</v>
      </c>
      <c r="E1946" s="29">
        <f>IF(ОТЧЕТ!A1946="SKU3",C1946+ОТЧЕТ!C1946*0.2,C1946+ОТЧЕТ!C1946*0.15)</f>
        <v>435.85</v>
      </c>
      <c r="F1946" s="7" t="s">
        <v>3945</v>
      </c>
      <c r="G1946" s="7">
        <v>7706795062</v>
      </c>
      <c r="H1946" s="20" t="s">
        <v>327</v>
      </c>
      <c r="I1946" s="22" t="str">
        <f>INDEX('Справочник Сети'!B:B,(MATCH(G1946,'Справочник Сети'!C:C,0)))</f>
        <v>Планета здоровья</v>
      </c>
      <c r="J1946" s="7" t="s">
        <v>87</v>
      </c>
      <c r="K1946" s="7" t="s">
        <v>3946</v>
      </c>
      <c r="L1946" s="7" t="s">
        <v>87</v>
      </c>
      <c r="M1946" s="31">
        <v>45691</v>
      </c>
      <c r="N1946" s="7" t="s">
        <v>3947</v>
      </c>
      <c r="O1946" s="8">
        <v>2981</v>
      </c>
      <c r="P1946" s="24">
        <v>7622</v>
      </c>
      <c r="Q1946" s="22">
        <f>IF(COUNTIFS(A$2:A1946,A1946,I$2:I1946,I1946)=1,1,0)</f>
        <v>0</v>
      </c>
      <c r="R1946" s="22">
        <f t="shared" si="30"/>
        <v>2</v>
      </c>
      <c r="S1946" s="33">
        <f>IF(COUNTIF(O$2:O1946,O1946)=1,R1946,0)/2.5</f>
        <v>0.8</v>
      </c>
    </row>
    <row r="1947" spans="1:19" ht="18" customHeight="1" x14ac:dyDescent="0.25">
      <c r="A1947" s="7" t="s">
        <v>43</v>
      </c>
      <c r="B1947" s="8">
        <v>1</v>
      </c>
      <c r="C1947" s="9">
        <v>400.75</v>
      </c>
      <c r="D1947" s="29">
        <f>C1947+IF(INDEX('Справочник по %'!B:B,(MATCH(A1947,'Справочник по %'!A:A,0)))="кол-во",B1947*INDEX('Справочник по %'!C:C,(MATCH(A1947,'Справочник по %'!A:A,0))),ОТЧЕТ!C1947*INDEX('Справочник по %'!C:C,(MATCH(A1947,'Справочник по %'!A:A,0))))/100</f>
        <v>440.82499999999999</v>
      </c>
      <c r="E1947" s="29">
        <f>IF(ОТЧЕТ!A1947="SKU3",C1947+ОТЧЕТ!C1947*0.2,C1947+ОТЧЕТ!C1947*0.15)</f>
        <v>460.86250000000001</v>
      </c>
      <c r="F1947" s="7" t="s">
        <v>3945</v>
      </c>
      <c r="G1947" s="7">
        <v>5507102175</v>
      </c>
      <c r="H1947" s="20" t="s">
        <v>50</v>
      </c>
      <c r="I1947" s="22" t="str">
        <f>INDEX('Справочник Сети'!B:B,(MATCH(G1947,'Справочник Сети'!C:C,0)))</f>
        <v>Столички</v>
      </c>
      <c r="J1947" s="7" t="s">
        <v>255</v>
      </c>
      <c r="K1947" s="7" t="s">
        <v>3948</v>
      </c>
      <c r="L1947" s="7" t="s">
        <v>255</v>
      </c>
      <c r="M1947" s="31">
        <v>45713</v>
      </c>
      <c r="N1947" s="7" t="s">
        <v>3949</v>
      </c>
      <c r="O1947" s="8">
        <v>435</v>
      </c>
      <c r="P1947" s="24">
        <v>7624</v>
      </c>
      <c r="Q1947" s="22">
        <f>IF(COUNTIFS(A$2:A1947,A1947,I$2:I1947,I1947)=1,1,0)</f>
        <v>0</v>
      </c>
      <c r="R1947" s="22">
        <f t="shared" si="30"/>
        <v>6</v>
      </c>
      <c r="S1947" s="33">
        <f>IF(COUNTIF(O$2:O1947,O1947)=1,R1947,0)/2.5</f>
        <v>0</v>
      </c>
    </row>
    <row r="1948" spans="1:19" ht="18" customHeight="1" x14ac:dyDescent="0.25">
      <c r="A1948" s="7" t="s">
        <v>43</v>
      </c>
      <c r="B1948" s="8">
        <v>1</v>
      </c>
      <c r="C1948" s="9">
        <v>401</v>
      </c>
      <c r="D1948" s="29">
        <f>C1948+IF(INDEX('Справочник по %'!B:B,(MATCH(A1948,'Справочник по %'!A:A,0)))="кол-во",B1948*INDEX('Справочник по %'!C:C,(MATCH(A1948,'Справочник по %'!A:A,0))),ОТЧЕТ!C1948*INDEX('Справочник по %'!C:C,(MATCH(A1948,'Справочник по %'!A:A,0))))/100</f>
        <v>441.1</v>
      </c>
      <c r="E1948" s="29">
        <f>IF(ОТЧЕТ!A1948="SKU3",C1948+ОТЧЕТ!C1948*0.2,C1948+ОТЧЕТ!C1948*0.15)</f>
        <v>461.15</v>
      </c>
      <c r="F1948" s="7" t="s">
        <v>3950</v>
      </c>
      <c r="G1948" s="7">
        <v>4205407651</v>
      </c>
      <c r="H1948" s="20" t="s">
        <v>820</v>
      </c>
      <c r="I1948" s="22">
        <f>INDEX('Справочник Сети'!B:B,(MATCH(G1948,'Справочник Сети'!C:C,0)))</f>
        <v>0</v>
      </c>
      <c r="J1948" s="7" t="s">
        <v>155</v>
      </c>
      <c r="K1948" s="7" t="s">
        <v>555</v>
      </c>
      <c r="L1948" s="7" t="s">
        <v>155</v>
      </c>
      <c r="M1948" s="31">
        <v>45716</v>
      </c>
      <c r="N1948" s="7" t="s">
        <v>3951</v>
      </c>
      <c r="O1948" s="8">
        <v>1108</v>
      </c>
      <c r="P1948" s="24">
        <v>7627</v>
      </c>
      <c r="Q1948" s="22">
        <f>IF(COUNTIFS(A$2:A1948,A1948,I$2:I1948,I1948)=1,1,0)</f>
        <v>0</v>
      </c>
      <c r="R1948" s="22">
        <f t="shared" si="30"/>
        <v>3</v>
      </c>
      <c r="S1948" s="33">
        <f>IF(COUNTIF(O$2:O1948,O1948)=1,R1948,0)/2.5</f>
        <v>0</v>
      </c>
    </row>
    <row r="1949" spans="1:19" ht="18" customHeight="1" x14ac:dyDescent="0.25">
      <c r="A1949" s="7" t="s">
        <v>43</v>
      </c>
      <c r="B1949" s="8">
        <v>1</v>
      </c>
      <c r="C1949" s="9">
        <v>369</v>
      </c>
      <c r="D1949" s="29">
        <f>C1949+IF(INDEX('Справочник по %'!B:B,(MATCH(A1949,'Справочник по %'!A:A,0)))="кол-во",B1949*INDEX('Справочник по %'!C:C,(MATCH(A1949,'Справочник по %'!A:A,0))),ОТЧЕТ!C1949*INDEX('Справочник по %'!C:C,(MATCH(A1949,'Справочник по %'!A:A,0))))/100</f>
        <v>405.9</v>
      </c>
      <c r="E1949" s="29">
        <f>IF(ОТЧЕТ!A1949="SKU3",C1949+ОТЧЕТ!C1949*0.2,C1949+ОТЧЕТ!C1949*0.15)</f>
        <v>424.35</v>
      </c>
      <c r="F1949" s="7" t="s">
        <v>3950</v>
      </c>
      <c r="G1949" s="7">
        <v>7706795062</v>
      </c>
      <c r="H1949" s="20" t="s">
        <v>3108</v>
      </c>
      <c r="I1949" s="22" t="str">
        <f>INDEX('Справочник Сети'!B:B,(MATCH(G1949,'Справочник Сети'!C:C,0)))</f>
        <v>Планета здоровья</v>
      </c>
      <c r="J1949" s="7" t="s">
        <v>87</v>
      </c>
      <c r="K1949" s="7" t="s">
        <v>3952</v>
      </c>
      <c r="L1949" s="7" t="s">
        <v>87</v>
      </c>
      <c r="M1949" s="31">
        <v>45691</v>
      </c>
      <c r="N1949" s="7" t="s">
        <v>3953</v>
      </c>
      <c r="O1949" s="8">
        <v>2924</v>
      </c>
      <c r="P1949" s="24">
        <v>7629</v>
      </c>
      <c r="Q1949" s="22">
        <f>IF(COUNTIFS(A$2:A1949,A1949,I$2:I1949,I1949)=1,1,0)</f>
        <v>0</v>
      </c>
      <c r="R1949" s="22">
        <f t="shared" si="30"/>
        <v>2</v>
      </c>
      <c r="S1949" s="33">
        <f>IF(COUNTIF(O$2:O1949,O1949)=1,R1949,0)/2.5</f>
        <v>0</v>
      </c>
    </row>
    <row r="1950" spans="1:19" ht="18" customHeight="1" x14ac:dyDescent="0.25">
      <c r="A1950" s="7" t="s">
        <v>43</v>
      </c>
      <c r="B1950" s="8">
        <v>1</v>
      </c>
      <c r="C1950" s="9">
        <v>423</v>
      </c>
      <c r="D1950" s="29">
        <f>C1950+IF(INDEX('Справочник по %'!B:B,(MATCH(A1950,'Справочник по %'!A:A,0)))="кол-во",B1950*INDEX('Справочник по %'!C:C,(MATCH(A1950,'Справочник по %'!A:A,0))),ОТЧЕТ!C1950*INDEX('Справочник по %'!C:C,(MATCH(A1950,'Справочник по %'!A:A,0))))/100</f>
        <v>465.3</v>
      </c>
      <c r="E1950" s="29">
        <f>IF(ОТЧЕТ!A1950="SKU3",C1950+ОТЧЕТ!C1950*0.2,C1950+ОТЧЕТ!C1950*0.15)</f>
        <v>486.45</v>
      </c>
      <c r="F1950" s="7" t="s">
        <v>3954</v>
      </c>
      <c r="G1950" s="7">
        <v>7840411560</v>
      </c>
      <c r="H1950" s="20" t="s">
        <v>3955</v>
      </c>
      <c r="I1950" s="22" t="str">
        <f>INDEX('Справочник Сети'!B:B,(MATCH(G1950,'Справочник Сети'!C:C,0)))</f>
        <v>Столички</v>
      </c>
      <c r="J1950" s="7" t="s">
        <v>315</v>
      </c>
      <c r="K1950" s="7" t="s">
        <v>3930</v>
      </c>
      <c r="L1950" s="7" t="s">
        <v>315</v>
      </c>
      <c r="M1950" s="31">
        <v>45670</v>
      </c>
      <c r="N1950" s="7" t="s">
        <v>3956</v>
      </c>
      <c r="O1950" s="8">
        <v>1540</v>
      </c>
      <c r="P1950" s="24">
        <v>7633</v>
      </c>
      <c r="Q1950" s="22">
        <f>IF(COUNTIFS(A$2:A1950,A1950,I$2:I1950,I1950)=1,1,0)</f>
        <v>0</v>
      </c>
      <c r="R1950" s="22">
        <f t="shared" si="30"/>
        <v>1</v>
      </c>
      <c r="S1950" s="33">
        <f>IF(COUNTIF(O$2:O1950,O1950)=1,R1950,0)/2.5</f>
        <v>0.4</v>
      </c>
    </row>
    <row r="1951" spans="1:19" ht="18" customHeight="1" x14ac:dyDescent="0.25">
      <c r="A1951" s="7" t="s">
        <v>37</v>
      </c>
      <c r="B1951" s="8">
        <v>1</v>
      </c>
      <c r="C1951" s="9">
        <v>595</v>
      </c>
      <c r="D1951" s="29">
        <f>C1951+IF(INDEX('Справочник по %'!B:B,(MATCH(A1951,'Справочник по %'!A:A,0)))="кол-во",B1951*INDEX('Справочник по %'!C:C,(MATCH(A1951,'Справочник по %'!A:A,0))),ОТЧЕТ!C1951*INDEX('Справочник по %'!C:C,(MATCH(A1951,'Справочник по %'!A:A,0))))/100</f>
        <v>595.20000000000005</v>
      </c>
      <c r="E1951" s="29">
        <f>IF(ОТЧЕТ!A1951="SKU3",C1951+ОТЧЕТ!C1951*0.2,C1951+ОТЧЕТ!C1951*0.15)</f>
        <v>684.25</v>
      </c>
      <c r="F1951" s="7" t="s">
        <v>3954</v>
      </c>
      <c r="G1951" s="7">
        <v>5906146600</v>
      </c>
      <c r="H1951" s="20" t="s">
        <v>39</v>
      </c>
      <c r="I1951" s="22">
        <f>INDEX('Справочник Сети'!B:B,(MATCH(G1951,'Справочник Сети'!C:C,0)))</f>
        <v>0</v>
      </c>
      <c r="J1951" s="7" t="s">
        <v>1344</v>
      </c>
      <c r="K1951" s="7" t="s">
        <v>598</v>
      </c>
      <c r="L1951" s="7" t="s">
        <v>1346</v>
      </c>
      <c r="M1951" s="31">
        <v>45706</v>
      </c>
      <c r="N1951" s="7" t="s">
        <v>3957</v>
      </c>
      <c r="O1951" s="8">
        <v>2550</v>
      </c>
      <c r="P1951" s="24">
        <v>7636</v>
      </c>
      <c r="Q1951" s="22">
        <f>IF(COUNTIFS(A$2:A1951,A1951,I$2:I1951,I1951)=1,1,0)</f>
        <v>0</v>
      </c>
      <c r="R1951" s="22">
        <f t="shared" si="30"/>
        <v>1</v>
      </c>
      <c r="S1951" s="33">
        <f>IF(COUNTIF(O$2:O1951,O1951)=1,R1951,0)/2.5</f>
        <v>0.4</v>
      </c>
    </row>
    <row r="1952" spans="1:19" ht="18" customHeight="1" x14ac:dyDescent="0.25">
      <c r="A1952" s="7" t="s">
        <v>43</v>
      </c>
      <c r="B1952" s="8">
        <v>1</v>
      </c>
      <c r="C1952" s="9">
        <v>425</v>
      </c>
      <c r="D1952" s="29">
        <f>C1952+IF(INDEX('Справочник по %'!B:B,(MATCH(A1952,'Справочник по %'!A:A,0)))="кол-во",B1952*INDEX('Справочник по %'!C:C,(MATCH(A1952,'Справочник по %'!A:A,0))),ОТЧЕТ!C1952*INDEX('Справочник по %'!C:C,(MATCH(A1952,'Справочник по %'!A:A,0))))/100</f>
        <v>467.5</v>
      </c>
      <c r="E1952" s="29">
        <f>IF(ОТЧЕТ!A1952="SKU3",C1952+ОТЧЕТ!C1952*0.2,C1952+ОТЧЕТ!C1952*0.15)</f>
        <v>488.75</v>
      </c>
      <c r="F1952" s="7" t="s">
        <v>3958</v>
      </c>
      <c r="G1952" s="7">
        <v>4632054054</v>
      </c>
      <c r="H1952" s="20" t="s">
        <v>2437</v>
      </c>
      <c r="I1952" s="22" t="str">
        <f>INDEX('Справочник Сети'!B:B,(MATCH(G1952,'Справочник Сети'!C:C,0)))</f>
        <v>Ригла</v>
      </c>
      <c r="J1952" s="7" t="s">
        <v>155</v>
      </c>
      <c r="K1952" s="7" t="s">
        <v>3959</v>
      </c>
      <c r="L1952" s="7" t="s">
        <v>155</v>
      </c>
      <c r="M1952" s="31">
        <v>45716</v>
      </c>
      <c r="N1952" s="7" t="s">
        <v>3960</v>
      </c>
      <c r="O1952" s="8">
        <v>3602</v>
      </c>
      <c r="P1952" s="24">
        <v>7641</v>
      </c>
      <c r="Q1952" s="22">
        <f>IF(COUNTIFS(A$2:A1952,A1952,I$2:I1952,I1952)=1,1,0)</f>
        <v>0</v>
      </c>
      <c r="R1952" s="22">
        <f t="shared" si="30"/>
        <v>3</v>
      </c>
      <c r="S1952" s="33">
        <f>IF(COUNTIF(O$2:O1952,O1952)=1,R1952,0)/2.5</f>
        <v>1.2</v>
      </c>
    </row>
    <row r="1953" spans="1:19" ht="18" customHeight="1" x14ac:dyDescent="0.25">
      <c r="A1953" s="7" t="s">
        <v>43</v>
      </c>
      <c r="B1953" s="8">
        <v>1</v>
      </c>
      <c r="C1953" s="9">
        <v>435</v>
      </c>
      <c r="D1953" s="29">
        <f>C1953+IF(INDEX('Справочник по %'!B:B,(MATCH(A1953,'Справочник по %'!A:A,0)))="кол-во",B1953*INDEX('Справочник по %'!C:C,(MATCH(A1953,'Справочник по %'!A:A,0))),ОТЧЕТ!C1953*INDEX('Справочник по %'!C:C,(MATCH(A1953,'Справочник по %'!A:A,0))))/100</f>
        <v>478.5</v>
      </c>
      <c r="E1953" s="29">
        <f>IF(ОТЧЕТ!A1953="SKU3",C1953+ОТЧЕТ!C1953*0.2,C1953+ОТЧЕТ!C1953*0.15)</f>
        <v>500.25</v>
      </c>
      <c r="F1953" s="7" t="s">
        <v>3961</v>
      </c>
      <c r="G1953" s="7">
        <v>4632054054</v>
      </c>
      <c r="H1953" s="20" t="s">
        <v>2437</v>
      </c>
      <c r="I1953" s="22" t="str">
        <f>INDEX('Справочник Сети'!B:B,(MATCH(G1953,'Справочник Сети'!C:C,0)))</f>
        <v>Ригла</v>
      </c>
      <c r="J1953" s="7" t="s">
        <v>155</v>
      </c>
      <c r="K1953" s="7" t="s">
        <v>3959</v>
      </c>
      <c r="L1953" s="7" t="s">
        <v>155</v>
      </c>
      <c r="M1953" s="31">
        <v>45716</v>
      </c>
      <c r="N1953" s="7" t="s">
        <v>3962</v>
      </c>
      <c r="O1953" s="8">
        <v>3126</v>
      </c>
      <c r="P1953" s="24">
        <v>7643</v>
      </c>
      <c r="Q1953" s="22">
        <f>IF(COUNTIFS(A$2:A1953,A1953,I$2:I1953,I1953)=1,1,0)</f>
        <v>0</v>
      </c>
      <c r="R1953" s="22">
        <f t="shared" si="30"/>
        <v>1</v>
      </c>
      <c r="S1953" s="33">
        <f>IF(COUNTIF(O$2:O1953,O1953)=1,R1953,0)/2.5</f>
        <v>0.4</v>
      </c>
    </row>
    <row r="1954" spans="1:19" ht="18" customHeight="1" x14ac:dyDescent="0.25">
      <c r="A1954" s="7" t="s">
        <v>43</v>
      </c>
      <c r="B1954" s="8">
        <v>1</v>
      </c>
      <c r="C1954" s="9">
        <v>457.2</v>
      </c>
      <c r="D1954" s="29">
        <f>C1954+IF(INDEX('Справочник по %'!B:B,(MATCH(A1954,'Справочник по %'!A:A,0)))="кол-во",B1954*INDEX('Справочник по %'!C:C,(MATCH(A1954,'Справочник по %'!A:A,0))),ОТЧЕТ!C1954*INDEX('Справочник по %'!C:C,(MATCH(A1954,'Справочник по %'!A:A,0))))/100</f>
        <v>502.91999999999996</v>
      </c>
      <c r="E1954" s="29">
        <f>IF(ОТЧЕТ!A1954="SKU3",C1954+ОТЧЕТ!C1954*0.2,C1954+ОТЧЕТ!C1954*0.15)</f>
        <v>525.78</v>
      </c>
      <c r="F1954" s="7" t="s">
        <v>3961</v>
      </c>
      <c r="G1954" s="7">
        <v>5260408672</v>
      </c>
      <c r="H1954" s="20" t="s">
        <v>50</v>
      </c>
      <c r="I1954" s="22">
        <f>INDEX('Справочник Сети'!B:B,(MATCH(G1954,'Справочник Сети'!C:C,0)))</f>
        <v>0</v>
      </c>
      <c r="J1954" s="7" t="s">
        <v>92</v>
      </c>
      <c r="K1954" s="7" t="s">
        <v>456</v>
      </c>
      <c r="L1954" s="7" t="s">
        <v>92</v>
      </c>
      <c r="M1954" s="31">
        <v>45714</v>
      </c>
      <c r="N1954" s="7" t="s">
        <v>3963</v>
      </c>
      <c r="O1954" s="8">
        <v>1663</v>
      </c>
      <c r="P1954" s="24">
        <v>7644</v>
      </c>
      <c r="Q1954" s="22">
        <f>IF(COUNTIFS(A$2:A1954,A1954,I$2:I1954,I1954)=1,1,0)</f>
        <v>0</v>
      </c>
      <c r="R1954" s="22">
        <f t="shared" si="30"/>
        <v>1</v>
      </c>
      <c r="S1954" s="33">
        <f>IF(COUNTIF(O$2:O1954,O1954)=1,R1954,0)/2.5</f>
        <v>0.4</v>
      </c>
    </row>
    <row r="1955" spans="1:19" ht="18" customHeight="1" x14ac:dyDescent="0.25">
      <c r="A1955" s="7" t="s">
        <v>43</v>
      </c>
      <c r="B1955" s="8">
        <v>1</v>
      </c>
      <c r="C1955" s="9">
        <v>361</v>
      </c>
      <c r="D1955" s="29">
        <f>C1955+IF(INDEX('Справочник по %'!B:B,(MATCH(A1955,'Справочник по %'!A:A,0)))="кол-во",B1955*INDEX('Справочник по %'!C:C,(MATCH(A1955,'Справочник по %'!A:A,0))),ОТЧЕТ!C1955*INDEX('Справочник по %'!C:C,(MATCH(A1955,'Справочник по %'!A:A,0))))/100</f>
        <v>397.1</v>
      </c>
      <c r="E1955" s="29">
        <f>IF(ОТЧЕТ!A1955="SKU3",C1955+ОТЧЕТ!C1955*0.2,C1955+ОТЧЕТ!C1955*0.15)</f>
        <v>415.15</v>
      </c>
      <c r="F1955" s="7" t="s">
        <v>3961</v>
      </c>
      <c r="G1955" s="7">
        <v>2311169959</v>
      </c>
      <c r="H1955" s="20" t="s">
        <v>50</v>
      </c>
      <c r="I1955" s="22">
        <f>INDEX('Справочник Сети'!B:B,(MATCH(G1955,'Справочник Сети'!C:C,0)))</f>
        <v>0</v>
      </c>
      <c r="J1955" s="7" t="s">
        <v>70</v>
      </c>
      <c r="K1955" s="7" t="s">
        <v>3964</v>
      </c>
      <c r="L1955" s="7" t="s">
        <v>70</v>
      </c>
      <c r="M1955" s="31">
        <v>45728</v>
      </c>
      <c r="N1955" s="7" t="s">
        <v>3965</v>
      </c>
      <c r="O1955" s="8">
        <v>647</v>
      </c>
      <c r="P1955" s="24">
        <v>7646</v>
      </c>
      <c r="Q1955" s="22">
        <f>IF(COUNTIFS(A$2:A1955,A1955,I$2:I1955,I1955)=1,1,0)</f>
        <v>0</v>
      </c>
      <c r="R1955" s="22">
        <f t="shared" si="30"/>
        <v>1</v>
      </c>
      <c r="S1955" s="33">
        <f>IF(COUNTIF(O$2:O1955,O1955)=1,R1955,0)/2.5</f>
        <v>0.4</v>
      </c>
    </row>
    <row r="1956" spans="1:19" ht="18" customHeight="1" x14ac:dyDescent="0.25">
      <c r="A1956" s="7" t="s">
        <v>43</v>
      </c>
      <c r="B1956" s="8">
        <v>1</v>
      </c>
      <c r="C1956" s="9">
        <v>390.4</v>
      </c>
      <c r="D1956" s="29">
        <f>C1956+IF(INDEX('Справочник по %'!B:B,(MATCH(A1956,'Справочник по %'!A:A,0)))="кол-во",B1956*INDEX('Справочник по %'!C:C,(MATCH(A1956,'Справочник по %'!A:A,0))),ОТЧЕТ!C1956*INDEX('Справочник по %'!C:C,(MATCH(A1956,'Справочник по %'!A:A,0))))/100</f>
        <v>429.44</v>
      </c>
      <c r="E1956" s="29">
        <f>IF(ОТЧЕТ!A1956="SKU3",C1956+ОТЧЕТ!C1956*0.2,C1956+ОТЧЕТ!C1956*0.15)</f>
        <v>448.96</v>
      </c>
      <c r="F1956" s="7" t="s">
        <v>3961</v>
      </c>
      <c r="G1956" s="7">
        <v>3801042576</v>
      </c>
      <c r="H1956" s="20" t="s">
        <v>761</v>
      </c>
      <c r="I1956" s="22" t="str">
        <f>INDEX('Справочник Сети'!B:B,(MATCH(G1956,'Справочник Сети'!C:C,0)))</f>
        <v>Планета здоровья</v>
      </c>
      <c r="J1956" s="7" t="s">
        <v>65</v>
      </c>
      <c r="K1956" s="7" t="s">
        <v>1103</v>
      </c>
      <c r="L1956" s="7" t="s">
        <v>65</v>
      </c>
      <c r="M1956" s="31">
        <v>45717</v>
      </c>
      <c r="N1956" s="7" t="s">
        <v>3966</v>
      </c>
      <c r="O1956" s="8">
        <v>1061</v>
      </c>
      <c r="P1956" s="24">
        <v>7647</v>
      </c>
      <c r="Q1956" s="22">
        <f>IF(COUNTIFS(A$2:A1956,A1956,I$2:I1956,I1956)=1,1,0)</f>
        <v>0</v>
      </c>
      <c r="R1956" s="22">
        <f t="shared" si="30"/>
        <v>4</v>
      </c>
      <c r="S1956" s="33">
        <f>IF(COUNTIF(O$2:O1956,O1956)=1,R1956,0)/2.5</f>
        <v>0</v>
      </c>
    </row>
    <row r="1957" spans="1:19" ht="18" customHeight="1" x14ac:dyDescent="0.25">
      <c r="A1957" s="7" t="s">
        <v>43</v>
      </c>
      <c r="B1957" s="8">
        <v>1</v>
      </c>
      <c r="C1957" s="9">
        <v>336</v>
      </c>
      <c r="D1957" s="29">
        <f>C1957+IF(INDEX('Справочник по %'!B:B,(MATCH(A1957,'Справочник по %'!A:A,0)))="кол-во",B1957*INDEX('Справочник по %'!C:C,(MATCH(A1957,'Справочник по %'!A:A,0))),ОТЧЕТ!C1957*INDEX('Справочник по %'!C:C,(MATCH(A1957,'Справочник по %'!A:A,0))))/100</f>
        <v>369.6</v>
      </c>
      <c r="E1957" s="29">
        <f>IF(ОТЧЕТ!A1957="SKU3",C1957+ОТЧЕТ!C1957*0.2,C1957+ОТЧЕТ!C1957*0.15)</f>
        <v>386.4</v>
      </c>
      <c r="F1957" s="7" t="s">
        <v>3961</v>
      </c>
      <c r="G1957" s="7">
        <v>2543023195</v>
      </c>
      <c r="H1957" s="20" t="s">
        <v>69</v>
      </c>
      <c r="I1957" s="22" t="str">
        <f>INDEX('Справочник Сети'!B:B,(MATCH(G1957,'Справочник Сети'!C:C,0)))</f>
        <v>36,6</v>
      </c>
      <c r="J1957" s="7" t="s">
        <v>46</v>
      </c>
      <c r="K1957" s="7" t="s">
        <v>3851</v>
      </c>
      <c r="L1957" s="7" t="s">
        <v>46</v>
      </c>
      <c r="M1957" s="31">
        <v>45726</v>
      </c>
      <c r="N1957" s="7" t="s">
        <v>3967</v>
      </c>
      <c r="O1957" s="8">
        <v>1621</v>
      </c>
      <c r="P1957" s="24">
        <v>7650</v>
      </c>
      <c r="Q1957" s="22">
        <f>IF(COUNTIFS(A$2:A1957,A1957,I$2:I1957,I1957)=1,1,0)</f>
        <v>0</v>
      </c>
      <c r="R1957" s="22">
        <f t="shared" si="30"/>
        <v>4</v>
      </c>
      <c r="S1957" s="33">
        <f>IF(COUNTIF(O$2:O1957,O1957)=1,R1957,0)/2.5</f>
        <v>0</v>
      </c>
    </row>
    <row r="1958" spans="1:19" ht="18" customHeight="1" x14ac:dyDescent="0.25">
      <c r="A1958" s="7" t="s">
        <v>37</v>
      </c>
      <c r="B1958" s="8">
        <v>1</v>
      </c>
      <c r="C1958" s="9">
        <v>597</v>
      </c>
      <c r="D1958" s="29">
        <f>C1958+IF(INDEX('Справочник по %'!B:B,(MATCH(A1958,'Справочник по %'!A:A,0)))="кол-во",B1958*INDEX('Справочник по %'!C:C,(MATCH(A1958,'Справочник по %'!A:A,0))),ОТЧЕТ!C1958*INDEX('Справочник по %'!C:C,(MATCH(A1958,'Справочник по %'!A:A,0))))/100</f>
        <v>597.20000000000005</v>
      </c>
      <c r="E1958" s="29">
        <f>IF(ОТЧЕТ!A1958="SKU3",C1958+ОТЧЕТ!C1958*0.2,C1958+ОТЧЕТ!C1958*0.15)</f>
        <v>686.55</v>
      </c>
      <c r="F1958" s="7" t="s">
        <v>3968</v>
      </c>
      <c r="G1958" s="7">
        <v>5405071520</v>
      </c>
      <c r="H1958" s="20" t="s">
        <v>3969</v>
      </c>
      <c r="I1958" s="22" t="str">
        <f>INDEX('Справочник Сети'!B:B,(MATCH(G1958,'Справочник Сети'!C:C,0)))</f>
        <v>Ригла</v>
      </c>
      <c r="J1958" s="7" t="s">
        <v>92</v>
      </c>
      <c r="K1958" s="7" t="s">
        <v>2218</v>
      </c>
      <c r="L1958" s="7" t="s">
        <v>92</v>
      </c>
      <c r="M1958" s="31">
        <v>45714</v>
      </c>
      <c r="N1958" s="7" t="s">
        <v>3970</v>
      </c>
      <c r="O1958" s="8">
        <v>3222</v>
      </c>
      <c r="P1958" s="24">
        <v>7651</v>
      </c>
      <c r="Q1958" s="22">
        <f>IF(COUNTIFS(A$2:A1958,A1958,I$2:I1958,I1958)=1,1,0)</f>
        <v>0</v>
      </c>
      <c r="R1958" s="22">
        <f t="shared" si="30"/>
        <v>1</v>
      </c>
      <c r="S1958" s="33">
        <f>IF(COUNTIF(O$2:O1958,O1958)=1,R1958,0)/2.5</f>
        <v>0.4</v>
      </c>
    </row>
    <row r="1959" spans="1:19" ht="18" customHeight="1" x14ac:dyDescent="0.25">
      <c r="A1959" s="7" t="s">
        <v>37</v>
      </c>
      <c r="B1959" s="8">
        <v>1</v>
      </c>
      <c r="C1959" s="9">
        <v>606</v>
      </c>
      <c r="D1959" s="29">
        <f>C1959+IF(INDEX('Справочник по %'!B:B,(MATCH(A1959,'Справочник по %'!A:A,0)))="кол-во",B1959*INDEX('Справочник по %'!C:C,(MATCH(A1959,'Справочник по %'!A:A,0))),ОТЧЕТ!C1959*INDEX('Справочник по %'!C:C,(MATCH(A1959,'Справочник по %'!A:A,0))))/100</f>
        <v>606.20000000000005</v>
      </c>
      <c r="E1959" s="29">
        <f>IF(ОТЧЕТ!A1959="SKU3",C1959+ОТЧЕТ!C1959*0.2,C1959+ОТЧЕТ!C1959*0.15)</f>
        <v>696.9</v>
      </c>
      <c r="F1959" s="7" t="s">
        <v>3971</v>
      </c>
      <c r="G1959" s="7">
        <v>1644016474</v>
      </c>
      <c r="H1959" s="20" t="s">
        <v>2582</v>
      </c>
      <c r="I1959" s="22">
        <f>INDEX('Справочник Сети'!B:B,(MATCH(G1959,'Справочник Сети'!C:C,0)))</f>
        <v>0</v>
      </c>
      <c r="J1959" s="7" t="s">
        <v>335</v>
      </c>
      <c r="K1959" s="7" t="s">
        <v>2848</v>
      </c>
      <c r="L1959" s="7" t="s">
        <v>335</v>
      </c>
      <c r="M1959" s="31">
        <v>45731</v>
      </c>
      <c r="N1959" s="7" t="s">
        <v>3972</v>
      </c>
      <c r="O1959" s="8">
        <v>77</v>
      </c>
      <c r="P1959" s="24">
        <v>7653</v>
      </c>
      <c r="Q1959" s="22">
        <f>IF(COUNTIFS(A$2:A1959,A1959,I$2:I1959,I1959)=1,1,0)</f>
        <v>0</v>
      </c>
      <c r="R1959" s="22">
        <f t="shared" si="30"/>
        <v>2</v>
      </c>
      <c r="S1959" s="33">
        <f>IF(COUNTIF(O$2:O1959,O1959)=1,R1959,0)/2.5</f>
        <v>0</v>
      </c>
    </row>
    <row r="1960" spans="1:19" ht="18" customHeight="1" x14ac:dyDescent="0.25">
      <c r="A1960" s="7" t="s">
        <v>43</v>
      </c>
      <c r="B1960" s="8">
        <v>1</v>
      </c>
      <c r="C1960" s="9">
        <v>394</v>
      </c>
      <c r="D1960" s="29">
        <f>C1960+IF(INDEX('Справочник по %'!B:B,(MATCH(A1960,'Справочник по %'!A:A,0)))="кол-во",B1960*INDEX('Справочник по %'!C:C,(MATCH(A1960,'Справочник по %'!A:A,0))),ОТЧЕТ!C1960*INDEX('Справочник по %'!C:C,(MATCH(A1960,'Справочник по %'!A:A,0))))/100</f>
        <v>433.4</v>
      </c>
      <c r="E1960" s="29">
        <f>IF(ОТЧЕТ!A1960="SKU3",C1960+ОТЧЕТ!C1960*0.2,C1960+ОТЧЕТ!C1960*0.15)</f>
        <v>453.1</v>
      </c>
      <c r="F1960" s="7" t="s">
        <v>3973</v>
      </c>
      <c r="G1960" s="7">
        <v>2466189073</v>
      </c>
      <c r="H1960" s="20" t="s">
        <v>3974</v>
      </c>
      <c r="I1960" s="22" t="str">
        <f>INDEX('Справочник Сети'!B:B,(MATCH(G1960,'Справочник Сети'!C:C,0)))</f>
        <v>Нео-фарм</v>
      </c>
      <c r="J1960" s="7" t="s">
        <v>96</v>
      </c>
      <c r="K1960" s="7" t="s">
        <v>2125</v>
      </c>
      <c r="L1960" s="7" t="s">
        <v>96</v>
      </c>
      <c r="M1960" s="31">
        <v>45727</v>
      </c>
      <c r="N1960" s="7" t="s">
        <v>3975</v>
      </c>
      <c r="O1960" s="8">
        <v>592</v>
      </c>
      <c r="P1960" s="24">
        <v>7656</v>
      </c>
      <c r="Q1960" s="22">
        <f>IF(COUNTIFS(A$2:A1960,A1960,I$2:I1960,I1960)=1,1,0)</f>
        <v>0</v>
      </c>
      <c r="R1960" s="22">
        <f t="shared" si="30"/>
        <v>1</v>
      </c>
      <c r="S1960" s="33">
        <f>IF(COUNTIF(O$2:O1960,O1960)=1,R1960,0)/2.5</f>
        <v>0.4</v>
      </c>
    </row>
    <row r="1961" spans="1:19" ht="18" customHeight="1" x14ac:dyDescent="0.25">
      <c r="A1961" s="7" t="s">
        <v>43</v>
      </c>
      <c r="B1961" s="8">
        <v>1</v>
      </c>
      <c r="C1961" s="9">
        <v>577</v>
      </c>
      <c r="D1961" s="29">
        <f>C1961+IF(INDEX('Справочник по %'!B:B,(MATCH(A1961,'Справочник по %'!A:A,0)))="кол-во",B1961*INDEX('Справочник по %'!C:C,(MATCH(A1961,'Справочник по %'!A:A,0))),ОТЧЕТ!C1961*INDEX('Справочник по %'!C:C,(MATCH(A1961,'Справочник по %'!A:A,0))))/100</f>
        <v>634.70000000000005</v>
      </c>
      <c r="E1961" s="29">
        <f>IF(ОТЧЕТ!A1961="SKU3",C1961+ОТЧЕТ!C1961*0.2,C1961+ОТЧЕТ!C1961*0.15)</f>
        <v>663.55</v>
      </c>
      <c r="F1961" s="7" t="s">
        <v>3973</v>
      </c>
      <c r="G1961" s="7">
        <v>4202029419</v>
      </c>
      <c r="H1961" s="20" t="s">
        <v>69</v>
      </c>
      <c r="I1961" s="22">
        <f>INDEX('Справочник Сети'!B:B,(MATCH(G1961,'Справочник Сети'!C:C,0)))</f>
        <v>0</v>
      </c>
      <c r="J1961" s="7" t="s">
        <v>155</v>
      </c>
      <c r="K1961" s="7" t="s">
        <v>1205</v>
      </c>
      <c r="L1961" s="7" t="s">
        <v>155</v>
      </c>
      <c r="M1961" s="31">
        <v>45716</v>
      </c>
      <c r="N1961" s="7" t="s">
        <v>3976</v>
      </c>
      <c r="O1961" s="8">
        <v>2743</v>
      </c>
      <c r="P1961" s="24">
        <v>7660</v>
      </c>
      <c r="Q1961" s="22">
        <f>IF(COUNTIFS(A$2:A1961,A1961,I$2:I1961,I1961)=1,1,0)</f>
        <v>0</v>
      </c>
      <c r="R1961" s="22">
        <f t="shared" si="30"/>
        <v>2</v>
      </c>
      <c r="S1961" s="33">
        <f>IF(COUNTIF(O$2:O1961,O1961)=1,R1961,0)/2.5</f>
        <v>0</v>
      </c>
    </row>
    <row r="1962" spans="1:19" ht="18" customHeight="1" x14ac:dyDescent="0.25">
      <c r="A1962" s="7" t="s">
        <v>43</v>
      </c>
      <c r="B1962" s="8">
        <v>1</v>
      </c>
      <c r="C1962" s="9">
        <v>381</v>
      </c>
      <c r="D1962" s="29">
        <f>C1962+IF(INDEX('Справочник по %'!B:B,(MATCH(A1962,'Справочник по %'!A:A,0)))="кол-во",B1962*INDEX('Справочник по %'!C:C,(MATCH(A1962,'Справочник по %'!A:A,0))),ОТЧЕТ!C1962*INDEX('Справочник по %'!C:C,(MATCH(A1962,'Справочник по %'!A:A,0))))/100</f>
        <v>419.1</v>
      </c>
      <c r="E1962" s="29">
        <f>IF(ОТЧЕТ!A1962="SKU3",C1962+ОТЧЕТ!C1962*0.2,C1962+ОТЧЕТ!C1962*0.15)</f>
        <v>438.15</v>
      </c>
      <c r="F1962" s="7" t="s">
        <v>3973</v>
      </c>
      <c r="G1962" s="7">
        <v>4632157814</v>
      </c>
      <c r="H1962" s="20" t="s">
        <v>3977</v>
      </c>
      <c r="I1962" s="22" t="str">
        <f>INDEX('Справочник Сети'!B:B,(MATCH(G1962,'Справочник Сети'!C:C,0)))</f>
        <v>Столички</v>
      </c>
      <c r="J1962" s="7" t="s">
        <v>83</v>
      </c>
      <c r="K1962" s="7" t="s">
        <v>3978</v>
      </c>
      <c r="L1962" s="7" t="s">
        <v>155</v>
      </c>
      <c r="M1962" s="31">
        <v>45716</v>
      </c>
      <c r="N1962" s="7" t="s">
        <v>3979</v>
      </c>
      <c r="O1962" s="8">
        <v>1592</v>
      </c>
      <c r="P1962" s="24">
        <v>7662</v>
      </c>
      <c r="Q1962" s="22">
        <f>IF(COUNTIFS(A$2:A1962,A1962,I$2:I1962,I1962)=1,1,0)</f>
        <v>0</v>
      </c>
      <c r="R1962" s="22">
        <f t="shared" si="30"/>
        <v>2</v>
      </c>
      <c r="S1962" s="33">
        <f>IF(COUNTIF(O$2:O1962,O1962)=1,R1962,0)/2.5</f>
        <v>0.8</v>
      </c>
    </row>
    <row r="1963" spans="1:19" ht="18" customHeight="1" x14ac:dyDescent="0.25">
      <c r="A1963" s="7" t="s">
        <v>37</v>
      </c>
      <c r="B1963" s="8">
        <v>1</v>
      </c>
      <c r="C1963" s="9">
        <v>690</v>
      </c>
      <c r="D1963" s="29">
        <f>C1963+IF(INDEX('Справочник по %'!B:B,(MATCH(A1963,'Справочник по %'!A:A,0)))="кол-во",B1963*INDEX('Справочник по %'!C:C,(MATCH(A1963,'Справочник по %'!A:A,0))),ОТЧЕТ!C1963*INDEX('Справочник по %'!C:C,(MATCH(A1963,'Справочник по %'!A:A,0))))/100</f>
        <v>690.2</v>
      </c>
      <c r="E1963" s="29">
        <f>IF(ОТЧЕТ!A1963="SKU3",C1963+ОТЧЕТ!C1963*0.2,C1963+ОТЧЕТ!C1963*0.15)</f>
        <v>793.5</v>
      </c>
      <c r="F1963" s="7" t="s">
        <v>3973</v>
      </c>
      <c r="G1963" s="7">
        <v>462901346416</v>
      </c>
      <c r="H1963" s="20" t="s">
        <v>50</v>
      </c>
      <c r="I1963" s="22" t="str">
        <f>INDEX('Справочник Сети'!B:B,(MATCH(G1963,'Справочник Сети'!C:C,0)))</f>
        <v>Планета здоровья</v>
      </c>
      <c r="J1963" s="7" t="s">
        <v>110</v>
      </c>
      <c r="K1963" s="7" t="s">
        <v>2334</v>
      </c>
      <c r="L1963" s="7" t="s">
        <v>110</v>
      </c>
      <c r="M1963" s="31">
        <v>45660</v>
      </c>
      <c r="N1963" s="7" t="s">
        <v>3980</v>
      </c>
      <c r="O1963" s="8">
        <v>212</v>
      </c>
      <c r="P1963" s="24">
        <v>7664</v>
      </c>
      <c r="Q1963" s="22">
        <f>IF(COUNTIFS(A$2:A1963,A1963,I$2:I1963,I1963)=1,1,0)</f>
        <v>0</v>
      </c>
      <c r="R1963" s="22">
        <f t="shared" si="30"/>
        <v>3</v>
      </c>
      <c r="S1963" s="33">
        <f>IF(COUNTIF(O$2:O1963,O1963)=1,R1963,0)/2.5</f>
        <v>0</v>
      </c>
    </row>
    <row r="1964" spans="1:19" ht="18" customHeight="1" x14ac:dyDescent="0.25">
      <c r="A1964" s="7" t="s">
        <v>37</v>
      </c>
      <c r="B1964" s="8">
        <v>1</v>
      </c>
      <c r="C1964" s="9">
        <v>700</v>
      </c>
      <c r="D1964" s="29">
        <f>C1964+IF(INDEX('Справочник по %'!B:B,(MATCH(A1964,'Справочник по %'!A:A,0)))="кол-во",B1964*INDEX('Справочник по %'!C:C,(MATCH(A1964,'Справочник по %'!A:A,0))),ОТЧЕТ!C1964*INDEX('Справочник по %'!C:C,(MATCH(A1964,'Справочник по %'!A:A,0))))/100</f>
        <v>700.2</v>
      </c>
      <c r="E1964" s="29">
        <f>IF(ОТЧЕТ!A1964="SKU3",C1964+ОТЧЕТ!C1964*0.2,C1964+ОТЧЕТ!C1964*0.15)</f>
        <v>805</v>
      </c>
      <c r="F1964" s="7" t="s">
        <v>3981</v>
      </c>
      <c r="G1964" s="7">
        <v>7814139847</v>
      </c>
      <c r="H1964" s="20" t="s">
        <v>50</v>
      </c>
      <c r="I1964" s="22" t="str">
        <f>INDEX('Справочник Сети'!B:B,(MATCH(G1964,'Справочник Сети'!C:C,0)))</f>
        <v>Планета здоровья</v>
      </c>
      <c r="J1964" s="7" t="s">
        <v>121</v>
      </c>
      <c r="K1964" s="7" t="s">
        <v>3982</v>
      </c>
      <c r="L1964" s="7" t="s">
        <v>121</v>
      </c>
      <c r="M1964" s="31">
        <v>45671</v>
      </c>
      <c r="N1964" s="7" t="s">
        <v>3983</v>
      </c>
      <c r="O1964" s="8">
        <v>469</v>
      </c>
      <c r="P1964" s="24">
        <v>7666</v>
      </c>
      <c r="Q1964" s="22">
        <f>IF(COUNTIFS(A$2:A1964,A1964,I$2:I1964,I1964)=1,1,0)</f>
        <v>0</v>
      </c>
      <c r="R1964" s="22">
        <f t="shared" si="30"/>
        <v>5</v>
      </c>
      <c r="S1964" s="33">
        <f>IF(COUNTIF(O$2:O1964,O1964)=1,R1964,0)/2.5</f>
        <v>0</v>
      </c>
    </row>
    <row r="1965" spans="1:19" ht="18" customHeight="1" x14ac:dyDescent="0.25">
      <c r="A1965" s="7" t="s">
        <v>43</v>
      </c>
      <c r="B1965" s="8">
        <v>1</v>
      </c>
      <c r="C1965" s="9">
        <v>520</v>
      </c>
      <c r="D1965" s="29">
        <f>C1965+IF(INDEX('Справочник по %'!B:B,(MATCH(A1965,'Справочник по %'!A:A,0)))="кол-во",B1965*INDEX('Справочник по %'!C:C,(MATCH(A1965,'Справочник по %'!A:A,0))),ОТЧЕТ!C1965*INDEX('Справочник по %'!C:C,(MATCH(A1965,'Справочник по %'!A:A,0))))/100</f>
        <v>572</v>
      </c>
      <c r="E1965" s="29">
        <f>IF(ОТЧЕТ!A1965="SKU3",C1965+ОТЧЕТ!C1965*0.2,C1965+ОТЧЕТ!C1965*0.15)</f>
        <v>598</v>
      </c>
      <c r="F1965" s="7" t="s">
        <v>3984</v>
      </c>
      <c r="G1965" s="7">
        <v>2700023857</v>
      </c>
      <c r="H1965" s="20" t="s">
        <v>50</v>
      </c>
      <c r="I1965" s="22" t="str">
        <f>INDEX('Справочник Сети'!B:B,(MATCH(G1965,'Справочник Сети'!C:C,0)))</f>
        <v>Ригла</v>
      </c>
      <c r="J1965" s="7" t="s">
        <v>46</v>
      </c>
      <c r="K1965" s="7" t="s">
        <v>2071</v>
      </c>
      <c r="L1965" s="7" t="s">
        <v>46</v>
      </c>
      <c r="M1965" s="31">
        <v>45726</v>
      </c>
      <c r="N1965" s="7" t="s">
        <v>3985</v>
      </c>
      <c r="O1965" s="8">
        <v>1051</v>
      </c>
      <c r="P1965" s="24">
        <v>7670</v>
      </c>
      <c r="Q1965" s="22">
        <f>IF(COUNTIFS(A$2:A1965,A1965,I$2:I1965,I1965)=1,1,0)</f>
        <v>0</v>
      </c>
      <c r="R1965" s="22">
        <f t="shared" si="30"/>
        <v>1</v>
      </c>
      <c r="S1965" s="33">
        <f>IF(COUNTIF(O$2:O1965,O1965)=1,R1965,0)/2.5</f>
        <v>0.4</v>
      </c>
    </row>
    <row r="1966" spans="1:19" ht="18" customHeight="1" x14ac:dyDescent="0.25">
      <c r="A1966" s="7" t="s">
        <v>43</v>
      </c>
      <c r="B1966" s="8">
        <v>1</v>
      </c>
      <c r="C1966" s="9">
        <v>499</v>
      </c>
      <c r="D1966" s="29">
        <f>C1966+IF(INDEX('Справочник по %'!B:B,(MATCH(A1966,'Справочник по %'!A:A,0)))="кол-во",B1966*INDEX('Справочник по %'!C:C,(MATCH(A1966,'Справочник по %'!A:A,0))),ОТЧЕТ!C1966*INDEX('Справочник по %'!C:C,(MATCH(A1966,'Справочник по %'!A:A,0))))/100</f>
        <v>548.9</v>
      </c>
      <c r="E1966" s="29">
        <f>IF(ОТЧЕТ!A1966="SKU3",C1966+ОТЧЕТ!C1966*0.2,C1966+ОТЧЕТ!C1966*0.15)</f>
        <v>573.85</v>
      </c>
      <c r="F1966" s="7" t="s">
        <v>3986</v>
      </c>
      <c r="G1966" s="7">
        <v>7715946600</v>
      </c>
      <c r="H1966" s="20" t="s">
        <v>50</v>
      </c>
      <c r="I1966" s="22">
        <f>INDEX('Справочник Сети'!B:B,(MATCH(G1966,'Справочник Сети'!C:C,0)))</f>
        <v>0</v>
      </c>
      <c r="J1966" s="7" t="s">
        <v>168</v>
      </c>
      <c r="K1966" s="7" t="s">
        <v>3987</v>
      </c>
      <c r="L1966" s="7" t="s">
        <v>168</v>
      </c>
      <c r="M1966" s="31">
        <v>45676</v>
      </c>
      <c r="N1966" s="7" t="s">
        <v>3988</v>
      </c>
      <c r="O1966" s="8">
        <v>267</v>
      </c>
      <c r="P1966" s="24">
        <v>7679</v>
      </c>
      <c r="Q1966" s="22">
        <f>IF(COUNTIFS(A$2:A1966,A1966,I$2:I1966,I1966)=1,1,0)</f>
        <v>0</v>
      </c>
      <c r="R1966" s="22">
        <f t="shared" si="30"/>
        <v>1</v>
      </c>
      <c r="S1966" s="33">
        <f>IF(COUNTIF(O$2:O1966,O1966)=1,R1966,0)/2.5</f>
        <v>0.4</v>
      </c>
    </row>
    <row r="1967" spans="1:19" ht="18" customHeight="1" x14ac:dyDescent="0.25">
      <c r="A1967" s="7" t="s">
        <v>43</v>
      </c>
      <c r="B1967" s="8">
        <v>1</v>
      </c>
      <c r="C1967" s="9">
        <v>400.85</v>
      </c>
      <c r="D1967" s="29">
        <f>C1967+IF(INDEX('Справочник по %'!B:B,(MATCH(A1967,'Справочник по %'!A:A,0)))="кол-во",B1967*INDEX('Справочник по %'!C:C,(MATCH(A1967,'Справочник по %'!A:A,0))),ОТЧЕТ!C1967*INDEX('Справочник по %'!C:C,(MATCH(A1967,'Справочник по %'!A:A,0))))/100</f>
        <v>440.935</v>
      </c>
      <c r="E1967" s="29">
        <f>IF(ОТЧЕТ!A1967="SKU3",C1967+ОТЧЕТ!C1967*0.2,C1967+ОТЧЕТ!C1967*0.15)</f>
        <v>460.97750000000002</v>
      </c>
      <c r="F1967" s="7" t="s">
        <v>3989</v>
      </c>
      <c r="G1967" s="7">
        <v>5507102175</v>
      </c>
      <c r="H1967" s="20" t="s">
        <v>50</v>
      </c>
      <c r="I1967" s="22" t="str">
        <f>INDEX('Справочник Сети'!B:B,(MATCH(G1967,'Справочник Сети'!C:C,0)))</f>
        <v>Столички</v>
      </c>
      <c r="J1967" s="7" t="s">
        <v>255</v>
      </c>
      <c r="K1967" s="7" t="s">
        <v>1080</v>
      </c>
      <c r="L1967" s="7" t="s">
        <v>255</v>
      </c>
      <c r="M1967" s="31">
        <v>45713</v>
      </c>
      <c r="N1967" s="7" t="s">
        <v>3990</v>
      </c>
      <c r="O1967" s="8">
        <v>449</v>
      </c>
      <c r="P1967" s="24">
        <v>7687</v>
      </c>
      <c r="Q1967" s="22">
        <f>IF(COUNTIFS(A$2:A1967,A1967,I$2:I1967,I1967)=1,1,0)</f>
        <v>0</v>
      </c>
      <c r="R1967" s="22">
        <f t="shared" si="30"/>
        <v>5</v>
      </c>
      <c r="S1967" s="33">
        <f>IF(COUNTIF(O$2:O1967,O1967)=1,R1967,0)/2.5</f>
        <v>0</v>
      </c>
    </row>
    <row r="1968" spans="1:19" ht="18" customHeight="1" x14ac:dyDescent="0.25">
      <c r="A1968" s="7" t="s">
        <v>43</v>
      </c>
      <c r="B1968" s="8">
        <v>1</v>
      </c>
      <c r="C1968" s="9">
        <v>420</v>
      </c>
      <c r="D1968" s="29">
        <f>C1968+IF(INDEX('Справочник по %'!B:B,(MATCH(A1968,'Справочник по %'!A:A,0)))="кол-во",B1968*INDEX('Справочник по %'!C:C,(MATCH(A1968,'Справочник по %'!A:A,0))),ОТЧЕТ!C1968*INDEX('Справочник по %'!C:C,(MATCH(A1968,'Справочник по %'!A:A,0))))/100</f>
        <v>462</v>
      </c>
      <c r="E1968" s="29">
        <f>IF(ОТЧЕТ!A1968="SKU3",C1968+ОТЧЕТ!C1968*0.2,C1968+ОТЧЕТ!C1968*0.15)</f>
        <v>483</v>
      </c>
      <c r="F1968" s="7" t="s">
        <v>3991</v>
      </c>
      <c r="G1968" s="7">
        <v>2225105670</v>
      </c>
      <c r="H1968" s="20" t="s">
        <v>69</v>
      </c>
      <c r="I1968" s="22" t="str">
        <f>INDEX('Справочник Сети'!B:B,(MATCH(G1968,'Справочник Сети'!C:C,0)))</f>
        <v>Столички</v>
      </c>
      <c r="J1968" s="7" t="s">
        <v>372</v>
      </c>
      <c r="K1968" s="7" t="s">
        <v>726</v>
      </c>
      <c r="L1968" s="7" t="s">
        <v>372</v>
      </c>
      <c r="M1968" s="31">
        <v>45730</v>
      </c>
      <c r="N1968" s="7" t="s">
        <v>3992</v>
      </c>
      <c r="O1968" s="8">
        <v>2345</v>
      </c>
      <c r="P1968" s="24">
        <v>7692</v>
      </c>
      <c r="Q1968" s="22">
        <f>IF(COUNTIFS(A$2:A1968,A1968,I$2:I1968,I1968)=1,1,0)</f>
        <v>0</v>
      </c>
      <c r="R1968" s="22">
        <f t="shared" si="30"/>
        <v>5</v>
      </c>
      <c r="S1968" s="33">
        <f>IF(COUNTIF(O$2:O1968,O1968)=1,R1968,0)/2.5</f>
        <v>0</v>
      </c>
    </row>
    <row r="1969" spans="1:19" ht="18" customHeight="1" x14ac:dyDescent="0.25">
      <c r="A1969" s="7" t="s">
        <v>37</v>
      </c>
      <c r="B1969" s="8">
        <v>1</v>
      </c>
      <c r="C1969" s="9">
        <v>599.77</v>
      </c>
      <c r="D1969" s="29">
        <f>C1969+IF(INDEX('Справочник по %'!B:B,(MATCH(A1969,'Справочник по %'!A:A,0)))="кол-во",B1969*INDEX('Справочник по %'!C:C,(MATCH(A1969,'Справочник по %'!A:A,0))),ОТЧЕТ!C1969*INDEX('Справочник по %'!C:C,(MATCH(A1969,'Справочник по %'!A:A,0))))/100</f>
        <v>599.97</v>
      </c>
      <c r="E1969" s="29">
        <f>IF(ОТЧЕТ!A1969="SKU3",C1969+ОТЧЕТ!C1969*0.2,C1969+ОТЧЕТ!C1969*0.15)</f>
        <v>689.7355</v>
      </c>
      <c r="F1969" s="7" t="s">
        <v>3993</v>
      </c>
      <c r="G1969" s="7">
        <v>7204146152</v>
      </c>
      <c r="H1969" s="20" t="s">
        <v>3994</v>
      </c>
      <c r="I1969" s="22" t="str">
        <f>INDEX('Справочник Сети'!B:B,(MATCH(G1969,'Справочник Сети'!C:C,0)))</f>
        <v>36,6</v>
      </c>
      <c r="J1969" s="7" t="s">
        <v>104</v>
      </c>
      <c r="K1969" s="7" t="s">
        <v>299</v>
      </c>
      <c r="L1969" s="7" t="s">
        <v>106</v>
      </c>
      <c r="M1969" s="31">
        <v>45694</v>
      </c>
      <c r="N1969" s="7" t="s">
        <v>2079</v>
      </c>
      <c r="O1969" s="8">
        <v>1188</v>
      </c>
      <c r="P1969" s="24">
        <v>7693</v>
      </c>
      <c r="Q1969" s="22">
        <f>IF(COUNTIFS(A$2:A1969,A1969,I$2:I1969,I1969)=1,1,0)</f>
        <v>0</v>
      </c>
      <c r="R1969" s="22">
        <f t="shared" si="30"/>
        <v>14</v>
      </c>
      <c r="S1969" s="33">
        <f>IF(COUNTIF(O$2:O1969,O1969)=1,R1969,0)/2.5</f>
        <v>0</v>
      </c>
    </row>
    <row r="1970" spans="1:19" ht="18" customHeight="1" x14ac:dyDescent="0.25">
      <c r="A1970" s="7" t="s">
        <v>37</v>
      </c>
      <c r="B1970" s="8">
        <v>1</v>
      </c>
      <c r="C1970" s="9">
        <v>751</v>
      </c>
      <c r="D1970" s="29">
        <f>C1970+IF(INDEX('Справочник по %'!B:B,(MATCH(A1970,'Справочник по %'!A:A,0)))="кол-во",B1970*INDEX('Справочник по %'!C:C,(MATCH(A1970,'Справочник по %'!A:A,0))),ОТЧЕТ!C1970*INDEX('Справочник по %'!C:C,(MATCH(A1970,'Справочник по %'!A:A,0))))/100</f>
        <v>751.2</v>
      </c>
      <c r="E1970" s="29">
        <f>IF(ОТЧЕТ!A1970="SKU3",C1970+ОТЧЕТ!C1970*0.2,C1970+ОТЧЕТ!C1970*0.15)</f>
        <v>863.65</v>
      </c>
      <c r="F1970" s="7" t="s">
        <v>3995</v>
      </c>
      <c r="G1970" s="7">
        <v>5262292840</v>
      </c>
      <c r="H1970" s="20" t="s">
        <v>50</v>
      </c>
      <c r="I1970" s="22" t="str">
        <f>INDEX('Справочник Сети'!B:B,(MATCH(G1970,'Справочник Сети'!C:C,0)))</f>
        <v>Ригла</v>
      </c>
      <c r="J1970" s="7" t="s">
        <v>92</v>
      </c>
      <c r="K1970" s="7" t="s">
        <v>748</v>
      </c>
      <c r="L1970" s="7" t="s">
        <v>92</v>
      </c>
      <c r="M1970" s="31">
        <v>45714</v>
      </c>
      <c r="N1970" s="7" t="s">
        <v>3996</v>
      </c>
      <c r="O1970" s="8">
        <v>2376</v>
      </c>
      <c r="P1970" s="24">
        <v>7696</v>
      </c>
      <c r="Q1970" s="22">
        <f>IF(COUNTIFS(A$2:A1970,A1970,I$2:I1970,I1970)=1,1,0)</f>
        <v>0</v>
      </c>
      <c r="R1970" s="22">
        <f t="shared" si="30"/>
        <v>1</v>
      </c>
      <c r="S1970" s="33">
        <f>IF(COUNTIF(O$2:O1970,O1970)=1,R1970,0)/2.5</f>
        <v>0.4</v>
      </c>
    </row>
    <row r="1971" spans="1:19" ht="18" customHeight="1" x14ac:dyDescent="0.25">
      <c r="A1971" s="7" t="s">
        <v>43</v>
      </c>
      <c r="B1971" s="8">
        <v>1</v>
      </c>
      <c r="C1971" s="9">
        <v>432</v>
      </c>
      <c r="D1971" s="29">
        <f>C1971+IF(INDEX('Справочник по %'!B:B,(MATCH(A1971,'Справочник по %'!A:A,0)))="кол-во",B1971*INDEX('Справочник по %'!C:C,(MATCH(A1971,'Справочник по %'!A:A,0))),ОТЧЕТ!C1971*INDEX('Справочник по %'!C:C,(MATCH(A1971,'Справочник по %'!A:A,0))))/100</f>
        <v>475.2</v>
      </c>
      <c r="E1971" s="29">
        <f>IF(ОТЧЕТ!A1971="SKU3",C1971+ОТЧЕТ!C1971*0.2,C1971+ОТЧЕТ!C1971*0.15)</f>
        <v>496.8</v>
      </c>
      <c r="F1971" s="7" t="s">
        <v>3997</v>
      </c>
      <c r="G1971" s="7">
        <v>2308110232</v>
      </c>
      <c r="H1971" s="20" t="s">
        <v>69</v>
      </c>
      <c r="I1971" s="22" t="str">
        <f>INDEX('Справочник Сети'!B:B,(MATCH(G1971,'Справочник Сети'!C:C,0)))</f>
        <v>Нео-фарм</v>
      </c>
      <c r="J1971" s="7" t="s">
        <v>372</v>
      </c>
      <c r="K1971" s="7" t="s">
        <v>1442</v>
      </c>
      <c r="L1971" s="7" t="s">
        <v>372</v>
      </c>
      <c r="M1971" s="31">
        <v>45730</v>
      </c>
      <c r="N1971" s="7" t="s">
        <v>3998</v>
      </c>
      <c r="O1971" s="8">
        <v>2520</v>
      </c>
      <c r="P1971" s="24">
        <v>7697</v>
      </c>
      <c r="Q1971" s="22">
        <f>IF(COUNTIFS(A$2:A1971,A1971,I$2:I1971,I1971)=1,1,0)</f>
        <v>0</v>
      </c>
      <c r="R1971" s="22">
        <f t="shared" si="30"/>
        <v>1</v>
      </c>
      <c r="S1971" s="33">
        <f>IF(COUNTIF(O$2:O1971,O1971)=1,R1971,0)/2.5</f>
        <v>0.4</v>
      </c>
    </row>
    <row r="1972" spans="1:19" ht="18" customHeight="1" x14ac:dyDescent="0.25">
      <c r="A1972" s="7" t="s">
        <v>43</v>
      </c>
      <c r="B1972" s="8">
        <v>1</v>
      </c>
      <c r="C1972" s="9">
        <v>425.94</v>
      </c>
      <c r="D1972" s="29">
        <f>C1972+IF(INDEX('Справочник по %'!B:B,(MATCH(A1972,'Справочник по %'!A:A,0)))="кол-во",B1972*INDEX('Справочник по %'!C:C,(MATCH(A1972,'Справочник по %'!A:A,0))),ОТЧЕТ!C1972*INDEX('Справочник по %'!C:C,(MATCH(A1972,'Справочник по %'!A:A,0))))/100</f>
        <v>468.53399999999999</v>
      </c>
      <c r="E1972" s="29">
        <f>IF(ОТЧЕТ!A1972="SKU3",C1972+ОТЧЕТ!C1972*0.2,C1972+ОТЧЕТ!C1972*0.15)</f>
        <v>489.83100000000002</v>
      </c>
      <c r="F1972" s="7" t="s">
        <v>3999</v>
      </c>
      <c r="G1972" s="7">
        <v>9203002578</v>
      </c>
      <c r="H1972" s="20" t="s">
        <v>654</v>
      </c>
      <c r="I1972" s="22">
        <f>INDEX('Справочник Сети'!B:B,(MATCH(G1972,'Справочник Сети'!C:C,0)))</f>
        <v>0</v>
      </c>
      <c r="J1972" s="7" t="s">
        <v>239</v>
      </c>
      <c r="K1972" s="7" t="s">
        <v>1442</v>
      </c>
      <c r="L1972" s="7" t="s">
        <v>239</v>
      </c>
      <c r="M1972" s="31">
        <v>45662</v>
      </c>
      <c r="N1972" s="7" t="s">
        <v>4000</v>
      </c>
      <c r="O1972" s="8">
        <v>3139</v>
      </c>
      <c r="P1972" s="24">
        <v>7699</v>
      </c>
      <c r="Q1972" s="22">
        <f>IF(COUNTIFS(A$2:A1972,A1972,I$2:I1972,I1972)=1,1,0)</f>
        <v>0</v>
      </c>
      <c r="R1972" s="22">
        <f t="shared" si="30"/>
        <v>1</v>
      </c>
      <c r="S1972" s="33">
        <f>IF(COUNTIF(O$2:O1972,O1972)=1,R1972,0)/2.5</f>
        <v>0.4</v>
      </c>
    </row>
    <row r="1973" spans="1:19" ht="18" customHeight="1" x14ac:dyDescent="0.25">
      <c r="A1973" s="7" t="s">
        <v>43</v>
      </c>
      <c r="B1973" s="8">
        <v>1</v>
      </c>
      <c r="C1973" s="9">
        <v>392</v>
      </c>
      <c r="D1973" s="29">
        <f>C1973+IF(INDEX('Справочник по %'!B:B,(MATCH(A1973,'Справочник по %'!A:A,0)))="кол-во",B1973*INDEX('Справочник по %'!C:C,(MATCH(A1973,'Справочник по %'!A:A,0))),ОТЧЕТ!C1973*INDEX('Справочник по %'!C:C,(MATCH(A1973,'Справочник по %'!A:A,0))))/100</f>
        <v>431.2</v>
      </c>
      <c r="E1973" s="29">
        <f>IF(ОТЧЕТ!A1973="SKU3",C1973+ОТЧЕТ!C1973*0.2,C1973+ОТЧЕТ!C1973*0.15)</f>
        <v>450.8</v>
      </c>
      <c r="F1973" s="7" t="s">
        <v>3999</v>
      </c>
      <c r="G1973" s="7">
        <v>6166125005</v>
      </c>
      <c r="H1973" s="20" t="s">
        <v>4001</v>
      </c>
      <c r="I1973" s="22" t="str">
        <f>INDEX('Справочник Сети'!B:B,(MATCH(G1973,'Справочник Сети'!C:C,0)))</f>
        <v>Столички</v>
      </c>
      <c r="J1973" s="7" t="s">
        <v>203</v>
      </c>
      <c r="K1973" s="7" t="s">
        <v>2089</v>
      </c>
      <c r="L1973" s="7" t="s">
        <v>203</v>
      </c>
      <c r="M1973" s="31">
        <v>45696</v>
      </c>
      <c r="N1973" s="7" t="s">
        <v>4002</v>
      </c>
      <c r="O1973" s="8">
        <v>1458</v>
      </c>
      <c r="P1973" s="24">
        <v>7702</v>
      </c>
      <c r="Q1973" s="22">
        <f>IF(COUNTIFS(A$2:A1973,A1973,I$2:I1973,I1973)=1,1,0)</f>
        <v>0</v>
      </c>
      <c r="R1973" s="22">
        <f t="shared" si="30"/>
        <v>3</v>
      </c>
      <c r="S1973" s="33">
        <f>IF(COUNTIF(O$2:O1973,O1973)=1,R1973,0)/2.5</f>
        <v>1.2</v>
      </c>
    </row>
    <row r="1974" spans="1:19" ht="18" customHeight="1" x14ac:dyDescent="0.25">
      <c r="A1974" s="7" t="s">
        <v>43</v>
      </c>
      <c r="B1974" s="8">
        <v>1</v>
      </c>
      <c r="C1974" s="9">
        <v>454</v>
      </c>
      <c r="D1974" s="29">
        <f>C1974+IF(INDEX('Справочник по %'!B:B,(MATCH(A1974,'Справочник по %'!A:A,0)))="кол-во",B1974*INDEX('Справочник по %'!C:C,(MATCH(A1974,'Справочник по %'!A:A,0))),ОТЧЕТ!C1974*INDEX('Справочник по %'!C:C,(MATCH(A1974,'Справочник по %'!A:A,0))))/100</f>
        <v>499.4</v>
      </c>
      <c r="E1974" s="29">
        <f>IF(ОТЧЕТ!A1974="SKU3",C1974+ОТЧЕТ!C1974*0.2,C1974+ОТЧЕТ!C1974*0.15)</f>
        <v>522.1</v>
      </c>
      <c r="F1974" s="7" t="s">
        <v>4003</v>
      </c>
      <c r="G1974" s="7">
        <v>326537584</v>
      </c>
      <c r="H1974" s="20" t="s">
        <v>2940</v>
      </c>
      <c r="I1974" s="22" t="str">
        <f>INDEX('Справочник Сети'!B:B,(MATCH(G1974,'Справочник Сети'!C:C,0)))</f>
        <v>Планета здоровья</v>
      </c>
      <c r="J1974" s="7" t="s">
        <v>362</v>
      </c>
      <c r="K1974" s="7" t="s">
        <v>1271</v>
      </c>
      <c r="L1974" s="7" t="s">
        <v>362</v>
      </c>
      <c r="M1974" s="31">
        <v>45732</v>
      </c>
      <c r="N1974" s="7" t="s">
        <v>4004</v>
      </c>
      <c r="O1974" s="8">
        <v>2943</v>
      </c>
      <c r="P1974" s="24">
        <v>7707</v>
      </c>
      <c r="Q1974" s="22">
        <f>IF(COUNTIFS(A$2:A1974,A1974,I$2:I1974,I1974)=1,1,0)</f>
        <v>0</v>
      </c>
      <c r="R1974" s="22">
        <f t="shared" si="30"/>
        <v>4</v>
      </c>
      <c r="S1974" s="33">
        <f>IF(COUNTIF(O$2:O1974,O1974)=1,R1974,0)/2.5</f>
        <v>0</v>
      </c>
    </row>
    <row r="1975" spans="1:19" ht="18" customHeight="1" x14ac:dyDescent="0.25">
      <c r="A1975" s="7" t="s">
        <v>43</v>
      </c>
      <c r="B1975" s="8">
        <v>1</v>
      </c>
      <c r="C1975" s="9">
        <v>454.38</v>
      </c>
      <c r="D1975" s="29">
        <f>C1975+IF(INDEX('Справочник по %'!B:B,(MATCH(A1975,'Справочник по %'!A:A,0)))="кол-во",B1975*INDEX('Справочник по %'!C:C,(MATCH(A1975,'Справочник по %'!A:A,0))),ОТЧЕТ!C1975*INDEX('Справочник по %'!C:C,(MATCH(A1975,'Справочник по %'!A:A,0))))/100</f>
        <v>499.81799999999998</v>
      </c>
      <c r="E1975" s="29">
        <f>IF(ОТЧЕТ!A1975="SKU3",C1975+ОТЧЕТ!C1975*0.2,C1975+ОТЧЕТ!C1975*0.15)</f>
        <v>522.53700000000003</v>
      </c>
      <c r="F1975" s="7" t="s">
        <v>4003</v>
      </c>
      <c r="G1975" s="7">
        <v>550700455672</v>
      </c>
      <c r="H1975" s="20" t="s">
        <v>50</v>
      </c>
      <c r="I1975" s="22">
        <f>INDEX('Справочник Сети'!B:B,(MATCH(G1975,'Справочник Сети'!C:C,0)))</f>
        <v>0</v>
      </c>
      <c r="J1975" s="7" t="s">
        <v>251</v>
      </c>
      <c r="K1975" s="7" t="s">
        <v>1579</v>
      </c>
      <c r="L1975" s="7" t="s">
        <v>251</v>
      </c>
      <c r="M1975" s="31">
        <v>45659</v>
      </c>
      <c r="N1975" s="7" t="s">
        <v>4005</v>
      </c>
      <c r="O1975" s="8">
        <v>3393</v>
      </c>
      <c r="P1975" s="24">
        <v>7708</v>
      </c>
      <c r="Q1975" s="22">
        <f>IF(COUNTIFS(A$2:A1975,A1975,I$2:I1975,I1975)=1,1,0)</f>
        <v>0</v>
      </c>
      <c r="R1975" s="22">
        <f t="shared" si="30"/>
        <v>3</v>
      </c>
      <c r="S1975" s="33">
        <f>IF(COUNTIF(O$2:O1975,O1975)=1,R1975,0)/2.5</f>
        <v>0</v>
      </c>
    </row>
    <row r="1976" spans="1:19" ht="18" customHeight="1" x14ac:dyDescent="0.25">
      <c r="A1976" s="7" t="s">
        <v>37</v>
      </c>
      <c r="B1976" s="8">
        <v>1</v>
      </c>
      <c r="C1976" s="9">
        <v>628.9</v>
      </c>
      <c r="D1976" s="29">
        <f>C1976+IF(INDEX('Справочник по %'!B:B,(MATCH(A1976,'Справочник по %'!A:A,0)))="кол-во",B1976*INDEX('Справочник по %'!C:C,(MATCH(A1976,'Справочник по %'!A:A,0))),ОТЧЕТ!C1976*INDEX('Справочник по %'!C:C,(MATCH(A1976,'Справочник по %'!A:A,0))))/100</f>
        <v>629.1</v>
      </c>
      <c r="E1976" s="29">
        <f>IF(ОТЧЕТ!A1976="SKU3",C1976+ОТЧЕТ!C1976*0.2,C1976+ОТЧЕТ!C1976*0.15)</f>
        <v>723.23500000000001</v>
      </c>
      <c r="F1976" s="7" t="s">
        <v>4006</v>
      </c>
      <c r="G1976" s="7">
        <v>3305719564</v>
      </c>
      <c r="H1976" s="20" t="s">
        <v>91</v>
      </c>
      <c r="I1976" s="22">
        <f>INDEX('Справочник Сети'!B:B,(MATCH(G1976,'Справочник Сети'!C:C,0)))</f>
        <v>0</v>
      </c>
      <c r="J1976" s="7" t="s">
        <v>193</v>
      </c>
      <c r="K1976" s="7" t="s">
        <v>3369</v>
      </c>
      <c r="L1976" s="7" t="s">
        <v>193</v>
      </c>
      <c r="M1976" s="31">
        <v>45718</v>
      </c>
      <c r="N1976" s="7" t="s">
        <v>4007</v>
      </c>
      <c r="O1976" s="8">
        <v>2245</v>
      </c>
      <c r="P1976" s="24">
        <v>7714</v>
      </c>
      <c r="Q1976" s="22">
        <f>IF(COUNTIFS(A$2:A1976,A1976,I$2:I1976,I1976)=1,1,0)</f>
        <v>0</v>
      </c>
      <c r="R1976" s="22">
        <f t="shared" si="30"/>
        <v>3</v>
      </c>
      <c r="S1976" s="33">
        <f>IF(COUNTIF(O$2:O1976,O1976)=1,R1976,0)/2.5</f>
        <v>0</v>
      </c>
    </row>
    <row r="1977" spans="1:19" ht="18" customHeight="1" x14ac:dyDescent="0.25">
      <c r="A1977" s="7" t="s">
        <v>37</v>
      </c>
      <c r="B1977" s="8">
        <v>1</v>
      </c>
      <c r="C1977" s="9">
        <v>694</v>
      </c>
      <c r="D1977" s="29">
        <f>C1977+IF(INDEX('Справочник по %'!B:B,(MATCH(A1977,'Справочник по %'!A:A,0)))="кол-во",B1977*INDEX('Справочник по %'!C:C,(MATCH(A1977,'Справочник по %'!A:A,0))),ОТЧЕТ!C1977*INDEX('Справочник по %'!C:C,(MATCH(A1977,'Справочник по %'!A:A,0))))/100</f>
        <v>694.2</v>
      </c>
      <c r="E1977" s="29">
        <f>IF(ОТЧЕТ!A1977="SKU3",C1977+ОТЧЕТ!C1977*0.2,C1977+ОТЧЕТ!C1977*0.15)</f>
        <v>798.1</v>
      </c>
      <c r="F1977" s="7" t="s">
        <v>4006</v>
      </c>
      <c r="G1977" s="7">
        <v>7805180253</v>
      </c>
      <c r="H1977" s="20" t="s">
        <v>50</v>
      </c>
      <c r="I1977" s="22">
        <f>INDEX('Справочник Сети'!B:B,(MATCH(G1977,'Справочник Сети'!C:C,0)))</f>
        <v>0</v>
      </c>
      <c r="J1977" s="7" t="s">
        <v>353</v>
      </c>
      <c r="K1977" s="7" t="s">
        <v>4008</v>
      </c>
      <c r="L1977" s="7" t="s">
        <v>353</v>
      </c>
      <c r="M1977" s="31">
        <v>45672</v>
      </c>
      <c r="N1977" s="7" t="s">
        <v>4009</v>
      </c>
      <c r="O1977" s="8">
        <v>2210</v>
      </c>
      <c r="P1977" s="24">
        <v>7715</v>
      </c>
      <c r="Q1977" s="22">
        <f>IF(COUNTIFS(A$2:A1977,A1977,I$2:I1977,I1977)=1,1,0)</f>
        <v>0</v>
      </c>
      <c r="R1977" s="22">
        <f t="shared" si="30"/>
        <v>1</v>
      </c>
      <c r="S1977" s="33">
        <f>IF(COUNTIF(O$2:O1977,O1977)=1,R1977,0)/2.5</f>
        <v>0.4</v>
      </c>
    </row>
    <row r="1978" spans="1:19" ht="18" customHeight="1" x14ac:dyDescent="0.25">
      <c r="A1978" s="7" t="s">
        <v>43</v>
      </c>
      <c r="B1978" s="8">
        <v>1</v>
      </c>
      <c r="C1978" s="9">
        <v>485</v>
      </c>
      <c r="D1978" s="29">
        <f>C1978+IF(INDEX('Справочник по %'!B:B,(MATCH(A1978,'Справочник по %'!A:A,0)))="кол-во",B1978*INDEX('Справочник по %'!C:C,(MATCH(A1978,'Справочник по %'!A:A,0))),ОТЧЕТ!C1978*INDEX('Справочник по %'!C:C,(MATCH(A1978,'Справочник по %'!A:A,0))))/100</f>
        <v>533.5</v>
      </c>
      <c r="E1978" s="29">
        <f>IF(ОТЧЕТ!A1978="SKU3",C1978+ОТЧЕТ!C1978*0.2,C1978+ОТЧЕТ!C1978*0.15)</f>
        <v>557.75</v>
      </c>
      <c r="F1978" s="7" t="s">
        <v>4010</v>
      </c>
      <c r="G1978" s="7">
        <v>3651010149</v>
      </c>
      <c r="H1978" s="20" t="s">
        <v>4011</v>
      </c>
      <c r="I1978" s="22">
        <f>INDEX('Справочник Сети'!B:B,(MATCH(G1978,'Справочник Сети'!C:C,0)))</f>
        <v>0</v>
      </c>
      <c r="J1978" s="7" t="s">
        <v>65</v>
      </c>
      <c r="K1978" s="7" t="s">
        <v>3063</v>
      </c>
      <c r="L1978" s="7" t="s">
        <v>65</v>
      </c>
      <c r="M1978" s="31">
        <v>45717</v>
      </c>
      <c r="N1978" s="7" t="s">
        <v>4012</v>
      </c>
      <c r="O1978" s="8">
        <v>37</v>
      </c>
      <c r="P1978" s="24">
        <v>7718</v>
      </c>
      <c r="Q1978" s="22">
        <f>IF(COUNTIFS(A$2:A1978,A1978,I$2:I1978,I1978)=1,1,0)</f>
        <v>0</v>
      </c>
      <c r="R1978" s="22">
        <f t="shared" si="30"/>
        <v>1</v>
      </c>
      <c r="S1978" s="33">
        <f>IF(COUNTIF(O$2:O1978,O1978)=1,R1978,0)/2.5</f>
        <v>0.4</v>
      </c>
    </row>
    <row r="1979" spans="1:19" ht="18" customHeight="1" x14ac:dyDescent="0.25">
      <c r="A1979" s="7" t="s">
        <v>43</v>
      </c>
      <c r="B1979" s="8">
        <v>1</v>
      </c>
      <c r="C1979" s="9">
        <v>374</v>
      </c>
      <c r="D1979" s="29">
        <f>C1979+IF(INDEX('Справочник по %'!B:B,(MATCH(A1979,'Справочник по %'!A:A,0)))="кол-во",B1979*INDEX('Справочник по %'!C:C,(MATCH(A1979,'Справочник по %'!A:A,0))),ОТЧЕТ!C1979*INDEX('Справочник по %'!C:C,(MATCH(A1979,'Справочник по %'!A:A,0))))/100</f>
        <v>411.4</v>
      </c>
      <c r="E1979" s="29">
        <f>IF(ОТЧЕТ!A1979="SKU3",C1979+ОТЧЕТ!C1979*0.2,C1979+ОТЧЕТ!C1979*0.15)</f>
        <v>430.1</v>
      </c>
      <c r="F1979" s="7" t="s">
        <v>4010</v>
      </c>
      <c r="G1979" s="7">
        <v>7706795062</v>
      </c>
      <c r="H1979" s="20" t="s">
        <v>624</v>
      </c>
      <c r="I1979" s="22" t="str">
        <f>INDEX('Справочник Сети'!B:B,(MATCH(G1979,'Справочник Сети'!C:C,0)))</f>
        <v>Планета здоровья</v>
      </c>
      <c r="J1979" s="7" t="s">
        <v>87</v>
      </c>
      <c r="K1979" s="7" t="s">
        <v>1459</v>
      </c>
      <c r="L1979" s="7" t="s">
        <v>116</v>
      </c>
      <c r="M1979" s="31">
        <v>45692</v>
      </c>
      <c r="N1979" s="7" t="s">
        <v>4013</v>
      </c>
      <c r="O1979" s="8">
        <v>203</v>
      </c>
      <c r="P1979" s="24">
        <v>7719</v>
      </c>
      <c r="Q1979" s="22">
        <f>IF(COUNTIFS(A$2:A1979,A1979,I$2:I1979,I1979)=1,1,0)</f>
        <v>0</v>
      </c>
      <c r="R1979" s="22">
        <f t="shared" si="30"/>
        <v>1</v>
      </c>
      <c r="S1979" s="33">
        <f>IF(COUNTIF(O$2:O1979,O1979)=1,R1979,0)/2.5</f>
        <v>0.4</v>
      </c>
    </row>
    <row r="1980" spans="1:19" ht="18" customHeight="1" x14ac:dyDescent="0.25">
      <c r="A1980" s="7" t="s">
        <v>43</v>
      </c>
      <c r="B1980" s="8">
        <v>1</v>
      </c>
      <c r="C1980" s="9">
        <v>473</v>
      </c>
      <c r="D1980" s="29">
        <f>C1980+IF(INDEX('Справочник по %'!B:B,(MATCH(A1980,'Справочник по %'!A:A,0)))="кол-во",B1980*INDEX('Справочник по %'!C:C,(MATCH(A1980,'Справочник по %'!A:A,0))),ОТЧЕТ!C1980*INDEX('Справочник по %'!C:C,(MATCH(A1980,'Справочник по %'!A:A,0))))/100</f>
        <v>520.29999999999995</v>
      </c>
      <c r="E1980" s="29">
        <f>IF(ОТЧЕТ!A1980="SKU3",C1980+ОТЧЕТ!C1980*0.2,C1980+ОТЧЕТ!C1980*0.15)</f>
        <v>543.95000000000005</v>
      </c>
      <c r="F1980" s="7" t="s">
        <v>4014</v>
      </c>
      <c r="G1980" s="7">
        <v>422200149397</v>
      </c>
      <c r="H1980" s="20" t="s">
        <v>2585</v>
      </c>
      <c r="I1980" s="22">
        <f>INDEX('Справочник Сети'!B:B,(MATCH(G1980,'Справочник Сети'!C:C,0)))</f>
        <v>0</v>
      </c>
      <c r="J1980" s="7" t="s">
        <v>110</v>
      </c>
      <c r="K1980" s="7" t="s">
        <v>1005</v>
      </c>
      <c r="L1980" s="7" t="s">
        <v>110</v>
      </c>
      <c r="M1980" s="31">
        <v>45660</v>
      </c>
      <c r="N1980" s="7" t="s">
        <v>4015</v>
      </c>
      <c r="O1980" s="8">
        <v>1903</v>
      </c>
      <c r="P1980" s="24">
        <v>7721</v>
      </c>
      <c r="Q1980" s="22">
        <f>IF(COUNTIFS(A$2:A1980,A1980,I$2:I1980,I1980)=1,1,0)</f>
        <v>0</v>
      </c>
      <c r="R1980" s="22">
        <f t="shared" si="30"/>
        <v>2</v>
      </c>
      <c r="S1980" s="33">
        <f>IF(COUNTIF(O$2:O1980,O1980)=1,R1980,0)/2.5</f>
        <v>0</v>
      </c>
    </row>
    <row r="1981" spans="1:19" ht="18" customHeight="1" x14ac:dyDescent="0.25">
      <c r="A1981" s="7" t="s">
        <v>43</v>
      </c>
      <c r="B1981" s="8">
        <v>1</v>
      </c>
      <c r="C1981" s="9">
        <v>381</v>
      </c>
      <c r="D1981" s="29">
        <f>C1981+IF(INDEX('Справочник по %'!B:B,(MATCH(A1981,'Справочник по %'!A:A,0)))="кол-во",B1981*INDEX('Справочник по %'!C:C,(MATCH(A1981,'Справочник по %'!A:A,0))),ОТЧЕТ!C1981*INDEX('Справочник по %'!C:C,(MATCH(A1981,'Справочник по %'!A:A,0))))/100</f>
        <v>419.1</v>
      </c>
      <c r="E1981" s="29">
        <f>IF(ОТЧЕТ!A1981="SKU3",C1981+ОТЧЕТ!C1981*0.2,C1981+ОТЧЕТ!C1981*0.15)</f>
        <v>438.15</v>
      </c>
      <c r="F1981" s="7" t="s">
        <v>4016</v>
      </c>
      <c r="G1981" s="7">
        <v>7706795062</v>
      </c>
      <c r="H1981" s="20" t="s">
        <v>188</v>
      </c>
      <c r="I1981" s="22" t="str">
        <f>INDEX('Справочник Сети'!B:B,(MATCH(G1981,'Справочник Сети'!C:C,0)))</f>
        <v>Планета здоровья</v>
      </c>
      <c r="J1981" s="7" t="s">
        <v>87</v>
      </c>
      <c r="K1981" s="7" t="s">
        <v>2164</v>
      </c>
      <c r="L1981" s="7" t="s">
        <v>87</v>
      </c>
      <c r="M1981" s="31">
        <v>45691</v>
      </c>
      <c r="N1981" s="7" t="s">
        <v>4017</v>
      </c>
      <c r="O1981" s="8">
        <v>2801</v>
      </c>
      <c r="P1981" s="24">
        <v>7723</v>
      </c>
      <c r="Q1981" s="22">
        <f>IF(COUNTIFS(A$2:A1981,A1981,I$2:I1981,I1981)=1,1,0)</f>
        <v>0</v>
      </c>
      <c r="R1981" s="22">
        <f t="shared" si="30"/>
        <v>2</v>
      </c>
      <c r="S1981" s="33">
        <f>IF(COUNTIF(O$2:O1981,O1981)=1,R1981,0)/2.5</f>
        <v>0</v>
      </c>
    </row>
    <row r="1982" spans="1:19" ht="18" customHeight="1" x14ac:dyDescent="0.25">
      <c r="A1982" s="7" t="s">
        <v>43</v>
      </c>
      <c r="B1982" s="8">
        <v>1</v>
      </c>
      <c r="C1982" s="9">
        <v>419</v>
      </c>
      <c r="D1982" s="29">
        <f>C1982+IF(INDEX('Справочник по %'!B:B,(MATCH(A1982,'Справочник по %'!A:A,0)))="кол-во",B1982*INDEX('Справочник по %'!C:C,(MATCH(A1982,'Справочник по %'!A:A,0))),ОТЧЕТ!C1982*INDEX('Справочник по %'!C:C,(MATCH(A1982,'Справочник по %'!A:A,0))))/100</f>
        <v>460.9</v>
      </c>
      <c r="E1982" s="29">
        <f>IF(ОТЧЕТ!A1982="SKU3",C1982+ОТЧЕТ!C1982*0.2,C1982+ОТЧЕТ!C1982*0.15)</f>
        <v>481.85</v>
      </c>
      <c r="F1982" s="7" t="s">
        <v>4018</v>
      </c>
      <c r="G1982" s="7">
        <v>2308110232</v>
      </c>
      <c r="H1982" s="20" t="s">
        <v>69</v>
      </c>
      <c r="I1982" s="22" t="str">
        <f>INDEX('Справочник Сети'!B:B,(MATCH(G1982,'Справочник Сети'!C:C,0)))</f>
        <v>Нео-фарм</v>
      </c>
      <c r="J1982" s="7" t="s">
        <v>372</v>
      </c>
      <c r="K1982" s="7" t="s">
        <v>1224</v>
      </c>
      <c r="L1982" s="7" t="s">
        <v>372</v>
      </c>
      <c r="M1982" s="31">
        <v>45730</v>
      </c>
      <c r="N1982" s="7" t="s">
        <v>1463</v>
      </c>
      <c r="O1982" s="8">
        <v>1005</v>
      </c>
      <c r="P1982" s="24">
        <v>7729</v>
      </c>
      <c r="Q1982" s="22">
        <f>IF(COUNTIFS(A$2:A1982,A1982,I$2:I1982,I1982)=1,1,0)</f>
        <v>0</v>
      </c>
      <c r="R1982" s="22">
        <f t="shared" si="30"/>
        <v>1</v>
      </c>
      <c r="S1982" s="33">
        <f>IF(COUNTIF(O$2:O1982,O1982)=1,R1982,0)/2.5</f>
        <v>0.4</v>
      </c>
    </row>
    <row r="1983" spans="1:19" ht="18" customHeight="1" x14ac:dyDescent="0.25">
      <c r="A1983" s="7" t="s">
        <v>43</v>
      </c>
      <c r="B1983" s="8">
        <v>1</v>
      </c>
      <c r="C1983" s="9">
        <v>391.9</v>
      </c>
      <c r="D1983" s="29">
        <f>C1983+IF(INDEX('Справочник по %'!B:B,(MATCH(A1983,'Справочник по %'!A:A,0)))="кол-во",B1983*INDEX('Справочник по %'!C:C,(MATCH(A1983,'Справочник по %'!A:A,0))),ОТЧЕТ!C1983*INDEX('Справочник по %'!C:C,(MATCH(A1983,'Справочник по %'!A:A,0))))/100</f>
        <v>431.09</v>
      </c>
      <c r="E1983" s="29">
        <f>IF(ОТЧЕТ!A1983="SKU3",C1983+ОТЧЕТ!C1983*0.2,C1983+ОТЧЕТ!C1983*0.15)</f>
        <v>450.68499999999995</v>
      </c>
      <c r="F1983" s="7" t="s">
        <v>4018</v>
      </c>
      <c r="G1983" s="7">
        <v>5507102175</v>
      </c>
      <c r="H1983" s="20" t="s">
        <v>50</v>
      </c>
      <c r="I1983" s="22" t="str">
        <f>INDEX('Справочник Сети'!B:B,(MATCH(G1983,'Справочник Сети'!C:C,0)))</f>
        <v>Столички</v>
      </c>
      <c r="J1983" s="7" t="s">
        <v>255</v>
      </c>
      <c r="K1983" s="7" t="s">
        <v>4019</v>
      </c>
      <c r="L1983" s="7" t="s">
        <v>255</v>
      </c>
      <c r="M1983" s="31">
        <v>45713</v>
      </c>
      <c r="N1983" s="7" t="s">
        <v>4020</v>
      </c>
      <c r="O1983" s="8">
        <v>435</v>
      </c>
      <c r="P1983" s="24">
        <v>7730</v>
      </c>
      <c r="Q1983" s="22">
        <f>IF(COUNTIFS(A$2:A1983,A1983,I$2:I1983,I1983)=1,1,0)</f>
        <v>0</v>
      </c>
      <c r="R1983" s="22">
        <f t="shared" si="30"/>
        <v>6</v>
      </c>
      <c r="S1983" s="33">
        <f>IF(COUNTIF(O$2:O1983,O1983)=1,R1983,0)/2.5</f>
        <v>0</v>
      </c>
    </row>
    <row r="1984" spans="1:19" ht="18" customHeight="1" x14ac:dyDescent="0.25">
      <c r="A1984" s="7" t="s">
        <v>43</v>
      </c>
      <c r="B1984" s="8">
        <v>1</v>
      </c>
      <c r="C1984" s="9">
        <v>399.5</v>
      </c>
      <c r="D1984" s="29">
        <f>C1984+IF(INDEX('Справочник по %'!B:B,(MATCH(A1984,'Справочник по %'!A:A,0)))="кол-во",B1984*INDEX('Справочник по %'!C:C,(MATCH(A1984,'Справочник по %'!A:A,0))),ОТЧЕТ!C1984*INDEX('Справочник по %'!C:C,(MATCH(A1984,'Справочник по %'!A:A,0))))/100</f>
        <v>439.45</v>
      </c>
      <c r="E1984" s="29">
        <f>IF(ОТЧЕТ!A1984="SKU3",C1984+ОТЧЕТ!C1984*0.2,C1984+ОТЧЕТ!C1984*0.15)</f>
        <v>459.42500000000001</v>
      </c>
      <c r="F1984" s="7" t="s">
        <v>4018</v>
      </c>
      <c r="G1984" s="7">
        <v>3801042576</v>
      </c>
      <c r="H1984" s="20" t="s">
        <v>64</v>
      </c>
      <c r="I1984" s="22" t="str">
        <f>INDEX('Справочник Сети'!B:B,(MATCH(G1984,'Справочник Сети'!C:C,0)))</f>
        <v>Планета здоровья</v>
      </c>
      <c r="J1984" s="7" t="s">
        <v>65</v>
      </c>
      <c r="K1984" s="7" t="s">
        <v>431</v>
      </c>
      <c r="L1984" s="7" t="s">
        <v>65</v>
      </c>
      <c r="M1984" s="31">
        <v>45717</v>
      </c>
      <c r="N1984" s="7" t="s">
        <v>4021</v>
      </c>
      <c r="O1984" s="8">
        <v>3037</v>
      </c>
      <c r="P1984" s="24">
        <v>7731</v>
      </c>
      <c r="Q1984" s="22">
        <f>IF(COUNTIFS(A$2:A1984,A1984,I$2:I1984,I1984)=1,1,0)</f>
        <v>0</v>
      </c>
      <c r="R1984" s="22">
        <f t="shared" si="30"/>
        <v>3</v>
      </c>
      <c r="S1984" s="33">
        <f>IF(COUNTIF(O$2:O1984,O1984)=1,R1984,0)/2.5</f>
        <v>0</v>
      </c>
    </row>
    <row r="1985" spans="1:19" ht="18" customHeight="1" x14ac:dyDescent="0.25">
      <c r="A1985" s="7" t="s">
        <v>43</v>
      </c>
      <c r="B1985" s="8">
        <v>1</v>
      </c>
      <c r="C1985" s="9">
        <v>370</v>
      </c>
      <c r="D1985" s="29">
        <f>C1985+IF(INDEX('Справочник по %'!B:B,(MATCH(A1985,'Справочник по %'!A:A,0)))="кол-во",B1985*INDEX('Справочник по %'!C:C,(MATCH(A1985,'Справочник по %'!A:A,0))),ОТЧЕТ!C1985*INDEX('Справочник по %'!C:C,(MATCH(A1985,'Справочник по %'!A:A,0))))/100</f>
        <v>407</v>
      </c>
      <c r="E1985" s="29">
        <f>IF(ОТЧЕТ!A1985="SKU3",C1985+ОТЧЕТ!C1985*0.2,C1985+ОТЧЕТ!C1985*0.15)</f>
        <v>425.5</v>
      </c>
      <c r="F1985" s="7" t="s">
        <v>4022</v>
      </c>
      <c r="G1985" s="7">
        <v>7728339546</v>
      </c>
      <c r="H1985" s="20" t="s">
        <v>2232</v>
      </c>
      <c r="I1985" s="22" t="str">
        <f>INDEX('Справочник Сети'!B:B,(MATCH(G1985,'Справочник Сети'!C:C,0)))</f>
        <v>Планета здоровья</v>
      </c>
      <c r="J1985" s="7" t="s">
        <v>142</v>
      </c>
      <c r="K1985" s="7" t="s">
        <v>959</v>
      </c>
      <c r="L1985" s="7" t="s">
        <v>142</v>
      </c>
      <c r="M1985" s="31">
        <v>45674</v>
      </c>
      <c r="N1985" s="7" t="s">
        <v>4023</v>
      </c>
      <c r="O1985" s="8">
        <v>3034</v>
      </c>
      <c r="P1985" s="24">
        <v>7734</v>
      </c>
      <c r="Q1985" s="22">
        <f>IF(COUNTIFS(A$2:A1985,A1985,I$2:I1985,I1985)=1,1,0)</f>
        <v>0</v>
      </c>
      <c r="R1985" s="22">
        <f t="shared" si="30"/>
        <v>7</v>
      </c>
      <c r="S1985" s="33">
        <f>IF(COUNTIF(O$2:O1985,O1985)=1,R1985,0)/2.5</f>
        <v>0</v>
      </c>
    </row>
    <row r="1986" spans="1:19" ht="18" customHeight="1" x14ac:dyDescent="0.25">
      <c r="A1986" s="7" t="s">
        <v>43</v>
      </c>
      <c r="B1986" s="8">
        <v>1</v>
      </c>
      <c r="C1986" s="9">
        <v>454</v>
      </c>
      <c r="D1986" s="29">
        <f>C1986+IF(INDEX('Справочник по %'!B:B,(MATCH(A1986,'Справочник по %'!A:A,0)))="кол-во",B1986*INDEX('Справочник по %'!C:C,(MATCH(A1986,'Справочник по %'!A:A,0))),ОТЧЕТ!C1986*INDEX('Справочник по %'!C:C,(MATCH(A1986,'Справочник по %'!A:A,0))))/100</f>
        <v>499.4</v>
      </c>
      <c r="E1986" s="29">
        <f>IF(ОТЧЕТ!A1986="SKU3",C1986+ОТЧЕТ!C1986*0.2,C1986+ОТЧЕТ!C1986*0.15)</f>
        <v>522.1</v>
      </c>
      <c r="F1986" s="7" t="s">
        <v>4022</v>
      </c>
      <c r="G1986" s="7">
        <v>7705947629</v>
      </c>
      <c r="H1986" s="20" t="s">
        <v>50</v>
      </c>
      <c r="I1986" s="22" t="str">
        <f>INDEX('Справочник Сети'!B:B,(MATCH(G1986,'Справочник Сети'!C:C,0)))</f>
        <v>36,6</v>
      </c>
      <c r="J1986" s="7" t="s">
        <v>104</v>
      </c>
      <c r="K1986" s="7" t="s">
        <v>957</v>
      </c>
      <c r="L1986" s="7" t="s">
        <v>104</v>
      </c>
      <c r="M1986" s="31">
        <v>45693</v>
      </c>
      <c r="N1986" s="7" t="s">
        <v>4024</v>
      </c>
      <c r="O1986" s="8">
        <v>1629</v>
      </c>
      <c r="P1986" s="24">
        <v>7740</v>
      </c>
      <c r="Q1986" s="22">
        <f>IF(COUNTIFS(A$2:A1986,A1986,I$2:I1986,I1986)=1,1,0)</f>
        <v>0</v>
      </c>
      <c r="R1986" s="22">
        <f t="shared" si="30"/>
        <v>8</v>
      </c>
      <c r="S1986" s="33">
        <f>IF(COUNTIF(O$2:O1986,O1986)=1,R1986,0)/2.5</f>
        <v>0</v>
      </c>
    </row>
    <row r="1987" spans="1:19" ht="18" customHeight="1" x14ac:dyDescent="0.25">
      <c r="A1987" s="7" t="s">
        <v>37</v>
      </c>
      <c r="B1987" s="8">
        <v>1</v>
      </c>
      <c r="C1987" s="9">
        <v>715</v>
      </c>
      <c r="D1987" s="29">
        <f>C1987+IF(INDEX('Справочник по %'!B:B,(MATCH(A1987,'Справочник по %'!A:A,0)))="кол-во",B1987*INDEX('Справочник по %'!C:C,(MATCH(A1987,'Справочник по %'!A:A,0))),ОТЧЕТ!C1987*INDEX('Справочник по %'!C:C,(MATCH(A1987,'Справочник по %'!A:A,0))))/100</f>
        <v>715.2</v>
      </c>
      <c r="E1987" s="29">
        <f>IF(ОТЧЕТ!A1987="SKU3",C1987+ОТЧЕТ!C1987*0.2,C1987+ОТЧЕТ!C1987*0.15)</f>
        <v>822.25</v>
      </c>
      <c r="F1987" s="7" t="s">
        <v>4022</v>
      </c>
      <c r="G1987" s="7">
        <v>7807048010</v>
      </c>
      <c r="H1987" s="20" t="s">
        <v>50</v>
      </c>
      <c r="I1987" s="22" t="str">
        <f>INDEX('Справочник Сети'!B:B,(MATCH(G1987,'Справочник Сети'!C:C,0)))</f>
        <v>Планета здоровья</v>
      </c>
      <c r="J1987" s="7" t="s">
        <v>353</v>
      </c>
      <c r="K1987" s="7" t="s">
        <v>1959</v>
      </c>
      <c r="L1987" s="7" t="s">
        <v>353</v>
      </c>
      <c r="M1987" s="31">
        <v>45672</v>
      </c>
      <c r="N1987" s="7" t="s">
        <v>4025</v>
      </c>
      <c r="O1987" s="8">
        <v>760</v>
      </c>
      <c r="P1987" s="24">
        <v>7746</v>
      </c>
      <c r="Q1987" s="22">
        <f>IF(COUNTIFS(A$2:A1987,A1987,I$2:I1987,I1987)=1,1,0)</f>
        <v>0</v>
      </c>
      <c r="R1987" s="22">
        <f t="shared" ref="R1987:R2050" si="31">COUNTIF(O:O,O1987)</f>
        <v>2</v>
      </c>
      <c r="S1987" s="33">
        <f>IF(COUNTIF(O$2:O1987,O1987)=1,R1987,0)/2.5</f>
        <v>0</v>
      </c>
    </row>
    <row r="1988" spans="1:19" ht="18" customHeight="1" x14ac:dyDescent="0.25">
      <c r="A1988" s="7" t="s">
        <v>43</v>
      </c>
      <c r="B1988" s="8">
        <v>1</v>
      </c>
      <c r="C1988" s="9">
        <v>458.81</v>
      </c>
      <c r="D1988" s="29">
        <f>C1988+IF(INDEX('Справочник по %'!B:B,(MATCH(A1988,'Справочник по %'!A:A,0)))="кол-во",B1988*INDEX('Справочник по %'!C:C,(MATCH(A1988,'Справочник по %'!A:A,0))),ОТЧЕТ!C1988*INDEX('Справочник по %'!C:C,(MATCH(A1988,'Справочник по %'!A:A,0))))/100</f>
        <v>504.69100000000003</v>
      </c>
      <c r="E1988" s="29">
        <f>IF(ОТЧЕТ!A1988="SKU3",C1988+ОТЧЕТ!C1988*0.2,C1988+ОТЧЕТ!C1988*0.15)</f>
        <v>527.63149999999996</v>
      </c>
      <c r="F1988" s="7" t="s">
        <v>4022</v>
      </c>
      <c r="G1988" s="7">
        <v>550711904930</v>
      </c>
      <c r="H1988" s="20" t="s">
        <v>50</v>
      </c>
      <c r="I1988" s="22" t="str">
        <f>INDEX('Справочник Сети'!B:B,(MATCH(G1988,'Справочник Сети'!C:C,0)))</f>
        <v>Ригла</v>
      </c>
      <c r="J1988" s="7" t="s">
        <v>251</v>
      </c>
      <c r="K1988" s="7" t="s">
        <v>3383</v>
      </c>
      <c r="L1988" s="7" t="s">
        <v>251</v>
      </c>
      <c r="M1988" s="31">
        <v>45659</v>
      </c>
      <c r="N1988" s="7" t="s">
        <v>4026</v>
      </c>
      <c r="O1988" s="8">
        <v>723</v>
      </c>
      <c r="P1988" s="24">
        <v>7747</v>
      </c>
      <c r="Q1988" s="22">
        <f>IF(COUNTIFS(A$2:A1988,A1988,I$2:I1988,I1988)=1,1,0)</f>
        <v>0</v>
      </c>
      <c r="R1988" s="22">
        <f t="shared" si="31"/>
        <v>1</v>
      </c>
      <c r="S1988" s="33">
        <f>IF(COUNTIF(O$2:O1988,O1988)=1,R1988,0)/2.5</f>
        <v>0.4</v>
      </c>
    </row>
    <row r="1989" spans="1:19" ht="18" customHeight="1" x14ac:dyDescent="0.25">
      <c r="A1989" s="7" t="s">
        <v>43</v>
      </c>
      <c r="B1989" s="8">
        <v>1</v>
      </c>
      <c r="C1989" s="9">
        <v>379</v>
      </c>
      <c r="D1989" s="29">
        <f>C1989+IF(INDEX('Справочник по %'!B:B,(MATCH(A1989,'Справочник по %'!A:A,0)))="кол-во",B1989*INDEX('Справочник по %'!C:C,(MATCH(A1989,'Справочник по %'!A:A,0))),ОТЧЕТ!C1989*INDEX('Справочник по %'!C:C,(MATCH(A1989,'Справочник по %'!A:A,0))))/100</f>
        <v>416.9</v>
      </c>
      <c r="E1989" s="29">
        <f>IF(ОТЧЕТ!A1989="SKU3",C1989+ОТЧЕТ!C1989*0.2,C1989+ОТЧЕТ!C1989*0.15)</f>
        <v>435.85</v>
      </c>
      <c r="F1989" s="7" t="s">
        <v>4022</v>
      </c>
      <c r="G1989" s="7">
        <v>7706795062</v>
      </c>
      <c r="H1989" s="20" t="s">
        <v>670</v>
      </c>
      <c r="I1989" s="22" t="str">
        <f>INDEX('Справочник Сети'!B:B,(MATCH(G1989,'Справочник Сети'!C:C,0)))</f>
        <v>Планета здоровья</v>
      </c>
      <c r="J1989" s="7" t="s">
        <v>87</v>
      </c>
      <c r="K1989" s="7" t="s">
        <v>966</v>
      </c>
      <c r="L1989" s="7" t="s">
        <v>116</v>
      </c>
      <c r="M1989" s="31">
        <v>45692</v>
      </c>
      <c r="N1989" s="7" t="s">
        <v>4027</v>
      </c>
      <c r="O1989" s="8">
        <v>262</v>
      </c>
      <c r="P1989" s="24">
        <v>7749</v>
      </c>
      <c r="Q1989" s="22">
        <f>IF(COUNTIFS(A$2:A1989,A1989,I$2:I1989,I1989)=1,1,0)</f>
        <v>0</v>
      </c>
      <c r="R1989" s="22">
        <f t="shared" si="31"/>
        <v>5</v>
      </c>
      <c r="S1989" s="33">
        <f>IF(COUNTIF(O$2:O1989,O1989)=1,R1989,0)/2.5</f>
        <v>0</v>
      </c>
    </row>
    <row r="1990" spans="1:19" ht="18" customHeight="1" x14ac:dyDescent="0.25">
      <c r="A1990" s="7" t="s">
        <v>43</v>
      </c>
      <c r="B1990" s="8">
        <v>1</v>
      </c>
      <c r="C1990" s="9">
        <v>308</v>
      </c>
      <c r="D1990" s="29">
        <f>C1990+IF(INDEX('Справочник по %'!B:B,(MATCH(A1990,'Справочник по %'!A:A,0)))="кол-во",B1990*INDEX('Справочник по %'!C:C,(MATCH(A1990,'Справочник по %'!A:A,0))),ОТЧЕТ!C1990*INDEX('Справочник по %'!C:C,(MATCH(A1990,'Справочник по %'!A:A,0))))/100</f>
        <v>338.8</v>
      </c>
      <c r="E1990" s="29">
        <f>IF(ОТЧЕТ!A1990="SKU3",C1990+ОТЧЕТ!C1990*0.2,C1990+ОТЧЕТ!C1990*0.15)</f>
        <v>354.2</v>
      </c>
      <c r="F1990" s="7" t="s">
        <v>4022</v>
      </c>
      <c r="G1990" s="7">
        <v>2308120424</v>
      </c>
      <c r="H1990" s="20" t="s">
        <v>50</v>
      </c>
      <c r="I1990" s="22">
        <f>INDEX('Справочник Сети'!B:B,(MATCH(G1990,'Справочник Сети'!C:C,0)))</f>
        <v>0</v>
      </c>
      <c r="J1990" s="7" t="s">
        <v>57</v>
      </c>
      <c r="K1990" s="7" t="s">
        <v>2043</v>
      </c>
      <c r="L1990" s="7" t="s">
        <v>372</v>
      </c>
      <c r="M1990" s="31">
        <v>45730</v>
      </c>
      <c r="N1990" s="7" t="s">
        <v>4028</v>
      </c>
      <c r="O1990" s="8">
        <v>2257</v>
      </c>
      <c r="P1990" s="24">
        <v>7751</v>
      </c>
      <c r="Q1990" s="22">
        <f>IF(COUNTIFS(A$2:A1990,A1990,I$2:I1990,I1990)=1,1,0)</f>
        <v>0</v>
      </c>
      <c r="R1990" s="22">
        <f t="shared" si="31"/>
        <v>1</v>
      </c>
      <c r="S1990" s="33">
        <f>IF(COUNTIF(O$2:O1990,O1990)=1,R1990,0)/2.5</f>
        <v>0.4</v>
      </c>
    </row>
    <row r="1991" spans="1:19" ht="18" customHeight="1" x14ac:dyDescent="0.25">
      <c r="A1991" s="7" t="s">
        <v>43</v>
      </c>
      <c r="B1991" s="8">
        <v>1</v>
      </c>
      <c r="C1991" s="9">
        <v>389</v>
      </c>
      <c r="D1991" s="29">
        <f>C1991+IF(INDEX('Справочник по %'!B:B,(MATCH(A1991,'Справочник по %'!A:A,0)))="кол-во",B1991*INDEX('Справочник по %'!C:C,(MATCH(A1991,'Справочник по %'!A:A,0))),ОТЧЕТ!C1991*INDEX('Справочник по %'!C:C,(MATCH(A1991,'Справочник по %'!A:A,0))))/100</f>
        <v>427.9</v>
      </c>
      <c r="E1991" s="29">
        <f>IF(ОТЧЕТ!A1991="SKU3",C1991+ОТЧЕТ!C1991*0.2,C1991+ОТЧЕТ!C1991*0.15)</f>
        <v>447.35</v>
      </c>
      <c r="F1991" s="7" t="s">
        <v>4029</v>
      </c>
      <c r="G1991" s="7">
        <v>7732121736</v>
      </c>
      <c r="H1991" s="20" t="s">
        <v>1984</v>
      </c>
      <c r="I1991" s="22" t="str">
        <f>INDEX('Справочник Сети'!B:B,(MATCH(G1991,'Справочник Сети'!C:C,0)))</f>
        <v>Планета здоровья</v>
      </c>
      <c r="J1991" s="7" t="s">
        <v>149</v>
      </c>
      <c r="K1991" s="7" t="s">
        <v>2776</v>
      </c>
      <c r="L1991" s="7" t="s">
        <v>149</v>
      </c>
      <c r="M1991" s="31">
        <v>45673</v>
      </c>
      <c r="N1991" s="7" t="s">
        <v>4030</v>
      </c>
      <c r="O1991" s="8">
        <v>2551</v>
      </c>
      <c r="P1991" s="24">
        <v>7752</v>
      </c>
      <c r="Q1991" s="22">
        <f>IF(COUNTIFS(A$2:A1991,A1991,I$2:I1991,I1991)=1,1,0)</f>
        <v>0</v>
      </c>
      <c r="R1991" s="22">
        <f t="shared" si="31"/>
        <v>2</v>
      </c>
      <c r="S1991" s="33">
        <f>IF(COUNTIF(O$2:O1991,O1991)=1,R1991,0)/2.5</f>
        <v>0</v>
      </c>
    </row>
    <row r="1992" spans="1:19" ht="18" customHeight="1" x14ac:dyDescent="0.25">
      <c r="A1992" s="7" t="s">
        <v>43</v>
      </c>
      <c r="B1992" s="8">
        <v>1</v>
      </c>
      <c r="C1992" s="9">
        <v>499</v>
      </c>
      <c r="D1992" s="29">
        <f>C1992+IF(INDEX('Справочник по %'!B:B,(MATCH(A1992,'Справочник по %'!A:A,0)))="кол-во",B1992*INDEX('Справочник по %'!C:C,(MATCH(A1992,'Справочник по %'!A:A,0))),ОТЧЕТ!C1992*INDEX('Справочник по %'!C:C,(MATCH(A1992,'Справочник по %'!A:A,0))))/100</f>
        <v>548.9</v>
      </c>
      <c r="E1992" s="29">
        <f>IF(ОТЧЕТ!A1992="SKU3",C1992+ОТЧЕТ!C1992*0.2,C1992+ОТЧЕТ!C1992*0.15)</f>
        <v>573.85</v>
      </c>
      <c r="F1992" s="7" t="s">
        <v>4031</v>
      </c>
      <c r="G1992" s="7">
        <v>7705947629</v>
      </c>
      <c r="H1992" s="20" t="s">
        <v>64</v>
      </c>
      <c r="I1992" s="22" t="str">
        <f>INDEX('Справочник Сети'!B:B,(MATCH(G1992,'Справочник Сети'!C:C,0)))</f>
        <v>36,6</v>
      </c>
      <c r="J1992" s="7" t="s">
        <v>116</v>
      </c>
      <c r="K1992" s="7" t="s">
        <v>433</v>
      </c>
      <c r="L1992" s="7" t="s">
        <v>104</v>
      </c>
      <c r="M1992" s="31">
        <v>45693</v>
      </c>
      <c r="N1992" s="7" t="s">
        <v>4032</v>
      </c>
      <c r="O1992" s="8">
        <v>2991</v>
      </c>
      <c r="P1992" s="24">
        <v>7754</v>
      </c>
      <c r="Q1992" s="22">
        <f>IF(COUNTIFS(A$2:A1992,A1992,I$2:I1992,I1992)=1,1,0)</f>
        <v>0</v>
      </c>
      <c r="R1992" s="22">
        <f t="shared" si="31"/>
        <v>2</v>
      </c>
      <c r="S1992" s="33">
        <f>IF(COUNTIF(O$2:O1992,O1992)=1,R1992,0)/2.5</f>
        <v>0.8</v>
      </c>
    </row>
    <row r="1993" spans="1:19" ht="18" customHeight="1" x14ac:dyDescent="0.25">
      <c r="A1993" s="7" t="s">
        <v>43</v>
      </c>
      <c r="B1993" s="8">
        <v>1</v>
      </c>
      <c r="C1993" s="9">
        <v>499</v>
      </c>
      <c r="D1993" s="29">
        <f>C1993+IF(INDEX('Справочник по %'!B:B,(MATCH(A1993,'Справочник по %'!A:A,0)))="кол-во",B1993*INDEX('Справочник по %'!C:C,(MATCH(A1993,'Справочник по %'!A:A,0))),ОТЧЕТ!C1993*INDEX('Справочник по %'!C:C,(MATCH(A1993,'Справочник по %'!A:A,0))))/100</f>
        <v>548.9</v>
      </c>
      <c r="E1993" s="29">
        <f>IF(ОТЧЕТ!A1993="SKU3",C1993+ОТЧЕТ!C1993*0.2,C1993+ОТЧЕТ!C1993*0.15)</f>
        <v>573.85</v>
      </c>
      <c r="F1993" s="7" t="s">
        <v>4031</v>
      </c>
      <c r="G1993" s="7">
        <v>7705947629</v>
      </c>
      <c r="H1993" s="20" t="s">
        <v>64</v>
      </c>
      <c r="I1993" s="22" t="str">
        <f>INDEX('Справочник Сети'!B:B,(MATCH(G1993,'Справочник Сети'!C:C,0)))</f>
        <v>36,6</v>
      </c>
      <c r="J1993" s="7" t="s">
        <v>116</v>
      </c>
      <c r="K1993" s="7" t="s">
        <v>433</v>
      </c>
      <c r="L1993" s="7" t="s">
        <v>104</v>
      </c>
      <c r="M1993" s="31">
        <v>45693</v>
      </c>
      <c r="N1993" s="7" t="s">
        <v>4032</v>
      </c>
      <c r="O1993" s="8">
        <v>2991</v>
      </c>
      <c r="P1993" s="24">
        <v>7754</v>
      </c>
      <c r="Q1993" s="22">
        <f>IF(COUNTIFS(A$2:A1993,A1993,I$2:I1993,I1993)=1,1,0)</f>
        <v>0</v>
      </c>
      <c r="R1993" s="22">
        <f t="shared" si="31"/>
        <v>2</v>
      </c>
      <c r="S1993" s="33">
        <f>IF(COUNTIF(O$2:O1993,O1993)=1,R1993,0)/2.5</f>
        <v>0</v>
      </c>
    </row>
    <row r="1994" spans="1:19" ht="18" customHeight="1" x14ac:dyDescent="0.25">
      <c r="A1994" s="7" t="s">
        <v>37</v>
      </c>
      <c r="B1994" s="8">
        <v>1</v>
      </c>
      <c r="C1994" s="9">
        <v>564</v>
      </c>
      <c r="D1994" s="29">
        <f>C1994+IF(INDEX('Справочник по %'!B:B,(MATCH(A1994,'Справочник по %'!A:A,0)))="кол-во",B1994*INDEX('Справочник по %'!C:C,(MATCH(A1994,'Справочник по %'!A:A,0))),ОТЧЕТ!C1994*INDEX('Справочник по %'!C:C,(MATCH(A1994,'Справочник по %'!A:A,0))))/100</f>
        <v>564.20000000000005</v>
      </c>
      <c r="E1994" s="29">
        <f>IF(ОТЧЕТ!A1994="SKU3",C1994+ОТЧЕТ!C1994*0.2,C1994+ОТЧЕТ!C1994*0.15)</f>
        <v>648.6</v>
      </c>
      <c r="F1994" s="7" t="s">
        <v>4031</v>
      </c>
      <c r="G1994" s="7">
        <v>7706795062</v>
      </c>
      <c r="H1994" s="20" t="s">
        <v>487</v>
      </c>
      <c r="I1994" s="22" t="str">
        <f>INDEX('Справочник Сети'!B:B,(MATCH(G1994,'Справочник Сети'!C:C,0)))</f>
        <v>Планета здоровья</v>
      </c>
      <c r="J1994" s="7" t="s">
        <v>87</v>
      </c>
      <c r="K1994" s="7" t="s">
        <v>2136</v>
      </c>
      <c r="L1994" s="7" t="s">
        <v>116</v>
      </c>
      <c r="M1994" s="31">
        <v>45692</v>
      </c>
      <c r="N1994" s="7" t="s">
        <v>4033</v>
      </c>
      <c r="O1994" s="8">
        <v>1267</v>
      </c>
      <c r="P1994" s="24">
        <v>7755</v>
      </c>
      <c r="Q1994" s="22">
        <f>IF(COUNTIFS(A$2:A1994,A1994,I$2:I1994,I1994)=1,1,0)</f>
        <v>0</v>
      </c>
      <c r="R1994" s="22">
        <f t="shared" si="31"/>
        <v>3</v>
      </c>
      <c r="S1994" s="33">
        <f>IF(COUNTIF(O$2:O1994,O1994)=1,R1994,0)/2.5</f>
        <v>0</v>
      </c>
    </row>
    <row r="1995" spans="1:19" ht="18" customHeight="1" x14ac:dyDescent="0.25">
      <c r="A1995" s="7" t="s">
        <v>37</v>
      </c>
      <c r="B1995" s="8">
        <v>1</v>
      </c>
      <c r="C1995" s="9">
        <v>640</v>
      </c>
      <c r="D1995" s="29">
        <f>C1995+IF(INDEX('Справочник по %'!B:B,(MATCH(A1995,'Справочник по %'!A:A,0)))="кол-во",B1995*INDEX('Справочник по %'!C:C,(MATCH(A1995,'Справочник по %'!A:A,0))),ОТЧЕТ!C1995*INDEX('Справочник по %'!C:C,(MATCH(A1995,'Справочник по %'!A:A,0))))/100</f>
        <v>640.20000000000005</v>
      </c>
      <c r="E1995" s="29">
        <f>IF(ОТЧЕТ!A1995="SKU3",C1995+ОТЧЕТ!C1995*0.2,C1995+ОТЧЕТ!C1995*0.15)</f>
        <v>736</v>
      </c>
      <c r="F1995" s="7" t="s">
        <v>4034</v>
      </c>
      <c r="G1995" s="7">
        <v>6168041590</v>
      </c>
      <c r="H1995" s="20" t="s">
        <v>519</v>
      </c>
      <c r="I1995" s="22">
        <f>INDEX('Справочник Сети'!B:B,(MATCH(G1995,'Справочник Сети'!C:C,0)))</f>
        <v>0</v>
      </c>
      <c r="J1995" s="7" t="s">
        <v>203</v>
      </c>
      <c r="K1995" s="7" t="s">
        <v>4035</v>
      </c>
      <c r="L1995" s="7" t="s">
        <v>203</v>
      </c>
      <c r="M1995" s="31">
        <v>45696</v>
      </c>
      <c r="N1995" s="7" t="s">
        <v>4036</v>
      </c>
      <c r="O1995" s="8">
        <v>1408</v>
      </c>
      <c r="P1995" s="24">
        <v>7769</v>
      </c>
      <c r="Q1995" s="22">
        <f>IF(COUNTIFS(A$2:A1995,A1995,I$2:I1995,I1995)=1,1,0)</f>
        <v>0</v>
      </c>
      <c r="R1995" s="22">
        <f t="shared" si="31"/>
        <v>1</v>
      </c>
      <c r="S1995" s="33">
        <f>IF(COUNTIF(O$2:O1995,O1995)=1,R1995,0)/2.5</f>
        <v>0.4</v>
      </c>
    </row>
    <row r="1996" spans="1:19" ht="18" customHeight="1" x14ac:dyDescent="0.25">
      <c r="A1996" s="7" t="s">
        <v>43</v>
      </c>
      <c r="B1996" s="8">
        <v>1</v>
      </c>
      <c r="C1996" s="9">
        <v>425</v>
      </c>
      <c r="D1996" s="29">
        <f>C1996+IF(INDEX('Справочник по %'!B:B,(MATCH(A1996,'Справочник по %'!A:A,0)))="кол-во",B1996*INDEX('Справочник по %'!C:C,(MATCH(A1996,'Справочник по %'!A:A,0))),ОТЧЕТ!C1996*INDEX('Справочник по %'!C:C,(MATCH(A1996,'Справочник по %'!A:A,0))))/100</f>
        <v>467.5</v>
      </c>
      <c r="E1996" s="29">
        <f>IF(ОТЧЕТ!A1996="SKU3",C1996+ОТЧЕТ!C1996*0.2,C1996+ОТЧЕТ!C1996*0.15)</f>
        <v>488.75</v>
      </c>
      <c r="F1996" s="7" t="s">
        <v>4037</v>
      </c>
      <c r="G1996" s="7">
        <v>2311242609</v>
      </c>
      <c r="H1996" s="20" t="s">
        <v>50</v>
      </c>
      <c r="I1996" s="22">
        <f>INDEX('Справочник Сети'!B:B,(MATCH(G1996,'Справочник Сети'!C:C,0)))</f>
        <v>0</v>
      </c>
      <c r="J1996" s="7" t="s">
        <v>70</v>
      </c>
      <c r="K1996" s="7" t="s">
        <v>748</v>
      </c>
      <c r="L1996" s="7" t="s">
        <v>70</v>
      </c>
      <c r="M1996" s="31">
        <v>45728</v>
      </c>
      <c r="N1996" s="7" t="s">
        <v>3257</v>
      </c>
      <c r="O1996" s="8">
        <v>3269</v>
      </c>
      <c r="P1996" s="24">
        <v>7775</v>
      </c>
      <c r="Q1996" s="22">
        <f>IF(COUNTIFS(A$2:A1996,A1996,I$2:I1996,I1996)=1,1,0)</f>
        <v>0</v>
      </c>
      <c r="R1996" s="22">
        <f t="shared" si="31"/>
        <v>1</v>
      </c>
      <c r="S1996" s="33">
        <f>IF(COUNTIF(O$2:O1996,O1996)=1,R1996,0)/2.5</f>
        <v>0.4</v>
      </c>
    </row>
    <row r="1997" spans="1:19" ht="18" customHeight="1" x14ac:dyDescent="0.25">
      <c r="A1997" s="7" t="s">
        <v>43</v>
      </c>
      <c r="B1997" s="8">
        <v>1</v>
      </c>
      <c r="C1997" s="9">
        <v>450</v>
      </c>
      <c r="D1997" s="29">
        <f>C1997+IF(INDEX('Справочник по %'!B:B,(MATCH(A1997,'Справочник по %'!A:A,0)))="кол-во",B1997*INDEX('Справочник по %'!C:C,(MATCH(A1997,'Справочник по %'!A:A,0))),ОТЧЕТ!C1997*INDEX('Справочник по %'!C:C,(MATCH(A1997,'Справочник по %'!A:A,0))))/100</f>
        <v>495</v>
      </c>
      <c r="E1997" s="29">
        <f>IF(ОТЧЕТ!A1997="SKU3",C1997+ОТЧЕТ!C1997*0.2,C1997+ОТЧЕТ!C1997*0.15)</f>
        <v>517.5</v>
      </c>
      <c r="F1997" s="7" t="s">
        <v>4037</v>
      </c>
      <c r="G1997" s="7">
        <v>7732121736</v>
      </c>
      <c r="H1997" s="20" t="s">
        <v>4038</v>
      </c>
      <c r="I1997" s="22" t="str">
        <f>INDEX('Справочник Сети'!B:B,(MATCH(G1997,'Справочник Сети'!C:C,0)))</f>
        <v>Планета здоровья</v>
      </c>
      <c r="J1997" s="7" t="s">
        <v>149</v>
      </c>
      <c r="K1997" s="7" t="s">
        <v>2085</v>
      </c>
      <c r="L1997" s="7" t="s">
        <v>149</v>
      </c>
      <c r="M1997" s="31">
        <v>45673</v>
      </c>
      <c r="N1997" s="7" t="s">
        <v>4039</v>
      </c>
      <c r="O1997" s="8">
        <v>2725</v>
      </c>
      <c r="P1997" s="24">
        <v>7776</v>
      </c>
      <c r="Q1997" s="22">
        <f>IF(COUNTIFS(A$2:A1997,A1997,I$2:I1997,I1997)=1,1,0)</f>
        <v>0</v>
      </c>
      <c r="R1997" s="22">
        <f t="shared" si="31"/>
        <v>1</v>
      </c>
      <c r="S1997" s="33">
        <f>IF(COUNTIF(O$2:O1997,O1997)=1,R1997,0)/2.5</f>
        <v>0.4</v>
      </c>
    </row>
    <row r="1998" spans="1:19" ht="18" customHeight="1" x14ac:dyDescent="0.25">
      <c r="A1998" s="7" t="s">
        <v>43</v>
      </c>
      <c r="B1998" s="8">
        <v>1</v>
      </c>
      <c r="C1998" s="9">
        <v>399</v>
      </c>
      <c r="D1998" s="29">
        <f>C1998+IF(INDEX('Справочник по %'!B:B,(MATCH(A1998,'Справочник по %'!A:A,0)))="кол-во",B1998*INDEX('Справочник по %'!C:C,(MATCH(A1998,'Справочник по %'!A:A,0))),ОТЧЕТ!C1998*INDEX('Справочник по %'!C:C,(MATCH(A1998,'Справочник по %'!A:A,0))))/100</f>
        <v>438.9</v>
      </c>
      <c r="E1998" s="29">
        <f>IF(ОТЧЕТ!A1998="SKU3",C1998+ОТЧЕТ!C1998*0.2,C1998+ОТЧЕТ!C1998*0.15)</f>
        <v>458.85</v>
      </c>
      <c r="F1998" s="7" t="s">
        <v>4040</v>
      </c>
      <c r="G1998" s="7">
        <v>6166112687</v>
      </c>
      <c r="H1998" s="20" t="s">
        <v>50</v>
      </c>
      <c r="I1998" s="22">
        <f>INDEX('Справочник Сети'!B:B,(MATCH(G1998,'Справочник Сети'!C:C,0)))</f>
        <v>0</v>
      </c>
      <c r="J1998" s="7" t="s">
        <v>203</v>
      </c>
      <c r="K1998" s="7" t="s">
        <v>2710</v>
      </c>
      <c r="L1998" s="7" t="s">
        <v>203</v>
      </c>
      <c r="M1998" s="31">
        <v>45696</v>
      </c>
      <c r="N1998" s="7" t="s">
        <v>4041</v>
      </c>
      <c r="O1998" s="8">
        <v>1641</v>
      </c>
      <c r="P1998" s="24">
        <v>7778</v>
      </c>
      <c r="Q1998" s="22">
        <f>IF(COUNTIFS(A$2:A1998,A1998,I$2:I1998,I1998)=1,1,0)</f>
        <v>0</v>
      </c>
      <c r="R1998" s="22">
        <f t="shared" si="31"/>
        <v>3</v>
      </c>
      <c r="S1998" s="33">
        <f>IF(COUNTIF(O$2:O1998,O1998)=1,R1998,0)/2.5</f>
        <v>0</v>
      </c>
    </row>
    <row r="1999" spans="1:19" ht="18" customHeight="1" x14ac:dyDescent="0.25">
      <c r="A1999" s="7" t="s">
        <v>43</v>
      </c>
      <c r="B1999" s="8">
        <v>1</v>
      </c>
      <c r="C1999" s="9">
        <v>381</v>
      </c>
      <c r="D1999" s="29">
        <f>C1999+IF(INDEX('Справочник по %'!B:B,(MATCH(A1999,'Справочник по %'!A:A,0)))="кол-во",B1999*INDEX('Справочник по %'!C:C,(MATCH(A1999,'Справочник по %'!A:A,0))),ОТЧЕТ!C1999*INDEX('Справочник по %'!C:C,(MATCH(A1999,'Справочник по %'!A:A,0))))/100</f>
        <v>419.1</v>
      </c>
      <c r="E1999" s="29">
        <f>IF(ОТЧЕТ!A1999="SKU3",C1999+ОТЧЕТ!C1999*0.2,C1999+ОТЧЕТ!C1999*0.15)</f>
        <v>438.15</v>
      </c>
      <c r="F1999" s="7" t="s">
        <v>4042</v>
      </c>
      <c r="G1999" s="7">
        <v>5038049773</v>
      </c>
      <c r="H1999" s="20" t="s">
        <v>700</v>
      </c>
      <c r="I1999" s="22">
        <f>INDEX('Справочник Сети'!B:B,(MATCH(G1999,'Справочник Сети'!C:C,0)))</f>
        <v>0</v>
      </c>
      <c r="J1999" s="7" t="s">
        <v>92</v>
      </c>
      <c r="K1999" s="7" t="s">
        <v>2125</v>
      </c>
      <c r="L1999" s="7" t="s">
        <v>92</v>
      </c>
      <c r="M1999" s="31">
        <v>45714</v>
      </c>
      <c r="N1999" s="7" t="s">
        <v>4043</v>
      </c>
      <c r="O1999" s="8">
        <v>3364</v>
      </c>
      <c r="P1999" s="24">
        <v>7785</v>
      </c>
      <c r="Q1999" s="22">
        <f>IF(COUNTIFS(A$2:A1999,A1999,I$2:I1999,I1999)=1,1,0)</f>
        <v>0</v>
      </c>
      <c r="R1999" s="22">
        <f t="shared" si="31"/>
        <v>1</v>
      </c>
      <c r="S1999" s="33">
        <f>IF(COUNTIF(O$2:O1999,O1999)=1,R1999,0)/2.5</f>
        <v>0.4</v>
      </c>
    </row>
    <row r="2000" spans="1:19" ht="18" customHeight="1" x14ac:dyDescent="0.25">
      <c r="A2000" s="7" t="s">
        <v>43</v>
      </c>
      <c r="B2000" s="8">
        <v>1</v>
      </c>
      <c r="C2000" s="9">
        <v>490</v>
      </c>
      <c r="D2000" s="29">
        <f>C2000+IF(INDEX('Справочник по %'!B:B,(MATCH(A2000,'Справочник по %'!A:A,0)))="кол-во",B2000*INDEX('Справочник по %'!C:C,(MATCH(A2000,'Справочник по %'!A:A,0))),ОТЧЕТ!C2000*INDEX('Справочник по %'!C:C,(MATCH(A2000,'Справочник по %'!A:A,0))))/100</f>
        <v>539</v>
      </c>
      <c r="E2000" s="29">
        <f>IF(ОТЧЕТ!A2000="SKU3",C2000+ОТЧЕТ!C2000*0.2,C2000+ОТЧЕТ!C2000*0.15)</f>
        <v>563.5</v>
      </c>
      <c r="F2000" s="7" t="s">
        <v>4042</v>
      </c>
      <c r="G2000" s="7">
        <v>3123122460</v>
      </c>
      <c r="H2000" s="20" t="s">
        <v>50</v>
      </c>
      <c r="I2000" s="22" t="str">
        <f>INDEX('Справочник Сети'!B:B,(MATCH(G2000,'Справочник Сети'!C:C,0)))</f>
        <v>Ригла</v>
      </c>
      <c r="J2000" s="7" t="s">
        <v>193</v>
      </c>
      <c r="K2000" s="7" t="s">
        <v>949</v>
      </c>
      <c r="L2000" s="7" t="s">
        <v>193</v>
      </c>
      <c r="M2000" s="31">
        <v>45718</v>
      </c>
      <c r="N2000" s="7" t="s">
        <v>4044</v>
      </c>
      <c r="O2000" s="8">
        <v>3366</v>
      </c>
      <c r="P2000" s="24">
        <v>7787</v>
      </c>
      <c r="Q2000" s="22">
        <f>IF(COUNTIFS(A$2:A2000,A2000,I$2:I2000,I2000)=1,1,0)</f>
        <v>0</v>
      </c>
      <c r="R2000" s="22">
        <f t="shared" si="31"/>
        <v>1</v>
      </c>
      <c r="S2000" s="33">
        <f>IF(COUNTIF(O$2:O2000,O2000)=1,R2000,0)/2.5</f>
        <v>0.4</v>
      </c>
    </row>
    <row r="2001" spans="1:19" ht="18" customHeight="1" x14ac:dyDescent="0.25">
      <c r="A2001" s="7" t="s">
        <v>43</v>
      </c>
      <c r="B2001" s="8">
        <v>1</v>
      </c>
      <c r="C2001" s="9">
        <v>379</v>
      </c>
      <c r="D2001" s="29">
        <f>C2001+IF(INDEX('Справочник по %'!B:B,(MATCH(A2001,'Справочник по %'!A:A,0)))="кол-во",B2001*INDEX('Справочник по %'!C:C,(MATCH(A2001,'Справочник по %'!A:A,0))),ОТЧЕТ!C2001*INDEX('Справочник по %'!C:C,(MATCH(A2001,'Справочник по %'!A:A,0))))/100</f>
        <v>416.9</v>
      </c>
      <c r="E2001" s="29">
        <f>IF(ОТЧЕТ!A2001="SKU3",C2001+ОТЧЕТ!C2001*0.2,C2001+ОТЧЕТ!C2001*0.15)</f>
        <v>435.85</v>
      </c>
      <c r="F2001" s="7" t="s">
        <v>4045</v>
      </c>
      <c r="G2001" s="7">
        <v>7706795062</v>
      </c>
      <c r="H2001" s="20" t="s">
        <v>327</v>
      </c>
      <c r="I2001" s="22" t="str">
        <f>INDEX('Справочник Сети'!B:B,(MATCH(G2001,'Справочник Сети'!C:C,0)))</f>
        <v>Планета здоровья</v>
      </c>
      <c r="J2001" s="7" t="s">
        <v>87</v>
      </c>
      <c r="K2001" s="7" t="s">
        <v>1962</v>
      </c>
      <c r="L2001" s="7" t="s">
        <v>87</v>
      </c>
      <c r="M2001" s="31">
        <v>45691</v>
      </c>
      <c r="N2001" s="7" t="s">
        <v>4046</v>
      </c>
      <c r="O2001" s="8">
        <v>2981</v>
      </c>
      <c r="P2001" s="24">
        <v>7789</v>
      </c>
      <c r="Q2001" s="22">
        <f>IF(COUNTIFS(A$2:A2001,A2001,I$2:I2001,I2001)=1,1,0)</f>
        <v>0</v>
      </c>
      <c r="R2001" s="22">
        <f t="shared" si="31"/>
        <v>2</v>
      </c>
      <c r="S2001" s="33">
        <f>IF(COUNTIF(O$2:O2001,O2001)=1,R2001,0)/2.5</f>
        <v>0</v>
      </c>
    </row>
    <row r="2002" spans="1:19" ht="18" customHeight="1" x14ac:dyDescent="0.25">
      <c r="A2002" s="7" t="s">
        <v>43</v>
      </c>
      <c r="B2002" s="8">
        <v>1</v>
      </c>
      <c r="C2002" s="9">
        <v>491</v>
      </c>
      <c r="D2002" s="29">
        <f>C2002+IF(INDEX('Справочник по %'!B:B,(MATCH(A2002,'Справочник по %'!A:A,0)))="кол-во",B2002*INDEX('Справочник по %'!C:C,(MATCH(A2002,'Справочник по %'!A:A,0))),ОТЧЕТ!C2002*INDEX('Справочник по %'!C:C,(MATCH(A2002,'Справочник по %'!A:A,0))))/100</f>
        <v>540.1</v>
      </c>
      <c r="E2002" s="29">
        <f>IF(ОТЧЕТ!A2002="SKU3",C2002+ОТЧЕТ!C2002*0.2,C2002+ОТЧЕТ!C2002*0.15)</f>
        <v>564.65</v>
      </c>
      <c r="F2002" s="7" t="s">
        <v>4047</v>
      </c>
      <c r="G2002" s="7">
        <v>920100174061</v>
      </c>
      <c r="H2002" s="20" t="s">
        <v>646</v>
      </c>
      <c r="I2002" s="22">
        <f>INDEX('Справочник Сети'!B:B,(MATCH(G2002,'Справочник Сети'!C:C,0)))</f>
        <v>0</v>
      </c>
      <c r="J2002" s="7" t="s">
        <v>322</v>
      </c>
      <c r="K2002" s="7" t="s">
        <v>1962</v>
      </c>
      <c r="L2002" s="7" t="s">
        <v>322</v>
      </c>
      <c r="M2002" s="31">
        <v>45658</v>
      </c>
      <c r="N2002" s="7" t="s">
        <v>4048</v>
      </c>
      <c r="O2002" s="8">
        <v>2636</v>
      </c>
      <c r="P2002" s="24">
        <v>7791</v>
      </c>
      <c r="Q2002" s="22">
        <f>IF(COUNTIFS(A$2:A2002,A2002,I$2:I2002,I2002)=1,1,0)</f>
        <v>0</v>
      </c>
      <c r="R2002" s="22">
        <f t="shared" si="31"/>
        <v>1</v>
      </c>
      <c r="S2002" s="33">
        <f>IF(COUNTIF(O$2:O2002,O2002)=1,R2002,0)/2.5</f>
        <v>0.4</v>
      </c>
    </row>
    <row r="2003" spans="1:19" ht="18" customHeight="1" x14ac:dyDescent="0.25">
      <c r="A2003" s="7" t="s">
        <v>37</v>
      </c>
      <c r="B2003" s="8">
        <v>1</v>
      </c>
      <c r="C2003" s="9">
        <v>675.12</v>
      </c>
      <c r="D2003" s="29">
        <f>C2003+IF(INDEX('Справочник по %'!B:B,(MATCH(A2003,'Справочник по %'!A:A,0)))="кол-во",B2003*INDEX('Справочник по %'!C:C,(MATCH(A2003,'Справочник по %'!A:A,0))),ОТЧЕТ!C2003*INDEX('Справочник по %'!C:C,(MATCH(A2003,'Справочник по %'!A:A,0))))/100</f>
        <v>675.32</v>
      </c>
      <c r="E2003" s="29">
        <f>IF(ОТЧЕТ!A2003="SKU3",C2003+ОТЧЕТ!C2003*0.2,C2003+ОТЧЕТ!C2003*0.15)</f>
        <v>776.38800000000003</v>
      </c>
      <c r="F2003" s="7" t="s">
        <v>4047</v>
      </c>
      <c r="G2003" s="7">
        <v>5408026558</v>
      </c>
      <c r="H2003" s="20" t="s">
        <v>50</v>
      </c>
      <c r="I2003" s="22">
        <f>INDEX('Справочник Сети'!B:B,(MATCH(G2003,'Справочник Сети'!C:C,0)))</f>
        <v>0</v>
      </c>
      <c r="J2003" s="7" t="s">
        <v>255</v>
      </c>
      <c r="K2003" s="7" t="s">
        <v>4049</v>
      </c>
      <c r="L2003" s="7" t="s">
        <v>92</v>
      </c>
      <c r="M2003" s="31">
        <v>45714</v>
      </c>
      <c r="N2003" s="7" t="s">
        <v>4050</v>
      </c>
      <c r="O2003" s="8">
        <v>1844</v>
      </c>
      <c r="P2003" s="24">
        <v>7793</v>
      </c>
      <c r="Q2003" s="22">
        <f>IF(COUNTIFS(A$2:A2003,A2003,I$2:I2003,I2003)=1,1,0)</f>
        <v>0</v>
      </c>
      <c r="R2003" s="22">
        <f t="shared" si="31"/>
        <v>1</v>
      </c>
      <c r="S2003" s="33">
        <f>IF(COUNTIF(O$2:O2003,O2003)=1,R2003,0)/2.5</f>
        <v>0.4</v>
      </c>
    </row>
    <row r="2004" spans="1:19" ht="18" customHeight="1" x14ac:dyDescent="0.25">
      <c r="A2004" s="7" t="s">
        <v>43</v>
      </c>
      <c r="B2004" s="8">
        <v>1</v>
      </c>
      <c r="C2004" s="9">
        <v>390.4</v>
      </c>
      <c r="D2004" s="29">
        <f>C2004+IF(INDEX('Справочник по %'!B:B,(MATCH(A2004,'Справочник по %'!A:A,0)))="кол-во",B2004*INDEX('Справочник по %'!C:C,(MATCH(A2004,'Справочник по %'!A:A,0))),ОТЧЕТ!C2004*INDEX('Справочник по %'!C:C,(MATCH(A2004,'Справочник по %'!A:A,0))))/100</f>
        <v>429.44</v>
      </c>
      <c r="E2004" s="29">
        <f>IF(ОТЧЕТ!A2004="SKU3",C2004+ОТЧЕТ!C2004*0.2,C2004+ОТЧЕТ!C2004*0.15)</f>
        <v>448.96</v>
      </c>
      <c r="F2004" s="7" t="s">
        <v>4051</v>
      </c>
      <c r="G2004" s="7">
        <v>3801042576</v>
      </c>
      <c r="H2004" s="20" t="s">
        <v>761</v>
      </c>
      <c r="I2004" s="22" t="str">
        <f>INDEX('Справочник Сети'!B:B,(MATCH(G2004,'Справочник Сети'!C:C,0)))</f>
        <v>Планета здоровья</v>
      </c>
      <c r="J2004" s="7" t="s">
        <v>65</v>
      </c>
      <c r="K2004" s="7" t="s">
        <v>1262</v>
      </c>
      <c r="L2004" s="7" t="s">
        <v>65</v>
      </c>
      <c r="M2004" s="31">
        <v>45717</v>
      </c>
      <c r="N2004" s="7" t="s">
        <v>4052</v>
      </c>
      <c r="O2004" s="8">
        <v>1061</v>
      </c>
      <c r="P2004" s="24">
        <v>7798</v>
      </c>
      <c r="Q2004" s="22">
        <f>IF(COUNTIFS(A$2:A2004,A2004,I$2:I2004,I2004)=1,1,0)</f>
        <v>0</v>
      </c>
      <c r="R2004" s="22">
        <f t="shared" si="31"/>
        <v>4</v>
      </c>
      <c r="S2004" s="33">
        <f>IF(COUNTIF(O$2:O2004,O2004)=1,R2004,0)/2.5</f>
        <v>0</v>
      </c>
    </row>
    <row r="2005" spans="1:19" ht="18" customHeight="1" x14ac:dyDescent="0.25">
      <c r="A2005" s="7" t="s">
        <v>43</v>
      </c>
      <c r="B2005" s="8">
        <v>1</v>
      </c>
      <c r="C2005" s="9">
        <v>445</v>
      </c>
      <c r="D2005" s="29">
        <f>C2005+IF(INDEX('Справочник по %'!B:B,(MATCH(A2005,'Справочник по %'!A:A,0)))="кол-во",B2005*INDEX('Справочник по %'!C:C,(MATCH(A2005,'Справочник по %'!A:A,0))),ОТЧЕТ!C2005*INDEX('Справочник по %'!C:C,(MATCH(A2005,'Справочник по %'!A:A,0))))/100</f>
        <v>489.5</v>
      </c>
      <c r="E2005" s="29">
        <f>IF(ОТЧЕТ!A2005="SKU3",C2005+ОТЧЕТ!C2005*0.2,C2005+ОТЧЕТ!C2005*0.15)</f>
        <v>511.75</v>
      </c>
      <c r="F2005" s="7" t="s">
        <v>4051</v>
      </c>
      <c r="G2005" s="7">
        <v>9102252973</v>
      </c>
      <c r="H2005" s="20" t="s">
        <v>4053</v>
      </c>
      <c r="I2005" s="22">
        <f>INDEX('Справочник Сети'!B:B,(MATCH(G2005,'Справочник Сети'!C:C,0)))</f>
        <v>0</v>
      </c>
      <c r="J2005" s="7" t="s">
        <v>737</v>
      </c>
      <c r="K2005" s="7" t="s">
        <v>4054</v>
      </c>
      <c r="L2005" s="7" t="s">
        <v>315</v>
      </c>
      <c r="M2005" s="31">
        <v>45670</v>
      </c>
      <c r="N2005" s="7" t="s">
        <v>4055</v>
      </c>
      <c r="O2005" s="8">
        <v>1306</v>
      </c>
      <c r="P2005" s="24">
        <v>7799</v>
      </c>
      <c r="Q2005" s="22">
        <f>IF(COUNTIFS(A$2:A2005,A2005,I$2:I2005,I2005)=1,1,0)</f>
        <v>0</v>
      </c>
      <c r="R2005" s="22">
        <f t="shared" si="31"/>
        <v>1</v>
      </c>
      <c r="S2005" s="33">
        <f>IF(COUNTIF(O$2:O2005,O2005)=1,R2005,0)/2.5</f>
        <v>0.4</v>
      </c>
    </row>
    <row r="2006" spans="1:19" ht="18" customHeight="1" x14ac:dyDescent="0.25">
      <c r="A2006" s="7" t="s">
        <v>43</v>
      </c>
      <c r="B2006" s="8">
        <v>1</v>
      </c>
      <c r="C2006" s="9">
        <v>377</v>
      </c>
      <c r="D2006" s="29">
        <f>C2006+IF(INDEX('Справочник по %'!B:B,(MATCH(A2006,'Справочник по %'!A:A,0)))="кол-во",B2006*INDEX('Справочник по %'!C:C,(MATCH(A2006,'Справочник по %'!A:A,0))),ОТЧЕТ!C2006*INDEX('Справочник по %'!C:C,(MATCH(A2006,'Справочник по %'!A:A,0))))/100</f>
        <v>414.7</v>
      </c>
      <c r="E2006" s="29">
        <f>IF(ОТЧЕТ!A2006="SKU3",C2006+ОТЧЕТ!C2006*0.2,C2006+ОТЧЕТ!C2006*0.15)</f>
        <v>433.55</v>
      </c>
      <c r="F2006" s="7" t="s">
        <v>4051</v>
      </c>
      <c r="G2006" s="7">
        <v>7706795062</v>
      </c>
      <c r="H2006" s="20" t="s">
        <v>2707</v>
      </c>
      <c r="I2006" s="22" t="str">
        <f>INDEX('Справочник Сети'!B:B,(MATCH(G2006,'Справочник Сети'!C:C,0)))</f>
        <v>Планета здоровья</v>
      </c>
      <c r="J2006" s="7" t="s">
        <v>87</v>
      </c>
      <c r="K2006" s="7" t="s">
        <v>1003</v>
      </c>
      <c r="L2006" s="7" t="s">
        <v>116</v>
      </c>
      <c r="M2006" s="31">
        <v>45692</v>
      </c>
      <c r="N2006" s="7" t="s">
        <v>4056</v>
      </c>
      <c r="O2006" s="8">
        <v>1250</v>
      </c>
      <c r="P2006" s="24">
        <v>7802</v>
      </c>
      <c r="Q2006" s="22">
        <f>IF(COUNTIFS(A$2:A2006,A2006,I$2:I2006,I2006)=1,1,0)</f>
        <v>0</v>
      </c>
      <c r="R2006" s="22">
        <f t="shared" si="31"/>
        <v>3</v>
      </c>
      <c r="S2006" s="33">
        <f>IF(COUNTIF(O$2:O2006,O2006)=1,R2006,0)/2.5</f>
        <v>0</v>
      </c>
    </row>
    <row r="2007" spans="1:19" ht="18" customHeight="1" x14ac:dyDescent="0.25">
      <c r="A2007" s="7" t="s">
        <v>43</v>
      </c>
      <c r="B2007" s="8">
        <v>1</v>
      </c>
      <c r="C2007" s="9">
        <v>430</v>
      </c>
      <c r="D2007" s="29">
        <f>C2007+IF(INDEX('Справочник по %'!B:B,(MATCH(A2007,'Справочник по %'!A:A,0)))="кол-во",B2007*INDEX('Справочник по %'!C:C,(MATCH(A2007,'Справочник по %'!A:A,0))),ОТЧЕТ!C2007*INDEX('Справочник по %'!C:C,(MATCH(A2007,'Справочник по %'!A:A,0))))/100</f>
        <v>473</v>
      </c>
      <c r="E2007" s="29">
        <f>IF(ОТЧЕТ!A2007="SKU3",C2007+ОТЧЕТ!C2007*0.2,C2007+ОТЧЕТ!C2007*0.15)</f>
        <v>494.5</v>
      </c>
      <c r="F2007" s="7" t="s">
        <v>4051</v>
      </c>
      <c r="G2007" s="7">
        <v>312825165467</v>
      </c>
      <c r="H2007" s="20" t="s">
        <v>1778</v>
      </c>
      <c r="I2007" s="22">
        <f>INDEX('Справочник Сети'!B:B,(MATCH(G2007,'Справочник Сети'!C:C,0)))</f>
        <v>0</v>
      </c>
      <c r="J2007" s="7" t="s">
        <v>110</v>
      </c>
      <c r="K2007" s="7" t="s">
        <v>4057</v>
      </c>
      <c r="L2007" s="7" t="s">
        <v>110</v>
      </c>
      <c r="M2007" s="31">
        <v>45660</v>
      </c>
      <c r="N2007" s="7" t="s">
        <v>4058</v>
      </c>
      <c r="O2007" s="8">
        <v>136</v>
      </c>
      <c r="P2007" s="24">
        <v>7803</v>
      </c>
      <c r="Q2007" s="22">
        <f>IF(COUNTIFS(A$2:A2007,A2007,I$2:I2007,I2007)=1,1,0)</f>
        <v>0</v>
      </c>
      <c r="R2007" s="22">
        <f t="shared" si="31"/>
        <v>3</v>
      </c>
      <c r="S2007" s="33">
        <f>IF(COUNTIF(O$2:O2007,O2007)=1,R2007,0)/2.5</f>
        <v>0</v>
      </c>
    </row>
    <row r="2008" spans="1:19" ht="18" customHeight="1" x14ac:dyDescent="0.25">
      <c r="A2008" s="7" t="s">
        <v>43</v>
      </c>
      <c r="B2008" s="8">
        <v>1</v>
      </c>
      <c r="C2008" s="9">
        <v>395</v>
      </c>
      <c r="D2008" s="29">
        <f>C2008+IF(INDEX('Справочник по %'!B:B,(MATCH(A2008,'Справочник по %'!A:A,0)))="кол-во",B2008*INDEX('Справочник по %'!C:C,(MATCH(A2008,'Справочник по %'!A:A,0))),ОТЧЕТ!C2008*INDEX('Справочник по %'!C:C,(MATCH(A2008,'Справочник по %'!A:A,0))))/100</f>
        <v>434.5</v>
      </c>
      <c r="E2008" s="29">
        <f>IF(ОТЧЕТ!A2008="SKU3",C2008+ОТЧЕТ!C2008*0.2,C2008+ОТЧЕТ!C2008*0.15)</f>
        <v>454.25</v>
      </c>
      <c r="F2008" s="7" t="s">
        <v>4051</v>
      </c>
      <c r="G2008" s="7">
        <v>6453161631</v>
      </c>
      <c r="H2008" s="20" t="s">
        <v>50</v>
      </c>
      <c r="I2008" s="22" t="str">
        <f>INDEX('Справочник Сети'!B:B,(MATCH(G2008,'Справочник Сети'!C:C,0)))</f>
        <v>Планета здоровья</v>
      </c>
      <c r="J2008" s="7" t="s">
        <v>133</v>
      </c>
      <c r="K2008" s="7" t="s">
        <v>2218</v>
      </c>
      <c r="L2008" s="7" t="s">
        <v>133</v>
      </c>
      <c r="M2008" s="31">
        <v>45695</v>
      </c>
      <c r="N2008" s="7" t="s">
        <v>4059</v>
      </c>
      <c r="O2008" s="8">
        <v>535</v>
      </c>
      <c r="P2008" s="24">
        <v>7805</v>
      </c>
      <c r="Q2008" s="22">
        <f>IF(COUNTIFS(A$2:A2008,A2008,I$2:I2008,I2008)=1,1,0)</f>
        <v>0</v>
      </c>
      <c r="R2008" s="22">
        <f t="shared" si="31"/>
        <v>3</v>
      </c>
      <c r="S2008" s="33">
        <f>IF(COUNTIF(O$2:O2008,O2008)=1,R2008,0)/2.5</f>
        <v>0</v>
      </c>
    </row>
    <row r="2009" spans="1:19" ht="18" customHeight="1" x14ac:dyDescent="0.25">
      <c r="A2009" s="7" t="s">
        <v>37</v>
      </c>
      <c r="B2009" s="8">
        <v>1</v>
      </c>
      <c r="C2009" s="9">
        <v>578</v>
      </c>
      <c r="D2009" s="29">
        <f>C2009+IF(INDEX('Справочник по %'!B:B,(MATCH(A2009,'Справочник по %'!A:A,0)))="кол-во",B2009*INDEX('Справочник по %'!C:C,(MATCH(A2009,'Справочник по %'!A:A,0))),ОТЧЕТ!C2009*INDEX('Справочник по %'!C:C,(MATCH(A2009,'Справочник по %'!A:A,0))))/100</f>
        <v>578.20000000000005</v>
      </c>
      <c r="E2009" s="29">
        <f>IF(ОТЧЕТ!A2009="SKU3",C2009+ОТЧЕТ!C2009*0.2,C2009+ОТЧЕТ!C2009*0.15)</f>
        <v>664.7</v>
      </c>
      <c r="F2009" s="7" t="s">
        <v>4060</v>
      </c>
      <c r="G2009" s="7">
        <v>2310096546</v>
      </c>
      <c r="H2009" s="20" t="s">
        <v>69</v>
      </c>
      <c r="I2009" s="22" t="str">
        <f>INDEX('Справочник Сети'!B:B,(MATCH(G2009,'Справочник Сети'!C:C,0)))</f>
        <v>36,6</v>
      </c>
      <c r="J2009" s="7" t="s">
        <v>57</v>
      </c>
      <c r="K2009" s="7" t="s">
        <v>4061</v>
      </c>
      <c r="L2009" s="7" t="s">
        <v>57</v>
      </c>
      <c r="M2009" s="31">
        <v>45729</v>
      </c>
      <c r="N2009" s="7" t="s">
        <v>4062</v>
      </c>
      <c r="O2009" s="8">
        <v>1449</v>
      </c>
      <c r="P2009" s="24">
        <v>7808</v>
      </c>
      <c r="Q2009" s="22">
        <f>IF(COUNTIFS(A$2:A2009,A2009,I$2:I2009,I2009)=1,1,0)</f>
        <v>0</v>
      </c>
      <c r="R2009" s="22">
        <f t="shared" si="31"/>
        <v>1</v>
      </c>
      <c r="S2009" s="33">
        <f>IF(COUNTIF(O$2:O2009,O2009)=1,R2009,0)/2.5</f>
        <v>0.4</v>
      </c>
    </row>
    <row r="2010" spans="1:19" ht="18" customHeight="1" x14ac:dyDescent="0.25">
      <c r="A2010" s="7" t="s">
        <v>146</v>
      </c>
      <c r="B2010" s="8">
        <v>1</v>
      </c>
      <c r="C2010" s="9">
        <v>810</v>
      </c>
      <c r="D2010" s="29">
        <f>C2010+IF(INDEX('Справочник по %'!B:B,(MATCH(A2010,'Справочник по %'!A:A,0)))="кол-во",B2010*INDEX('Справочник по %'!C:C,(MATCH(A2010,'Справочник по %'!A:A,0))),ОТЧЕТ!C2010*INDEX('Справочник по %'!C:C,(MATCH(A2010,'Справочник по %'!A:A,0))))/100</f>
        <v>931.5</v>
      </c>
      <c r="E2010" s="29">
        <f>IF(ОТЧЕТ!A2010="SKU3",C2010+ОТЧЕТ!C2010*0.2,C2010+ОТЧЕТ!C2010*0.15)</f>
        <v>972</v>
      </c>
      <c r="F2010" s="7" t="s">
        <v>4060</v>
      </c>
      <c r="G2010" s="7">
        <v>7714844316</v>
      </c>
      <c r="H2010" s="20" t="s">
        <v>50</v>
      </c>
      <c r="I2010" s="22" t="str">
        <f>INDEX('Справочник Сети'!B:B,(MATCH(G2010,'Справочник Сети'!C:C,0)))</f>
        <v>Планета здоровья</v>
      </c>
      <c r="J2010" s="7" t="s">
        <v>504</v>
      </c>
      <c r="K2010" s="7" t="s">
        <v>1955</v>
      </c>
      <c r="L2010" s="7" t="s">
        <v>504</v>
      </c>
      <c r="M2010" s="31">
        <v>45690</v>
      </c>
      <c r="N2010" s="7" t="s">
        <v>4063</v>
      </c>
      <c r="O2010" s="8">
        <v>2706</v>
      </c>
      <c r="P2010" s="24">
        <v>7809</v>
      </c>
      <c r="Q2010" s="22">
        <f>IF(COUNTIFS(A$2:A2010,A2010,I$2:I2010,I2010)=1,1,0)</f>
        <v>0</v>
      </c>
      <c r="R2010" s="22">
        <f t="shared" si="31"/>
        <v>5</v>
      </c>
      <c r="S2010" s="33">
        <f>IF(COUNTIF(O$2:O2010,O2010)=1,R2010,0)/2.5</f>
        <v>0</v>
      </c>
    </row>
    <row r="2011" spans="1:19" ht="18" customHeight="1" x14ac:dyDescent="0.25">
      <c r="A2011" s="7" t="s">
        <v>43</v>
      </c>
      <c r="B2011" s="8">
        <v>1</v>
      </c>
      <c r="C2011" s="9">
        <v>436.05</v>
      </c>
      <c r="D2011" s="29">
        <f>C2011+IF(INDEX('Справочник по %'!B:B,(MATCH(A2011,'Справочник по %'!A:A,0)))="кол-во",B2011*INDEX('Справочник по %'!C:C,(MATCH(A2011,'Справочник по %'!A:A,0))),ОТЧЕТ!C2011*INDEX('Справочник по %'!C:C,(MATCH(A2011,'Справочник по %'!A:A,0))))/100</f>
        <v>479.65500000000003</v>
      </c>
      <c r="E2011" s="29">
        <f>IF(ОТЧЕТ!A2011="SKU3",C2011+ОТЧЕТ!C2011*0.2,C2011+ОТЧЕТ!C2011*0.15)</f>
        <v>501.45749999999998</v>
      </c>
      <c r="F2011" s="7" t="s">
        <v>4064</v>
      </c>
      <c r="G2011" s="7">
        <v>5406252833</v>
      </c>
      <c r="H2011" s="20" t="s">
        <v>4065</v>
      </c>
      <c r="I2011" s="22">
        <f>INDEX('Справочник Сети'!B:B,(MATCH(G2011,'Справочник Сети'!C:C,0)))</f>
        <v>0</v>
      </c>
      <c r="J2011" s="7" t="s">
        <v>255</v>
      </c>
      <c r="K2011" s="7" t="s">
        <v>1699</v>
      </c>
      <c r="L2011" s="7" t="s">
        <v>92</v>
      </c>
      <c r="M2011" s="31">
        <v>45714</v>
      </c>
      <c r="N2011" s="7" t="s">
        <v>4066</v>
      </c>
      <c r="O2011" s="8">
        <v>1841</v>
      </c>
      <c r="P2011" s="24">
        <v>7814</v>
      </c>
      <c r="Q2011" s="22">
        <f>IF(COUNTIFS(A$2:A2011,A2011,I$2:I2011,I2011)=1,1,0)</f>
        <v>0</v>
      </c>
      <c r="R2011" s="22">
        <f t="shared" si="31"/>
        <v>1</v>
      </c>
      <c r="S2011" s="33">
        <f>IF(COUNTIF(O$2:O2011,O2011)=1,R2011,0)/2.5</f>
        <v>0.4</v>
      </c>
    </row>
    <row r="2012" spans="1:19" ht="18" customHeight="1" x14ac:dyDescent="0.25">
      <c r="A2012" s="7" t="s">
        <v>43</v>
      </c>
      <c r="B2012" s="8">
        <v>1</v>
      </c>
      <c r="C2012" s="9">
        <v>497.8</v>
      </c>
      <c r="D2012" s="29">
        <f>C2012+IF(INDEX('Справочник по %'!B:B,(MATCH(A2012,'Справочник по %'!A:A,0)))="кол-во",B2012*INDEX('Справочник по %'!C:C,(MATCH(A2012,'Справочник по %'!A:A,0))),ОТЧЕТ!C2012*INDEX('Справочник по %'!C:C,(MATCH(A2012,'Справочник по %'!A:A,0))))/100</f>
        <v>547.58000000000004</v>
      </c>
      <c r="E2012" s="29">
        <f>IF(ОТЧЕТ!A2012="SKU3",C2012+ОТЧЕТ!C2012*0.2,C2012+ОТЧЕТ!C2012*0.15)</f>
        <v>572.47</v>
      </c>
      <c r="F2012" s="7" t="s">
        <v>4064</v>
      </c>
      <c r="G2012" s="7">
        <v>7705947629</v>
      </c>
      <c r="H2012" s="20" t="s">
        <v>50</v>
      </c>
      <c r="I2012" s="22" t="str">
        <f>INDEX('Справочник Сети'!B:B,(MATCH(G2012,'Справочник Сети'!C:C,0)))</f>
        <v>36,6</v>
      </c>
      <c r="J2012" s="7" t="s">
        <v>104</v>
      </c>
      <c r="K2012" s="7" t="s">
        <v>2181</v>
      </c>
      <c r="L2012" s="7" t="s">
        <v>104</v>
      </c>
      <c r="M2012" s="31">
        <v>45693</v>
      </c>
      <c r="N2012" s="7" t="s">
        <v>4067</v>
      </c>
      <c r="O2012" s="8">
        <v>1629</v>
      </c>
      <c r="P2012" s="24">
        <v>7818</v>
      </c>
      <c r="Q2012" s="22">
        <f>IF(COUNTIFS(A$2:A2012,A2012,I$2:I2012,I2012)=1,1,0)</f>
        <v>0</v>
      </c>
      <c r="R2012" s="22">
        <f t="shared" si="31"/>
        <v>8</v>
      </c>
      <c r="S2012" s="33">
        <f>IF(COUNTIF(O$2:O2012,O2012)=1,R2012,0)/2.5</f>
        <v>0</v>
      </c>
    </row>
    <row r="2013" spans="1:19" ht="18" customHeight="1" x14ac:dyDescent="0.25">
      <c r="A2013" s="7" t="s">
        <v>43</v>
      </c>
      <c r="B2013" s="8">
        <v>1</v>
      </c>
      <c r="C2013" s="9">
        <v>409</v>
      </c>
      <c r="D2013" s="29">
        <f>C2013+IF(INDEX('Справочник по %'!B:B,(MATCH(A2013,'Справочник по %'!A:A,0)))="кол-во",B2013*INDEX('Справочник по %'!C:C,(MATCH(A2013,'Справочник по %'!A:A,0))),ОТЧЕТ!C2013*INDEX('Справочник по %'!C:C,(MATCH(A2013,'Справочник по %'!A:A,0))))/100</f>
        <v>449.9</v>
      </c>
      <c r="E2013" s="29">
        <f>IF(ОТЧЕТ!A2013="SKU3",C2013+ОТЧЕТ!C2013*0.2,C2013+ОТЧЕТ!C2013*0.15)</f>
        <v>470.35</v>
      </c>
      <c r="F2013" s="7" t="s">
        <v>4064</v>
      </c>
      <c r="G2013" s="7">
        <v>6166045261</v>
      </c>
      <c r="H2013" s="20" t="s">
        <v>1819</v>
      </c>
      <c r="I2013" s="22" t="str">
        <f>INDEX('Справочник Сети'!B:B,(MATCH(G2013,'Справочник Сети'!C:C,0)))</f>
        <v>Столички</v>
      </c>
      <c r="J2013" s="7" t="s">
        <v>203</v>
      </c>
      <c r="K2013" s="7" t="s">
        <v>330</v>
      </c>
      <c r="L2013" s="7" t="s">
        <v>520</v>
      </c>
      <c r="M2013" s="31">
        <v>45697</v>
      </c>
      <c r="N2013" s="7" t="s">
        <v>4068</v>
      </c>
      <c r="O2013" s="8">
        <v>3182</v>
      </c>
      <c r="P2013" s="24">
        <v>7821</v>
      </c>
      <c r="Q2013" s="22">
        <f>IF(COUNTIFS(A$2:A2013,A2013,I$2:I2013,I2013)=1,1,0)</f>
        <v>0</v>
      </c>
      <c r="R2013" s="22">
        <f t="shared" si="31"/>
        <v>2</v>
      </c>
      <c r="S2013" s="33">
        <f>IF(COUNTIF(O$2:O2013,O2013)=1,R2013,0)/2.5</f>
        <v>0</v>
      </c>
    </row>
    <row r="2014" spans="1:19" ht="18" customHeight="1" x14ac:dyDescent="0.25">
      <c r="A2014" s="7" t="s">
        <v>43</v>
      </c>
      <c r="B2014" s="8">
        <v>1</v>
      </c>
      <c r="C2014" s="9">
        <v>419.04</v>
      </c>
      <c r="D2014" s="29">
        <f>C2014+IF(INDEX('Справочник по %'!B:B,(MATCH(A2014,'Справочник по %'!A:A,0)))="кол-во",B2014*INDEX('Справочник по %'!C:C,(MATCH(A2014,'Справочник по %'!A:A,0))),ОТЧЕТ!C2014*INDEX('Справочник по %'!C:C,(MATCH(A2014,'Справочник по %'!A:A,0))))/100</f>
        <v>460.94400000000002</v>
      </c>
      <c r="E2014" s="29">
        <f>IF(ОТЧЕТ!A2014="SKU3",C2014+ОТЧЕТ!C2014*0.2,C2014+ОТЧЕТ!C2014*0.15)</f>
        <v>481.89600000000002</v>
      </c>
      <c r="F2014" s="7" t="s">
        <v>4064</v>
      </c>
      <c r="G2014" s="7">
        <v>6685031424</v>
      </c>
      <c r="H2014" s="20" t="s">
        <v>4069</v>
      </c>
      <c r="I2014" s="22">
        <f>INDEX('Справочник Сети'!B:B,(MATCH(G2014,'Справочник Сети'!C:C,0)))</f>
        <v>0</v>
      </c>
      <c r="J2014" s="7" t="s">
        <v>106</v>
      </c>
      <c r="K2014" s="7" t="s">
        <v>1588</v>
      </c>
      <c r="L2014" s="7" t="s">
        <v>133</v>
      </c>
      <c r="M2014" s="31">
        <v>45695</v>
      </c>
      <c r="N2014" s="7" t="s">
        <v>4070</v>
      </c>
      <c r="O2014" s="8">
        <v>3058</v>
      </c>
      <c r="P2014" s="24">
        <v>7822</v>
      </c>
      <c r="Q2014" s="22">
        <f>IF(COUNTIFS(A$2:A2014,A2014,I$2:I2014,I2014)=1,1,0)</f>
        <v>0</v>
      </c>
      <c r="R2014" s="22">
        <f t="shared" si="31"/>
        <v>1</v>
      </c>
      <c r="S2014" s="33">
        <f>IF(COUNTIF(O$2:O2014,O2014)=1,R2014,0)/2.5</f>
        <v>0.4</v>
      </c>
    </row>
    <row r="2015" spans="1:19" ht="18" customHeight="1" x14ac:dyDescent="0.25">
      <c r="A2015" s="7" t="s">
        <v>43</v>
      </c>
      <c r="B2015" s="8">
        <v>1</v>
      </c>
      <c r="C2015" s="9">
        <v>377</v>
      </c>
      <c r="D2015" s="29">
        <f>C2015+IF(INDEX('Справочник по %'!B:B,(MATCH(A2015,'Справочник по %'!A:A,0)))="кол-во",B2015*INDEX('Справочник по %'!C:C,(MATCH(A2015,'Справочник по %'!A:A,0))),ОТЧЕТ!C2015*INDEX('Справочник по %'!C:C,(MATCH(A2015,'Справочник по %'!A:A,0))))/100</f>
        <v>414.7</v>
      </c>
      <c r="E2015" s="29">
        <f>IF(ОТЧЕТ!A2015="SKU3",C2015+ОТЧЕТ!C2015*0.2,C2015+ОТЧЕТ!C2015*0.15)</f>
        <v>433.55</v>
      </c>
      <c r="F2015" s="7" t="s">
        <v>4064</v>
      </c>
      <c r="G2015" s="7">
        <v>7706795062</v>
      </c>
      <c r="H2015" s="20" t="s">
        <v>327</v>
      </c>
      <c r="I2015" s="22" t="str">
        <f>INDEX('Справочник Сети'!B:B,(MATCH(G2015,'Справочник Сети'!C:C,0)))</f>
        <v>Планета здоровья</v>
      </c>
      <c r="J2015" s="7" t="s">
        <v>87</v>
      </c>
      <c r="K2015" s="7" t="s">
        <v>3751</v>
      </c>
      <c r="L2015" s="7" t="s">
        <v>87</v>
      </c>
      <c r="M2015" s="31">
        <v>45691</v>
      </c>
      <c r="N2015" s="7" t="s">
        <v>4071</v>
      </c>
      <c r="O2015" s="8">
        <v>2086</v>
      </c>
      <c r="P2015" s="24">
        <v>7823</v>
      </c>
      <c r="Q2015" s="22">
        <f>IF(COUNTIFS(A$2:A2015,A2015,I$2:I2015,I2015)=1,1,0)</f>
        <v>0</v>
      </c>
      <c r="R2015" s="22">
        <f t="shared" si="31"/>
        <v>4</v>
      </c>
      <c r="S2015" s="33">
        <f>IF(COUNTIF(O$2:O2015,O2015)=1,R2015,0)/2.5</f>
        <v>0</v>
      </c>
    </row>
    <row r="2016" spans="1:19" ht="18" customHeight="1" x14ac:dyDescent="0.25">
      <c r="A2016" s="7" t="s">
        <v>43</v>
      </c>
      <c r="B2016" s="8">
        <v>1</v>
      </c>
      <c r="C2016" s="9">
        <v>377</v>
      </c>
      <c r="D2016" s="29">
        <f>C2016+IF(INDEX('Справочник по %'!B:B,(MATCH(A2016,'Справочник по %'!A:A,0)))="кол-во",B2016*INDEX('Справочник по %'!C:C,(MATCH(A2016,'Справочник по %'!A:A,0))),ОТЧЕТ!C2016*INDEX('Справочник по %'!C:C,(MATCH(A2016,'Справочник по %'!A:A,0))))/100</f>
        <v>414.7</v>
      </c>
      <c r="E2016" s="29">
        <f>IF(ОТЧЕТ!A2016="SKU3",C2016+ОТЧЕТ!C2016*0.2,C2016+ОТЧЕТ!C2016*0.15)</f>
        <v>433.55</v>
      </c>
      <c r="F2016" s="7" t="s">
        <v>4072</v>
      </c>
      <c r="G2016" s="7">
        <v>5038049773</v>
      </c>
      <c r="H2016" s="20" t="s">
        <v>700</v>
      </c>
      <c r="I2016" s="22">
        <f>INDEX('Справочник Сети'!B:B,(MATCH(G2016,'Справочник Сети'!C:C,0)))</f>
        <v>0</v>
      </c>
      <c r="J2016" s="7" t="s">
        <v>92</v>
      </c>
      <c r="K2016" s="7" t="s">
        <v>2141</v>
      </c>
      <c r="L2016" s="7" t="s">
        <v>92</v>
      </c>
      <c r="M2016" s="31">
        <v>45714</v>
      </c>
      <c r="N2016" s="7" t="s">
        <v>4073</v>
      </c>
      <c r="O2016" s="8">
        <v>3332</v>
      </c>
      <c r="P2016" s="24">
        <v>7827</v>
      </c>
      <c r="Q2016" s="22">
        <f>IF(COUNTIFS(A$2:A2016,A2016,I$2:I2016,I2016)=1,1,0)</f>
        <v>0</v>
      </c>
      <c r="R2016" s="22">
        <f t="shared" si="31"/>
        <v>3</v>
      </c>
      <c r="S2016" s="33">
        <f>IF(COUNTIF(O$2:O2016,O2016)=1,R2016,0)/2.5</f>
        <v>0</v>
      </c>
    </row>
    <row r="2017" spans="1:19" ht="18" customHeight="1" x14ac:dyDescent="0.25">
      <c r="A2017" s="7" t="s">
        <v>43</v>
      </c>
      <c r="B2017" s="8">
        <v>1</v>
      </c>
      <c r="C2017" s="9">
        <v>435.9</v>
      </c>
      <c r="D2017" s="29">
        <f>C2017+IF(INDEX('Справочник по %'!B:B,(MATCH(A2017,'Справочник по %'!A:A,0)))="кол-во",B2017*INDEX('Справочник по %'!C:C,(MATCH(A2017,'Справочник по %'!A:A,0))),ОТЧЕТ!C2017*INDEX('Справочник по %'!C:C,(MATCH(A2017,'Справочник по %'!A:A,0))))/100</f>
        <v>479.49</v>
      </c>
      <c r="E2017" s="29">
        <f>IF(ОТЧЕТ!A2017="SKU3",C2017+ОТЧЕТ!C2017*0.2,C2017+ОТЧЕТ!C2017*0.15)</f>
        <v>501.28499999999997</v>
      </c>
      <c r="F2017" s="7" t="s">
        <v>4072</v>
      </c>
      <c r="G2017" s="7">
        <v>1831060811</v>
      </c>
      <c r="H2017" s="20" t="s">
        <v>800</v>
      </c>
      <c r="I2017" s="22" t="str">
        <f>INDEX('Справочник Сети'!B:B,(MATCH(G2017,'Справочник Сети'!C:C,0)))</f>
        <v>Ригла</v>
      </c>
      <c r="J2017" s="7" t="s">
        <v>335</v>
      </c>
      <c r="K2017" s="7" t="s">
        <v>1815</v>
      </c>
      <c r="L2017" s="7" t="s">
        <v>335</v>
      </c>
      <c r="M2017" s="31">
        <v>45731</v>
      </c>
      <c r="N2017" s="7" t="s">
        <v>4074</v>
      </c>
      <c r="O2017" s="8">
        <v>133</v>
      </c>
      <c r="P2017" s="24">
        <v>7828</v>
      </c>
      <c r="Q2017" s="22">
        <f>IF(COUNTIFS(A$2:A2017,A2017,I$2:I2017,I2017)=1,1,0)</f>
        <v>0</v>
      </c>
      <c r="R2017" s="22">
        <f t="shared" si="31"/>
        <v>14</v>
      </c>
      <c r="S2017" s="33">
        <f>IF(COUNTIF(O$2:O2017,O2017)=1,R2017,0)/2.5</f>
        <v>0</v>
      </c>
    </row>
    <row r="2018" spans="1:19" ht="18" customHeight="1" x14ac:dyDescent="0.25">
      <c r="A2018" s="7" t="s">
        <v>37</v>
      </c>
      <c r="B2018" s="8">
        <v>1</v>
      </c>
      <c r="C2018" s="9">
        <v>540</v>
      </c>
      <c r="D2018" s="29">
        <f>C2018+IF(INDEX('Справочник по %'!B:B,(MATCH(A2018,'Справочник по %'!A:A,0)))="кол-во",B2018*INDEX('Справочник по %'!C:C,(MATCH(A2018,'Справочник по %'!A:A,0))),ОТЧЕТ!C2018*INDEX('Справочник по %'!C:C,(MATCH(A2018,'Справочник по %'!A:A,0))))/100</f>
        <v>540.20000000000005</v>
      </c>
      <c r="E2018" s="29">
        <f>IF(ОТЧЕТ!A2018="SKU3",C2018+ОТЧЕТ!C2018*0.2,C2018+ОТЧЕТ!C2018*0.15)</f>
        <v>621</v>
      </c>
      <c r="F2018" s="7" t="s">
        <v>4072</v>
      </c>
      <c r="G2018" s="7">
        <v>553401365786</v>
      </c>
      <c r="H2018" s="20" t="s">
        <v>91</v>
      </c>
      <c r="I2018" s="22">
        <f>INDEX('Справочник Сети'!B:B,(MATCH(G2018,'Справочник Сети'!C:C,0)))</f>
        <v>0</v>
      </c>
      <c r="J2018" s="7" t="s">
        <v>251</v>
      </c>
      <c r="K2018" s="7" t="s">
        <v>1657</v>
      </c>
      <c r="L2018" s="7" t="s">
        <v>251</v>
      </c>
      <c r="M2018" s="31">
        <v>45659</v>
      </c>
      <c r="N2018" s="7" t="s">
        <v>4075</v>
      </c>
      <c r="O2018" s="8">
        <v>2179</v>
      </c>
      <c r="P2018" s="24">
        <v>7829</v>
      </c>
      <c r="Q2018" s="22">
        <f>IF(COUNTIFS(A$2:A2018,A2018,I$2:I2018,I2018)=1,1,0)</f>
        <v>0</v>
      </c>
      <c r="R2018" s="22">
        <f t="shared" si="31"/>
        <v>1</v>
      </c>
      <c r="S2018" s="33">
        <f>IF(COUNTIF(O$2:O2018,O2018)=1,R2018,0)/2.5</f>
        <v>0.4</v>
      </c>
    </row>
    <row r="2019" spans="1:19" ht="18" customHeight="1" x14ac:dyDescent="0.25">
      <c r="A2019" s="7" t="s">
        <v>43</v>
      </c>
      <c r="B2019" s="8">
        <v>1</v>
      </c>
      <c r="C2019" s="9">
        <v>415.86</v>
      </c>
      <c r="D2019" s="29">
        <f>C2019+IF(INDEX('Справочник по %'!B:B,(MATCH(A2019,'Справочник по %'!A:A,0)))="кол-во",B2019*INDEX('Справочник по %'!C:C,(MATCH(A2019,'Справочник по %'!A:A,0))),ОТЧЕТ!C2019*INDEX('Справочник по %'!C:C,(MATCH(A2019,'Справочник по %'!A:A,0))))/100</f>
        <v>457.44600000000003</v>
      </c>
      <c r="E2019" s="29">
        <f>IF(ОТЧЕТ!A2019="SKU3",C2019+ОТЧЕТ!C2019*0.2,C2019+ОТЧЕТ!C2019*0.15)</f>
        <v>478.23900000000003</v>
      </c>
      <c r="F2019" s="7" t="s">
        <v>4072</v>
      </c>
      <c r="G2019" s="7">
        <v>550704589807</v>
      </c>
      <c r="H2019" s="20" t="s">
        <v>50</v>
      </c>
      <c r="I2019" s="22" t="str">
        <f>INDEX('Справочник Сети'!B:B,(MATCH(G2019,'Справочник Сети'!C:C,0)))</f>
        <v>Столички</v>
      </c>
      <c r="J2019" s="7" t="s">
        <v>251</v>
      </c>
      <c r="K2019" s="7" t="s">
        <v>788</v>
      </c>
      <c r="L2019" s="7" t="s">
        <v>251</v>
      </c>
      <c r="M2019" s="31">
        <v>45659</v>
      </c>
      <c r="N2019" s="7" t="s">
        <v>4076</v>
      </c>
      <c r="O2019" s="8">
        <v>119</v>
      </c>
      <c r="P2019" s="24">
        <v>7831</v>
      </c>
      <c r="Q2019" s="22">
        <f>IF(COUNTIFS(A$2:A2019,A2019,I$2:I2019,I2019)=1,1,0)</f>
        <v>0</v>
      </c>
      <c r="R2019" s="22">
        <f t="shared" si="31"/>
        <v>3</v>
      </c>
      <c r="S2019" s="33">
        <f>IF(COUNTIF(O$2:O2019,O2019)=1,R2019,0)/2.5</f>
        <v>0</v>
      </c>
    </row>
    <row r="2020" spans="1:19" ht="18" customHeight="1" x14ac:dyDescent="0.25">
      <c r="A2020" s="7" t="s">
        <v>43</v>
      </c>
      <c r="B2020" s="8">
        <v>1</v>
      </c>
      <c r="C2020" s="9">
        <v>392</v>
      </c>
      <c r="D2020" s="29">
        <f>C2020+IF(INDEX('Справочник по %'!B:B,(MATCH(A2020,'Справочник по %'!A:A,0)))="кол-во",B2020*INDEX('Справочник по %'!C:C,(MATCH(A2020,'Справочник по %'!A:A,0))),ОТЧЕТ!C2020*INDEX('Справочник по %'!C:C,(MATCH(A2020,'Справочник по %'!A:A,0))))/100</f>
        <v>431.2</v>
      </c>
      <c r="E2020" s="29">
        <f>IF(ОТЧЕТ!A2020="SKU3",C2020+ОТЧЕТ!C2020*0.2,C2020+ОТЧЕТ!C2020*0.15)</f>
        <v>450.8</v>
      </c>
      <c r="F2020" s="7" t="s">
        <v>4072</v>
      </c>
      <c r="G2020" s="7">
        <v>6166045261</v>
      </c>
      <c r="H2020" s="20" t="s">
        <v>2088</v>
      </c>
      <c r="I2020" s="22" t="str">
        <f>INDEX('Справочник Сети'!B:B,(MATCH(G2020,'Справочник Сети'!C:C,0)))</f>
        <v>Столички</v>
      </c>
      <c r="J2020" s="7" t="s">
        <v>203</v>
      </c>
      <c r="K2020" s="7" t="s">
        <v>1014</v>
      </c>
      <c r="L2020" s="7" t="s">
        <v>520</v>
      </c>
      <c r="M2020" s="31">
        <v>45697</v>
      </c>
      <c r="N2020" s="7" t="s">
        <v>4077</v>
      </c>
      <c r="O2020" s="8">
        <v>1771</v>
      </c>
      <c r="P2020" s="24">
        <v>7832</v>
      </c>
      <c r="Q2020" s="22">
        <f>IF(COUNTIFS(A$2:A2020,A2020,I$2:I2020,I2020)=1,1,0)</f>
        <v>0</v>
      </c>
      <c r="R2020" s="22">
        <f t="shared" si="31"/>
        <v>1</v>
      </c>
      <c r="S2020" s="33">
        <f>IF(COUNTIF(O$2:O2020,O2020)=1,R2020,0)/2.5</f>
        <v>0.4</v>
      </c>
    </row>
    <row r="2021" spans="1:19" ht="18" customHeight="1" x14ac:dyDescent="0.25">
      <c r="A2021" s="7" t="s">
        <v>37</v>
      </c>
      <c r="B2021" s="8">
        <v>1</v>
      </c>
      <c r="C2021" s="9">
        <v>667.47</v>
      </c>
      <c r="D2021" s="29">
        <f>C2021+IF(INDEX('Справочник по %'!B:B,(MATCH(A2021,'Справочник по %'!A:A,0)))="кол-во",B2021*INDEX('Справочник по %'!C:C,(MATCH(A2021,'Справочник по %'!A:A,0))),ОТЧЕТ!C2021*INDEX('Справочник по %'!C:C,(MATCH(A2021,'Справочник по %'!A:A,0))))/100</f>
        <v>667.67000000000007</v>
      </c>
      <c r="E2021" s="29">
        <f>IF(ОТЧЕТ!A2021="SKU3",C2021+ОТЧЕТ!C2021*0.2,C2021+ОТЧЕТ!C2021*0.15)</f>
        <v>767.59050000000002</v>
      </c>
      <c r="F2021" s="7" t="s">
        <v>4072</v>
      </c>
      <c r="G2021" s="7">
        <v>550704589807</v>
      </c>
      <c r="H2021" s="20" t="s">
        <v>50</v>
      </c>
      <c r="I2021" s="22" t="str">
        <f>INDEX('Справочник Сети'!B:B,(MATCH(G2021,'Справочник Сети'!C:C,0)))</f>
        <v>Столички</v>
      </c>
      <c r="J2021" s="7" t="s">
        <v>251</v>
      </c>
      <c r="K2021" s="7" t="s">
        <v>379</v>
      </c>
      <c r="L2021" s="7" t="s">
        <v>251</v>
      </c>
      <c r="M2021" s="31">
        <v>45659</v>
      </c>
      <c r="N2021" s="7" t="s">
        <v>4078</v>
      </c>
      <c r="O2021" s="8">
        <v>3452</v>
      </c>
      <c r="P2021" s="24">
        <v>7833</v>
      </c>
      <c r="Q2021" s="22">
        <f>IF(COUNTIFS(A$2:A2021,A2021,I$2:I2021,I2021)=1,1,0)</f>
        <v>0</v>
      </c>
      <c r="R2021" s="22">
        <f t="shared" si="31"/>
        <v>1</v>
      </c>
      <c r="S2021" s="33">
        <f>IF(COUNTIF(O$2:O2021,O2021)=1,R2021,0)/2.5</f>
        <v>0.4</v>
      </c>
    </row>
    <row r="2022" spans="1:19" ht="18" customHeight="1" x14ac:dyDescent="0.25">
      <c r="A2022" s="7" t="s">
        <v>37</v>
      </c>
      <c r="B2022" s="8">
        <v>1</v>
      </c>
      <c r="C2022" s="9">
        <v>627</v>
      </c>
      <c r="D2022" s="29">
        <f>C2022+IF(INDEX('Справочник по %'!B:B,(MATCH(A2022,'Справочник по %'!A:A,0)))="кол-во",B2022*INDEX('Справочник по %'!C:C,(MATCH(A2022,'Справочник по %'!A:A,0))),ОТЧЕТ!C2022*INDEX('Справочник по %'!C:C,(MATCH(A2022,'Справочник по %'!A:A,0))))/100</f>
        <v>627.20000000000005</v>
      </c>
      <c r="E2022" s="29">
        <f>IF(ОТЧЕТ!A2022="SKU3",C2022+ОТЧЕТ!C2022*0.2,C2022+ОТЧЕТ!C2022*0.15)</f>
        <v>721.05</v>
      </c>
      <c r="F2022" s="7" t="s">
        <v>4072</v>
      </c>
      <c r="G2022" s="7">
        <v>7706795062</v>
      </c>
      <c r="H2022" s="20" t="s">
        <v>1094</v>
      </c>
      <c r="I2022" s="22" t="str">
        <f>INDEX('Справочник Сети'!B:B,(MATCH(G2022,'Справочник Сети'!C:C,0)))</f>
        <v>Планета здоровья</v>
      </c>
      <c r="J2022" s="7" t="s">
        <v>87</v>
      </c>
      <c r="K2022" s="7" t="s">
        <v>544</v>
      </c>
      <c r="L2022" s="7" t="s">
        <v>87</v>
      </c>
      <c r="M2022" s="31">
        <v>45691</v>
      </c>
      <c r="N2022" s="7" t="s">
        <v>4079</v>
      </c>
      <c r="O2022" s="8">
        <v>3295</v>
      </c>
      <c r="P2022" s="24">
        <v>7834</v>
      </c>
      <c r="Q2022" s="22">
        <f>IF(COUNTIFS(A$2:A2022,A2022,I$2:I2022,I2022)=1,1,0)</f>
        <v>0</v>
      </c>
      <c r="R2022" s="22">
        <f t="shared" si="31"/>
        <v>3</v>
      </c>
      <c r="S2022" s="33">
        <f>IF(COUNTIF(O$2:O2022,O2022)=1,R2022,0)/2.5</f>
        <v>0</v>
      </c>
    </row>
    <row r="2023" spans="1:19" ht="18" customHeight="1" x14ac:dyDescent="0.25">
      <c r="A2023" s="7" t="s">
        <v>43</v>
      </c>
      <c r="B2023" s="8">
        <v>1</v>
      </c>
      <c r="C2023" s="9">
        <v>372</v>
      </c>
      <c r="D2023" s="29">
        <f>C2023+IF(INDEX('Справочник по %'!B:B,(MATCH(A2023,'Справочник по %'!A:A,0)))="кол-во",B2023*INDEX('Справочник по %'!C:C,(MATCH(A2023,'Справочник по %'!A:A,0))),ОТЧЕТ!C2023*INDEX('Справочник по %'!C:C,(MATCH(A2023,'Справочник по %'!A:A,0))))/100</f>
        <v>409.2</v>
      </c>
      <c r="E2023" s="29">
        <f>IF(ОТЧЕТ!A2023="SKU3",C2023+ОТЧЕТ!C2023*0.2,C2023+ОТЧЕТ!C2023*0.15)</f>
        <v>427.8</v>
      </c>
      <c r="F2023" s="7" t="s">
        <v>4080</v>
      </c>
      <c r="G2023" s="7">
        <v>7728339546</v>
      </c>
      <c r="H2023" s="20" t="s">
        <v>2274</v>
      </c>
      <c r="I2023" s="22" t="str">
        <f>INDEX('Справочник Сети'!B:B,(MATCH(G2023,'Справочник Сети'!C:C,0)))</f>
        <v>Планета здоровья</v>
      </c>
      <c r="J2023" s="7" t="s">
        <v>142</v>
      </c>
      <c r="K2023" s="7" t="s">
        <v>3033</v>
      </c>
      <c r="L2023" s="7" t="s">
        <v>142</v>
      </c>
      <c r="M2023" s="31">
        <v>45674</v>
      </c>
      <c r="N2023" s="7" t="s">
        <v>4081</v>
      </c>
      <c r="O2023" s="8">
        <v>2363</v>
      </c>
      <c r="P2023" s="24">
        <v>7841</v>
      </c>
      <c r="Q2023" s="22">
        <f>IF(COUNTIFS(A$2:A2023,A2023,I$2:I2023,I2023)=1,1,0)</f>
        <v>0</v>
      </c>
      <c r="R2023" s="22">
        <f t="shared" si="31"/>
        <v>1</v>
      </c>
      <c r="S2023" s="33">
        <f>IF(COUNTIF(O$2:O2023,O2023)=1,R2023,0)/2.5</f>
        <v>0.4</v>
      </c>
    </row>
    <row r="2024" spans="1:19" ht="18" customHeight="1" x14ac:dyDescent="0.25">
      <c r="A2024" s="7" t="s">
        <v>43</v>
      </c>
      <c r="B2024" s="8">
        <v>1</v>
      </c>
      <c r="C2024" s="9">
        <v>360</v>
      </c>
      <c r="D2024" s="29">
        <f>C2024+IF(INDEX('Справочник по %'!B:B,(MATCH(A2024,'Справочник по %'!A:A,0)))="кол-во",B2024*INDEX('Справочник по %'!C:C,(MATCH(A2024,'Справочник по %'!A:A,0))),ОТЧЕТ!C2024*INDEX('Справочник по %'!C:C,(MATCH(A2024,'Справочник по %'!A:A,0))))/100</f>
        <v>396</v>
      </c>
      <c r="E2024" s="29">
        <f>IF(ОТЧЕТ!A2024="SKU3",C2024+ОТЧЕТ!C2024*0.2,C2024+ОТЧЕТ!C2024*0.15)</f>
        <v>414</v>
      </c>
      <c r="F2024" s="7" t="s">
        <v>4082</v>
      </c>
      <c r="G2024" s="7">
        <v>6316259160</v>
      </c>
      <c r="H2024" s="20" t="s">
        <v>4083</v>
      </c>
      <c r="I2024" s="22">
        <f>INDEX('Справочник Сети'!B:B,(MATCH(G2024,'Справочник Сети'!C:C,0)))</f>
        <v>0</v>
      </c>
      <c r="J2024" s="7" t="s">
        <v>203</v>
      </c>
      <c r="K2024" s="7" t="s">
        <v>1259</v>
      </c>
      <c r="L2024" s="7" t="s">
        <v>203</v>
      </c>
      <c r="M2024" s="31">
        <v>45696</v>
      </c>
      <c r="N2024" s="7" t="s">
        <v>4084</v>
      </c>
      <c r="O2024" s="8">
        <v>2922</v>
      </c>
      <c r="P2024" s="24">
        <v>7847</v>
      </c>
      <c r="Q2024" s="22">
        <f>IF(COUNTIFS(A$2:A2024,A2024,I$2:I2024,I2024)=1,1,0)</f>
        <v>0</v>
      </c>
      <c r="R2024" s="22">
        <f t="shared" si="31"/>
        <v>1</v>
      </c>
      <c r="S2024" s="33">
        <f>IF(COUNTIF(O$2:O2024,O2024)=1,R2024,0)/2.5</f>
        <v>0.4</v>
      </c>
    </row>
    <row r="2025" spans="1:19" ht="18" customHeight="1" x14ac:dyDescent="0.25">
      <c r="A2025" s="7" t="s">
        <v>43</v>
      </c>
      <c r="B2025" s="8">
        <v>1</v>
      </c>
      <c r="C2025" s="9">
        <v>450</v>
      </c>
      <c r="D2025" s="29">
        <f>C2025+IF(INDEX('Справочник по %'!B:B,(MATCH(A2025,'Справочник по %'!A:A,0)))="кол-во",B2025*INDEX('Справочник по %'!C:C,(MATCH(A2025,'Справочник по %'!A:A,0))),ОТЧЕТ!C2025*INDEX('Справочник по %'!C:C,(MATCH(A2025,'Справочник по %'!A:A,0))))/100</f>
        <v>495</v>
      </c>
      <c r="E2025" s="29">
        <f>IF(ОТЧЕТ!A2025="SKU3",C2025+ОТЧЕТ!C2025*0.2,C2025+ОТЧЕТ!C2025*0.15)</f>
        <v>517.5</v>
      </c>
      <c r="F2025" s="7" t="s">
        <v>4082</v>
      </c>
      <c r="G2025" s="7">
        <v>910800091897</v>
      </c>
      <c r="H2025" s="20" t="s">
        <v>1046</v>
      </c>
      <c r="I2025" s="22">
        <f>INDEX('Справочник Сети'!B:B,(MATCH(G2025,'Справочник Сети'!C:C,0)))</f>
        <v>0</v>
      </c>
      <c r="J2025" s="7" t="s">
        <v>322</v>
      </c>
      <c r="K2025" s="7" t="s">
        <v>1082</v>
      </c>
      <c r="L2025" s="7" t="s">
        <v>322</v>
      </c>
      <c r="M2025" s="31">
        <v>45658</v>
      </c>
      <c r="N2025" s="7" t="s">
        <v>4085</v>
      </c>
      <c r="O2025" s="8">
        <v>3806</v>
      </c>
      <c r="P2025" s="24">
        <v>7849</v>
      </c>
      <c r="Q2025" s="22">
        <f>IF(COUNTIFS(A$2:A2025,A2025,I$2:I2025,I2025)=1,1,0)</f>
        <v>0</v>
      </c>
      <c r="R2025" s="22">
        <f t="shared" si="31"/>
        <v>6</v>
      </c>
      <c r="S2025" s="33">
        <f>IF(COUNTIF(O$2:O2025,O2025)=1,R2025,0)/2.5</f>
        <v>0</v>
      </c>
    </row>
    <row r="2026" spans="1:19" ht="18" customHeight="1" x14ac:dyDescent="0.25">
      <c r="A2026" s="7" t="s">
        <v>43</v>
      </c>
      <c r="B2026" s="8">
        <v>1</v>
      </c>
      <c r="C2026" s="9">
        <v>338</v>
      </c>
      <c r="D2026" s="29">
        <f>C2026+IF(INDEX('Справочник по %'!B:B,(MATCH(A2026,'Справочник по %'!A:A,0)))="кол-во",B2026*INDEX('Справочник по %'!C:C,(MATCH(A2026,'Справочник по %'!A:A,0))),ОТЧЕТ!C2026*INDEX('Справочник по %'!C:C,(MATCH(A2026,'Справочник по %'!A:A,0))))/100</f>
        <v>371.8</v>
      </c>
      <c r="E2026" s="29">
        <f>IF(ОТЧЕТ!A2026="SKU3",C2026+ОТЧЕТ!C2026*0.2,C2026+ОТЧЕТ!C2026*0.15)</f>
        <v>388.7</v>
      </c>
      <c r="F2026" s="7" t="s">
        <v>4082</v>
      </c>
      <c r="G2026" s="7">
        <v>2311242373</v>
      </c>
      <c r="H2026" s="20" t="s">
        <v>50</v>
      </c>
      <c r="I2026" s="22">
        <f>INDEX('Справочник Сети'!B:B,(MATCH(G2026,'Справочник Сети'!C:C,0)))</f>
        <v>0</v>
      </c>
      <c r="J2026" s="7" t="s">
        <v>70</v>
      </c>
      <c r="K2026" s="7" t="s">
        <v>2503</v>
      </c>
      <c r="L2026" s="7" t="s">
        <v>70</v>
      </c>
      <c r="M2026" s="31">
        <v>45728</v>
      </c>
      <c r="N2026" s="7" t="s">
        <v>4086</v>
      </c>
      <c r="O2026" s="8">
        <v>353</v>
      </c>
      <c r="P2026" s="24">
        <v>7850</v>
      </c>
      <c r="Q2026" s="22">
        <f>IF(COUNTIFS(A$2:A2026,A2026,I$2:I2026,I2026)=1,1,0)</f>
        <v>0</v>
      </c>
      <c r="R2026" s="22">
        <f t="shared" si="31"/>
        <v>2</v>
      </c>
      <c r="S2026" s="33">
        <f>IF(COUNTIF(O$2:O2026,O2026)=1,R2026,0)/2.5</f>
        <v>0</v>
      </c>
    </row>
    <row r="2027" spans="1:19" ht="18" customHeight="1" x14ac:dyDescent="0.25">
      <c r="A2027" s="7" t="s">
        <v>37</v>
      </c>
      <c r="B2027" s="8">
        <v>1</v>
      </c>
      <c r="C2027" s="9">
        <v>704</v>
      </c>
      <c r="D2027" s="29">
        <f>C2027+IF(INDEX('Справочник по %'!B:B,(MATCH(A2027,'Справочник по %'!A:A,0)))="кол-во",B2027*INDEX('Справочник по %'!C:C,(MATCH(A2027,'Справочник по %'!A:A,0))),ОТЧЕТ!C2027*INDEX('Справочник по %'!C:C,(MATCH(A2027,'Справочник по %'!A:A,0))))/100</f>
        <v>704.2</v>
      </c>
      <c r="E2027" s="29">
        <f>IF(ОТЧЕТ!A2027="SKU3",C2027+ОТЧЕТ!C2027*0.2,C2027+ОТЧЕТ!C2027*0.15)</f>
        <v>809.6</v>
      </c>
      <c r="F2027" s="7" t="s">
        <v>4082</v>
      </c>
      <c r="G2027" s="7">
        <v>7814139847</v>
      </c>
      <c r="H2027" s="20" t="s">
        <v>50</v>
      </c>
      <c r="I2027" s="22" t="str">
        <f>INDEX('Справочник Сети'!B:B,(MATCH(G2027,'Справочник Сети'!C:C,0)))</f>
        <v>Планета здоровья</v>
      </c>
      <c r="J2027" s="7" t="s">
        <v>121</v>
      </c>
      <c r="K2027" s="7" t="s">
        <v>544</v>
      </c>
      <c r="L2027" s="7" t="s">
        <v>121</v>
      </c>
      <c r="M2027" s="31">
        <v>45671</v>
      </c>
      <c r="N2027" s="7" t="s">
        <v>4087</v>
      </c>
      <c r="O2027" s="8">
        <v>2633</v>
      </c>
      <c r="P2027" s="24">
        <v>7852</v>
      </c>
      <c r="Q2027" s="22">
        <f>IF(COUNTIFS(A$2:A2027,A2027,I$2:I2027,I2027)=1,1,0)</f>
        <v>0</v>
      </c>
      <c r="R2027" s="22">
        <f t="shared" si="31"/>
        <v>3</v>
      </c>
      <c r="S2027" s="33">
        <f>IF(COUNTIF(O$2:O2027,O2027)=1,R2027,0)/2.5</f>
        <v>0</v>
      </c>
    </row>
    <row r="2028" spans="1:19" ht="18" customHeight="1" x14ac:dyDescent="0.25">
      <c r="A2028" s="7" t="s">
        <v>43</v>
      </c>
      <c r="B2028" s="8">
        <v>1</v>
      </c>
      <c r="C2028" s="9">
        <v>408.5</v>
      </c>
      <c r="D2028" s="29">
        <f>C2028+IF(INDEX('Справочник по %'!B:B,(MATCH(A2028,'Справочник по %'!A:A,0)))="кол-во",B2028*INDEX('Справочник по %'!C:C,(MATCH(A2028,'Справочник по %'!A:A,0))),ОТЧЕТ!C2028*INDEX('Справочник по %'!C:C,(MATCH(A2028,'Справочник по %'!A:A,0))))/100</f>
        <v>449.35</v>
      </c>
      <c r="E2028" s="29">
        <f>IF(ОТЧЕТ!A2028="SKU3",C2028+ОТЧЕТ!C2028*0.2,C2028+ОТЧЕТ!C2028*0.15)</f>
        <v>469.77499999999998</v>
      </c>
      <c r="F2028" s="7" t="s">
        <v>4082</v>
      </c>
      <c r="G2028" s="7">
        <v>9102213935</v>
      </c>
      <c r="H2028" s="20" t="s">
        <v>2495</v>
      </c>
      <c r="I2028" s="22" t="str">
        <f>INDEX('Справочник Сети'!B:B,(MATCH(G2028,'Справочник Сети'!C:C,0)))</f>
        <v>Ригла</v>
      </c>
      <c r="J2028" s="7" t="s">
        <v>315</v>
      </c>
      <c r="K2028" s="7" t="s">
        <v>576</v>
      </c>
      <c r="L2028" s="7" t="s">
        <v>315</v>
      </c>
      <c r="M2028" s="31">
        <v>45670</v>
      </c>
      <c r="N2028" s="7" t="s">
        <v>4088</v>
      </c>
      <c r="O2028" s="8">
        <v>628</v>
      </c>
      <c r="P2028" s="24">
        <v>7856</v>
      </c>
      <c r="Q2028" s="22">
        <f>IF(COUNTIFS(A$2:A2028,A2028,I$2:I2028,I2028)=1,1,0)</f>
        <v>0</v>
      </c>
      <c r="R2028" s="22">
        <f t="shared" si="31"/>
        <v>1</v>
      </c>
      <c r="S2028" s="33">
        <f>IF(COUNTIF(O$2:O2028,O2028)=1,R2028,0)/2.5</f>
        <v>0.4</v>
      </c>
    </row>
    <row r="2029" spans="1:19" ht="18" customHeight="1" x14ac:dyDescent="0.25">
      <c r="A2029" s="7" t="s">
        <v>37</v>
      </c>
      <c r="B2029" s="8">
        <v>1</v>
      </c>
      <c r="C2029" s="9">
        <v>506</v>
      </c>
      <c r="D2029" s="29">
        <f>C2029+IF(INDEX('Справочник по %'!B:B,(MATCH(A2029,'Справочник по %'!A:A,0)))="кол-во",B2029*INDEX('Справочник по %'!C:C,(MATCH(A2029,'Справочник по %'!A:A,0))),ОТЧЕТ!C2029*INDEX('Справочник по %'!C:C,(MATCH(A2029,'Справочник по %'!A:A,0))))/100</f>
        <v>506.2</v>
      </c>
      <c r="E2029" s="29">
        <f>IF(ОТЧЕТ!A2029="SKU3",C2029+ОТЧЕТ!C2029*0.2,C2029+ОТЧЕТ!C2029*0.15)</f>
        <v>581.9</v>
      </c>
      <c r="F2029" s="7" t="s">
        <v>4089</v>
      </c>
      <c r="G2029" s="7">
        <v>2724214018</v>
      </c>
      <c r="H2029" s="20" t="s">
        <v>50</v>
      </c>
      <c r="I2029" s="22" t="str">
        <f>INDEX('Справочник Сети'!B:B,(MATCH(G2029,'Справочник Сети'!C:C,0)))</f>
        <v>Столички</v>
      </c>
      <c r="J2029" s="7" t="s">
        <v>193</v>
      </c>
      <c r="K2029" s="7" t="s">
        <v>543</v>
      </c>
      <c r="L2029" s="7" t="s">
        <v>193</v>
      </c>
      <c r="M2029" s="31">
        <v>45718</v>
      </c>
      <c r="N2029" s="7" t="s">
        <v>4090</v>
      </c>
      <c r="O2029" s="8">
        <v>1501</v>
      </c>
      <c r="P2029" s="24">
        <v>7861</v>
      </c>
      <c r="Q2029" s="22">
        <f>IF(COUNTIFS(A$2:A2029,A2029,I$2:I2029,I2029)=1,1,0)</f>
        <v>0</v>
      </c>
      <c r="R2029" s="22">
        <f t="shared" si="31"/>
        <v>2</v>
      </c>
      <c r="S2029" s="33">
        <f>IF(COUNTIF(O$2:O2029,O2029)=1,R2029,0)/2.5</f>
        <v>0.8</v>
      </c>
    </row>
    <row r="2030" spans="1:19" ht="18" customHeight="1" x14ac:dyDescent="0.25">
      <c r="A2030" s="7" t="s">
        <v>43</v>
      </c>
      <c r="B2030" s="8">
        <v>1</v>
      </c>
      <c r="C2030" s="9">
        <v>384</v>
      </c>
      <c r="D2030" s="29">
        <f>C2030+IF(INDEX('Справочник по %'!B:B,(MATCH(A2030,'Справочник по %'!A:A,0)))="кол-во",B2030*INDEX('Справочник по %'!C:C,(MATCH(A2030,'Справочник по %'!A:A,0))),ОТЧЕТ!C2030*INDEX('Справочник по %'!C:C,(MATCH(A2030,'Справочник по %'!A:A,0))))/100</f>
        <v>422.4</v>
      </c>
      <c r="E2030" s="29">
        <f>IF(ОТЧЕТ!A2030="SKU3",C2030+ОТЧЕТ!C2030*0.2,C2030+ОТЧЕТ!C2030*0.15)</f>
        <v>441.6</v>
      </c>
      <c r="F2030" s="7" t="s">
        <v>4089</v>
      </c>
      <c r="G2030" s="7">
        <v>5905254762</v>
      </c>
      <c r="H2030" s="20" t="s">
        <v>39</v>
      </c>
      <c r="I2030" s="22" t="str">
        <f>INDEX('Справочник Сети'!B:B,(MATCH(G2030,'Справочник Сети'!C:C,0)))</f>
        <v>Столички</v>
      </c>
      <c r="J2030" s="7" t="s">
        <v>174</v>
      </c>
      <c r="K2030" s="7" t="s">
        <v>1277</v>
      </c>
      <c r="L2030" s="7" t="s">
        <v>40</v>
      </c>
      <c r="M2030" s="31">
        <v>45712</v>
      </c>
      <c r="N2030" s="7" t="s">
        <v>4091</v>
      </c>
      <c r="O2030" s="8">
        <v>2951</v>
      </c>
      <c r="P2030" s="24">
        <v>7863</v>
      </c>
      <c r="Q2030" s="22">
        <f>IF(COUNTIFS(A$2:A2030,A2030,I$2:I2030,I2030)=1,1,0)</f>
        <v>0</v>
      </c>
      <c r="R2030" s="22">
        <f t="shared" si="31"/>
        <v>1</v>
      </c>
      <c r="S2030" s="33">
        <f>IF(COUNTIF(O$2:O2030,O2030)=1,R2030,0)/2.5</f>
        <v>0.4</v>
      </c>
    </row>
    <row r="2031" spans="1:19" ht="18" customHeight="1" x14ac:dyDescent="0.25">
      <c r="A2031" s="7" t="s">
        <v>43</v>
      </c>
      <c r="B2031" s="8">
        <v>1</v>
      </c>
      <c r="C2031" s="9">
        <v>582</v>
      </c>
      <c r="D2031" s="29">
        <f>C2031+IF(INDEX('Справочник по %'!B:B,(MATCH(A2031,'Справочник по %'!A:A,0)))="кол-во",B2031*INDEX('Справочник по %'!C:C,(MATCH(A2031,'Справочник по %'!A:A,0))),ОТЧЕТ!C2031*INDEX('Справочник по %'!C:C,(MATCH(A2031,'Справочник по %'!A:A,0))))/100</f>
        <v>640.20000000000005</v>
      </c>
      <c r="E2031" s="29">
        <f>IF(ОТЧЕТ!A2031="SKU3",C2031+ОТЧЕТ!C2031*0.2,C2031+ОТЧЕТ!C2031*0.15)</f>
        <v>669.3</v>
      </c>
      <c r="F2031" s="7" t="s">
        <v>4092</v>
      </c>
      <c r="G2031" s="7">
        <v>2311089630</v>
      </c>
      <c r="H2031" s="20" t="s">
        <v>50</v>
      </c>
      <c r="I2031" s="22">
        <f>INDEX('Справочник Сети'!B:B,(MATCH(G2031,'Справочник Сети'!C:C,0)))</f>
        <v>0</v>
      </c>
      <c r="J2031" s="7" t="s">
        <v>70</v>
      </c>
      <c r="K2031" s="7" t="s">
        <v>811</v>
      </c>
      <c r="L2031" s="7" t="s">
        <v>70</v>
      </c>
      <c r="M2031" s="31">
        <v>45728</v>
      </c>
      <c r="N2031" s="7" t="s">
        <v>4093</v>
      </c>
      <c r="O2031" s="8">
        <v>3785</v>
      </c>
      <c r="P2031" s="24">
        <v>7865</v>
      </c>
      <c r="Q2031" s="22">
        <f>IF(COUNTIFS(A$2:A2031,A2031,I$2:I2031,I2031)=1,1,0)</f>
        <v>0</v>
      </c>
      <c r="R2031" s="22">
        <f t="shared" si="31"/>
        <v>1</v>
      </c>
      <c r="S2031" s="33">
        <f>IF(COUNTIF(O$2:O2031,O2031)=1,R2031,0)/2.5</f>
        <v>0.4</v>
      </c>
    </row>
    <row r="2032" spans="1:19" ht="18" customHeight="1" x14ac:dyDescent="0.25">
      <c r="A2032" s="7" t="s">
        <v>43</v>
      </c>
      <c r="B2032" s="8">
        <v>1</v>
      </c>
      <c r="C2032" s="9">
        <v>457</v>
      </c>
      <c r="D2032" s="29">
        <f>C2032+IF(INDEX('Справочник по %'!B:B,(MATCH(A2032,'Справочник по %'!A:A,0)))="кол-во",B2032*INDEX('Справочник по %'!C:C,(MATCH(A2032,'Справочник по %'!A:A,0))),ОТЧЕТ!C2032*INDEX('Справочник по %'!C:C,(MATCH(A2032,'Справочник по %'!A:A,0))))/100</f>
        <v>502.7</v>
      </c>
      <c r="E2032" s="29">
        <f>IF(ОТЧЕТ!A2032="SKU3",C2032+ОТЧЕТ!C2032*0.2,C2032+ОТЧЕТ!C2032*0.15)</f>
        <v>525.54999999999995</v>
      </c>
      <c r="F2032" s="7" t="s">
        <v>4094</v>
      </c>
      <c r="G2032" s="7">
        <v>9201014546</v>
      </c>
      <c r="H2032" s="20" t="s">
        <v>4095</v>
      </c>
      <c r="I2032" s="22" t="str">
        <f>INDEX('Справочник Сети'!B:B,(MATCH(G2032,'Справочник Сети'!C:C,0)))</f>
        <v>Ригла</v>
      </c>
      <c r="J2032" s="7" t="s">
        <v>239</v>
      </c>
      <c r="K2032" s="7" t="s">
        <v>212</v>
      </c>
      <c r="L2032" s="7" t="s">
        <v>239</v>
      </c>
      <c r="M2032" s="31">
        <v>45662</v>
      </c>
      <c r="N2032" s="7" t="s">
        <v>2614</v>
      </c>
      <c r="O2032" s="8">
        <v>849</v>
      </c>
      <c r="P2032" s="24">
        <v>7869</v>
      </c>
      <c r="Q2032" s="22">
        <f>IF(COUNTIFS(A$2:A2032,A2032,I$2:I2032,I2032)=1,1,0)</f>
        <v>0</v>
      </c>
      <c r="R2032" s="22">
        <f t="shared" si="31"/>
        <v>1</v>
      </c>
      <c r="S2032" s="33">
        <f>IF(COUNTIF(O$2:O2032,O2032)=1,R2032,0)/2.5</f>
        <v>0.4</v>
      </c>
    </row>
    <row r="2033" spans="1:19" ht="18" customHeight="1" x14ac:dyDescent="0.25">
      <c r="A2033" s="7" t="s">
        <v>43</v>
      </c>
      <c r="B2033" s="8">
        <v>1</v>
      </c>
      <c r="C2033" s="9">
        <v>376</v>
      </c>
      <c r="D2033" s="29">
        <f>C2033+IF(INDEX('Справочник по %'!B:B,(MATCH(A2033,'Справочник по %'!A:A,0)))="кол-во",B2033*INDEX('Справочник по %'!C:C,(MATCH(A2033,'Справочник по %'!A:A,0))),ОТЧЕТ!C2033*INDEX('Справочник по %'!C:C,(MATCH(A2033,'Справочник по %'!A:A,0))))/100</f>
        <v>413.6</v>
      </c>
      <c r="E2033" s="29">
        <f>IF(ОТЧЕТ!A2033="SKU3",C2033+ОТЧЕТ!C2033*0.2,C2033+ОТЧЕТ!C2033*0.15)</f>
        <v>432.4</v>
      </c>
      <c r="F2033" s="7" t="s">
        <v>4096</v>
      </c>
      <c r="G2033" s="7">
        <v>7706795062</v>
      </c>
      <c r="H2033" s="20" t="s">
        <v>1801</v>
      </c>
      <c r="I2033" s="22" t="str">
        <f>INDEX('Справочник Сети'!B:B,(MATCH(G2033,'Справочник Сети'!C:C,0)))</f>
        <v>Планета здоровья</v>
      </c>
      <c r="J2033" s="7" t="s">
        <v>87</v>
      </c>
      <c r="K2033" s="7" t="s">
        <v>651</v>
      </c>
      <c r="L2033" s="7" t="s">
        <v>87</v>
      </c>
      <c r="M2033" s="31">
        <v>45691</v>
      </c>
      <c r="N2033" s="7" t="s">
        <v>4097</v>
      </c>
      <c r="O2033" s="8">
        <v>2053</v>
      </c>
      <c r="P2033" s="24">
        <v>7871</v>
      </c>
      <c r="Q2033" s="22">
        <f>IF(COUNTIFS(A$2:A2033,A2033,I$2:I2033,I2033)=1,1,0)</f>
        <v>0</v>
      </c>
      <c r="R2033" s="22">
        <f t="shared" si="31"/>
        <v>2</v>
      </c>
      <c r="S2033" s="33">
        <f>IF(COUNTIF(O$2:O2033,O2033)=1,R2033,0)/2.5</f>
        <v>0</v>
      </c>
    </row>
    <row r="2034" spans="1:19" ht="18" customHeight="1" x14ac:dyDescent="0.25">
      <c r="A2034" s="7" t="s">
        <v>43</v>
      </c>
      <c r="B2034" s="8">
        <v>1</v>
      </c>
      <c r="C2034" s="9">
        <v>550</v>
      </c>
      <c r="D2034" s="29">
        <f>C2034+IF(INDEX('Справочник по %'!B:B,(MATCH(A2034,'Справочник по %'!A:A,0)))="кол-во",B2034*INDEX('Справочник по %'!C:C,(MATCH(A2034,'Справочник по %'!A:A,0))),ОТЧЕТ!C2034*INDEX('Справочник по %'!C:C,(MATCH(A2034,'Справочник по %'!A:A,0))))/100</f>
        <v>605</v>
      </c>
      <c r="E2034" s="29">
        <f>IF(ОТЧЕТ!A2034="SKU3",C2034+ОТЧЕТ!C2034*0.2,C2034+ОТЧЕТ!C2034*0.15)</f>
        <v>632.5</v>
      </c>
      <c r="F2034" s="7" t="s">
        <v>4096</v>
      </c>
      <c r="G2034" s="7">
        <v>2502053747</v>
      </c>
      <c r="H2034" s="20" t="s">
        <v>50</v>
      </c>
      <c r="I2034" s="22">
        <f>INDEX('Справочник Сети'!B:B,(MATCH(G2034,'Справочник Сети'!C:C,0)))</f>
        <v>0</v>
      </c>
      <c r="J2034" s="7" t="s">
        <v>96</v>
      </c>
      <c r="K2034" s="7" t="s">
        <v>427</v>
      </c>
      <c r="L2034" s="7" t="s">
        <v>96</v>
      </c>
      <c r="M2034" s="31">
        <v>45727</v>
      </c>
      <c r="N2034" s="7" t="s">
        <v>4098</v>
      </c>
      <c r="O2034" s="8">
        <v>2544</v>
      </c>
      <c r="P2034" s="24">
        <v>7874</v>
      </c>
      <c r="Q2034" s="22">
        <f>IF(COUNTIFS(A$2:A2034,A2034,I$2:I2034,I2034)=1,1,0)</f>
        <v>0</v>
      </c>
      <c r="R2034" s="22">
        <f t="shared" si="31"/>
        <v>6</v>
      </c>
      <c r="S2034" s="33">
        <f>IF(COUNTIF(O$2:O2034,O2034)=1,R2034,0)/2.5</f>
        <v>0</v>
      </c>
    </row>
    <row r="2035" spans="1:19" ht="18" customHeight="1" x14ac:dyDescent="0.25">
      <c r="A2035" s="7" t="s">
        <v>43</v>
      </c>
      <c r="B2035" s="8">
        <v>1</v>
      </c>
      <c r="C2035" s="9">
        <v>550</v>
      </c>
      <c r="D2035" s="29">
        <f>C2035+IF(INDEX('Справочник по %'!B:B,(MATCH(A2035,'Справочник по %'!A:A,0)))="кол-во",B2035*INDEX('Справочник по %'!C:C,(MATCH(A2035,'Справочник по %'!A:A,0))),ОТЧЕТ!C2035*INDEX('Справочник по %'!C:C,(MATCH(A2035,'Справочник по %'!A:A,0))))/100</f>
        <v>605</v>
      </c>
      <c r="E2035" s="29">
        <f>IF(ОТЧЕТ!A2035="SKU3",C2035+ОТЧЕТ!C2035*0.2,C2035+ОТЧЕТ!C2035*0.15)</f>
        <v>632.5</v>
      </c>
      <c r="F2035" s="7" t="s">
        <v>4096</v>
      </c>
      <c r="G2035" s="7">
        <v>2502053747</v>
      </c>
      <c r="H2035" s="20" t="s">
        <v>50</v>
      </c>
      <c r="I2035" s="22">
        <f>INDEX('Справочник Сети'!B:B,(MATCH(G2035,'Справочник Сети'!C:C,0)))</f>
        <v>0</v>
      </c>
      <c r="J2035" s="7" t="s">
        <v>96</v>
      </c>
      <c r="K2035" s="7" t="s">
        <v>3579</v>
      </c>
      <c r="L2035" s="7" t="s">
        <v>96</v>
      </c>
      <c r="M2035" s="31">
        <v>45727</v>
      </c>
      <c r="N2035" s="7" t="s">
        <v>4099</v>
      </c>
      <c r="O2035" s="8">
        <v>2544</v>
      </c>
      <c r="P2035" s="24">
        <v>7875</v>
      </c>
      <c r="Q2035" s="22">
        <f>IF(COUNTIFS(A$2:A2035,A2035,I$2:I2035,I2035)=1,1,0)</f>
        <v>0</v>
      </c>
      <c r="R2035" s="22">
        <f t="shared" si="31"/>
        <v>6</v>
      </c>
      <c r="S2035" s="33">
        <f>IF(COUNTIF(O$2:O2035,O2035)=1,R2035,0)/2.5</f>
        <v>0</v>
      </c>
    </row>
    <row r="2036" spans="1:19" ht="18" customHeight="1" x14ac:dyDescent="0.25">
      <c r="A2036" s="7" t="s">
        <v>43</v>
      </c>
      <c r="B2036" s="8">
        <v>1</v>
      </c>
      <c r="C2036" s="9">
        <v>590</v>
      </c>
      <c r="D2036" s="29">
        <f>C2036+IF(INDEX('Справочник по %'!B:B,(MATCH(A2036,'Справочник по %'!A:A,0)))="кол-во",B2036*INDEX('Справочник по %'!C:C,(MATCH(A2036,'Справочник по %'!A:A,0))),ОТЧЕТ!C2036*INDEX('Справочник по %'!C:C,(MATCH(A2036,'Справочник по %'!A:A,0))))/100</f>
        <v>649</v>
      </c>
      <c r="E2036" s="29">
        <f>IF(ОТЧЕТ!A2036="SKU3",C2036+ОТЧЕТ!C2036*0.2,C2036+ОТЧЕТ!C2036*0.15)</f>
        <v>678.5</v>
      </c>
      <c r="F2036" s="7" t="s">
        <v>4096</v>
      </c>
      <c r="G2036" s="7">
        <v>7731334851</v>
      </c>
      <c r="H2036" s="20" t="s">
        <v>4100</v>
      </c>
      <c r="I2036" s="22" t="str">
        <f>INDEX('Справочник Сети'!B:B,(MATCH(G2036,'Справочник Сети'!C:C,0)))</f>
        <v>Планета здоровья</v>
      </c>
      <c r="J2036" s="7" t="s">
        <v>142</v>
      </c>
      <c r="K2036" s="7" t="s">
        <v>2233</v>
      </c>
      <c r="L2036" s="7" t="s">
        <v>142</v>
      </c>
      <c r="M2036" s="31">
        <v>45674</v>
      </c>
      <c r="N2036" s="7" t="s">
        <v>4101</v>
      </c>
      <c r="O2036" s="8">
        <v>2568</v>
      </c>
      <c r="P2036" s="24">
        <v>7877</v>
      </c>
      <c r="Q2036" s="22">
        <f>IF(COUNTIFS(A$2:A2036,A2036,I$2:I2036,I2036)=1,1,0)</f>
        <v>0</v>
      </c>
      <c r="R2036" s="22">
        <f t="shared" si="31"/>
        <v>1</v>
      </c>
      <c r="S2036" s="33">
        <f>IF(COUNTIF(O$2:O2036,O2036)=1,R2036,0)/2.5</f>
        <v>0.4</v>
      </c>
    </row>
    <row r="2037" spans="1:19" ht="18" customHeight="1" x14ac:dyDescent="0.25">
      <c r="A2037" s="7" t="s">
        <v>43</v>
      </c>
      <c r="B2037" s="8">
        <v>1</v>
      </c>
      <c r="C2037" s="9">
        <v>357</v>
      </c>
      <c r="D2037" s="29">
        <f>C2037+IF(INDEX('Справочник по %'!B:B,(MATCH(A2037,'Справочник по %'!A:A,0)))="кол-во",B2037*INDEX('Справочник по %'!C:C,(MATCH(A2037,'Справочник по %'!A:A,0))),ОТЧЕТ!C2037*INDEX('Справочник по %'!C:C,(MATCH(A2037,'Справочник по %'!A:A,0))))/100</f>
        <v>392.7</v>
      </c>
      <c r="E2037" s="29">
        <f>IF(ОТЧЕТ!A2037="SKU3",C2037+ОТЧЕТ!C2037*0.2,C2037+ОТЧЕТ!C2037*0.15)</f>
        <v>410.55</v>
      </c>
      <c r="F2037" s="7" t="s">
        <v>4096</v>
      </c>
      <c r="G2037" s="7">
        <v>7731334851</v>
      </c>
      <c r="H2037" s="20" t="s">
        <v>4102</v>
      </c>
      <c r="I2037" s="22" t="str">
        <f>INDEX('Справочник Сети'!B:B,(MATCH(G2037,'Справочник Сети'!C:C,0)))</f>
        <v>Планета здоровья</v>
      </c>
      <c r="J2037" s="7" t="s">
        <v>142</v>
      </c>
      <c r="K2037" s="7" t="s">
        <v>1579</v>
      </c>
      <c r="L2037" s="7" t="s">
        <v>142</v>
      </c>
      <c r="M2037" s="31">
        <v>45674</v>
      </c>
      <c r="N2037" s="7" t="s">
        <v>4103</v>
      </c>
      <c r="O2037" s="8">
        <v>3385</v>
      </c>
      <c r="P2037" s="24">
        <v>7881</v>
      </c>
      <c r="Q2037" s="22">
        <f>IF(COUNTIFS(A$2:A2037,A2037,I$2:I2037,I2037)=1,1,0)</f>
        <v>0</v>
      </c>
      <c r="R2037" s="22">
        <f t="shared" si="31"/>
        <v>5</v>
      </c>
      <c r="S2037" s="33">
        <f>IF(COUNTIF(O$2:O2037,O2037)=1,R2037,0)/2.5</f>
        <v>0</v>
      </c>
    </row>
    <row r="2038" spans="1:19" ht="18" customHeight="1" x14ac:dyDescent="0.25">
      <c r="A2038" s="7" t="s">
        <v>43</v>
      </c>
      <c r="B2038" s="8">
        <v>1</v>
      </c>
      <c r="C2038" s="9">
        <v>379</v>
      </c>
      <c r="D2038" s="29">
        <f>C2038+IF(INDEX('Справочник по %'!B:B,(MATCH(A2038,'Справочник по %'!A:A,0)))="кол-во",B2038*INDEX('Справочник по %'!C:C,(MATCH(A2038,'Справочник по %'!A:A,0))),ОТЧЕТ!C2038*INDEX('Справочник по %'!C:C,(MATCH(A2038,'Справочник по %'!A:A,0))))/100</f>
        <v>416.9</v>
      </c>
      <c r="E2038" s="29">
        <f>IF(ОТЧЕТ!A2038="SKU3",C2038+ОТЧЕТ!C2038*0.2,C2038+ОТЧЕТ!C2038*0.15)</f>
        <v>435.85</v>
      </c>
      <c r="F2038" s="7" t="s">
        <v>4096</v>
      </c>
      <c r="G2038" s="7">
        <v>7706795062</v>
      </c>
      <c r="H2038" s="20" t="s">
        <v>670</v>
      </c>
      <c r="I2038" s="22" t="str">
        <f>INDEX('Справочник Сети'!B:B,(MATCH(G2038,'Справочник Сети'!C:C,0)))</f>
        <v>Планета здоровья</v>
      </c>
      <c r="J2038" s="7" t="s">
        <v>87</v>
      </c>
      <c r="K2038" s="7" t="s">
        <v>2178</v>
      </c>
      <c r="L2038" s="7" t="s">
        <v>116</v>
      </c>
      <c r="M2038" s="31">
        <v>45692</v>
      </c>
      <c r="N2038" s="7" t="s">
        <v>4104</v>
      </c>
      <c r="O2038" s="8">
        <v>262</v>
      </c>
      <c r="P2038" s="24">
        <v>7882</v>
      </c>
      <c r="Q2038" s="22">
        <f>IF(COUNTIFS(A$2:A2038,A2038,I$2:I2038,I2038)=1,1,0)</f>
        <v>0</v>
      </c>
      <c r="R2038" s="22">
        <f t="shared" si="31"/>
        <v>5</v>
      </c>
      <c r="S2038" s="33">
        <f>IF(COUNTIF(O$2:O2038,O2038)=1,R2038,0)/2.5</f>
        <v>0</v>
      </c>
    </row>
    <row r="2039" spans="1:19" ht="18" customHeight="1" x14ac:dyDescent="0.25">
      <c r="A2039" s="7" t="s">
        <v>43</v>
      </c>
      <c r="B2039" s="8">
        <v>1</v>
      </c>
      <c r="C2039" s="9">
        <v>484.03</v>
      </c>
      <c r="D2039" s="29">
        <f>C2039+IF(INDEX('Справочник по %'!B:B,(MATCH(A2039,'Справочник по %'!A:A,0)))="кол-во",B2039*INDEX('Справочник по %'!C:C,(MATCH(A2039,'Справочник по %'!A:A,0))),ОТЧЕТ!C2039*INDEX('Справочник по %'!C:C,(MATCH(A2039,'Справочник по %'!A:A,0))))/100</f>
        <v>532.43299999999999</v>
      </c>
      <c r="E2039" s="29">
        <f>IF(ОТЧЕТ!A2039="SKU3",C2039+ОТЧЕТ!C2039*0.2,C2039+ОТЧЕТ!C2039*0.15)</f>
        <v>556.6345</v>
      </c>
      <c r="F2039" s="7" t="s">
        <v>4096</v>
      </c>
      <c r="G2039" s="7">
        <v>7727696961</v>
      </c>
      <c r="H2039" s="20" t="s">
        <v>50</v>
      </c>
      <c r="I2039" s="22">
        <f>INDEX('Справочник Сети'!B:B,(MATCH(G2039,'Справочник Сети'!C:C,0)))</f>
        <v>0</v>
      </c>
      <c r="J2039" s="7" t="s">
        <v>142</v>
      </c>
      <c r="K2039" s="7" t="s">
        <v>596</v>
      </c>
      <c r="L2039" s="7" t="s">
        <v>185</v>
      </c>
      <c r="M2039" s="31">
        <v>45675</v>
      </c>
      <c r="N2039" s="7" t="s">
        <v>4105</v>
      </c>
      <c r="O2039" s="8">
        <v>1574</v>
      </c>
      <c r="P2039" s="24">
        <v>7887</v>
      </c>
      <c r="Q2039" s="22">
        <f>IF(COUNTIFS(A$2:A2039,A2039,I$2:I2039,I2039)=1,1,0)</f>
        <v>0</v>
      </c>
      <c r="R2039" s="22">
        <f t="shared" si="31"/>
        <v>1</v>
      </c>
      <c r="S2039" s="33">
        <f>IF(COUNTIF(O$2:O2039,O2039)=1,R2039,0)/2.5</f>
        <v>0.4</v>
      </c>
    </row>
    <row r="2040" spans="1:19" ht="18" customHeight="1" x14ac:dyDescent="0.25">
      <c r="A2040" s="7" t="s">
        <v>43</v>
      </c>
      <c r="B2040" s="8">
        <v>1</v>
      </c>
      <c r="C2040" s="9">
        <v>487.78</v>
      </c>
      <c r="D2040" s="29">
        <f>C2040+IF(INDEX('Справочник по %'!B:B,(MATCH(A2040,'Справочник по %'!A:A,0)))="кол-во",B2040*INDEX('Справочник по %'!C:C,(MATCH(A2040,'Справочник по %'!A:A,0))),ОТЧЕТ!C2040*INDEX('Справочник по %'!C:C,(MATCH(A2040,'Справочник по %'!A:A,0))))/100</f>
        <v>536.55799999999999</v>
      </c>
      <c r="E2040" s="29">
        <f>IF(ОТЧЕТ!A2040="SKU3",C2040+ОТЧЕТ!C2040*0.2,C2040+ОТЧЕТ!C2040*0.15)</f>
        <v>560.947</v>
      </c>
      <c r="F2040" s="7" t="s">
        <v>4096</v>
      </c>
      <c r="G2040" s="7">
        <v>2373007348</v>
      </c>
      <c r="H2040" s="20" t="s">
        <v>4106</v>
      </c>
      <c r="I2040" s="22">
        <f>INDEX('Справочник Сети'!B:B,(MATCH(G2040,'Справочник Сети'!C:C,0)))</f>
        <v>0</v>
      </c>
      <c r="J2040" s="7" t="s">
        <v>96</v>
      </c>
      <c r="K2040" s="7" t="s">
        <v>598</v>
      </c>
      <c r="L2040" s="7" t="s">
        <v>96</v>
      </c>
      <c r="M2040" s="31">
        <v>45727</v>
      </c>
      <c r="N2040" s="7" t="s">
        <v>4107</v>
      </c>
      <c r="O2040" s="8">
        <v>2749</v>
      </c>
      <c r="P2040" s="24">
        <v>7890</v>
      </c>
      <c r="Q2040" s="22">
        <f>IF(COUNTIFS(A$2:A2040,A2040,I$2:I2040,I2040)=1,1,0)</f>
        <v>0</v>
      </c>
      <c r="R2040" s="22">
        <f t="shared" si="31"/>
        <v>1</v>
      </c>
      <c r="S2040" s="33">
        <f>IF(COUNTIF(O$2:O2040,O2040)=1,R2040,0)/2.5</f>
        <v>0.4</v>
      </c>
    </row>
    <row r="2041" spans="1:19" ht="18" customHeight="1" x14ac:dyDescent="0.25">
      <c r="A2041" s="7" t="s">
        <v>43</v>
      </c>
      <c r="B2041" s="8">
        <v>1</v>
      </c>
      <c r="C2041" s="9">
        <v>430</v>
      </c>
      <c r="D2041" s="29">
        <f>C2041+IF(INDEX('Справочник по %'!B:B,(MATCH(A2041,'Справочник по %'!A:A,0)))="кол-во",B2041*INDEX('Справочник по %'!C:C,(MATCH(A2041,'Справочник по %'!A:A,0))),ОТЧЕТ!C2041*INDEX('Справочник по %'!C:C,(MATCH(A2041,'Справочник по %'!A:A,0))))/100</f>
        <v>473</v>
      </c>
      <c r="E2041" s="29">
        <f>IF(ОТЧЕТ!A2041="SKU3",C2041+ОТЧЕТ!C2041*0.2,C2041+ОТЧЕТ!C2041*0.15)</f>
        <v>494.5</v>
      </c>
      <c r="F2041" s="7" t="s">
        <v>4096</v>
      </c>
      <c r="G2041" s="7">
        <v>4632178758</v>
      </c>
      <c r="H2041" s="20" t="s">
        <v>91</v>
      </c>
      <c r="I2041" s="22" t="str">
        <f>INDEX('Справочник Сети'!B:B,(MATCH(G2041,'Справочник Сети'!C:C,0)))</f>
        <v>Столички</v>
      </c>
      <c r="J2041" s="7" t="s">
        <v>83</v>
      </c>
      <c r="K2041" s="7" t="s">
        <v>630</v>
      </c>
      <c r="L2041" s="7" t="s">
        <v>155</v>
      </c>
      <c r="M2041" s="31">
        <v>45716</v>
      </c>
      <c r="N2041" s="7" t="s">
        <v>4108</v>
      </c>
      <c r="O2041" s="8">
        <v>241</v>
      </c>
      <c r="P2041" s="24">
        <v>7891</v>
      </c>
      <c r="Q2041" s="22">
        <f>IF(COUNTIFS(A$2:A2041,A2041,I$2:I2041,I2041)=1,1,0)</f>
        <v>0</v>
      </c>
      <c r="R2041" s="22">
        <f t="shared" si="31"/>
        <v>2</v>
      </c>
      <c r="S2041" s="33">
        <f>IF(COUNTIF(O$2:O2041,O2041)=1,R2041,0)/2.5</f>
        <v>0.8</v>
      </c>
    </row>
    <row r="2042" spans="1:19" ht="18" customHeight="1" x14ac:dyDescent="0.25">
      <c r="A2042" s="7" t="s">
        <v>37</v>
      </c>
      <c r="B2042" s="8">
        <v>1</v>
      </c>
      <c r="C2042" s="9">
        <v>565</v>
      </c>
      <c r="D2042" s="29">
        <f>C2042+IF(INDEX('Справочник по %'!B:B,(MATCH(A2042,'Справочник по %'!A:A,0)))="кол-во",B2042*INDEX('Справочник по %'!C:C,(MATCH(A2042,'Справочник по %'!A:A,0))),ОТЧЕТ!C2042*INDEX('Справочник по %'!C:C,(MATCH(A2042,'Справочник по %'!A:A,0))))/100</f>
        <v>565.20000000000005</v>
      </c>
      <c r="E2042" s="29">
        <f>IF(ОТЧЕТ!A2042="SKU3",C2042+ОТЧЕТ!C2042*0.2,C2042+ОТЧЕТ!C2042*0.15)</f>
        <v>649.75</v>
      </c>
      <c r="F2042" s="7" t="s">
        <v>4096</v>
      </c>
      <c r="G2042" s="7">
        <v>7728339546</v>
      </c>
      <c r="H2042" s="20" t="s">
        <v>524</v>
      </c>
      <c r="I2042" s="22" t="str">
        <f>INDEX('Справочник Сети'!B:B,(MATCH(G2042,'Справочник Сети'!C:C,0)))</f>
        <v>Планета здоровья</v>
      </c>
      <c r="J2042" s="7" t="s">
        <v>142</v>
      </c>
      <c r="K2042" s="7" t="s">
        <v>1675</v>
      </c>
      <c r="L2042" s="7" t="s">
        <v>142</v>
      </c>
      <c r="M2042" s="31">
        <v>45674</v>
      </c>
      <c r="N2042" s="7" t="s">
        <v>4109</v>
      </c>
      <c r="O2042" s="8">
        <v>2842</v>
      </c>
      <c r="P2042" s="24">
        <v>7896</v>
      </c>
      <c r="Q2042" s="22">
        <f>IF(COUNTIFS(A$2:A2042,A2042,I$2:I2042,I2042)=1,1,0)</f>
        <v>0</v>
      </c>
      <c r="R2042" s="22">
        <f t="shared" si="31"/>
        <v>2</v>
      </c>
      <c r="S2042" s="33">
        <f>IF(COUNTIF(O$2:O2042,O2042)=1,R2042,0)/2.5</f>
        <v>0</v>
      </c>
    </row>
    <row r="2043" spans="1:19" ht="18" customHeight="1" x14ac:dyDescent="0.25">
      <c r="A2043" s="7" t="s">
        <v>37</v>
      </c>
      <c r="B2043" s="8">
        <v>1</v>
      </c>
      <c r="C2043" s="9">
        <v>523</v>
      </c>
      <c r="D2043" s="29">
        <f>C2043+IF(INDEX('Справочник по %'!B:B,(MATCH(A2043,'Справочник по %'!A:A,0)))="кол-во",B2043*INDEX('Справочник по %'!C:C,(MATCH(A2043,'Справочник по %'!A:A,0))),ОТЧЕТ!C2043*INDEX('Справочник по %'!C:C,(MATCH(A2043,'Справочник по %'!A:A,0))))/100</f>
        <v>523.20000000000005</v>
      </c>
      <c r="E2043" s="29">
        <f>IF(ОТЧЕТ!A2043="SKU3",C2043+ОТЧЕТ!C2043*0.2,C2043+ОТЧЕТ!C2043*0.15)</f>
        <v>601.45000000000005</v>
      </c>
      <c r="F2043" s="7" t="s">
        <v>4096</v>
      </c>
      <c r="G2043" s="7">
        <v>7706795062</v>
      </c>
      <c r="H2043" s="20" t="s">
        <v>4110</v>
      </c>
      <c r="I2043" s="22" t="str">
        <f>INDEX('Справочник Сети'!B:B,(MATCH(G2043,'Справочник Сети'!C:C,0)))</f>
        <v>Планета здоровья</v>
      </c>
      <c r="J2043" s="7" t="s">
        <v>87</v>
      </c>
      <c r="K2043" s="7" t="s">
        <v>1998</v>
      </c>
      <c r="L2043" s="7" t="s">
        <v>87</v>
      </c>
      <c r="M2043" s="31">
        <v>45691</v>
      </c>
      <c r="N2043" s="7" t="s">
        <v>4111</v>
      </c>
      <c r="O2043" s="8">
        <v>3476</v>
      </c>
      <c r="P2043" s="24">
        <v>7897</v>
      </c>
      <c r="Q2043" s="22">
        <f>IF(COUNTIFS(A$2:A2043,A2043,I$2:I2043,I2043)=1,1,0)</f>
        <v>0</v>
      </c>
      <c r="R2043" s="22">
        <f t="shared" si="31"/>
        <v>1</v>
      </c>
      <c r="S2043" s="33">
        <f>IF(COUNTIF(O$2:O2043,O2043)=1,R2043,0)/2.5</f>
        <v>0.4</v>
      </c>
    </row>
    <row r="2044" spans="1:19" ht="18" customHeight="1" x14ac:dyDescent="0.25">
      <c r="A2044" s="7" t="s">
        <v>43</v>
      </c>
      <c r="B2044" s="8">
        <v>1</v>
      </c>
      <c r="C2044" s="9">
        <v>454.02</v>
      </c>
      <c r="D2044" s="29">
        <f>C2044+IF(INDEX('Справочник по %'!B:B,(MATCH(A2044,'Справочник по %'!A:A,0)))="кол-во",B2044*INDEX('Справочник по %'!C:C,(MATCH(A2044,'Справочник по %'!A:A,0))),ОТЧЕТ!C2044*INDEX('Справочник по %'!C:C,(MATCH(A2044,'Справочник по %'!A:A,0))))/100</f>
        <v>499.42199999999997</v>
      </c>
      <c r="E2044" s="29">
        <f>IF(ОТЧЕТ!A2044="SKU3",C2044+ОТЧЕТ!C2044*0.2,C2044+ОТЧЕТ!C2044*0.15)</f>
        <v>522.12299999999993</v>
      </c>
      <c r="F2044" s="7" t="s">
        <v>4112</v>
      </c>
      <c r="G2044" s="7">
        <v>550704589807</v>
      </c>
      <c r="H2044" s="20" t="s">
        <v>50</v>
      </c>
      <c r="I2044" s="22" t="str">
        <f>INDEX('Справочник Сети'!B:B,(MATCH(G2044,'Справочник Сети'!C:C,0)))</f>
        <v>Столички</v>
      </c>
      <c r="J2044" s="7" t="s">
        <v>251</v>
      </c>
      <c r="K2044" s="7" t="s">
        <v>3271</v>
      </c>
      <c r="L2044" s="7" t="s">
        <v>251</v>
      </c>
      <c r="M2044" s="31">
        <v>45659</v>
      </c>
      <c r="N2044" s="7" t="s">
        <v>4113</v>
      </c>
      <c r="O2044" s="8">
        <v>2526</v>
      </c>
      <c r="P2044" s="24">
        <v>7900</v>
      </c>
      <c r="Q2044" s="22">
        <f>IF(COUNTIFS(A$2:A2044,A2044,I$2:I2044,I2044)=1,1,0)</f>
        <v>0</v>
      </c>
      <c r="R2044" s="22">
        <f t="shared" si="31"/>
        <v>3</v>
      </c>
      <c r="S2044" s="33">
        <f>IF(COUNTIF(O$2:O2044,O2044)=1,R2044,0)/2.5</f>
        <v>0</v>
      </c>
    </row>
    <row r="2045" spans="1:19" ht="18" customHeight="1" x14ac:dyDescent="0.25">
      <c r="A2045" s="7" t="s">
        <v>37</v>
      </c>
      <c r="B2045" s="8">
        <v>1</v>
      </c>
      <c r="C2045" s="9">
        <v>656.1</v>
      </c>
      <c r="D2045" s="29">
        <f>C2045+IF(INDEX('Справочник по %'!B:B,(MATCH(A2045,'Справочник по %'!A:A,0)))="кол-во",B2045*INDEX('Справочник по %'!C:C,(MATCH(A2045,'Справочник по %'!A:A,0))),ОТЧЕТ!C2045*INDEX('Справочник по %'!C:C,(MATCH(A2045,'Справочник по %'!A:A,0))))/100</f>
        <v>656.30000000000007</v>
      </c>
      <c r="E2045" s="29">
        <f>IF(ОТЧЕТ!A2045="SKU3",C2045+ОТЧЕТ!C2045*0.2,C2045+ОТЧЕТ!C2045*0.15)</f>
        <v>754.51499999999999</v>
      </c>
      <c r="F2045" s="7" t="s">
        <v>4114</v>
      </c>
      <c r="G2045" s="7">
        <v>6673189456</v>
      </c>
      <c r="H2045" s="20" t="s">
        <v>132</v>
      </c>
      <c r="I2045" s="22" t="str">
        <f>INDEX('Справочник Сети'!B:B,(MATCH(G2045,'Справочник Сети'!C:C,0)))</f>
        <v>Столички</v>
      </c>
      <c r="J2045" s="7" t="s">
        <v>133</v>
      </c>
      <c r="K2045" s="7" t="s">
        <v>162</v>
      </c>
      <c r="L2045" s="7" t="s">
        <v>133</v>
      </c>
      <c r="M2045" s="31">
        <v>45695</v>
      </c>
      <c r="N2045" s="7" t="s">
        <v>1260</v>
      </c>
      <c r="O2045" s="8">
        <v>3266</v>
      </c>
      <c r="P2045" s="24">
        <v>7908</v>
      </c>
      <c r="Q2045" s="22">
        <f>IF(COUNTIFS(A$2:A2045,A2045,I$2:I2045,I2045)=1,1,0)</f>
        <v>0</v>
      </c>
      <c r="R2045" s="22">
        <f t="shared" si="31"/>
        <v>3</v>
      </c>
      <c r="S2045" s="33">
        <f>IF(COUNTIF(O$2:O2045,O2045)=1,R2045,0)/2.5</f>
        <v>0</v>
      </c>
    </row>
    <row r="2046" spans="1:19" ht="18" customHeight="1" x14ac:dyDescent="0.25">
      <c r="A2046" s="7" t="s">
        <v>43</v>
      </c>
      <c r="B2046" s="8">
        <v>1</v>
      </c>
      <c r="C2046" s="9">
        <v>412</v>
      </c>
      <c r="D2046" s="29">
        <f>C2046+IF(INDEX('Справочник по %'!B:B,(MATCH(A2046,'Справочник по %'!A:A,0)))="кол-во",B2046*INDEX('Справочник по %'!C:C,(MATCH(A2046,'Справочник по %'!A:A,0))),ОТЧЕТ!C2046*INDEX('Справочник по %'!C:C,(MATCH(A2046,'Справочник по %'!A:A,0))))/100</f>
        <v>453.2</v>
      </c>
      <c r="E2046" s="29">
        <f>IF(ОТЧЕТ!A2046="SKU3",C2046+ОТЧЕТ!C2046*0.2,C2046+ОТЧЕТ!C2046*0.15)</f>
        <v>473.8</v>
      </c>
      <c r="F2046" s="7" t="s">
        <v>4115</v>
      </c>
      <c r="G2046" s="7">
        <v>7705947629</v>
      </c>
      <c r="H2046" s="20" t="s">
        <v>64</v>
      </c>
      <c r="I2046" s="22" t="str">
        <f>INDEX('Справочник Сети'!B:B,(MATCH(G2046,'Справочник Сети'!C:C,0)))</f>
        <v>36,6</v>
      </c>
      <c r="J2046" s="7" t="s">
        <v>116</v>
      </c>
      <c r="K2046" s="7" t="s">
        <v>4116</v>
      </c>
      <c r="L2046" s="7" t="s">
        <v>104</v>
      </c>
      <c r="M2046" s="31">
        <v>45693</v>
      </c>
      <c r="N2046" s="7" t="s">
        <v>4117</v>
      </c>
      <c r="O2046" s="8">
        <v>3158</v>
      </c>
      <c r="P2046" s="24">
        <v>7909</v>
      </c>
      <c r="Q2046" s="22">
        <f>IF(COUNTIFS(A$2:A2046,A2046,I$2:I2046,I2046)=1,1,0)</f>
        <v>0</v>
      </c>
      <c r="R2046" s="22">
        <f t="shared" si="31"/>
        <v>1</v>
      </c>
      <c r="S2046" s="33">
        <f>IF(COUNTIF(O$2:O2046,O2046)=1,R2046,0)/2.5</f>
        <v>0.4</v>
      </c>
    </row>
    <row r="2047" spans="1:19" ht="18" customHeight="1" x14ac:dyDescent="0.25">
      <c r="A2047" s="7" t="s">
        <v>43</v>
      </c>
      <c r="B2047" s="8">
        <v>1</v>
      </c>
      <c r="C2047" s="9">
        <v>417.1</v>
      </c>
      <c r="D2047" s="29">
        <f>C2047+IF(INDEX('Справочник по %'!B:B,(MATCH(A2047,'Справочник по %'!A:A,0)))="кол-во",B2047*INDEX('Справочник по %'!C:C,(MATCH(A2047,'Справочник по %'!A:A,0))),ОТЧЕТ!C2047*INDEX('Справочник по %'!C:C,(MATCH(A2047,'Справочник по %'!A:A,0))))/100</f>
        <v>458.81</v>
      </c>
      <c r="E2047" s="29">
        <f>IF(ОТЧЕТ!A2047="SKU3",C2047+ОТЧЕТ!C2047*0.2,C2047+ОТЧЕТ!C2047*0.15)</f>
        <v>479.66500000000002</v>
      </c>
      <c r="F2047" s="7" t="s">
        <v>4118</v>
      </c>
      <c r="G2047" s="7">
        <v>9102213935</v>
      </c>
      <c r="H2047" s="20" t="s">
        <v>2801</v>
      </c>
      <c r="I2047" s="22" t="str">
        <f>INDEX('Справочник Сети'!B:B,(MATCH(G2047,'Справочник Сети'!C:C,0)))</f>
        <v>Ригла</v>
      </c>
      <c r="J2047" s="7" t="s">
        <v>315</v>
      </c>
      <c r="K2047" s="7" t="s">
        <v>4019</v>
      </c>
      <c r="L2047" s="7" t="s">
        <v>315</v>
      </c>
      <c r="M2047" s="31">
        <v>45670</v>
      </c>
      <c r="N2047" s="7" t="s">
        <v>4119</v>
      </c>
      <c r="O2047" s="8">
        <v>7</v>
      </c>
      <c r="P2047" s="24">
        <v>7913</v>
      </c>
      <c r="Q2047" s="22">
        <f>IF(COUNTIFS(A$2:A2047,A2047,I$2:I2047,I2047)=1,1,0)</f>
        <v>0</v>
      </c>
      <c r="R2047" s="22">
        <f t="shared" si="31"/>
        <v>2</v>
      </c>
      <c r="S2047" s="33">
        <f>IF(COUNTIF(O$2:O2047,O2047)=1,R2047,0)/2.5</f>
        <v>0.8</v>
      </c>
    </row>
    <row r="2048" spans="1:19" ht="18" customHeight="1" x14ac:dyDescent="0.25">
      <c r="A2048" s="7" t="s">
        <v>43</v>
      </c>
      <c r="B2048" s="8">
        <v>1</v>
      </c>
      <c r="C2048" s="9">
        <v>428</v>
      </c>
      <c r="D2048" s="29">
        <f>C2048+IF(INDEX('Справочник по %'!B:B,(MATCH(A2048,'Справочник по %'!A:A,0)))="кол-во",B2048*INDEX('Справочник по %'!C:C,(MATCH(A2048,'Справочник по %'!A:A,0))),ОТЧЕТ!C2048*INDEX('Справочник по %'!C:C,(MATCH(A2048,'Справочник по %'!A:A,0))))/100</f>
        <v>470.8</v>
      </c>
      <c r="E2048" s="29">
        <f>IF(ОТЧЕТ!A2048="SKU3",C2048+ОТЧЕТ!C2048*0.2,C2048+ОТЧЕТ!C2048*0.15)</f>
        <v>492.2</v>
      </c>
      <c r="F2048" s="7" t="s">
        <v>4120</v>
      </c>
      <c r="G2048" s="7">
        <v>7724211288</v>
      </c>
      <c r="H2048" s="20" t="s">
        <v>50</v>
      </c>
      <c r="I2048" s="22" t="str">
        <f>INDEX('Справочник Сети'!B:B,(MATCH(G2048,'Справочник Сети'!C:C,0)))</f>
        <v>Планета здоровья</v>
      </c>
      <c r="J2048" s="7" t="s">
        <v>185</v>
      </c>
      <c r="K2048" s="7" t="s">
        <v>1798</v>
      </c>
      <c r="L2048" s="7" t="s">
        <v>185</v>
      </c>
      <c r="M2048" s="31">
        <v>45675</v>
      </c>
      <c r="N2048" s="7" t="s">
        <v>4121</v>
      </c>
      <c r="O2048" s="8">
        <v>2370</v>
      </c>
      <c r="P2048" s="24">
        <v>7914</v>
      </c>
      <c r="Q2048" s="22">
        <f>IF(COUNTIFS(A$2:A2048,A2048,I$2:I2048,I2048)=1,1,0)</f>
        <v>0</v>
      </c>
      <c r="R2048" s="22">
        <f t="shared" si="31"/>
        <v>2</v>
      </c>
      <c r="S2048" s="33">
        <f>IF(COUNTIF(O$2:O2048,O2048)=1,R2048,0)/2.5</f>
        <v>0</v>
      </c>
    </row>
    <row r="2049" spans="1:19" ht="18" customHeight="1" x14ac:dyDescent="0.25">
      <c r="A2049" s="7" t="s">
        <v>43</v>
      </c>
      <c r="B2049" s="8">
        <v>1</v>
      </c>
      <c r="C2049" s="9">
        <v>364</v>
      </c>
      <c r="D2049" s="29">
        <f>C2049+IF(INDEX('Справочник по %'!B:B,(MATCH(A2049,'Справочник по %'!A:A,0)))="кол-во",B2049*INDEX('Справочник по %'!C:C,(MATCH(A2049,'Справочник по %'!A:A,0))),ОТЧЕТ!C2049*INDEX('Справочник по %'!C:C,(MATCH(A2049,'Справочник по %'!A:A,0))))/100</f>
        <v>400.4</v>
      </c>
      <c r="E2049" s="29">
        <f>IF(ОТЧЕТ!A2049="SKU3",C2049+ОТЧЕТ!C2049*0.2,C2049+ОТЧЕТ!C2049*0.15)</f>
        <v>418.6</v>
      </c>
      <c r="F2049" s="7" t="s">
        <v>4122</v>
      </c>
      <c r="G2049" s="7">
        <v>7814443325</v>
      </c>
      <c r="H2049" s="20" t="s">
        <v>50</v>
      </c>
      <c r="I2049" s="22" t="str">
        <f>INDEX('Справочник Сети'!B:B,(MATCH(G2049,'Справочник Сети'!C:C,0)))</f>
        <v>Планета здоровья</v>
      </c>
      <c r="J2049" s="7" t="s">
        <v>121</v>
      </c>
      <c r="K2049" s="7" t="s">
        <v>296</v>
      </c>
      <c r="L2049" s="7" t="s">
        <v>121</v>
      </c>
      <c r="M2049" s="31">
        <v>45671</v>
      </c>
      <c r="N2049" s="7" t="s">
        <v>4123</v>
      </c>
      <c r="O2049" s="8">
        <v>2049</v>
      </c>
      <c r="P2049" s="24">
        <v>7916</v>
      </c>
      <c r="Q2049" s="22">
        <f>IF(COUNTIFS(A$2:A2049,A2049,I$2:I2049,I2049)=1,1,0)</f>
        <v>0</v>
      </c>
      <c r="R2049" s="22">
        <f t="shared" si="31"/>
        <v>5</v>
      </c>
      <c r="S2049" s="33">
        <f>IF(COUNTIF(O$2:O2049,O2049)=1,R2049,0)/2.5</f>
        <v>0</v>
      </c>
    </row>
    <row r="2050" spans="1:19" ht="18" customHeight="1" x14ac:dyDescent="0.25">
      <c r="A2050" s="7" t="s">
        <v>43</v>
      </c>
      <c r="B2050" s="8">
        <v>1</v>
      </c>
      <c r="C2050" s="9">
        <v>405</v>
      </c>
      <c r="D2050" s="29">
        <f>C2050+IF(INDEX('Справочник по %'!B:B,(MATCH(A2050,'Справочник по %'!A:A,0)))="кол-во",B2050*INDEX('Справочник по %'!C:C,(MATCH(A2050,'Справочник по %'!A:A,0))),ОТЧЕТ!C2050*INDEX('Справочник по %'!C:C,(MATCH(A2050,'Справочник по %'!A:A,0))))/100</f>
        <v>445.5</v>
      </c>
      <c r="E2050" s="29">
        <f>IF(ОТЧЕТ!A2050="SKU3",C2050+ОТЧЕТ!C2050*0.2,C2050+ОТЧЕТ!C2050*0.15)</f>
        <v>465.75</v>
      </c>
      <c r="F2050" s="7" t="s">
        <v>4124</v>
      </c>
      <c r="G2050" s="7">
        <v>910906054486</v>
      </c>
      <c r="H2050" s="20" t="s">
        <v>50</v>
      </c>
      <c r="I2050" s="22" t="str">
        <f>INDEX('Справочник Сети'!B:B,(MATCH(G2050,'Справочник Сети'!C:C,0)))</f>
        <v>Ригла</v>
      </c>
      <c r="J2050" s="7" t="s">
        <v>322</v>
      </c>
      <c r="K2050" s="7" t="s">
        <v>1010</v>
      </c>
      <c r="L2050" s="7" t="s">
        <v>322</v>
      </c>
      <c r="M2050" s="31">
        <v>45658</v>
      </c>
      <c r="N2050" s="7" t="s">
        <v>4125</v>
      </c>
      <c r="O2050" s="8">
        <v>1307</v>
      </c>
      <c r="P2050" s="24">
        <v>7917</v>
      </c>
      <c r="Q2050" s="22">
        <f>IF(COUNTIFS(A$2:A2050,A2050,I$2:I2050,I2050)=1,1,0)</f>
        <v>0</v>
      </c>
      <c r="R2050" s="22">
        <f t="shared" si="31"/>
        <v>1</v>
      </c>
      <c r="S2050" s="33">
        <f>IF(COUNTIF(O$2:O2050,O2050)=1,R2050,0)/2.5</f>
        <v>0.4</v>
      </c>
    </row>
    <row r="2051" spans="1:19" ht="18" customHeight="1" x14ac:dyDescent="0.25">
      <c r="A2051" s="7" t="s">
        <v>43</v>
      </c>
      <c r="B2051" s="8">
        <v>1</v>
      </c>
      <c r="C2051" s="9">
        <v>432</v>
      </c>
      <c r="D2051" s="29">
        <f>C2051+IF(INDEX('Справочник по %'!B:B,(MATCH(A2051,'Справочник по %'!A:A,0)))="кол-во",B2051*INDEX('Справочник по %'!C:C,(MATCH(A2051,'Справочник по %'!A:A,0))),ОТЧЕТ!C2051*INDEX('Справочник по %'!C:C,(MATCH(A2051,'Справочник по %'!A:A,0))))/100</f>
        <v>475.2</v>
      </c>
      <c r="E2051" s="29">
        <f>IF(ОТЧЕТ!A2051="SKU3",C2051+ОТЧЕТ!C2051*0.2,C2051+ОТЧЕТ!C2051*0.15)</f>
        <v>496.8</v>
      </c>
      <c r="F2051" s="7" t="s">
        <v>4126</v>
      </c>
      <c r="G2051" s="7">
        <v>2543009225</v>
      </c>
      <c r="H2051" s="20" t="s">
        <v>941</v>
      </c>
      <c r="I2051" s="22" t="str">
        <f>INDEX('Справочник Сети'!B:B,(MATCH(G2051,'Справочник Сети'!C:C,0)))</f>
        <v>Нео-фарм</v>
      </c>
      <c r="J2051" s="7" t="s">
        <v>46</v>
      </c>
      <c r="K2051" s="7" t="s">
        <v>1054</v>
      </c>
      <c r="L2051" s="7" t="s">
        <v>46</v>
      </c>
      <c r="M2051" s="31">
        <v>45726</v>
      </c>
      <c r="N2051" s="7" t="s">
        <v>4127</v>
      </c>
      <c r="O2051" s="8">
        <v>2518</v>
      </c>
      <c r="P2051" s="24">
        <v>7918</v>
      </c>
      <c r="Q2051" s="22">
        <f>IF(COUNTIFS(A$2:A2051,A2051,I$2:I2051,I2051)=1,1,0)</f>
        <v>0</v>
      </c>
      <c r="R2051" s="22">
        <f t="shared" ref="R2051:R2114" si="32">COUNTIF(O:O,O2051)</f>
        <v>6</v>
      </c>
      <c r="S2051" s="33">
        <f>IF(COUNTIF(O$2:O2051,O2051)=1,R2051,0)/2.5</f>
        <v>0</v>
      </c>
    </row>
    <row r="2052" spans="1:19" ht="18" customHeight="1" x14ac:dyDescent="0.25">
      <c r="A2052" s="7" t="s">
        <v>43</v>
      </c>
      <c r="B2052" s="8">
        <v>1</v>
      </c>
      <c r="C2052" s="9">
        <v>540</v>
      </c>
      <c r="D2052" s="29">
        <f>C2052+IF(INDEX('Справочник по %'!B:B,(MATCH(A2052,'Справочник по %'!A:A,0)))="кол-во",B2052*INDEX('Справочник по %'!C:C,(MATCH(A2052,'Справочник по %'!A:A,0))),ОТЧЕТ!C2052*INDEX('Справочник по %'!C:C,(MATCH(A2052,'Справочник по %'!A:A,0))))/100</f>
        <v>594</v>
      </c>
      <c r="E2052" s="29">
        <f>IF(ОТЧЕТ!A2052="SKU3",C2052+ОТЧЕТ!C2052*0.2,C2052+ОТЧЕТ!C2052*0.15)</f>
        <v>621</v>
      </c>
      <c r="F2052" s="7" t="s">
        <v>4128</v>
      </c>
      <c r="G2052" s="7">
        <v>2700023857</v>
      </c>
      <c r="H2052" s="20" t="s">
        <v>50</v>
      </c>
      <c r="I2052" s="22" t="str">
        <f>INDEX('Справочник Сети'!B:B,(MATCH(G2052,'Справочник Сети'!C:C,0)))</f>
        <v>Ригла</v>
      </c>
      <c r="J2052" s="7" t="s">
        <v>46</v>
      </c>
      <c r="K2052" s="7" t="s">
        <v>3165</v>
      </c>
      <c r="L2052" s="7" t="s">
        <v>46</v>
      </c>
      <c r="M2052" s="31">
        <v>45726</v>
      </c>
      <c r="N2052" s="7" t="s">
        <v>4129</v>
      </c>
      <c r="O2052" s="8">
        <v>1239</v>
      </c>
      <c r="P2052" s="24">
        <v>7925</v>
      </c>
      <c r="Q2052" s="22">
        <f>IF(COUNTIFS(A$2:A2052,A2052,I$2:I2052,I2052)=1,1,0)</f>
        <v>0</v>
      </c>
      <c r="R2052" s="22">
        <f t="shared" si="32"/>
        <v>1</v>
      </c>
      <c r="S2052" s="33">
        <f>IF(COUNTIF(O$2:O2052,O2052)=1,R2052,0)/2.5</f>
        <v>0.4</v>
      </c>
    </row>
    <row r="2053" spans="1:19" ht="18" customHeight="1" x14ac:dyDescent="0.25">
      <c r="A2053" s="7" t="s">
        <v>37</v>
      </c>
      <c r="B2053" s="8">
        <v>1</v>
      </c>
      <c r="C2053" s="9">
        <v>584</v>
      </c>
      <c r="D2053" s="29">
        <f>C2053+IF(INDEX('Справочник по %'!B:B,(MATCH(A2053,'Справочник по %'!A:A,0)))="кол-во",B2053*INDEX('Справочник по %'!C:C,(MATCH(A2053,'Справочник по %'!A:A,0))),ОТЧЕТ!C2053*INDEX('Справочник по %'!C:C,(MATCH(A2053,'Справочник по %'!A:A,0))))/100</f>
        <v>584.20000000000005</v>
      </c>
      <c r="E2053" s="29">
        <f>IF(ОТЧЕТ!A2053="SKU3",C2053+ОТЧЕТ!C2053*0.2,C2053+ОТЧЕТ!C2053*0.15)</f>
        <v>671.6</v>
      </c>
      <c r="F2053" s="7" t="s">
        <v>4130</v>
      </c>
      <c r="G2053" s="7">
        <v>311901786964</v>
      </c>
      <c r="H2053" s="20" t="s">
        <v>4131</v>
      </c>
      <c r="I2053" s="22">
        <f>INDEX('Справочник Сети'!B:B,(MATCH(G2053,'Справочник Сети'!C:C,0)))</f>
        <v>0</v>
      </c>
      <c r="J2053" s="7" t="s">
        <v>110</v>
      </c>
      <c r="K2053" s="7" t="s">
        <v>1140</v>
      </c>
      <c r="L2053" s="7" t="s">
        <v>110</v>
      </c>
      <c r="M2053" s="31">
        <v>45660</v>
      </c>
      <c r="N2053" s="7" t="s">
        <v>4132</v>
      </c>
      <c r="O2053" s="8">
        <v>1530</v>
      </c>
      <c r="P2053" s="24">
        <v>7926</v>
      </c>
      <c r="Q2053" s="22">
        <f>IF(COUNTIFS(A$2:A2053,A2053,I$2:I2053,I2053)=1,1,0)</f>
        <v>0</v>
      </c>
      <c r="R2053" s="22">
        <f t="shared" si="32"/>
        <v>1</v>
      </c>
      <c r="S2053" s="33">
        <f>IF(COUNTIF(O$2:O2053,O2053)=1,R2053,0)/2.5</f>
        <v>0.4</v>
      </c>
    </row>
    <row r="2054" spans="1:19" ht="18" customHeight="1" x14ac:dyDescent="0.25">
      <c r="A2054" s="7" t="s">
        <v>43</v>
      </c>
      <c r="B2054" s="8">
        <v>1</v>
      </c>
      <c r="C2054" s="9">
        <v>409.29</v>
      </c>
      <c r="D2054" s="29">
        <f>C2054+IF(INDEX('Справочник по %'!B:B,(MATCH(A2054,'Справочник по %'!A:A,0)))="кол-во",B2054*INDEX('Справочник по %'!C:C,(MATCH(A2054,'Справочник по %'!A:A,0))),ОТЧЕТ!C2054*INDEX('Справочник по %'!C:C,(MATCH(A2054,'Справочник по %'!A:A,0))))/100</f>
        <v>450.21900000000005</v>
      </c>
      <c r="E2054" s="29">
        <f>IF(ОТЧЕТ!A2054="SKU3",C2054+ОТЧЕТ!C2054*0.2,C2054+ОТЧЕТ!C2054*0.15)</f>
        <v>470.68350000000004</v>
      </c>
      <c r="F2054" s="7" t="s">
        <v>4130</v>
      </c>
      <c r="G2054" s="7">
        <v>583500580818</v>
      </c>
      <c r="H2054" s="20" t="s">
        <v>50</v>
      </c>
      <c r="I2054" s="22" t="str">
        <f>INDEX('Справочник Сети'!B:B,(MATCH(G2054,'Справочник Сети'!C:C,0)))</f>
        <v>Ригла</v>
      </c>
      <c r="J2054" s="7" t="s">
        <v>251</v>
      </c>
      <c r="K2054" s="7" t="s">
        <v>1140</v>
      </c>
      <c r="L2054" s="7" t="s">
        <v>251</v>
      </c>
      <c r="M2054" s="31">
        <v>45659</v>
      </c>
      <c r="N2054" s="7" t="s">
        <v>4133</v>
      </c>
      <c r="O2054" s="8">
        <v>2479</v>
      </c>
      <c r="P2054" s="24">
        <v>7928</v>
      </c>
      <c r="Q2054" s="22">
        <f>IF(COUNTIFS(A$2:A2054,A2054,I$2:I2054,I2054)=1,1,0)</f>
        <v>0</v>
      </c>
      <c r="R2054" s="22">
        <f t="shared" si="32"/>
        <v>4</v>
      </c>
      <c r="S2054" s="33">
        <f>IF(COUNTIF(O$2:O2054,O2054)=1,R2054,0)/2.5</f>
        <v>0</v>
      </c>
    </row>
    <row r="2055" spans="1:19" ht="18" customHeight="1" x14ac:dyDescent="0.25">
      <c r="A2055" s="7" t="s">
        <v>43</v>
      </c>
      <c r="B2055" s="8">
        <v>1</v>
      </c>
      <c r="C2055" s="9">
        <v>417</v>
      </c>
      <c r="D2055" s="29">
        <f>C2055+IF(INDEX('Справочник по %'!B:B,(MATCH(A2055,'Справочник по %'!A:A,0)))="кол-во",B2055*INDEX('Справочник по %'!C:C,(MATCH(A2055,'Справочник по %'!A:A,0))),ОТЧЕТ!C2055*INDEX('Справочник по %'!C:C,(MATCH(A2055,'Справочник по %'!A:A,0))))/100</f>
        <v>458.7</v>
      </c>
      <c r="E2055" s="29">
        <f>IF(ОТЧЕТ!A2055="SKU3",C2055+ОТЧЕТ!C2055*0.2,C2055+ОТЧЕТ!C2055*0.15)</f>
        <v>479.55</v>
      </c>
      <c r="F2055" s="7" t="s">
        <v>4130</v>
      </c>
      <c r="G2055" s="7">
        <v>4025073784</v>
      </c>
      <c r="H2055" s="20" t="s">
        <v>91</v>
      </c>
      <c r="I2055" s="22">
        <f>INDEX('Справочник Сети'!B:B,(MATCH(G2055,'Справочник Сети'!C:C,0)))</f>
        <v>0</v>
      </c>
      <c r="J2055" s="7" t="s">
        <v>155</v>
      </c>
      <c r="K2055" s="7" t="s">
        <v>1075</v>
      </c>
      <c r="L2055" s="7" t="s">
        <v>155</v>
      </c>
      <c r="M2055" s="31">
        <v>45716</v>
      </c>
      <c r="N2055" s="7" t="s">
        <v>4134</v>
      </c>
      <c r="O2055" s="8">
        <v>343</v>
      </c>
      <c r="P2055" s="24">
        <v>7930</v>
      </c>
      <c r="Q2055" s="22">
        <f>IF(COUNTIFS(A$2:A2055,A2055,I$2:I2055,I2055)=1,1,0)</f>
        <v>0</v>
      </c>
      <c r="R2055" s="22">
        <f t="shared" si="32"/>
        <v>1</v>
      </c>
      <c r="S2055" s="33">
        <f>IF(COUNTIF(O$2:O2055,O2055)=1,R2055,0)/2.5</f>
        <v>0.4</v>
      </c>
    </row>
    <row r="2056" spans="1:19" ht="18" customHeight="1" x14ac:dyDescent="0.25">
      <c r="A2056" s="7" t="s">
        <v>43</v>
      </c>
      <c r="B2056" s="8">
        <v>1</v>
      </c>
      <c r="C2056" s="9">
        <v>323</v>
      </c>
      <c r="D2056" s="29">
        <f>C2056+IF(INDEX('Справочник по %'!B:B,(MATCH(A2056,'Справочник по %'!A:A,0)))="кол-во",B2056*INDEX('Справочник по %'!C:C,(MATCH(A2056,'Справочник по %'!A:A,0))),ОТЧЕТ!C2056*INDEX('Справочник по %'!C:C,(MATCH(A2056,'Справочник по %'!A:A,0))))/100</f>
        <v>355.3</v>
      </c>
      <c r="E2056" s="29">
        <f>IF(ОТЧЕТ!A2056="SKU3",C2056+ОТЧЕТ!C2056*0.2,C2056+ОТЧЕТ!C2056*0.15)</f>
        <v>371.45</v>
      </c>
      <c r="F2056" s="7" t="s">
        <v>4130</v>
      </c>
      <c r="G2056" s="7">
        <v>2311241316</v>
      </c>
      <c r="H2056" s="20" t="s">
        <v>50</v>
      </c>
      <c r="I2056" s="22">
        <f>INDEX('Справочник Сети'!B:B,(MATCH(G2056,'Справочник Сети'!C:C,0)))</f>
        <v>0</v>
      </c>
      <c r="J2056" s="7" t="s">
        <v>70</v>
      </c>
      <c r="K2056" s="7" t="s">
        <v>369</v>
      </c>
      <c r="L2056" s="7" t="s">
        <v>70</v>
      </c>
      <c r="M2056" s="31">
        <v>45728</v>
      </c>
      <c r="N2056" s="7" t="s">
        <v>4135</v>
      </c>
      <c r="O2056" s="8">
        <v>703</v>
      </c>
      <c r="P2056" s="24">
        <v>7931</v>
      </c>
      <c r="Q2056" s="22">
        <f>IF(COUNTIFS(A$2:A2056,A2056,I$2:I2056,I2056)=1,1,0)</f>
        <v>0</v>
      </c>
      <c r="R2056" s="22">
        <f t="shared" si="32"/>
        <v>1</v>
      </c>
      <c r="S2056" s="33">
        <f>IF(COUNTIF(O$2:O2056,O2056)=1,R2056,0)/2.5</f>
        <v>0.4</v>
      </c>
    </row>
    <row r="2057" spans="1:19" ht="18" customHeight="1" x14ac:dyDescent="0.25">
      <c r="A2057" s="7" t="s">
        <v>43</v>
      </c>
      <c r="B2057" s="8">
        <v>1</v>
      </c>
      <c r="C2057" s="9">
        <v>475</v>
      </c>
      <c r="D2057" s="29">
        <f>C2057+IF(INDEX('Справочник по %'!B:B,(MATCH(A2057,'Справочник по %'!A:A,0)))="кол-во",B2057*INDEX('Справочник по %'!C:C,(MATCH(A2057,'Справочник по %'!A:A,0))),ОТЧЕТ!C2057*INDEX('Справочник по %'!C:C,(MATCH(A2057,'Справочник по %'!A:A,0))))/100</f>
        <v>522.5</v>
      </c>
      <c r="E2057" s="29">
        <f>IF(ОТЧЕТ!A2057="SKU3",C2057+ОТЧЕТ!C2057*0.2,C2057+ОТЧЕТ!C2057*0.15)</f>
        <v>546.25</v>
      </c>
      <c r="F2057" s="7" t="s">
        <v>4136</v>
      </c>
      <c r="G2057" s="7">
        <v>7732121736</v>
      </c>
      <c r="H2057" s="20" t="s">
        <v>1379</v>
      </c>
      <c r="I2057" s="22" t="str">
        <f>INDEX('Справочник Сети'!B:B,(MATCH(G2057,'Справочник Сети'!C:C,0)))</f>
        <v>Планета здоровья</v>
      </c>
      <c r="J2057" s="7" t="s">
        <v>149</v>
      </c>
      <c r="K2057" s="7" t="s">
        <v>693</v>
      </c>
      <c r="L2057" s="7" t="s">
        <v>149</v>
      </c>
      <c r="M2057" s="31">
        <v>45673</v>
      </c>
      <c r="N2057" s="7" t="s">
        <v>4137</v>
      </c>
      <c r="O2057" s="8">
        <v>1396</v>
      </c>
      <c r="P2057" s="24">
        <v>7932</v>
      </c>
      <c r="Q2057" s="22">
        <f>IF(COUNTIFS(A$2:A2057,A2057,I$2:I2057,I2057)=1,1,0)</f>
        <v>0</v>
      </c>
      <c r="R2057" s="22">
        <f t="shared" si="32"/>
        <v>6</v>
      </c>
      <c r="S2057" s="33">
        <f>IF(COUNTIF(O$2:O2057,O2057)=1,R2057,0)/2.5</f>
        <v>0</v>
      </c>
    </row>
    <row r="2058" spans="1:19" ht="18" customHeight="1" x14ac:dyDescent="0.25">
      <c r="A2058" s="7" t="s">
        <v>43</v>
      </c>
      <c r="B2058" s="8">
        <v>1</v>
      </c>
      <c r="C2058" s="9">
        <v>490</v>
      </c>
      <c r="D2058" s="29">
        <f>C2058+IF(INDEX('Справочник по %'!B:B,(MATCH(A2058,'Справочник по %'!A:A,0)))="кол-во",B2058*INDEX('Справочник по %'!C:C,(MATCH(A2058,'Справочник по %'!A:A,0))),ОТЧЕТ!C2058*INDEX('Справочник по %'!C:C,(MATCH(A2058,'Справочник по %'!A:A,0))))/100</f>
        <v>539</v>
      </c>
      <c r="E2058" s="29">
        <f>IF(ОТЧЕТ!A2058="SKU3",C2058+ОТЧЕТ!C2058*0.2,C2058+ОТЧЕТ!C2058*0.15)</f>
        <v>563.5</v>
      </c>
      <c r="F2058" s="7" t="s">
        <v>4138</v>
      </c>
      <c r="G2058" s="7">
        <v>4632192826</v>
      </c>
      <c r="H2058" s="20" t="s">
        <v>3444</v>
      </c>
      <c r="I2058" s="22">
        <f>INDEX('Справочник Сети'!B:B,(MATCH(G2058,'Справочник Сети'!C:C,0)))</f>
        <v>0</v>
      </c>
      <c r="J2058" s="7" t="s">
        <v>83</v>
      </c>
      <c r="K2058" s="7" t="s">
        <v>1186</v>
      </c>
      <c r="L2058" s="7" t="s">
        <v>155</v>
      </c>
      <c r="M2058" s="31">
        <v>45716</v>
      </c>
      <c r="N2058" s="7" t="s">
        <v>4139</v>
      </c>
      <c r="O2058" s="8">
        <v>3689</v>
      </c>
      <c r="P2058" s="24">
        <v>7933</v>
      </c>
      <c r="Q2058" s="22">
        <f>IF(COUNTIFS(A$2:A2058,A2058,I$2:I2058,I2058)=1,1,0)</f>
        <v>0</v>
      </c>
      <c r="R2058" s="22">
        <f t="shared" si="32"/>
        <v>6</v>
      </c>
      <c r="S2058" s="33">
        <f>IF(COUNTIF(O$2:O2058,O2058)=1,R2058,0)/2.5</f>
        <v>0</v>
      </c>
    </row>
    <row r="2059" spans="1:19" ht="18" customHeight="1" x14ac:dyDescent="0.25">
      <c r="A2059" s="7" t="s">
        <v>43</v>
      </c>
      <c r="B2059" s="8">
        <v>1</v>
      </c>
      <c r="C2059" s="9">
        <v>450</v>
      </c>
      <c r="D2059" s="29">
        <f>C2059+IF(INDEX('Справочник по %'!B:B,(MATCH(A2059,'Справочник по %'!A:A,0)))="кол-во",B2059*INDEX('Справочник по %'!C:C,(MATCH(A2059,'Справочник по %'!A:A,0))),ОТЧЕТ!C2059*INDEX('Справочник по %'!C:C,(MATCH(A2059,'Справочник по %'!A:A,0))))/100</f>
        <v>495</v>
      </c>
      <c r="E2059" s="29">
        <f>IF(ОТЧЕТ!A2059="SKU3",C2059+ОТЧЕТ!C2059*0.2,C2059+ОТЧЕТ!C2059*0.15)</f>
        <v>517.5</v>
      </c>
      <c r="F2059" s="7" t="s">
        <v>4140</v>
      </c>
      <c r="G2059" s="7">
        <v>5700011864</v>
      </c>
      <c r="H2059" s="20" t="s">
        <v>91</v>
      </c>
      <c r="I2059" s="22" t="str">
        <f>INDEX('Справочник Сети'!B:B,(MATCH(G2059,'Справочник Сети'!C:C,0)))</f>
        <v>Ригла</v>
      </c>
      <c r="J2059" s="7" t="s">
        <v>40</v>
      </c>
      <c r="K2059" s="7" t="s">
        <v>1713</v>
      </c>
      <c r="L2059" s="7" t="s">
        <v>255</v>
      </c>
      <c r="M2059" s="31">
        <v>45713</v>
      </c>
      <c r="N2059" s="7" t="s">
        <v>4141</v>
      </c>
      <c r="O2059" s="8">
        <v>1265</v>
      </c>
      <c r="P2059" s="24">
        <v>7936</v>
      </c>
      <c r="Q2059" s="22">
        <f>IF(COUNTIFS(A$2:A2059,A2059,I$2:I2059,I2059)=1,1,0)</f>
        <v>0</v>
      </c>
      <c r="R2059" s="22">
        <f t="shared" si="32"/>
        <v>2</v>
      </c>
      <c r="S2059" s="33">
        <f>IF(COUNTIF(O$2:O2059,O2059)=1,R2059,0)/2.5</f>
        <v>0</v>
      </c>
    </row>
    <row r="2060" spans="1:19" ht="18" customHeight="1" x14ac:dyDescent="0.25">
      <c r="A2060" s="7" t="s">
        <v>43</v>
      </c>
      <c r="B2060" s="8">
        <v>1</v>
      </c>
      <c r="C2060" s="9">
        <v>447</v>
      </c>
      <c r="D2060" s="29">
        <f>C2060+IF(INDEX('Справочник по %'!B:B,(MATCH(A2060,'Справочник по %'!A:A,0)))="кол-во",B2060*INDEX('Справочник по %'!C:C,(MATCH(A2060,'Справочник по %'!A:A,0))),ОТЧЕТ!C2060*INDEX('Справочник по %'!C:C,(MATCH(A2060,'Справочник по %'!A:A,0))))/100</f>
        <v>491.7</v>
      </c>
      <c r="E2060" s="29">
        <f>IF(ОТЧЕТ!A2060="SKU3",C2060+ОТЧЕТ!C2060*0.2,C2060+ОТЧЕТ!C2060*0.15)</f>
        <v>514.04999999999995</v>
      </c>
      <c r="F2060" s="7" t="s">
        <v>4140</v>
      </c>
      <c r="G2060" s="7">
        <v>7734231220</v>
      </c>
      <c r="H2060" s="20" t="s">
        <v>50</v>
      </c>
      <c r="I2060" s="22">
        <f>INDEX('Справочник Сети'!B:B,(MATCH(G2060,'Справочник Сети'!C:C,0)))</f>
        <v>0</v>
      </c>
      <c r="J2060" s="7" t="s">
        <v>353</v>
      </c>
      <c r="K2060" s="7" t="s">
        <v>917</v>
      </c>
      <c r="L2060" s="7" t="s">
        <v>353</v>
      </c>
      <c r="M2060" s="31">
        <v>45672</v>
      </c>
      <c r="N2060" s="7" t="s">
        <v>4142</v>
      </c>
      <c r="O2060" s="8">
        <v>1937</v>
      </c>
      <c r="P2060" s="24">
        <v>7937</v>
      </c>
      <c r="Q2060" s="22">
        <f>IF(COUNTIFS(A$2:A2060,A2060,I$2:I2060,I2060)=1,1,0)</f>
        <v>0</v>
      </c>
      <c r="R2060" s="22">
        <f t="shared" si="32"/>
        <v>1</v>
      </c>
      <c r="S2060" s="33">
        <f>IF(COUNTIF(O$2:O2060,O2060)=1,R2060,0)/2.5</f>
        <v>0.4</v>
      </c>
    </row>
    <row r="2061" spans="1:19" ht="18" customHeight="1" x14ac:dyDescent="0.25">
      <c r="A2061" s="7" t="s">
        <v>37</v>
      </c>
      <c r="B2061" s="8">
        <v>1</v>
      </c>
      <c r="C2061" s="9">
        <v>531</v>
      </c>
      <c r="D2061" s="29">
        <f>C2061+IF(INDEX('Справочник по %'!B:B,(MATCH(A2061,'Справочник по %'!A:A,0)))="кол-во",B2061*INDEX('Справочник по %'!C:C,(MATCH(A2061,'Справочник по %'!A:A,0))),ОТЧЕТ!C2061*INDEX('Справочник по %'!C:C,(MATCH(A2061,'Справочник по %'!A:A,0))))/100</f>
        <v>531.20000000000005</v>
      </c>
      <c r="E2061" s="29">
        <f>IF(ОТЧЕТ!A2061="SKU3",C2061+ОТЧЕТ!C2061*0.2,C2061+ОТЧЕТ!C2061*0.15)</f>
        <v>610.65</v>
      </c>
      <c r="F2061" s="7" t="s">
        <v>4143</v>
      </c>
      <c r="G2061" s="7">
        <v>5405072034</v>
      </c>
      <c r="H2061" s="20" t="s">
        <v>4144</v>
      </c>
      <c r="I2061" s="22" t="str">
        <f>INDEX('Справочник Сети'!B:B,(MATCH(G2061,'Справочник Сети'!C:C,0)))</f>
        <v>Нео-фарм</v>
      </c>
      <c r="J2061" s="7" t="s">
        <v>92</v>
      </c>
      <c r="K2061" s="7" t="s">
        <v>1542</v>
      </c>
      <c r="L2061" s="7" t="s">
        <v>92</v>
      </c>
      <c r="M2061" s="31">
        <v>45714</v>
      </c>
      <c r="N2061" s="7" t="s">
        <v>4145</v>
      </c>
      <c r="O2061" s="8">
        <v>2687</v>
      </c>
      <c r="P2061" s="24">
        <v>7940</v>
      </c>
      <c r="Q2061" s="22">
        <f>IF(COUNTIFS(A$2:A2061,A2061,I$2:I2061,I2061)=1,1,0)</f>
        <v>0</v>
      </c>
      <c r="R2061" s="22">
        <f t="shared" si="32"/>
        <v>2</v>
      </c>
      <c r="S2061" s="33">
        <f>IF(COUNTIF(O$2:O2061,O2061)=1,R2061,0)/2.5</f>
        <v>0</v>
      </c>
    </row>
    <row r="2062" spans="1:19" ht="18" customHeight="1" x14ac:dyDescent="0.25">
      <c r="A2062" s="7" t="s">
        <v>43</v>
      </c>
      <c r="B2062" s="8">
        <v>1</v>
      </c>
      <c r="C2062" s="9">
        <v>446.4</v>
      </c>
      <c r="D2062" s="29">
        <f>C2062+IF(INDEX('Справочник по %'!B:B,(MATCH(A2062,'Справочник по %'!A:A,0)))="кол-во",B2062*INDEX('Справочник по %'!C:C,(MATCH(A2062,'Справочник по %'!A:A,0))),ОТЧЕТ!C2062*INDEX('Справочник по %'!C:C,(MATCH(A2062,'Справочник по %'!A:A,0))))/100</f>
        <v>491.03999999999996</v>
      </c>
      <c r="E2062" s="29">
        <f>IF(ОТЧЕТ!A2062="SKU3",C2062+ОТЧЕТ!C2062*0.2,C2062+ОТЧЕТ!C2062*0.15)</f>
        <v>513.36</v>
      </c>
      <c r="F2062" s="7" t="s">
        <v>4143</v>
      </c>
      <c r="G2062" s="7">
        <v>550704589807</v>
      </c>
      <c r="H2062" s="20" t="s">
        <v>50</v>
      </c>
      <c r="I2062" s="22" t="str">
        <f>INDEX('Справочник Сети'!B:B,(MATCH(G2062,'Справочник Сети'!C:C,0)))</f>
        <v>Столички</v>
      </c>
      <c r="J2062" s="7" t="s">
        <v>251</v>
      </c>
      <c r="K2062" s="7" t="s">
        <v>280</v>
      </c>
      <c r="L2062" s="7" t="s">
        <v>251</v>
      </c>
      <c r="M2062" s="31">
        <v>45659</v>
      </c>
      <c r="N2062" s="7" t="s">
        <v>4146</v>
      </c>
      <c r="O2062" s="8">
        <v>1471</v>
      </c>
      <c r="P2062" s="24">
        <v>7943</v>
      </c>
      <c r="Q2062" s="22">
        <f>IF(COUNTIFS(A$2:A2062,A2062,I$2:I2062,I2062)=1,1,0)</f>
        <v>0</v>
      </c>
      <c r="R2062" s="22">
        <f t="shared" si="32"/>
        <v>2</v>
      </c>
      <c r="S2062" s="33">
        <f>IF(COUNTIF(O$2:O2062,O2062)=1,R2062,0)/2.5</f>
        <v>0</v>
      </c>
    </row>
    <row r="2063" spans="1:19" ht="18" customHeight="1" x14ac:dyDescent="0.25">
      <c r="A2063" s="7" t="s">
        <v>43</v>
      </c>
      <c r="B2063" s="8">
        <v>1</v>
      </c>
      <c r="C2063" s="9">
        <v>379</v>
      </c>
      <c r="D2063" s="29">
        <f>C2063+IF(INDEX('Справочник по %'!B:B,(MATCH(A2063,'Справочник по %'!A:A,0)))="кол-во",B2063*INDEX('Справочник по %'!C:C,(MATCH(A2063,'Справочник по %'!A:A,0))),ОТЧЕТ!C2063*INDEX('Справочник по %'!C:C,(MATCH(A2063,'Справочник по %'!A:A,0))))/100</f>
        <v>416.9</v>
      </c>
      <c r="E2063" s="29">
        <f>IF(ОТЧЕТ!A2063="SKU3",C2063+ОТЧЕТ!C2063*0.2,C2063+ОТЧЕТ!C2063*0.15)</f>
        <v>435.85</v>
      </c>
      <c r="F2063" s="7" t="s">
        <v>4143</v>
      </c>
      <c r="G2063" s="7">
        <v>7706795062</v>
      </c>
      <c r="H2063" s="20" t="s">
        <v>327</v>
      </c>
      <c r="I2063" s="22" t="str">
        <f>INDEX('Справочник Сети'!B:B,(MATCH(G2063,'Справочник Сети'!C:C,0)))</f>
        <v>Планета здоровья</v>
      </c>
      <c r="J2063" s="7" t="s">
        <v>87</v>
      </c>
      <c r="K2063" s="7" t="s">
        <v>3507</v>
      </c>
      <c r="L2063" s="7" t="s">
        <v>87</v>
      </c>
      <c r="M2063" s="31">
        <v>45691</v>
      </c>
      <c r="N2063" s="7" t="s">
        <v>4147</v>
      </c>
      <c r="O2063" s="8">
        <v>1689</v>
      </c>
      <c r="P2063" s="24">
        <v>7950</v>
      </c>
      <c r="Q2063" s="22">
        <f>IF(COUNTIFS(A$2:A2063,A2063,I$2:I2063,I2063)=1,1,0)</f>
        <v>0</v>
      </c>
      <c r="R2063" s="22">
        <f t="shared" si="32"/>
        <v>6</v>
      </c>
      <c r="S2063" s="33">
        <f>IF(COUNTIF(O$2:O2063,O2063)=1,R2063,0)/2.5</f>
        <v>0</v>
      </c>
    </row>
    <row r="2064" spans="1:19" ht="18" customHeight="1" x14ac:dyDescent="0.25">
      <c r="A2064" s="7" t="s">
        <v>43</v>
      </c>
      <c r="B2064" s="8">
        <v>1</v>
      </c>
      <c r="C2064" s="9">
        <v>452</v>
      </c>
      <c r="D2064" s="29">
        <f>C2064+IF(INDEX('Справочник по %'!B:B,(MATCH(A2064,'Справочник по %'!A:A,0)))="кол-во",B2064*INDEX('Справочник по %'!C:C,(MATCH(A2064,'Справочник по %'!A:A,0))),ОТЧЕТ!C2064*INDEX('Справочник по %'!C:C,(MATCH(A2064,'Справочник по %'!A:A,0))))/100</f>
        <v>497.2</v>
      </c>
      <c r="E2064" s="29">
        <f>IF(ОТЧЕТ!A2064="SKU3",C2064+ОТЧЕТ!C2064*0.2,C2064+ОТЧЕТ!C2064*0.15)</f>
        <v>519.79999999999995</v>
      </c>
      <c r="F2064" s="7" t="s">
        <v>4148</v>
      </c>
      <c r="G2064" s="7">
        <v>2222896536</v>
      </c>
      <c r="H2064" s="20" t="s">
        <v>50</v>
      </c>
      <c r="I2064" s="22" t="str">
        <f>INDEX('Справочник Сети'!B:B,(MATCH(G2064,'Справочник Сети'!C:C,0)))</f>
        <v>Нео-фарм</v>
      </c>
      <c r="J2064" s="7" t="s">
        <v>372</v>
      </c>
      <c r="K2064" s="7" t="s">
        <v>621</v>
      </c>
      <c r="L2064" s="7" t="s">
        <v>372</v>
      </c>
      <c r="M2064" s="31">
        <v>45730</v>
      </c>
      <c r="N2064" s="7" t="s">
        <v>4149</v>
      </c>
      <c r="O2064" s="8">
        <v>1918</v>
      </c>
      <c r="P2064" s="24">
        <v>7954</v>
      </c>
      <c r="Q2064" s="22">
        <f>IF(COUNTIFS(A$2:A2064,A2064,I$2:I2064,I2064)=1,1,0)</f>
        <v>0</v>
      </c>
      <c r="R2064" s="22">
        <f t="shared" si="32"/>
        <v>13</v>
      </c>
      <c r="S2064" s="33">
        <f>IF(COUNTIF(O$2:O2064,O2064)=1,R2064,0)/2.5</f>
        <v>0</v>
      </c>
    </row>
    <row r="2065" spans="1:19" ht="18" customHeight="1" x14ac:dyDescent="0.25">
      <c r="A2065" s="7" t="s">
        <v>43</v>
      </c>
      <c r="B2065" s="8">
        <v>1</v>
      </c>
      <c r="C2065" s="9">
        <v>433</v>
      </c>
      <c r="D2065" s="29">
        <f>C2065+IF(INDEX('Справочник по %'!B:B,(MATCH(A2065,'Справочник по %'!A:A,0)))="кол-во",B2065*INDEX('Справочник по %'!C:C,(MATCH(A2065,'Справочник по %'!A:A,0))),ОТЧЕТ!C2065*INDEX('Справочник по %'!C:C,(MATCH(A2065,'Справочник по %'!A:A,0))))/100</f>
        <v>476.3</v>
      </c>
      <c r="E2065" s="29">
        <f>IF(ОТЧЕТ!A2065="SKU3",C2065+ОТЧЕТ!C2065*0.2,C2065+ОТЧЕТ!C2065*0.15)</f>
        <v>497.95</v>
      </c>
      <c r="F2065" s="7" t="s">
        <v>4148</v>
      </c>
      <c r="G2065" s="7">
        <v>2466189073</v>
      </c>
      <c r="H2065" s="20" t="s">
        <v>4150</v>
      </c>
      <c r="I2065" s="22" t="str">
        <f>INDEX('Справочник Сети'!B:B,(MATCH(G2065,'Справочник Сети'!C:C,0)))</f>
        <v>Нео-фарм</v>
      </c>
      <c r="J2065" s="7" t="s">
        <v>96</v>
      </c>
      <c r="K2065" s="7" t="s">
        <v>1068</v>
      </c>
      <c r="L2065" s="7" t="s">
        <v>96</v>
      </c>
      <c r="M2065" s="31">
        <v>45727</v>
      </c>
      <c r="N2065" s="7" t="s">
        <v>4151</v>
      </c>
      <c r="O2065" s="8">
        <v>1122</v>
      </c>
      <c r="P2065" s="24">
        <v>7959</v>
      </c>
      <c r="Q2065" s="22">
        <f>IF(COUNTIFS(A$2:A2065,A2065,I$2:I2065,I2065)=1,1,0)</f>
        <v>0</v>
      </c>
      <c r="R2065" s="22">
        <f t="shared" si="32"/>
        <v>1</v>
      </c>
      <c r="S2065" s="33">
        <f>IF(COUNTIF(O$2:O2065,O2065)=1,R2065,0)/2.5</f>
        <v>0.4</v>
      </c>
    </row>
    <row r="2066" spans="1:19" ht="18" customHeight="1" x14ac:dyDescent="0.25">
      <c r="A2066" s="7" t="s">
        <v>43</v>
      </c>
      <c r="B2066" s="8">
        <v>1</v>
      </c>
      <c r="C2066" s="9">
        <v>455.9</v>
      </c>
      <c r="D2066" s="29">
        <f>C2066+IF(INDEX('Справочник по %'!B:B,(MATCH(A2066,'Справочник по %'!A:A,0)))="кол-во",B2066*INDEX('Справочник по %'!C:C,(MATCH(A2066,'Справочник по %'!A:A,0))),ОТЧЕТ!C2066*INDEX('Справочник по %'!C:C,(MATCH(A2066,'Справочник по %'!A:A,0))))/100</f>
        <v>501.49</v>
      </c>
      <c r="E2066" s="29">
        <f>IF(ОТЧЕТ!A2066="SKU3",C2066+ОТЧЕТ!C2066*0.2,C2066+ОТЧЕТ!C2066*0.15)</f>
        <v>524.28499999999997</v>
      </c>
      <c r="F2066" s="7" t="s">
        <v>4148</v>
      </c>
      <c r="G2066" s="7">
        <v>1659064696</v>
      </c>
      <c r="H2066" s="20" t="s">
        <v>2323</v>
      </c>
      <c r="I2066" s="22" t="str">
        <f>INDEX('Справочник Сети'!B:B,(MATCH(G2066,'Справочник Сети'!C:C,0)))</f>
        <v>Планета здоровья</v>
      </c>
      <c r="J2066" s="7" t="s">
        <v>335</v>
      </c>
      <c r="K2066" s="7" t="s">
        <v>814</v>
      </c>
      <c r="L2066" s="7" t="s">
        <v>335</v>
      </c>
      <c r="M2066" s="31">
        <v>45731</v>
      </c>
      <c r="N2066" s="7" t="s">
        <v>4152</v>
      </c>
      <c r="O2066" s="8">
        <v>2377</v>
      </c>
      <c r="P2066" s="24">
        <v>7964</v>
      </c>
      <c r="Q2066" s="22">
        <f>IF(COUNTIFS(A$2:A2066,A2066,I$2:I2066,I2066)=1,1,0)</f>
        <v>0</v>
      </c>
      <c r="R2066" s="22">
        <f t="shared" si="32"/>
        <v>4</v>
      </c>
      <c r="S2066" s="33">
        <f>IF(COUNTIF(O$2:O2066,O2066)=1,R2066,0)/2.5</f>
        <v>0</v>
      </c>
    </row>
    <row r="2067" spans="1:19" ht="18" customHeight="1" x14ac:dyDescent="0.25">
      <c r="A2067" s="7" t="s">
        <v>43</v>
      </c>
      <c r="B2067" s="8">
        <v>1</v>
      </c>
      <c r="C2067" s="9">
        <v>400</v>
      </c>
      <c r="D2067" s="29">
        <f>C2067+IF(INDEX('Справочник по %'!B:B,(MATCH(A2067,'Справочник по %'!A:A,0)))="кол-во",B2067*INDEX('Справочник по %'!C:C,(MATCH(A2067,'Справочник по %'!A:A,0))),ОТЧЕТ!C2067*INDEX('Справочник по %'!C:C,(MATCH(A2067,'Справочник по %'!A:A,0))))/100</f>
        <v>440</v>
      </c>
      <c r="E2067" s="29">
        <f>IF(ОТЧЕТ!A2067="SKU3",C2067+ОТЧЕТ!C2067*0.2,C2067+ОТЧЕТ!C2067*0.15)</f>
        <v>460</v>
      </c>
      <c r="F2067" s="7" t="s">
        <v>4148</v>
      </c>
      <c r="G2067" s="7">
        <v>7731334851</v>
      </c>
      <c r="H2067" s="20" t="s">
        <v>1168</v>
      </c>
      <c r="I2067" s="22" t="str">
        <f>INDEX('Справочник Сети'!B:B,(MATCH(G2067,'Справочник Сети'!C:C,0)))</f>
        <v>Планета здоровья</v>
      </c>
      <c r="J2067" s="7" t="s">
        <v>142</v>
      </c>
      <c r="K2067" s="7" t="s">
        <v>481</v>
      </c>
      <c r="L2067" s="7" t="s">
        <v>142</v>
      </c>
      <c r="M2067" s="31">
        <v>45674</v>
      </c>
      <c r="N2067" s="7" t="s">
        <v>4153</v>
      </c>
      <c r="O2067" s="8">
        <v>2200</v>
      </c>
      <c r="P2067" s="24">
        <v>7965</v>
      </c>
      <c r="Q2067" s="22">
        <f>IF(COUNTIFS(A$2:A2067,A2067,I$2:I2067,I2067)=1,1,0)</f>
        <v>0</v>
      </c>
      <c r="R2067" s="22">
        <f t="shared" si="32"/>
        <v>5</v>
      </c>
      <c r="S2067" s="33">
        <f>IF(COUNTIF(O$2:O2067,O2067)=1,R2067,0)/2.5</f>
        <v>0</v>
      </c>
    </row>
    <row r="2068" spans="1:19" ht="18" customHeight="1" x14ac:dyDescent="0.25">
      <c r="A2068" s="7" t="s">
        <v>37</v>
      </c>
      <c r="B2068" s="8">
        <v>1</v>
      </c>
      <c r="C2068" s="9">
        <v>536</v>
      </c>
      <c r="D2068" s="29">
        <f>C2068+IF(INDEX('Справочник по %'!B:B,(MATCH(A2068,'Справочник по %'!A:A,0)))="кол-во",B2068*INDEX('Справочник по %'!C:C,(MATCH(A2068,'Справочник по %'!A:A,0))),ОТЧЕТ!C2068*INDEX('Справочник по %'!C:C,(MATCH(A2068,'Справочник по %'!A:A,0))))/100</f>
        <v>536.20000000000005</v>
      </c>
      <c r="E2068" s="29">
        <f>IF(ОТЧЕТ!A2068="SKU3",C2068+ОТЧЕТ!C2068*0.2,C2068+ОТЧЕТ!C2068*0.15)</f>
        <v>616.4</v>
      </c>
      <c r="F2068" s="7" t="s">
        <v>4148</v>
      </c>
      <c r="G2068" s="7">
        <v>5906086888</v>
      </c>
      <c r="H2068" s="20" t="s">
        <v>39</v>
      </c>
      <c r="I2068" s="22">
        <f>INDEX('Справочник Сети'!B:B,(MATCH(G2068,'Справочник Сети'!C:C,0)))</f>
        <v>0</v>
      </c>
      <c r="J2068" s="7" t="s">
        <v>79</v>
      </c>
      <c r="K2068" s="7" t="s">
        <v>801</v>
      </c>
      <c r="L2068" s="7" t="s">
        <v>174</v>
      </c>
      <c r="M2068" s="31">
        <v>45711</v>
      </c>
      <c r="N2068" s="7" t="s">
        <v>4154</v>
      </c>
      <c r="O2068" s="8">
        <v>2699</v>
      </c>
      <c r="P2068" s="24">
        <v>7966</v>
      </c>
      <c r="Q2068" s="22">
        <f>IF(COUNTIFS(A$2:A2068,A2068,I$2:I2068,I2068)=1,1,0)</f>
        <v>0</v>
      </c>
      <c r="R2068" s="22">
        <f t="shared" si="32"/>
        <v>1</v>
      </c>
      <c r="S2068" s="33">
        <f>IF(COUNTIF(O$2:O2068,O2068)=1,R2068,0)/2.5</f>
        <v>0.4</v>
      </c>
    </row>
    <row r="2069" spans="1:19" ht="18" customHeight="1" x14ac:dyDescent="0.25">
      <c r="A2069" s="7" t="s">
        <v>43</v>
      </c>
      <c r="B2069" s="8">
        <v>1</v>
      </c>
      <c r="C2069" s="9">
        <v>452</v>
      </c>
      <c r="D2069" s="29">
        <f>C2069+IF(INDEX('Справочник по %'!B:B,(MATCH(A2069,'Справочник по %'!A:A,0)))="кол-во",B2069*INDEX('Справочник по %'!C:C,(MATCH(A2069,'Справочник по %'!A:A,0))),ОТЧЕТ!C2069*INDEX('Справочник по %'!C:C,(MATCH(A2069,'Справочник по %'!A:A,0))))/100</f>
        <v>497.2</v>
      </c>
      <c r="E2069" s="29">
        <f>IF(ОТЧЕТ!A2069="SKU3",C2069+ОТЧЕТ!C2069*0.2,C2069+ОТЧЕТ!C2069*0.15)</f>
        <v>519.79999999999995</v>
      </c>
      <c r="F2069" s="7" t="s">
        <v>4148</v>
      </c>
      <c r="G2069" s="7">
        <v>2222896536</v>
      </c>
      <c r="H2069" s="20" t="s">
        <v>50</v>
      </c>
      <c r="I2069" s="22" t="str">
        <f>INDEX('Справочник Сети'!B:B,(MATCH(G2069,'Справочник Сети'!C:C,0)))</f>
        <v>Нео-фарм</v>
      </c>
      <c r="J2069" s="7" t="s">
        <v>372</v>
      </c>
      <c r="K2069" s="7" t="s">
        <v>2438</v>
      </c>
      <c r="L2069" s="7" t="s">
        <v>372</v>
      </c>
      <c r="M2069" s="31">
        <v>45730</v>
      </c>
      <c r="N2069" s="7" t="s">
        <v>4155</v>
      </c>
      <c r="O2069" s="8">
        <v>1918</v>
      </c>
      <c r="P2069" s="24">
        <v>7971</v>
      </c>
      <c r="Q2069" s="22">
        <f>IF(COUNTIFS(A$2:A2069,A2069,I$2:I2069,I2069)=1,1,0)</f>
        <v>0</v>
      </c>
      <c r="R2069" s="22">
        <f t="shared" si="32"/>
        <v>13</v>
      </c>
      <c r="S2069" s="33">
        <f>IF(COUNTIF(O$2:O2069,O2069)=1,R2069,0)/2.5</f>
        <v>0</v>
      </c>
    </row>
    <row r="2070" spans="1:19" ht="18" customHeight="1" x14ac:dyDescent="0.25">
      <c r="A2070" s="7" t="s">
        <v>43</v>
      </c>
      <c r="B2070" s="8">
        <v>1</v>
      </c>
      <c r="C2070" s="9">
        <v>481</v>
      </c>
      <c r="D2070" s="29">
        <f>C2070+IF(INDEX('Справочник по %'!B:B,(MATCH(A2070,'Справочник по %'!A:A,0)))="кол-во",B2070*INDEX('Справочник по %'!C:C,(MATCH(A2070,'Справочник по %'!A:A,0))),ОТЧЕТ!C2070*INDEX('Справочник по %'!C:C,(MATCH(A2070,'Справочник по %'!A:A,0))))/100</f>
        <v>529.1</v>
      </c>
      <c r="E2070" s="29">
        <f>IF(ОТЧЕТ!A2070="SKU3",C2070+ОТЧЕТ!C2070*0.2,C2070+ОТЧЕТ!C2070*0.15)</f>
        <v>553.15</v>
      </c>
      <c r="F2070" s="7" t="s">
        <v>4148</v>
      </c>
      <c r="G2070" s="7">
        <v>2543009225</v>
      </c>
      <c r="H2070" s="20" t="s">
        <v>4156</v>
      </c>
      <c r="I2070" s="22" t="str">
        <f>INDEX('Справочник Сети'!B:B,(MATCH(G2070,'Справочник Сети'!C:C,0)))</f>
        <v>Нео-фарм</v>
      </c>
      <c r="J2070" s="7" t="s">
        <v>46</v>
      </c>
      <c r="K2070" s="7" t="s">
        <v>971</v>
      </c>
      <c r="L2070" s="7" t="s">
        <v>46</v>
      </c>
      <c r="M2070" s="31">
        <v>45726</v>
      </c>
      <c r="N2070" s="7" t="s">
        <v>4157</v>
      </c>
      <c r="O2070" s="8">
        <v>2948</v>
      </c>
      <c r="P2070" s="24">
        <v>7973</v>
      </c>
      <c r="Q2070" s="22">
        <f>IF(COUNTIFS(A$2:A2070,A2070,I$2:I2070,I2070)=1,1,0)</f>
        <v>0</v>
      </c>
      <c r="R2070" s="22">
        <f t="shared" si="32"/>
        <v>1</v>
      </c>
      <c r="S2070" s="33">
        <f>IF(COUNTIF(O$2:O2070,O2070)=1,R2070,0)/2.5</f>
        <v>0.4</v>
      </c>
    </row>
    <row r="2071" spans="1:19" ht="18" customHeight="1" x14ac:dyDescent="0.25">
      <c r="A2071" s="7" t="s">
        <v>37</v>
      </c>
      <c r="B2071" s="8">
        <v>1</v>
      </c>
      <c r="C2071" s="9">
        <v>535</v>
      </c>
      <c r="D2071" s="29">
        <f>C2071+IF(INDEX('Справочник по %'!B:B,(MATCH(A2071,'Справочник по %'!A:A,0)))="кол-во",B2071*INDEX('Справочник по %'!C:C,(MATCH(A2071,'Справочник по %'!A:A,0))),ОТЧЕТ!C2071*INDEX('Справочник по %'!C:C,(MATCH(A2071,'Справочник по %'!A:A,0))))/100</f>
        <v>535.20000000000005</v>
      </c>
      <c r="E2071" s="29">
        <f>IF(ОТЧЕТ!A2071="SKU3",C2071+ОТЧЕТ!C2071*0.2,C2071+ОТЧЕТ!C2071*0.15)</f>
        <v>615.25</v>
      </c>
      <c r="F2071" s="7" t="s">
        <v>4148</v>
      </c>
      <c r="G2071" s="7">
        <v>7706795062</v>
      </c>
      <c r="H2071" s="20" t="s">
        <v>487</v>
      </c>
      <c r="I2071" s="22" t="str">
        <f>INDEX('Справочник Сети'!B:B,(MATCH(G2071,'Справочник Сети'!C:C,0)))</f>
        <v>Планета здоровья</v>
      </c>
      <c r="J2071" s="7" t="s">
        <v>87</v>
      </c>
      <c r="K2071" s="7" t="s">
        <v>759</v>
      </c>
      <c r="L2071" s="7" t="s">
        <v>87</v>
      </c>
      <c r="M2071" s="31">
        <v>45691</v>
      </c>
      <c r="N2071" s="7" t="s">
        <v>752</v>
      </c>
      <c r="O2071" s="8">
        <v>1553</v>
      </c>
      <c r="P2071" s="24">
        <v>7983</v>
      </c>
      <c r="Q2071" s="22">
        <f>IF(COUNTIFS(A$2:A2071,A2071,I$2:I2071,I2071)=1,1,0)</f>
        <v>0</v>
      </c>
      <c r="R2071" s="22">
        <f t="shared" si="32"/>
        <v>5</v>
      </c>
      <c r="S2071" s="33">
        <f>IF(COUNTIF(O$2:O2071,O2071)=1,R2071,0)/2.5</f>
        <v>0</v>
      </c>
    </row>
    <row r="2072" spans="1:19" ht="18" customHeight="1" x14ac:dyDescent="0.25">
      <c r="A2072" s="7" t="s">
        <v>43</v>
      </c>
      <c r="B2072" s="8">
        <v>1</v>
      </c>
      <c r="C2072" s="9">
        <v>471</v>
      </c>
      <c r="D2072" s="29">
        <f>C2072+IF(INDEX('Справочник по %'!B:B,(MATCH(A2072,'Справочник по %'!A:A,0)))="кол-во",B2072*INDEX('Справочник по %'!C:C,(MATCH(A2072,'Справочник по %'!A:A,0))),ОТЧЕТ!C2072*INDEX('Справочник по %'!C:C,(MATCH(A2072,'Справочник по %'!A:A,0))))/100</f>
        <v>518.1</v>
      </c>
      <c r="E2072" s="29">
        <f>IF(ОТЧЕТ!A2072="SKU3",C2072+ОТЧЕТ!C2072*0.2,C2072+ОТЧЕТ!C2072*0.15)</f>
        <v>541.65</v>
      </c>
      <c r="F2072" s="7" t="s">
        <v>4148</v>
      </c>
      <c r="G2072" s="7">
        <v>9705147513</v>
      </c>
      <c r="H2072" s="20" t="s">
        <v>50</v>
      </c>
      <c r="I2072" s="22" t="str">
        <f>INDEX('Справочник Сети'!B:B,(MATCH(G2072,'Справочник Сети'!C:C,0)))</f>
        <v>Столички</v>
      </c>
      <c r="J2072" s="7" t="s">
        <v>239</v>
      </c>
      <c r="K2072" s="7" t="s">
        <v>1825</v>
      </c>
      <c r="L2072" s="7" t="s">
        <v>239</v>
      </c>
      <c r="M2072" s="31">
        <v>45662</v>
      </c>
      <c r="N2072" s="7" t="s">
        <v>4158</v>
      </c>
      <c r="O2072" s="8">
        <v>3104</v>
      </c>
      <c r="P2072" s="24">
        <v>7984</v>
      </c>
      <c r="Q2072" s="22">
        <f>IF(COUNTIFS(A$2:A2072,A2072,I$2:I2072,I2072)=1,1,0)</f>
        <v>0</v>
      </c>
      <c r="R2072" s="22">
        <f t="shared" si="32"/>
        <v>6</v>
      </c>
      <c r="S2072" s="33">
        <f>IF(COUNTIF(O$2:O2072,O2072)=1,R2072,0)/2.5</f>
        <v>0</v>
      </c>
    </row>
    <row r="2073" spans="1:19" ht="18" customHeight="1" x14ac:dyDescent="0.25">
      <c r="A2073" s="7" t="s">
        <v>43</v>
      </c>
      <c r="B2073" s="8">
        <v>1</v>
      </c>
      <c r="C2073" s="9">
        <v>430</v>
      </c>
      <c r="D2073" s="29">
        <f>C2073+IF(INDEX('Справочник по %'!B:B,(MATCH(A2073,'Справочник по %'!A:A,0)))="кол-во",B2073*INDEX('Справочник по %'!C:C,(MATCH(A2073,'Справочник по %'!A:A,0))),ОТЧЕТ!C2073*INDEX('Справочник по %'!C:C,(MATCH(A2073,'Справочник по %'!A:A,0))))/100</f>
        <v>473</v>
      </c>
      <c r="E2073" s="29">
        <f>IF(ОТЧЕТ!A2073="SKU3",C2073+ОТЧЕТ!C2073*0.2,C2073+ОТЧЕТ!C2073*0.15)</f>
        <v>494.5</v>
      </c>
      <c r="F2073" s="7" t="s">
        <v>4148</v>
      </c>
      <c r="G2073" s="7">
        <v>9102213935</v>
      </c>
      <c r="H2073" s="20" t="s">
        <v>2801</v>
      </c>
      <c r="I2073" s="22" t="str">
        <f>INDEX('Справочник Сети'!B:B,(MATCH(G2073,'Справочник Сети'!C:C,0)))</f>
        <v>Ригла</v>
      </c>
      <c r="J2073" s="7" t="s">
        <v>315</v>
      </c>
      <c r="K2073" s="7" t="s">
        <v>2301</v>
      </c>
      <c r="L2073" s="7" t="s">
        <v>315</v>
      </c>
      <c r="M2073" s="31">
        <v>45670</v>
      </c>
      <c r="N2073" s="7" t="s">
        <v>4159</v>
      </c>
      <c r="O2073" s="8">
        <v>283</v>
      </c>
      <c r="P2073" s="24">
        <v>7987</v>
      </c>
      <c r="Q2073" s="22">
        <f>IF(COUNTIFS(A$2:A2073,A2073,I$2:I2073,I2073)=1,1,0)</f>
        <v>0</v>
      </c>
      <c r="R2073" s="22">
        <f t="shared" si="32"/>
        <v>1</v>
      </c>
      <c r="S2073" s="33">
        <f>IF(COUNTIF(O$2:O2073,O2073)=1,R2073,0)/2.5</f>
        <v>0.4</v>
      </c>
    </row>
    <row r="2074" spans="1:19" ht="18" customHeight="1" x14ac:dyDescent="0.25">
      <c r="A2074" s="7" t="s">
        <v>37</v>
      </c>
      <c r="B2074" s="8">
        <v>1</v>
      </c>
      <c r="C2074" s="9">
        <v>535</v>
      </c>
      <c r="D2074" s="29">
        <f>C2074+IF(INDEX('Справочник по %'!B:B,(MATCH(A2074,'Справочник по %'!A:A,0)))="кол-во",B2074*INDEX('Справочник по %'!C:C,(MATCH(A2074,'Справочник по %'!A:A,0))),ОТЧЕТ!C2074*INDEX('Справочник по %'!C:C,(MATCH(A2074,'Справочник по %'!A:A,0))))/100</f>
        <v>535.20000000000005</v>
      </c>
      <c r="E2074" s="29">
        <f>IF(ОТЧЕТ!A2074="SKU3",C2074+ОТЧЕТ!C2074*0.2,C2074+ОТЧЕТ!C2074*0.15)</f>
        <v>615.25</v>
      </c>
      <c r="F2074" s="7" t="s">
        <v>4148</v>
      </c>
      <c r="G2074" s="7">
        <v>7706795062</v>
      </c>
      <c r="H2074" s="20" t="s">
        <v>487</v>
      </c>
      <c r="I2074" s="22" t="str">
        <f>INDEX('Справочник Сети'!B:B,(MATCH(G2074,'Справочник Сети'!C:C,0)))</f>
        <v>Планета здоровья</v>
      </c>
      <c r="J2074" s="7" t="s">
        <v>87</v>
      </c>
      <c r="K2074" s="7" t="s">
        <v>770</v>
      </c>
      <c r="L2074" s="7" t="s">
        <v>87</v>
      </c>
      <c r="M2074" s="31">
        <v>45691</v>
      </c>
      <c r="N2074" s="7" t="s">
        <v>4160</v>
      </c>
      <c r="O2074" s="8">
        <v>1553</v>
      </c>
      <c r="P2074" s="24">
        <v>7991</v>
      </c>
      <c r="Q2074" s="22">
        <f>IF(COUNTIFS(A$2:A2074,A2074,I$2:I2074,I2074)=1,1,0)</f>
        <v>0</v>
      </c>
      <c r="R2074" s="22">
        <f t="shared" si="32"/>
        <v>5</v>
      </c>
      <c r="S2074" s="33">
        <f>IF(COUNTIF(O$2:O2074,O2074)=1,R2074,0)/2.5</f>
        <v>0</v>
      </c>
    </row>
    <row r="2075" spans="1:19" ht="18" customHeight="1" x14ac:dyDescent="0.25">
      <c r="A2075" s="7" t="s">
        <v>43</v>
      </c>
      <c r="B2075" s="8">
        <v>1</v>
      </c>
      <c r="C2075" s="9">
        <v>388</v>
      </c>
      <c r="D2075" s="29">
        <f>C2075+IF(INDEX('Справочник по %'!B:B,(MATCH(A2075,'Справочник по %'!A:A,0)))="кол-во",B2075*INDEX('Справочник по %'!C:C,(MATCH(A2075,'Справочник по %'!A:A,0))),ОТЧЕТ!C2075*INDEX('Справочник по %'!C:C,(MATCH(A2075,'Справочник по %'!A:A,0))))/100</f>
        <v>426.8</v>
      </c>
      <c r="E2075" s="29">
        <f>IF(ОТЧЕТ!A2075="SKU3",C2075+ОТЧЕТ!C2075*0.2,C2075+ОТЧЕТ!C2075*0.15)</f>
        <v>446.2</v>
      </c>
      <c r="F2075" s="7" t="s">
        <v>4148</v>
      </c>
      <c r="G2075" s="7">
        <v>6453161631</v>
      </c>
      <c r="H2075" s="20" t="s">
        <v>50</v>
      </c>
      <c r="I2075" s="22" t="str">
        <f>INDEX('Справочник Сети'!B:B,(MATCH(G2075,'Справочник Сети'!C:C,0)))</f>
        <v>Планета здоровья</v>
      </c>
      <c r="J2075" s="7" t="s">
        <v>133</v>
      </c>
      <c r="K2075" s="7" t="s">
        <v>3249</v>
      </c>
      <c r="L2075" s="7" t="s">
        <v>133</v>
      </c>
      <c r="M2075" s="31">
        <v>45695</v>
      </c>
      <c r="N2075" s="7" t="s">
        <v>4161</v>
      </c>
      <c r="O2075" s="8">
        <v>531</v>
      </c>
      <c r="P2075" s="24">
        <v>7993</v>
      </c>
      <c r="Q2075" s="22">
        <f>IF(COUNTIFS(A$2:A2075,A2075,I$2:I2075,I2075)=1,1,0)</f>
        <v>0</v>
      </c>
      <c r="R2075" s="22">
        <f t="shared" si="32"/>
        <v>3</v>
      </c>
      <c r="S2075" s="33">
        <f>IF(COUNTIF(O$2:O2075,O2075)=1,R2075,0)/2.5</f>
        <v>0</v>
      </c>
    </row>
    <row r="2076" spans="1:19" ht="18" customHeight="1" x14ac:dyDescent="0.25">
      <c r="A2076" s="7" t="s">
        <v>43</v>
      </c>
      <c r="B2076" s="8">
        <v>1</v>
      </c>
      <c r="C2076" s="9">
        <v>443</v>
      </c>
      <c r="D2076" s="29">
        <f>C2076+IF(INDEX('Справочник по %'!B:B,(MATCH(A2076,'Справочник по %'!A:A,0)))="кол-во",B2076*INDEX('Справочник по %'!C:C,(MATCH(A2076,'Справочник по %'!A:A,0))),ОТЧЕТ!C2076*INDEX('Справочник по %'!C:C,(MATCH(A2076,'Справочник по %'!A:A,0))))/100</f>
        <v>487.3</v>
      </c>
      <c r="E2076" s="29">
        <f>IF(ОТЧЕТ!A2076="SKU3",C2076+ОТЧЕТ!C2076*0.2,C2076+ОТЧЕТ!C2076*0.15)</f>
        <v>509.45</v>
      </c>
      <c r="F2076" s="7" t="s">
        <v>4148</v>
      </c>
      <c r="G2076" s="7">
        <v>326537584</v>
      </c>
      <c r="H2076" s="20" t="s">
        <v>1541</v>
      </c>
      <c r="I2076" s="22" t="str">
        <f>INDEX('Справочник Сети'!B:B,(MATCH(G2076,'Справочник Сети'!C:C,0)))</f>
        <v>Планета здоровья</v>
      </c>
      <c r="J2076" s="7" t="s">
        <v>362</v>
      </c>
      <c r="K2076" s="7" t="s">
        <v>3156</v>
      </c>
      <c r="L2076" s="7" t="s">
        <v>362</v>
      </c>
      <c r="M2076" s="31">
        <v>45732</v>
      </c>
      <c r="N2076" s="7" t="s">
        <v>4162</v>
      </c>
      <c r="O2076" s="8">
        <v>3065</v>
      </c>
      <c r="P2076" s="24">
        <v>7995</v>
      </c>
      <c r="Q2076" s="22">
        <f>IF(COUNTIFS(A$2:A2076,A2076,I$2:I2076,I2076)=1,1,0)</f>
        <v>0</v>
      </c>
      <c r="R2076" s="22">
        <f t="shared" si="32"/>
        <v>2</v>
      </c>
      <c r="S2076" s="33">
        <f>IF(COUNTIF(O$2:O2076,O2076)=1,R2076,0)/2.5</f>
        <v>0</v>
      </c>
    </row>
    <row r="2077" spans="1:19" ht="18" customHeight="1" x14ac:dyDescent="0.25">
      <c r="A2077" s="7" t="s">
        <v>43</v>
      </c>
      <c r="B2077" s="8">
        <v>1</v>
      </c>
      <c r="C2077" s="9">
        <v>504</v>
      </c>
      <c r="D2077" s="29">
        <f>C2077+IF(INDEX('Справочник по %'!B:B,(MATCH(A2077,'Справочник по %'!A:A,0)))="кол-во",B2077*INDEX('Справочник по %'!C:C,(MATCH(A2077,'Справочник по %'!A:A,0))),ОТЧЕТ!C2077*INDEX('Справочник по %'!C:C,(MATCH(A2077,'Справочник по %'!A:A,0))))/100</f>
        <v>554.4</v>
      </c>
      <c r="E2077" s="29">
        <f>IF(ОТЧЕТ!A2077="SKU3",C2077+ОТЧЕТ!C2077*0.2,C2077+ОТЧЕТ!C2077*0.15)</f>
        <v>579.6</v>
      </c>
      <c r="F2077" s="7" t="s">
        <v>4148</v>
      </c>
      <c r="G2077" s="7">
        <v>6162043915</v>
      </c>
      <c r="H2077" s="20" t="s">
        <v>4163</v>
      </c>
      <c r="I2077" s="22">
        <f>INDEX('Справочник Сети'!B:B,(MATCH(G2077,'Справочник Сети'!C:C,0)))</f>
        <v>0</v>
      </c>
      <c r="J2077" s="7" t="s">
        <v>520</v>
      </c>
      <c r="K2077" s="7" t="s">
        <v>3568</v>
      </c>
      <c r="L2077" s="7" t="s">
        <v>520</v>
      </c>
      <c r="M2077" s="31">
        <v>45697</v>
      </c>
      <c r="N2077" s="7" t="s">
        <v>4164</v>
      </c>
      <c r="O2077" s="8">
        <v>3427</v>
      </c>
      <c r="P2077" s="24">
        <v>7997</v>
      </c>
      <c r="Q2077" s="22">
        <f>IF(COUNTIFS(A$2:A2077,A2077,I$2:I2077,I2077)=1,1,0)</f>
        <v>0</v>
      </c>
      <c r="R2077" s="22">
        <f t="shared" si="32"/>
        <v>1</v>
      </c>
      <c r="S2077" s="33">
        <f>IF(COUNTIF(O$2:O2077,O2077)=1,R2077,0)/2.5</f>
        <v>0.4</v>
      </c>
    </row>
    <row r="2078" spans="1:19" ht="18" customHeight="1" x14ac:dyDescent="0.25">
      <c r="A2078" s="7" t="s">
        <v>37</v>
      </c>
      <c r="B2078" s="8">
        <v>1</v>
      </c>
      <c r="C2078" s="9">
        <v>582</v>
      </c>
      <c r="D2078" s="29">
        <f>C2078+IF(INDEX('Справочник по %'!B:B,(MATCH(A2078,'Справочник по %'!A:A,0)))="кол-во",B2078*INDEX('Справочник по %'!C:C,(MATCH(A2078,'Справочник по %'!A:A,0))),ОТЧЕТ!C2078*INDEX('Справочник по %'!C:C,(MATCH(A2078,'Справочник по %'!A:A,0))))/100</f>
        <v>582.20000000000005</v>
      </c>
      <c r="E2078" s="29">
        <f>IF(ОТЧЕТ!A2078="SKU3",C2078+ОТЧЕТ!C2078*0.2,C2078+ОТЧЕТ!C2078*0.15)</f>
        <v>669.3</v>
      </c>
      <c r="F2078" s="7" t="s">
        <v>4148</v>
      </c>
      <c r="G2078" s="7">
        <v>7204146152</v>
      </c>
      <c r="H2078" s="20" t="s">
        <v>103</v>
      </c>
      <c r="I2078" s="22" t="str">
        <f>INDEX('Справочник Сети'!B:B,(MATCH(G2078,'Справочник Сети'!C:C,0)))</f>
        <v>36,6</v>
      </c>
      <c r="J2078" s="7" t="s">
        <v>104</v>
      </c>
      <c r="K2078" s="7" t="s">
        <v>825</v>
      </c>
      <c r="L2078" s="7" t="s">
        <v>106</v>
      </c>
      <c r="M2078" s="31">
        <v>45694</v>
      </c>
      <c r="N2078" s="7" t="s">
        <v>4165</v>
      </c>
      <c r="O2078" s="8">
        <v>1683</v>
      </c>
      <c r="P2078" s="24">
        <v>7998</v>
      </c>
      <c r="Q2078" s="22">
        <f>IF(COUNTIFS(A$2:A2078,A2078,I$2:I2078,I2078)=1,1,0)</f>
        <v>0</v>
      </c>
      <c r="R2078" s="22">
        <f t="shared" si="32"/>
        <v>9</v>
      </c>
      <c r="S2078" s="33">
        <f>IF(COUNTIF(O$2:O2078,O2078)=1,R2078,0)/2.5</f>
        <v>0</v>
      </c>
    </row>
    <row r="2079" spans="1:19" ht="18" customHeight="1" x14ac:dyDescent="0.25">
      <c r="A2079" s="7" t="s">
        <v>43</v>
      </c>
      <c r="B2079" s="8">
        <v>1</v>
      </c>
      <c r="C2079" s="9">
        <v>379</v>
      </c>
      <c r="D2079" s="29">
        <f>C2079+IF(INDEX('Справочник по %'!B:B,(MATCH(A2079,'Справочник по %'!A:A,0)))="кол-во",B2079*INDEX('Справочник по %'!C:C,(MATCH(A2079,'Справочник по %'!A:A,0))),ОТЧЕТ!C2079*INDEX('Справочник по %'!C:C,(MATCH(A2079,'Справочник по %'!A:A,0))))/100</f>
        <v>416.9</v>
      </c>
      <c r="E2079" s="29">
        <f>IF(ОТЧЕТ!A2079="SKU3",C2079+ОТЧЕТ!C2079*0.2,C2079+ОТЧЕТ!C2079*0.15)</f>
        <v>435.85</v>
      </c>
      <c r="F2079" s="7" t="s">
        <v>4148</v>
      </c>
      <c r="G2079" s="7">
        <v>7732121736</v>
      </c>
      <c r="H2079" s="20" t="s">
        <v>4166</v>
      </c>
      <c r="I2079" s="22" t="str">
        <f>INDEX('Справочник Сети'!B:B,(MATCH(G2079,'Справочник Сети'!C:C,0)))</f>
        <v>Планета здоровья</v>
      </c>
      <c r="J2079" s="7" t="s">
        <v>149</v>
      </c>
      <c r="K2079" s="7" t="s">
        <v>788</v>
      </c>
      <c r="L2079" s="7" t="s">
        <v>149</v>
      </c>
      <c r="M2079" s="31">
        <v>45673</v>
      </c>
      <c r="N2079" s="7" t="s">
        <v>2305</v>
      </c>
      <c r="O2079" s="8">
        <v>3664</v>
      </c>
      <c r="P2079" s="24">
        <v>8000</v>
      </c>
      <c r="Q2079" s="22">
        <f>IF(COUNTIFS(A$2:A2079,A2079,I$2:I2079,I2079)=1,1,0)</f>
        <v>0</v>
      </c>
      <c r="R2079" s="22">
        <f t="shared" si="32"/>
        <v>4</v>
      </c>
      <c r="S2079" s="33">
        <f>IF(COUNTIF(O$2:O2079,O2079)=1,R2079,0)/2.5</f>
        <v>1.6</v>
      </c>
    </row>
    <row r="2080" spans="1:19" ht="18" customHeight="1" x14ac:dyDescent="0.25">
      <c r="A2080" s="7" t="s">
        <v>37</v>
      </c>
      <c r="B2080" s="8">
        <v>1</v>
      </c>
      <c r="C2080" s="9">
        <v>650</v>
      </c>
      <c r="D2080" s="29">
        <f>C2080+IF(INDEX('Справочник по %'!B:B,(MATCH(A2080,'Справочник по %'!A:A,0)))="кол-во",B2080*INDEX('Справочник по %'!C:C,(MATCH(A2080,'Справочник по %'!A:A,0))),ОТЧЕТ!C2080*INDEX('Справочник по %'!C:C,(MATCH(A2080,'Справочник по %'!A:A,0))))/100</f>
        <v>650.20000000000005</v>
      </c>
      <c r="E2080" s="29">
        <f>IF(ОТЧЕТ!A2080="SKU3",C2080+ОТЧЕТ!C2080*0.2,C2080+ОТЧЕТ!C2080*0.15)</f>
        <v>747.5</v>
      </c>
      <c r="F2080" s="7" t="s">
        <v>4148</v>
      </c>
      <c r="G2080" s="7">
        <v>4222016270</v>
      </c>
      <c r="H2080" s="20" t="s">
        <v>2272</v>
      </c>
      <c r="I2080" s="22" t="str">
        <f>INDEX('Справочник Сети'!B:B,(MATCH(G2080,'Справочник Сети'!C:C,0)))</f>
        <v>Столички</v>
      </c>
      <c r="J2080" s="7" t="s">
        <v>155</v>
      </c>
      <c r="K2080" s="7" t="s">
        <v>1757</v>
      </c>
      <c r="L2080" s="7" t="s">
        <v>155</v>
      </c>
      <c r="M2080" s="31">
        <v>45716</v>
      </c>
      <c r="N2080" s="7" t="s">
        <v>4167</v>
      </c>
      <c r="O2080" s="8">
        <v>3109</v>
      </c>
      <c r="P2080" s="24">
        <v>8002</v>
      </c>
      <c r="Q2080" s="22">
        <f>IF(COUNTIFS(A$2:A2080,A2080,I$2:I2080,I2080)=1,1,0)</f>
        <v>0</v>
      </c>
      <c r="R2080" s="22">
        <f t="shared" si="32"/>
        <v>5</v>
      </c>
      <c r="S2080" s="33">
        <f>IF(COUNTIF(O$2:O2080,O2080)=1,R2080,0)/2.5</f>
        <v>0</v>
      </c>
    </row>
    <row r="2081" spans="1:19" ht="18" customHeight="1" x14ac:dyDescent="0.25">
      <c r="A2081" s="7" t="s">
        <v>43</v>
      </c>
      <c r="B2081" s="8">
        <v>1</v>
      </c>
      <c r="C2081" s="9">
        <v>490</v>
      </c>
      <c r="D2081" s="29">
        <f>C2081+IF(INDEX('Справочник по %'!B:B,(MATCH(A2081,'Справочник по %'!A:A,0)))="кол-во",B2081*INDEX('Справочник по %'!C:C,(MATCH(A2081,'Справочник по %'!A:A,0))),ОТЧЕТ!C2081*INDEX('Справочник по %'!C:C,(MATCH(A2081,'Справочник по %'!A:A,0))))/100</f>
        <v>539</v>
      </c>
      <c r="E2081" s="29">
        <f>IF(ОТЧЕТ!A2081="SKU3",C2081+ОТЧЕТ!C2081*0.2,C2081+ОТЧЕТ!C2081*0.15)</f>
        <v>563.5</v>
      </c>
      <c r="F2081" s="7" t="s">
        <v>4148</v>
      </c>
      <c r="G2081" s="7">
        <v>4222016270</v>
      </c>
      <c r="H2081" s="20" t="s">
        <v>2272</v>
      </c>
      <c r="I2081" s="22" t="str">
        <f>INDEX('Справочник Сети'!B:B,(MATCH(G2081,'Справочник Сети'!C:C,0)))</f>
        <v>Столички</v>
      </c>
      <c r="J2081" s="7" t="s">
        <v>155</v>
      </c>
      <c r="K2081" s="7" t="s">
        <v>118</v>
      </c>
      <c r="L2081" s="7" t="s">
        <v>155</v>
      </c>
      <c r="M2081" s="31">
        <v>45716</v>
      </c>
      <c r="N2081" s="7" t="s">
        <v>4168</v>
      </c>
      <c r="O2081" s="8">
        <v>3109</v>
      </c>
      <c r="P2081" s="24">
        <v>8003</v>
      </c>
      <c r="Q2081" s="22">
        <f>IF(COUNTIFS(A$2:A2081,A2081,I$2:I2081,I2081)=1,1,0)</f>
        <v>0</v>
      </c>
      <c r="R2081" s="22">
        <f t="shared" si="32"/>
        <v>5</v>
      </c>
      <c r="S2081" s="33">
        <f>IF(COUNTIF(O$2:O2081,O2081)=1,R2081,0)/2.5</f>
        <v>0</v>
      </c>
    </row>
    <row r="2082" spans="1:19" ht="18" customHeight="1" x14ac:dyDescent="0.25">
      <c r="A2082" s="7" t="s">
        <v>43</v>
      </c>
      <c r="B2082" s="8">
        <v>1</v>
      </c>
      <c r="C2082" s="9">
        <v>479</v>
      </c>
      <c r="D2082" s="29">
        <f>C2082+IF(INDEX('Справочник по %'!B:B,(MATCH(A2082,'Справочник по %'!A:A,0)))="кол-во",B2082*INDEX('Справочник по %'!C:C,(MATCH(A2082,'Справочник по %'!A:A,0))),ОТЧЕТ!C2082*INDEX('Справочник по %'!C:C,(MATCH(A2082,'Справочник по %'!A:A,0))))/100</f>
        <v>526.9</v>
      </c>
      <c r="E2082" s="29">
        <f>IF(ОТЧЕТ!A2082="SKU3",C2082+ОТЧЕТ!C2082*0.2,C2082+ОТЧЕТ!C2082*0.15)</f>
        <v>550.85</v>
      </c>
      <c r="F2082" s="7" t="s">
        <v>4148</v>
      </c>
      <c r="G2082" s="7">
        <v>2224212012</v>
      </c>
      <c r="H2082" s="20" t="s">
        <v>50</v>
      </c>
      <c r="I2082" s="22">
        <f>INDEX('Справочник Сети'!B:B,(MATCH(G2082,'Справочник Сети'!C:C,0)))</f>
        <v>0</v>
      </c>
      <c r="J2082" s="7" t="s">
        <v>372</v>
      </c>
      <c r="K2082" s="7" t="s">
        <v>3085</v>
      </c>
      <c r="L2082" s="7" t="s">
        <v>372</v>
      </c>
      <c r="M2082" s="31">
        <v>45730</v>
      </c>
      <c r="N2082" s="7" t="s">
        <v>4169</v>
      </c>
      <c r="O2082" s="8">
        <v>172</v>
      </c>
      <c r="P2082" s="24">
        <v>8004</v>
      </c>
      <c r="Q2082" s="22">
        <f>IF(COUNTIFS(A$2:A2082,A2082,I$2:I2082,I2082)=1,1,0)</f>
        <v>0</v>
      </c>
      <c r="R2082" s="22">
        <f t="shared" si="32"/>
        <v>1</v>
      </c>
      <c r="S2082" s="33">
        <f>IF(COUNTIF(O$2:O2082,O2082)=1,R2082,0)/2.5</f>
        <v>0.4</v>
      </c>
    </row>
    <row r="2083" spans="1:19" ht="18" customHeight="1" x14ac:dyDescent="0.25">
      <c r="A2083" s="7" t="s">
        <v>43</v>
      </c>
      <c r="B2083" s="8">
        <v>1</v>
      </c>
      <c r="C2083" s="9">
        <v>516</v>
      </c>
      <c r="D2083" s="29">
        <f>C2083+IF(INDEX('Справочник по %'!B:B,(MATCH(A2083,'Справочник по %'!A:A,0)))="кол-во",B2083*INDEX('Справочник по %'!C:C,(MATCH(A2083,'Справочник по %'!A:A,0))),ОТЧЕТ!C2083*INDEX('Справочник по %'!C:C,(MATCH(A2083,'Справочник по %'!A:A,0))))/100</f>
        <v>567.6</v>
      </c>
      <c r="E2083" s="29">
        <f>IF(ОТЧЕТ!A2083="SKU3",C2083+ОТЧЕТ!C2083*0.2,C2083+ОТЧЕТ!C2083*0.15)</f>
        <v>593.4</v>
      </c>
      <c r="F2083" s="7" t="s">
        <v>4148</v>
      </c>
      <c r="G2083" s="7">
        <v>4707025487</v>
      </c>
      <c r="H2083" s="20" t="s">
        <v>50</v>
      </c>
      <c r="I2083" s="22">
        <f>INDEX('Справочник Сети'!B:B,(MATCH(G2083,'Справочник Сети'!C:C,0)))</f>
        <v>0</v>
      </c>
      <c r="J2083" s="7" t="s">
        <v>83</v>
      </c>
      <c r="K2083" s="7" t="s">
        <v>1054</v>
      </c>
      <c r="L2083" s="7" t="s">
        <v>83</v>
      </c>
      <c r="M2083" s="31">
        <v>45715</v>
      </c>
      <c r="N2083" s="7" t="s">
        <v>4170</v>
      </c>
      <c r="O2083" s="8">
        <v>3334</v>
      </c>
      <c r="P2083" s="24">
        <v>8013</v>
      </c>
      <c r="Q2083" s="22">
        <f>IF(COUNTIFS(A$2:A2083,A2083,I$2:I2083,I2083)=1,1,0)</f>
        <v>0</v>
      </c>
      <c r="R2083" s="22">
        <f t="shared" si="32"/>
        <v>6</v>
      </c>
      <c r="S2083" s="33">
        <f>IF(COUNTIF(O$2:O2083,O2083)=1,R2083,0)/2.5</f>
        <v>0</v>
      </c>
    </row>
    <row r="2084" spans="1:19" ht="18" customHeight="1" x14ac:dyDescent="0.25">
      <c r="A2084" s="7" t="s">
        <v>43</v>
      </c>
      <c r="B2084" s="8">
        <v>1</v>
      </c>
      <c r="C2084" s="9">
        <v>409.53</v>
      </c>
      <c r="D2084" s="29">
        <f>C2084+IF(INDEX('Справочник по %'!B:B,(MATCH(A2084,'Справочник по %'!A:A,0)))="кол-во",B2084*INDEX('Справочник по %'!C:C,(MATCH(A2084,'Справочник по %'!A:A,0))),ОТЧЕТ!C2084*INDEX('Справочник по %'!C:C,(MATCH(A2084,'Справочник по %'!A:A,0))))/100</f>
        <v>450.48299999999995</v>
      </c>
      <c r="E2084" s="29">
        <f>IF(ОТЧЕТ!A2084="SKU3",C2084+ОТЧЕТ!C2084*0.2,C2084+ОТЧЕТ!C2084*0.15)</f>
        <v>470.95949999999993</v>
      </c>
      <c r="F2084" s="7" t="s">
        <v>4148</v>
      </c>
      <c r="G2084" s="7">
        <v>2629011770</v>
      </c>
      <c r="H2084" s="20" t="s">
        <v>1578</v>
      </c>
      <c r="I2084" s="22" t="str">
        <f>INDEX('Справочник Сети'!B:B,(MATCH(G2084,'Справочник Сети'!C:C,0)))</f>
        <v>Столички</v>
      </c>
      <c r="J2084" s="7" t="s">
        <v>46</v>
      </c>
      <c r="K2084" s="7" t="s">
        <v>3545</v>
      </c>
      <c r="L2084" s="7" t="s">
        <v>46</v>
      </c>
      <c r="M2084" s="31">
        <v>45726</v>
      </c>
      <c r="N2084" s="7" t="s">
        <v>4171</v>
      </c>
      <c r="O2084" s="8">
        <v>3483</v>
      </c>
      <c r="P2084" s="24">
        <v>8015</v>
      </c>
      <c r="Q2084" s="22">
        <f>IF(COUNTIFS(A$2:A2084,A2084,I$2:I2084,I2084)=1,1,0)</f>
        <v>0</v>
      </c>
      <c r="R2084" s="22">
        <f t="shared" si="32"/>
        <v>3</v>
      </c>
      <c r="S2084" s="33">
        <f>IF(COUNTIF(O$2:O2084,O2084)=1,R2084,0)/2.5</f>
        <v>0</v>
      </c>
    </row>
    <row r="2085" spans="1:19" ht="18" customHeight="1" x14ac:dyDescent="0.25">
      <c r="A2085" s="7" t="s">
        <v>43</v>
      </c>
      <c r="B2085" s="8">
        <v>1</v>
      </c>
      <c r="C2085" s="9">
        <v>510</v>
      </c>
      <c r="D2085" s="29">
        <f>C2085+IF(INDEX('Справочник по %'!B:B,(MATCH(A2085,'Справочник по %'!A:A,0)))="кол-во",B2085*INDEX('Справочник по %'!C:C,(MATCH(A2085,'Справочник по %'!A:A,0))),ОТЧЕТ!C2085*INDEX('Справочник по %'!C:C,(MATCH(A2085,'Справочник по %'!A:A,0))))/100</f>
        <v>561</v>
      </c>
      <c r="E2085" s="29">
        <f>IF(ОТЧЕТ!A2085="SKU3",C2085+ОТЧЕТ!C2085*0.2,C2085+ОТЧЕТ!C2085*0.15)</f>
        <v>586.5</v>
      </c>
      <c r="F2085" s="7" t="s">
        <v>4148</v>
      </c>
      <c r="G2085" s="7">
        <v>7731334851</v>
      </c>
      <c r="H2085" s="20" t="s">
        <v>1139</v>
      </c>
      <c r="I2085" s="22" t="str">
        <f>INDEX('Справочник Сети'!B:B,(MATCH(G2085,'Справочник Сети'!C:C,0)))</f>
        <v>Планета здоровья</v>
      </c>
      <c r="J2085" s="7" t="s">
        <v>142</v>
      </c>
      <c r="K2085" s="7" t="s">
        <v>578</v>
      </c>
      <c r="L2085" s="7" t="s">
        <v>142</v>
      </c>
      <c r="M2085" s="31">
        <v>45674</v>
      </c>
      <c r="N2085" s="7" t="s">
        <v>4172</v>
      </c>
      <c r="O2085" s="8">
        <v>1763</v>
      </c>
      <c r="P2085" s="24">
        <v>8017</v>
      </c>
      <c r="Q2085" s="22">
        <f>IF(COUNTIFS(A$2:A2085,A2085,I$2:I2085,I2085)=1,1,0)</f>
        <v>0</v>
      </c>
      <c r="R2085" s="22">
        <f t="shared" si="32"/>
        <v>2</v>
      </c>
      <c r="S2085" s="33">
        <f>IF(COUNTIF(O$2:O2085,O2085)=1,R2085,0)/2.5</f>
        <v>0</v>
      </c>
    </row>
    <row r="2086" spans="1:19" ht="18" customHeight="1" x14ac:dyDescent="0.25">
      <c r="A2086" s="7" t="s">
        <v>43</v>
      </c>
      <c r="B2086" s="8">
        <v>1</v>
      </c>
      <c r="C2086" s="9">
        <v>325</v>
      </c>
      <c r="D2086" s="29">
        <f>C2086+IF(INDEX('Справочник по %'!B:B,(MATCH(A2086,'Справочник по %'!A:A,0)))="кол-во",B2086*INDEX('Справочник по %'!C:C,(MATCH(A2086,'Справочник по %'!A:A,0))),ОТЧЕТ!C2086*INDEX('Справочник по %'!C:C,(MATCH(A2086,'Справочник по %'!A:A,0))))/100</f>
        <v>357.5</v>
      </c>
      <c r="E2086" s="29">
        <f>IF(ОТЧЕТ!A2086="SKU3",C2086+ОТЧЕТ!C2086*0.2,C2086+ОТЧЕТ!C2086*0.15)</f>
        <v>373.75</v>
      </c>
      <c r="F2086" s="7" t="s">
        <v>4148</v>
      </c>
      <c r="G2086" s="7">
        <v>2373007595</v>
      </c>
      <c r="H2086" s="20" t="s">
        <v>3368</v>
      </c>
      <c r="I2086" s="22" t="str">
        <f>INDEX('Справочник Сети'!B:B,(MATCH(G2086,'Справочник Сети'!C:C,0)))</f>
        <v>Планета здоровья</v>
      </c>
      <c r="J2086" s="7" t="s">
        <v>96</v>
      </c>
      <c r="K2086" s="7" t="s">
        <v>996</v>
      </c>
      <c r="L2086" s="7" t="s">
        <v>96</v>
      </c>
      <c r="M2086" s="31">
        <v>45727</v>
      </c>
      <c r="N2086" s="7" t="s">
        <v>4173</v>
      </c>
      <c r="O2086" s="8">
        <v>2024</v>
      </c>
      <c r="P2086" s="24">
        <v>8021</v>
      </c>
      <c r="Q2086" s="22">
        <f>IF(COUNTIFS(A$2:A2086,A2086,I$2:I2086,I2086)=1,1,0)</f>
        <v>0</v>
      </c>
      <c r="R2086" s="22">
        <f t="shared" si="32"/>
        <v>1</v>
      </c>
      <c r="S2086" s="33">
        <f>IF(COUNTIF(O$2:O2086,O2086)=1,R2086,0)/2.5</f>
        <v>0.4</v>
      </c>
    </row>
    <row r="2087" spans="1:19" ht="18" customHeight="1" x14ac:dyDescent="0.25">
      <c r="A2087" s="7" t="s">
        <v>43</v>
      </c>
      <c r="B2087" s="8">
        <v>1</v>
      </c>
      <c r="C2087" s="9">
        <v>527</v>
      </c>
      <c r="D2087" s="29">
        <f>C2087+IF(INDEX('Справочник по %'!B:B,(MATCH(A2087,'Справочник по %'!A:A,0)))="кол-во",B2087*INDEX('Справочник по %'!C:C,(MATCH(A2087,'Справочник по %'!A:A,0))),ОТЧЕТ!C2087*INDEX('Справочник по %'!C:C,(MATCH(A2087,'Справочник по %'!A:A,0))))/100</f>
        <v>579.70000000000005</v>
      </c>
      <c r="E2087" s="29">
        <f>IF(ОТЧЕТ!A2087="SKU3",C2087+ОТЧЕТ!C2087*0.2,C2087+ОТЧЕТ!C2087*0.15)</f>
        <v>606.04999999999995</v>
      </c>
      <c r="F2087" s="7" t="s">
        <v>4148</v>
      </c>
      <c r="G2087" s="7">
        <v>5260408672</v>
      </c>
      <c r="H2087" s="20" t="s">
        <v>50</v>
      </c>
      <c r="I2087" s="22">
        <f>INDEX('Справочник Сети'!B:B,(MATCH(G2087,'Справочник Сети'!C:C,0)))</f>
        <v>0</v>
      </c>
      <c r="J2087" s="7" t="s">
        <v>92</v>
      </c>
      <c r="K2087" s="7" t="s">
        <v>1453</v>
      </c>
      <c r="L2087" s="7" t="s">
        <v>92</v>
      </c>
      <c r="M2087" s="31">
        <v>45714</v>
      </c>
      <c r="N2087" s="7" t="s">
        <v>4174</v>
      </c>
      <c r="O2087" s="8">
        <v>2271</v>
      </c>
      <c r="P2087" s="24">
        <v>8025</v>
      </c>
      <c r="Q2087" s="22">
        <f>IF(COUNTIFS(A$2:A2087,A2087,I$2:I2087,I2087)=1,1,0)</f>
        <v>0</v>
      </c>
      <c r="R2087" s="22">
        <f t="shared" si="32"/>
        <v>2</v>
      </c>
      <c r="S2087" s="33">
        <f>IF(COUNTIF(O$2:O2087,O2087)=1,R2087,0)/2.5</f>
        <v>0</v>
      </c>
    </row>
    <row r="2088" spans="1:19" ht="18" customHeight="1" x14ac:dyDescent="0.25">
      <c r="A2088" s="7" t="s">
        <v>43</v>
      </c>
      <c r="B2088" s="8">
        <v>1</v>
      </c>
      <c r="C2088" s="9">
        <v>467</v>
      </c>
      <c r="D2088" s="29">
        <f>C2088+IF(INDEX('Справочник по %'!B:B,(MATCH(A2088,'Справочник по %'!A:A,0)))="кол-во",B2088*INDEX('Справочник по %'!C:C,(MATCH(A2088,'Справочник по %'!A:A,0))),ОТЧЕТ!C2088*INDEX('Справочник по %'!C:C,(MATCH(A2088,'Справочник по %'!A:A,0))))/100</f>
        <v>513.70000000000005</v>
      </c>
      <c r="E2088" s="29">
        <f>IF(ОТЧЕТ!A2088="SKU3",C2088+ОТЧЕТ!C2088*0.2,C2088+ОТЧЕТ!C2088*0.15)</f>
        <v>537.04999999999995</v>
      </c>
      <c r="F2088" s="7" t="s">
        <v>4148</v>
      </c>
      <c r="G2088" s="7">
        <v>2466220291</v>
      </c>
      <c r="H2088" s="20" t="s">
        <v>69</v>
      </c>
      <c r="I2088" s="22">
        <f>INDEX('Справочник Сети'!B:B,(MATCH(G2088,'Справочник Сети'!C:C,0)))</f>
        <v>0</v>
      </c>
      <c r="J2088" s="7" t="s">
        <v>96</v>
      </c>
      <c r="K2088" s="7" t="s">
        <v>427</v>
      </c>
      <c r="L2088" s="7" t="s">
        <v>96</v>
      </c>
      <c r="M2088" s="31">
        <v>45727</v>
      </c>
      <c r="N2088" s="7" t="s">
        <v>4175</v>
      </c>
      <c r="O2088" s="8">
        <v>1656</v>
      </c>
      <c r="P2088" s="24">
        <v>8026</v>
      </c>
      <c r="Q2088" s="22">
        <f>IF(COUNTIFS(A$2:A2088,A2088,I$2:I2088,I2088)=1,1,0)</f>
        <v>0</v>
      </c>
      <c r="R2088" s="22">
        <f t="shared" si="32"/>
        <v>4</v>
      </c>
      <c r="S2088" s="33">
        <f>IF(COUNTIF(O$2:O2088,O2088)=1,R2088,0)/2.5</f>
        <v>0</v>
      </c>
    </row>
    <row r="2089" spans="1:19" ht="18" customHeight="1" x14ac:dyDescent="0.25">
      <c r="A2089" s="7" t="s">
        <v>43</v>
      </c>
      <c r="B2089" s="8">
        <v>1</v>
      </c>
      <c r="C2089" s="9">
        <v>452.99</v>
      </c>
      <c r="D2089" s="29">
        <f>C2089+IF(INDEX('Справочник по %'!B:B,(MATCH(A2089,'Справочник по %'!A:A,0)))="кол-во",B2089*INDEX('Справочник по %'!C:C,(MATCH(A2089,'Справочник по %'!A:A,0))),ОТЧЕТ!C2089*INDEX('Справочник по %'!C:C,(MATCH(A2089,'Справочник по %'!A:A,0))))/100</f>
        <v>498.28899999999999</v>
      </c>
      <c r="E2089" s="29">
        <f>IF(ОТЧЕТ!A2089="SKU3",C2089+ОТЧЕТ!C2089*0.2,C2089+ОТЧЕТ!C2089*0.15)</f>
        <v>520.93849999999998</v>
      </c>
      <c r="F2089" s="7" t="s">
        <v>4148</v>
      </c>
      <c r="G2089" s="7">
        <v>2466220291</v>
      </c>
      <c r="H2089" s="20" t="s">
        <v>69</v>
      </c>
      <c r="I2089" s="22">
        <f>INDEX('Справочник Сети'!B:B,(MATCH(G2089,'Справочник Сети'!C:C,0)))</f>
        <v>0</v>
      </c>
      <c r="J2089" s="7" t="s">
        <v>96</v>
      </c>
      <c r="K2089" s="7" t="s">
        <v>1165</v>
      </c>
      <c r="L2089" s="7" t="s">
        <v>96</v>
      </c>
      <c r="M2089" s="31">
        <v>45727</v>
      </c>
      <c r="N2089" s="7" t="s">
        <v>4176</v>
      </c>
      <c r="O2089" s="8">
        <v>1656</v>
      </c>
      <c r="P2089" s="24">
        <v>8027</v>
      </c>
      <c r="Q2089" s="22">
        <f>IF(COUNTIFS(A$2:A2089,A2089,I$2:I2089,I2089)=1,1,0)</f>
        <v>0</v>
      </c>
      <c r="R2089" s="22">
        <f t="shared" si="32"/>
        <v>4</v>
      </c>
      <c r="S2089" s="33">
        <f>IF(COUNTIF(O$2:O2089,O2089)=1,R2089,0)/2.5</f>
        <v>0</v>
      </c>
    </row>
    <row r="2090" spans="1:19" ht="18" customHeight="1" x14ac:dyDescent="0.25">
      <c r="A2090" s="7" t="s">
        <v>43</v>
      </c>
      <c r="B2090" s="8">
        <v>1</v>
      </c>
      <c r="C2090" s="9">
        <v>456.87</v>
      </c>
      <c r="D2090" s="29">
        <f>C2090+IF(INDEX('Справочник по %'!B:B,(MATCH(A2090,'Справочник по %'!A:A,0)))="кол-во",B2090*INDEX('Справочник по %'!C:C,(MATCH(A2090,'Справочник по %'!A:A,0))),ОТЧЕТ!C2090*INDEX('Справочник по %'!C:C,(MATCH(A2090,'Справочник по %'!A:A,0))))/100</f>
        <v>502.55700000000002</v>
      </c>
      <c r="E2090" s="29">
        <f>IF(ОТЧЕТ!A2090="SKU3",C2090+ОТЧЕТ!C2090*0.2,C2090+ОТЧЕТ!C2090*0.15)</f>
        <v>525.40049999999997</v>
      </c>
      <c r="F2090" s="7" t="s">
        <v>4148</v>
      </c>
      <c r="G2090" s="7">
        <v>2466220291</v>
      </c>
      <c r="H2090" s="20" t="s">
        <v>69</v>
      </c>
      <c r="I2090" s="22">
        <f>INDEX('Справочник Сети'!B:B,(MATCH(G2090,'Справочник Сети'!C:C,0)))</f>
        <v>0</v>
      </c>
      <c r="J2090" s="7" t="s">
        <v>96</v>
      </c>
      <c r="K2090" s="7" t="s">
        <v>2181</v>
      </c>
      <c r="L2090" s="7" t="s">
        <v>96</v>
      </c>
      <c r="M2090" s="31">
        <v>45727</v>
      </c>
      <c r="N2090" s="7" t="s">
        <v>4177</v>
      </c>
      <c r="O2090" s="8">
        <v>1656</v>
      </c>
      <c r="P2090" s="24">
        <v>8028</v>
      </c>
      <c r="Q2090" s="22">
        <f>IF(COUNTIFS(A$2:A2090,A2090,I$2:I2090,I2090)=1,1,0)</f>
        <v>0</v>
      </c>
      <c r="R2090" s="22">
        <f t="shared" si="32"/>
        <v>4</v>
      </c>
      <c r="S2090" s="33">
        <f>IF(COUNTIF(O$2:O2090,O2090)=1,R2090,0)/2.5</f>
        <v>0</v>
      </c>
    </row>
    <row r="2091" spans="1:19" ht="18" customHeight="1" x14ac:dyDescent="0.25">
      <c r="A2091" s="7" t="s">
        <v>43</v>
      </c>
      <c r="B2091" s="8">
        <v>1</v>
      </c>
      <c r="C2091" s="9">
        <v>404</v>
      </c>
      <c r="D2091" s="29">
        <f>C2091+IF(INDEX('Справочник по %'!B:B,(MATCH(A2091,'Справочник по %'!A:A,0)))="кол-во",B2091*INDEX('Справочник по %'!C:C,(MATCH(A2091,'Справочник по %'!A:A,0))),ОТЧЕТ!C2091*INDEX('Справочник по %'!C:C,(MATCH(A2091,'Справочник по %'!A:A,0))))/100</f>
        <v>444.4</v>
      </c>
      <c r="E2091" s="29">
        <f>IF(ОТЧЕТ!A2091="SKU3",C2091+ОТЧЕТ!C2091*0.2,C2091+ОТЧЕТ!C2091*0.15)</f>
        <v>464.6</v>
      </c>
      <c r="F2091" s="7" t="s">
        <v>4148</v>
      </c>
      <c r="G2091" s="7">
        <v>7705947629</v>
      </c>
      <c r="H2091" s="20" t="s">
        <v>64</v>
      </c>
      <c r="I2091" s="22" t="str">
        <f>INDEX('Справочник Сети'!B:B,(MATCH(G2091,'Справочник Сети'!C:C,0)))</f>
        <v>36,6</v>
      </c>
      <c r="J2091" s="7" t="s">
        <v>116</v>
      </c>
      <c r="K2091" s="7" t="s">
        <v>811</v>
      </c>
      <c r="L2091" s="7" t="s">
        <v>104</v>
      </c>
      <c r="M2091" s="31">
        <v>45693</v>
      </c>
      <c r="N2091" s="7" t="s">
        <v>4178</v>
      </c>
      <c r="O2091" s="8">
        <v>2571</v>
      </c>
      <c r="P2091" s="24">
        <v>8030</v>
      </c>
      <c r="Q2091" s="22">
        <f>IF(COUNTIFS(A$2:A2091,A2091,I$2:I2091,I2091)=1,1,0)</f>
        <v>0</v>
      </c>
      <c r="R2091" s="22">
        <f t="shared" si="32"/>
        <v>9</v>
      </c>
      <c r="S2091" s="33">
        <f>IF(COUNTIF(O$2:O2091,O2091)=1,R2091,0)/2.5</f>
        <v>0</v>
      </c>
    </row>
    <row r="2092" spans="1:19" ht="18" customHeight="1" x14ac:dyDescent="0.25">
      <c r="A2092" s="7" t="s">
        <v>43</v>
      </c>
      <c r="B2092" s="8">
        <v>1</v>
      </c>
      <c r="C2092" s="9">
        <v>448</v>
      </c>
      <c r="D2092" s="29">
        <f>C2092+IF(INDEX('Справочник по %'!B:B,(MATCH(A2092,'Справочник по %'!A:A,0)))="кол-во",B2092*INDEX('Справочник по %'!C:C,(MATCH(A2092,'Справочник по %'!A:A,0))),ОТЧЕТ!C2092*INDEX('Справочник по %'!C:C,(MATCH(A2092,'Справочник по %'!A:A,0))))/100</f>
        <v>492.8</v>
      </c>
      <c r="E2092" s="29">
        <f>IF(ОТЧЕТ!A2092="SKU3",C2092+ОТЧЕТ!C2092*0.2,C2092+ОТЧЕТ!C2092*0.15)</f>
        <v>515.20000000000005</v>
      </c>
      <c r="F2092" s="7" t="s">
        <v>4148</v>
      </c>
      <c r="G2092" s="7">
        <v>2310212231</v>
      </c>
      <c r="H2092" s="20" t="s">
        <v>69</v>
      </c>
      <c r="I2092" s="22" t="str">
        <f>INDEX('Справочник Сети'!B:B,(MATCH(G2092,'Справочник Сети'!C:C,0)))</f>
        <v>Нео-фарм</v>
      </c>
      <c r="J2092" s="7" t="s">
        <v>70</v>
      </c>
      <c r="K2092" s="7" t="s">
        <v>1131</v>
      </c>
      <c r="L2092" s="7" t="s">
        <v>70</v>
      </c>
      <c r="M2092" s="31">
        <v>45728</v>
      </c>
      <c r="N2092" s="7" t="s">
        <v>4179</v>
      </c>
      <c r="O2092" s="8">
        <v>3346</v>
      </c>
      <c r="P2092" s="24">
        <v>8031</v>
      </c>
      <c r="Q2092" s="22">
        <f>IF(COUNTIFS(A$2:A2092,A2092,I$2:I2092,I2092)=1,1,0)</f>
        <v>0</v>
      </c>
      <c r="R2092" s="22">
        <f t="shared" si="32"/>
        <v>2</v>
      </c>
      <c r="S2092" s="33">
        <f>IF(COUNTIF(O$2:O2092,O2092)=1,R2092,0)/2.5</f>
        <v>0.8</v>
      </c>
    </row>
    <row r="2093" spans="1:19" ht="18" customHeight="1" x14ac:dyDescent="0.25">
      <c r="A2093" s="7" t="s">
        <v>43</v>
      </c>
      <c r="B2093" s="8">
        <v>1</v>
      </c>
      <c r="C2093" s="9">
        <v>438</v>
      </c>
      <c r="D2093" s="29">
        <f>C2093+IF(INDEX('Справочник по %'!B:B,(MATCH(A2093,'Справочник по %'!A:A,0)))="кол-во",B2093*INDEX('Справочник по %'!C:C,(MATCH(A2093,'Справочник по %'!A:A,0))),ОТЧЕТ!C2093*INDEX('Справочник по %'!C:C,(MATCH(A2093,'Справочник по %'!A:A,0))))/100</f>
        <v>481.8</v>
      </c>
      <c r="E2093" s="29">
        <f>IF(ОТЧЕТ!A2093="SKU3",C2093+ОТЧЕТ!C2093*0.2,C2093+ОТЧЕТ!C2093*0.15)</f>
        <v>503.7</v>
      </c>
      <c r="F2093" s="7" t="s">
        <v>4148</v>
      </c>
      <c r="G2093" s="7">
        <v>366502131332</v>
      </c>
      <c r="H2093" s="20" t="s">
        <v>91</v>
      </c>
      <c r="I2093" s="22">
        <f>INDEX('Справочник Сети'!B:B,(MATCH(G2093,'Справочник Сети'!C:C,0)))</f>
        <v>0</v>
      </c>
      <c r="J2093" s="7" t="s">
        <v>110</v>
      </c>
      <c r="K2093" s="7" t="s">
        <v>817</v>
      </c>
      <c r="L2093" s="7" t="s">
        <v>110</v>
      </c>
      <c r="M2093" s="31">
        <v>45660</v>
      </c>
      <c r="N2093" s="7" t="s">
        <v>4180</v>
      </c>
      <c r="O2093" s="8">
        <v>2825</v>
      </c>
      <c r="P2093" s="24">
        <v>8032</v>
      </c>
      <c r="Q2093" s="22">
        <f>IF(COUNTIFS(A$2:A2093,A2093,I$2:I2093,I2093)=1,1,0)</f>
        <v>0</v>
      </c>
      <c r="R2093" s="22">
        <f t="shared" si="32"/>
        <v>1</v>
      </c>
      <c r="S2093" s="33">
        <f>IF(COUNTIF(O$2:O2093,O2093)=1,R2093,0)/2.5</f>
        <v>0.4</v>
      </c>
    </row>
    <row r="2094" spans="1:19" ht="18" customHeight="1" x14ac:dyDescent="0.25">
      <c r="A2094" s="7" t="s">
        <v>43</v>
      </c>
      <c r="B2094" s="8">
        <v>1</v>
      </c>
      <c r="C2094" s="9">
        <v>399</v>
      </c>
      <c r="D2094" s="29">
        <f>C2094+IF(INDEX('Справочник по %'!B:B,(MATCH(A2094,'Справочник по %'!A:A,0)))="кол-во",B2094*INDEX('Справочник по %'!C:C,(MATCH(A2094,'Справочник по %'!A:A,0))),ОТЧЕТ!C2094*INDEX('Справочник по %'!C:C,(MATCH(A2094,'Справочник по %'!A:A,0))))/100</f>
        <v>438.9</v>
      </c>
      <c r="E2094" s="29">
        <f>IF(ОТЧЕТ!A2094="SKU3",C2094+ОТЧЕТ!C2094*0.2,C2094+ОТЧЕТ!C2094*0.15)</f>
        <v>458.85</v>
      </c>
      <c r="F2094" s="7" t="s">
        <v>4148</v>
      </c>
      <c r="G2094" s="7">
        <v>7203473252</v>
      </c>
      <c r="H2094" s="20" t="s">
        <v>3533</v>
      </c>
      <c r="I2094" s="22" t="str">
        <f>INDEX('Справочник Сети'!B:B,(MATCH(G2094,'Справочник Сети'!C:C,0)))</f>
        <v>Столички</v>
      </c>
      <c r="J2094" s="7" t="s">
        <v>106</v>
      </c>
      <c r="K2094" s="7" t="s">
        <v>784</v>
      </c>
      <c r="L2094" s="7" t="s">
        <v>106</v>
      </c>
      <c r="M2094" s="31">
        <v>45694</v>
      </c>
      <c r="N2094" s="7" t="s">
        <v>4181</v>
      </c>
      <c r="O2094" s="8">
        <v>1490</v>
      </c>
      <c r="P2094" s="24">
        <v>8034</v>
      </c>
      <c r="Q2094" s="22">
        <f>IF(COUNTIFS(A$2:A2094,A2094,I$2:I2094,I2094)=1,1,0)</f>
        <v>0</v>
      </c>
      <c r="R2094" s="22">
        <f t="shared" si="32"/>
        <v>3</v>
      </c>
      <c r="S2094" s="33">
        <f>IF(COUNTIF(O$2:O2094,O2094)=1,R2094,0)/2.5</f>
        <v>1.2</v>
      </c>
    </row>
    <row r="2095" spans="1:19" ht="18" customHeight="1" x14ac:dyDescent="0.25">
      <c r="A2095" s="7" t="s">
        <v>43</v>
      </c>
      <c r="B2095" s="8">
        <v>1</v>
      </c>
      <c r="C2095" s="9">
        <v>399</v>
      </c>
      <c r="D2095" s="29">
        <f>C2095+IF(INDEX('Справочник по %'!B:B,(MATCH(A2095,'Справочник по %'!A:A,0)))="кол-во",B2095*INDEX('Справочник по %'!C:C,(MATCH(A2095,'Справочник по %'!A:A,0))),ОТЧЕТ!C2095*INDEX('Справочник по %'!C:C,(MATCH(A2095,'Справочник по %'!A:A,0))))/100</f>
        <v>438.9</v>
      </c>
      <c r="E2095" s="29">
        <f>IF(ОТЧЕТ!A2095="SKU3",C2095+ОТЧЕТ!C2095*0.2,C2095+ОТЧЕТ!C2095*0.15)</f>
        <v>458.85</v>
      </c>
      <c r="F2095" s="7" t="s">
        <v>4148</v>
      </c>
      <c r="G2095" s="7">
        <v>7203473252</v>
      </c>
      <c r="H2095" s="20" t="s">
        <v>3533</v>
      </c>
      <c r="I2095" s="22" t="str">
        <f>INDEX('Справочник Сети'!B:B,(MATCH(G2095,'Справочник Сети'!C:C,0)))</f>
        <v>Столички</v>
      </c>
      <c r="J2095" s="7" t="s">
        <v>106</v>
      </c>
      <c r="K2095" s="7" t="s">
        <v>2106</v>
      </c>
      <c r="L2095" s="7" t="s">
        <v>106</v>
      </c>
      <c r="M2095" s="31">
        <v>45694</v>
      </c>
      <c r="N2095" s="7" t="s">
        <v>4182</v>
      </c>
      <c r="O2095" s="8">
        <v>1490</v>
      </c>
      <c r="P2095" s="24">
        <v>8035</v>
      </c>
      <c r="Q2095" s="22">
        <f>IF(COUNTIFS(A$2:A2095,A2095,I$2:I2095,I2095)=1,1,0)</f>
        <v>0</v>
      </c>
      <c r="R2095" s="22">
        <f t="shared" si="32"/>
        <v>3</v>
      </c>
      <c r="S2095" s="33">
        <f>IF(COUNTIF(O$2:O2095,O2095)=1,R2095,0)/2.5</f>
        <v>0</v>
      </c>
    </row>
    <row r="2096" spans="1:19" ht="18" customHeight="1" x14ac:dyDescent="0.25">
      <c r="A2096" s="7" t="s">
        <v>43</v>
      </c>
      <c r="B2096" s="8">
        <v>1</v>
      </c>
      <c r="C2096" s="9">
        <v>399</v>
      </c>
      <c r="D2096" s="29">
        <f>C2096+IF(INDEX('Справочник по %'!B:B,(MATCH(A2096,'Справочник по %'!A:A,0)))="кол-во",B2096*INDEX('Справочник по %'!C:C,(MATCH(A2096,'Справочник по %'!A:A,0))),ОТЧЕТ!C2096*INDEX('Справочник по %'!C:C,(MATCH(A2096,'Справочник по %'!A:A,0))))/100</f>
        <v>438.9</v>
      </c>
      <c r="E2096" s="29">
        <f>IF(ОТЧЕТ!A2096="SKU3",C2096+ОТЧЕТ!C2096*0.2,C2096+ОТЧЕТ!C2096*0.15)</f>
        <v>458.85</v>
      </c>
      <c r="F2096" s="7" t="s">
        <v>4148</v>
      </c>
      <c r="G2096" s="7">
        <v>6903044867</v>
      </c>
      <c r="H2096" s="20" t="s">
        <v>4183</v>
      </c>
      <c r="I2096" s="22" t="str">
        <f>INDEX('Справочник Сети'!B:B,(MATCH(G2096,'Справочник Сети'!C:C,0)))</f>
        <v>Ригла</v>
      </c>
      <c r="J2096" s="7" t="s">
        <v>106</v>
      </c>
      <c r="K2096" s="7" t="s">
        <v>1631</v>
      </c>
      <c r="L2096" s="7" t="s">
        <v>106</v>
      </c>
      <c r="M2096" s="31">
        <v>45694</v>
      </c>
      <c r="N2096" s="7" t="s">
        <v>4184</v>
      </c>
      <c r="O2096" s="8">
        <v>1015</v>
      </c>
      <c r="P2096" s="24">
        <v>8039</v>
      </c>
      <c r="Q2096" s="22">
        <f>IF(COUNTIFS(A$2:A2096,A2096,I$2:I2096,I2096)=1,1,0)</f>
        <v>0</v>
      </c>
      <c r="R2096" s="22">
        <f t="shared" si="32"/>
        <v>1</v>
      </c>
      <c r="S2096" s="33">
        <f>IF(COUNTIF(O$2:O2096,O2096)=1,R2096,0)/2.5</f>
        <v>0.4</v>
      </c>
    </row>
    <row r="2097" spans="1:19" ht="18" customHeight="1" x14ac:dyDescent="0.25">
      <c r="A2097" s="7" t="s">
        <v>37</v>
      </c>
      <c r="B2097" s="8">
        <v>1</v>
      </c>
      <c r="C2097" s="9">
        <v>610</v>
      </c>
      <c r="D2097" s="29">
        <f>C2097+IF(INDEX('Справочник по %'!B:B,(MATCH(A2097,'Справочник по %'!A:A,0)))="кол-во",B2097*INDEX('Справочник по %'!C:C,(MATCH(A2097,'Справочник по %'!A:A,0))),ОТЧЕТ!C2097*INDEX('Справочник по %'!C:C,(MATCH(A2097,'Справочник по %'!A:A,0))))/100</f>
        <v>610.20000000000005</v>
      </c>
      <c r="E2097" s="29">
        <f>IF(ОТЧЕТ!A2097="SKU3",C2097+ОТЧЕТ!C2097*0.2,C2097+ОТЧЕТ!C2097*0.15)</f>
        <v>701.5</v>
      </c>
      <c r="F2097" s="7" t="s">
        <v>4148</v>
      </c>
      <c r="G2097" s="7">
        <v>6679106128</v>
      </c>
      <c r="H2097" s="20" t="s">
        <v>50</v>
      </c>
      <c r="I2097" s="22">
        <f>INDEX('Справочник Сети'!B:B,(MATCH(G2097,'Справочник Сети'!C:C,0)))</f>
        <v>0</v>
      </c>
      <c r="J2097" s="7" t="s">
        <v>106</v>
      </c>
      <c r="K2097" s="7" t="s">
        <v>337</v>
      </c>
      <c r="L2097" s="7" t="s">
        <v>133</v>
      </c>
      <c r="M2097" s="31">
        <v>45695</v>
      </c>
      <c r="N2097" s="7" t="s">
        <v>4185</v>
      </c>
      <c r="O2097" s="8">
        <v>3163</v>
      </c>
      <c r="P2097" s="24">
        <v>8044</v>
      </c>
      <c r="Q2097" s="22">
        <f>IF(COUNTIFS(A$2:A2097,A2097,I$2:I2097,I2097)=1,1,0)</f>
        <v>0</v>
      </c>
      <c r="R2097" s="22">
        <f t="shared" si="32"/>
        <v>2</v>
      </c>
      <c r="S2097" s="33">
        <f>IF(COUNTIF(O$2:O2097,O2097)=1,R2097,0)/2.5</f>
        <v>0</v>
      </c>
    </row>
    <row r="2098" spans="1:19" ht="18" customHeight="1" x14ac:dyDescent="0.25">
      <c r="A2098" s="7" t="s">
        <v>43</v>
      </c>
      <c r="B2098" s="8">
        <v>1</v>
      </c>
      <c r="C2098" s="9">
        <v>335</v>
      </c>
      <c r="D2098" s="29">
        <f>C2098+IF(INDEX('Справочник по %'!B:B,(MATCH(A2098,'Справочник по %'!A:A,0)))="кол-во",B2098*INDEX('Справочник по %'!C:C,(MATCH(A2098,'Справочник по %'!A:A,0))),ОТЧЕТ!C2098*INDEX('Справочник по %'!C:C,(MATCH(A2098,'Справочник по %'!A:A,0))))/100</f>
        <v>368.5</v>
      </c>
      <c r="E2098" s="29">
        <f>IF(ОТЧЕТ!A2098="SKU3",C2098+ОТЧЕТ!C2098*0.2,C2098+ОТЧЕТ!C2098*0.15)</f>
        <v>385.25</v>
      </c>
      <c r="F2098" s="7" t="s">
        <v>4186</v>
      </c>
      <c r="G2098" s="7">
        <v>344801920882</v>
      </c>
      <c r="H2098" s="20" t="s">
        <v>2388</v>
      </c>
      <c r="I2098" s="22">
        <f>INDEX('Справочник Сети'!B:B,(MATCH(G2098,'Справочник Сети'!C:C,0)))</f>
        <v>0</v>
      </c>
      <c r="J2098" s="7" t="s">
        <v>110</v>
      </c>
      <c r="K2098" s="7" t="s">
        <v>55</v>
      </c>
      <c r="L2098" s="7" t="s">
        <v>110</v>
      </c>
      <c r="M2098" s="31">
        <v>45660</v>
      </c>
      <c r="N2098" s="7" t="s">
        <v>4187</v>
      </c>
      <c r="O2098" s="8">
        <v>2212</v>
      </c>
      <c r="P2098" s="24">
        <v>8054</v>
      </c>
      <c r="Q2098" s="22">
        <f>IF(COUNTIFS(A$2:A2098,A2098,I$2:I2098,I2098)=1,1,0)</f>
        <v>0</v>
      </c>
      <c r="R2098" s="22">
        <f t="shared" si="32"/>
        <v>2</v>
      </c>
      <c r="S2098" s="33">
        <f>IF(COUNTIF(O$2:O2098,O2098)=1,R2098,0)/2.5</f>
        <v>0</v>
      </c>
    </row>
    <row r="2099" spans="1:19" ht="18" customHeight="1" x14ac:dyDescent="0.25">
      <c r="A2099" s="7" t="s">
        <v>43</v>
      </c>
      <c r="B2099" s="8">
        <v>1</v>
      </c>
      <c r="C2099" s="9">
        <v>347.07</v>
      </c>
      <c r="D2099" s="29">
        <f>C2099+IF(INDEX('Справочник по %'!B:B,(MATCH(A2099,'Справочник по %'!A:A,0)))="кол-во",B2099*INDEX('Справочник по %'!C:C,(MATCH(A2099,'Справочник по %'!A:A,0))),ОТЧЕТ!C2099*INDEX('Справочник по %'!C:C,(MATCH(A2099,'Справочник по %'!A:A,0))))/100</f>
        <v>381.77699999999999</v>
      </c>
      <c r="E2099" s="29">
        <f>IF(ОТЧЕТ!A2099="SKU3",C2099+ОТЧЕТ!C2099*0.2,C2099+ОТЧЕТ!C2099*0.15)</f>
        <v>399.13049999999998</v>
      </c>
      <c r="F2099" s="7" t="s">
        <v>4186</v>
      </c>
      <c r="G2099" s="7">
        <v>5902058784</v>
      </c>
      <c r="H2099" s="20" t="s">
        <v>39</v>
      </c>
      <c r="I2099" s="22" t="str">
        <f>INDEX('Справочник Сети'!B:B,(MATCH(G2099,'Справочник Сети'!C:C,0)))</f>
        <v>Планета здоровья</v>
      </c>
      <c r="J2099" s="7" t="s">
        <v>40</v>
      </c>
      <c r="K2099" s="7" t="s">
        <v>1178</v>
      </c>
      <c r="L2099" s="7" t="s">
        <v>40</v>
      </c>
      <c r="M2099" s="31">
        <v>45712</v>
      </c>
      <c r="N2099" s="7" t="s">
        <v>4188</v>
      </c>
      <c r="O2099" s="8">
        <v>1219</v>
      </c>
      <c r="P2099" s="24">
        <v>8059</v>
      </c>
      <c r="Q2099" s="22">
        <f>IF(COUNTIFS(A$2:A2099,A2099,I$2:I2099,I2099)=1,1,0)</f>
        <v>0</v>
      </c>
      <c r="R2099" s="22">
        <f t="shared" si="32"/>
        <v>1</v>
      </c>
      <c r="S2099" s="33">
        <f>IF(COUNTIF(O$2:O2099,O2099)=1,R2099,0)/2.5</f>
        <v>0.4</v>
      </c>
    </row>
    <row r="2100" spans="1:19" ht="18" customHeight="1" x14ac:dyDescent="0.25">
      <c r="A2100" s="7" t="s">
        <v>43</v>
      </c>
      <c r="B2100" s="8">
        <v>1</v>
      </c>
      <c r="C2100" s="9">
        <v>381.4</v>
      </c>
      <c r="D2100" s="29">
        <f>C2100+IF(INDEX('Справочник по %'!B:B,(MATCH(A2100,'Справочник по %'!A:A,0)))="кол-во",B2100*INDEX('Справочник по %'!C:C,(MATCH(A2100,'Справочник по %'!A:A,0))),ОТЧЕТ!C2100*INDEX('Справочник по %'!C:C,(MATCH(A2100,'Справочник по %'!A:A,0))))/100</f>
        <v>419.53999999999996</v>
      </c>
      <c r="E2100" s="29">
        <f>IF(ОТЧЕТ!A2100="SKU3",C2100+ОТЧЕТ!C2100*0.2,C2100+ОТЧЕТ!C2100*0.15)</f>
        <v>438.60999999999996</v>
      </c>
      <c r="F2100" s="7" t="s">
        <v>4186</v>
      </c>
      <c r="G2100" s="7">
        <v>3801042576</v>
      </c>
      <c r="H2100" s="20" t="s">
        <v>2225</v>
      </c>
      <c r="I2100" s="22" t="str">
        <f>INDEX('Справочник Сети'!B:B,(MATCH(G2100,'Справочник Сети'!C:C,0)))</f>
        <v>Планета здоровья</v>
      </c>
      <c r="J2100" s="7" t="s">
        <v>65</v>
      </c>
      <c r="K2100" s="7" t="s">
        <v>246</v>
      </c>
      <c r="L2100" s="7" t="s">
        <v>65</v>
      </c>
      <c r="M2100" s="31">
        <v>45717</v>
      </c>
      <c r="N2100" s="7" t="s">
        <v>4189</v>
      </c>
      <c r="O2100" s="8">
        <v>3540</v>
      </c>
      <c r="P2100" s="24">
        <v>8060</v>
      </c>
      <c r="Q2100" s="22">
        <f>IF(COUNTIFS(A$2:A2100,A2100,I$2:I2100,I2100)=1,1,0)</f>
        <v>0</v>
      </c>
      <c r="R2100" s="22">
        <f t="shared" si="32"/>
        <v>4</v>
      </c>
      <c r="S2100" s="33">
        <f>IF(COUNTIF(O$2:O2100,O2100)=1,R2100,0)/2.5</f>
        <v>0</v>
      </c>
    </row>
    <row r="2101" spans="1:19" ht="18" customHeight="1" x14ac:dyDescent="0.25">
      <c r="A2101" s="7" t="s">
        <v>43</v>
      </c>
      <c r="B2101" s="8">
        <v>1</v>
      </c>
      <c r="C2101" s="9">
        <v>304</v>
      </c>
      <c r="D2101" s="29">
        <f>C2101+IF(INDEX('Справочник по %'!B:B,(MATCH(A2101,'Справочник по %'!A:A,0)))="кол-во",B2101*INDEX('Справочник по %'!C:C,(MATCH(A2101,'Справочник по %'!A:A,0))),ОТЧЕТ!C2101*INDEX('Справочник по %'!C:C,(MATCH(A2101,'Справочник по %'!A:A,0))))/100</f>
        <v>334.4</v>
      </c>
      <c r="E2101" s="29">
        <f>IF(ОТЧЕТ!A2101="SKU3",C2101+ОТЧЕТ!C2101*0.2,C2101+ОТЧЕТ!C2101*0.15)</f>
        <v>349.6</v>
      </c>
      <c r="F2101" s="7" t="s">
        <v>4186</v>
      </c>
      <c r="G2101" s="7">
        <v>2308120424</v>
      </c>
      <c r="H2101" s="20" t="s">
        <v>50</v>
      </c>
      <c r="I2101" s="22">
        <f>INDEX('Справочник Сети'!B:B,(MATCH(G2101,'Справочник Сети'!C:C,0)))</f>
        <v>0</v>
      </c>
      <c r="J2101" s="7" t="s">
        <v>57</v>
      </c>
      <c r="K2101" s="7" t="s">
        <v>505</v>
      </c>
      <c r="L2101" s="7" t="s">
        <v>372</v>
      </c>
      <c r="M2101" s="31">
        <v>45730</v>
      </c>
      <c r="N2101" s="7" t="s">
        <v>4190</v>
      </c>
      <c r="O2101" s="8">
        <v>3516</v>
      </c>
      <c r="P2101" s="24">
        <v>8061</v>
      </c>
      <c r="Q2101" s="22">
        <f>IF(COUNTIFS(A$2:A2101,A2101,I$2:I2101,I2101)=1,1,0)</f>
        <v>0</v>
      </c>
      <c r="R2101" s="22">
        <f t="shared" si="32"/>
        <v>1</v>
      </c>
      <c r="S2101" s="33">
        <f>IF(COUNTIF(O$2:O2101,O2101)=1,R2101,0)/2.5</f>
        <v>0.4</v>
      </c>
    </row>
    <row r="2102" spans="1:19" ht="18" customHeight="1" x14ac:dyDescent="0.25">
      <c r="A2102" s="7" t="s">
        <v>37</v>
      </c>
      <c r="B2102" s="8">
        <v>1</v>
      </c>
      <c r="C2102" s="9">
        <v>549</v>
      </c>
      <c r="D2102" s="29">
        <f>C2102+IF(INDEX('Справочник по %'!B:B,(MATCH(A2102,'Справочник по %'!A:A,0)))="кол-во",B2102*INDEX('Справочник по %'!C:C,(MATCH(A2102,'Справочник по %'!A:A,0))),ОТЧЕТ!C2102*INDEX('Справочник по %'!C:C,(MATCH(A2102,'Справочник по %'!A:A,0))))/100</f>
        <v>549.20000000000005</v>
      </c>
      <c r="E2102" s="29">
        <f>IF(ОТЧЕТ!A2102="SKU3",C2102+ОТЧЕТ!C2102*0.2,C2102+ОТЧЕТ!C2102*0.15)</f>
        <v>631.35</v>
      </c>
      <c r="F2102" s="7" t="s">
        <v>4191</v>
      </c>
      <c r="G2102" s="7">
        <v>7204146152</v>
      </c>
      <c r="H2102" s="20" t="s">
        <v>103</v>
      </c>
      <c r="I2102" s="22" t="str">
        <f>INDEX('Справочник Сети'!B:B,(MATCH(G2102,'Справочник Сети'!C:C,0)))</f>
        <v>36,6</v>
      </c>
      <c r="J2102" s="7" t="s">
        <v>104</v>
      </c>
      <c r="K2102" s="7" t="s">
        <v>991</v>
      </c>
      <c r="L2102" s="7" t="s">
        <v>106</v>
      </c>
      <c r="M2102" s="31">
        <v>45694</v>
      </c>
      <c r="N2102" s="7" t="s">
        <v>4192</v>
      </c>
      <c r="O2102" s="8">
        <v>1072</v>
      </c>
      <c r="P2102" s="24">
        <v>8069</v>
      </c>
      <c r="Q2102" s="22">
        <f>IF(COUNTIFS(A$2:A2102,A2102,I$2:I2102,I2102)=1,1,0)</f>
        <v>0</v>
      </c>
      <c r="R2102" s="22">
        <f t="shared" si="32"/>
        <v>4</v>
      </c>
      <c r="S2102" s="33">
        <f>IF(COUNTIF(O$2:O2102,O2102)=1,R2102,0)/2.5</f>
        <v>0</v>
      </c>
    </row>
    <row r="2103" spans="1:19" ht="18" customHeight="1" x14ac:dyDescent="0.25">
      <c r="A2103" s="7" t="s">
        <v>43</v>
      </c>
      <c r="B2103" s="8">
        <v>1</v>
      </c>
      <c r="C2103" s="9">
        <v>394</v>
      </c>
      <c r="D2103" s="29">
        <f>C2103+IF(INDEX('Справочник по %'!B:B,(MATCH(A2103,'Справочник по %'!A:A,0)))="кол-во",B2103*INDEX('Справочник по %'!C:C,(MATCH(A2103,'Справочник по %'!A:A,0))),ОТЧЕТ!C2103*INDEX('Справочник по %'!C:C,(MATCH(A2103,'Справочник по %'!A:A,0))))/100</f>
        <v>433.4</v>
      </c>
      <c r="E2103" s="29">
        <f>IF(ОТЧЕТ!A2103="SKU3",C2103+ОТЧЕТ!C2103*0.2,C2103+ОТЧЕТ!C2103*0.15)</f>
        <v>453.1</v>
      </c>
      <c r="F2103" s="7" t="s">
        <v>4193</v>
      </c>
      <c r="G2103" s="7">
        <v>7728339546</v>
      </c>
      <c r="H2103" s="20" t="s">
        <v>2232</v>
      </c>
      <c r="I2103" s="22" t="str">
        <f>INDEX('Справочник Сети'!B:B,(MATCH(G2103,'Справочник Сети'!C:C,0)))</f>
        <v>Планета здоровья</v>
      </c>
      <c r="J2103" s="7" t="s">
        <v>142</v>
      </c>
      <c r="K2103" s="7" t="s">
        <v>1028</v>
      </c>
      <c r="L2103" s="7" t="s">
        <v>142</v>
      </c>
      <c r="M2103" s="31">
        <v>45674</v>
      </c>
      <c r="N2103" s="7" t="s">
        <v>4194</v>
      </c>
      <c r="O2103" s="8">
        <v>3034</v>
      </c>
      <c r="P2103" s="24">
        <v>8070</v>
      </c>
      <c r="Q2103" s="22">
        <f>IF(COUNTIFS(A$2:A2103,A2103,I$2:I2103,I2103)=1,1,0)</f>
        <v>0</v>
      </c>
      <c r="R2103" s="22">
        <f t="shared" si="32"/>
        <v>7</v>
      </c>
      <c r="S2103" s="33">
        <f>IF(COUNTIF(O$2:O2103,O2103)=1,R2103,0)/2.5</f>
        <v>0</v>
      </c>
    </row>
    <row r="2104" spans="1:19" ht="18" customHeight="1" x14ac:dyDescent="0.25">
      <c r="A2104" s="7" t="s">
        <v>43</v>
      </c>
      <c r="B2104" s="8">
        <v>1</v>
      </c>
      <c r="C2104" s="9">
        <v>399.6</v>
      </c>
      <c r="D2104" s="29">
        <f>C2104+IF(INDEX('Справочник по %'!B:B,(MATCH(A2104,'Справочник по %'!A:A,0)))="кол-во",B2104*INDEX('Справочник по %'!C:C,(MATCH(A2104,'Справочник по %'!A:A,0))),ОТЧЕТ!C2104*INDEX('Справочник по %'!C:C,(MATCH(A2104,'Справочник по %'!A:A,0))))/100</f>
        <v>439.56</v>
      </c>
      <c r="E2104" s="29">
        <f>IF(ОТЧЕТ!A2104="SKU3",C2104+ОТЧЕТ!C2104*0.2,C2104+ОТЧЕТ!C2104*0.15)</f>
        <v>459.54</v>
      </c>
      <c r="F2104" s="7" t="s">
        <v>4195</v>
      </c>
      <c r="G2104" s="7">
        <v>3801042576</v>
      </c>
      <c r="H2104" s="20" t="s">
        <v>64</v>
      </c>
      <c r="I2104" s="22" t="str">
        <f>INDEX('Справочник Сети'!B:B,(MATCH(G2104,'Справочник Сети'!C:C,0)))</f>
        <v>Планета здоровья</v>
      </c>
      <c r="J2104" s="7" t="s">
        <v>65</v>
      </c>
      <c r="K2104" s="7" t="s">
        <v>228</v>
      </c>
      <c r="L2104" s="7" t="s">
        <v>65</v>
      </c>
      <c r="M2104" s="31">
        <v>45717</v>
      </c>
      <c r="N2104" s="7" t="s">
        <v>4196</v>
      </c>
      <c r="O2104" s="8">
        <v>3072</v>
      </c>
      <c r="P2104" s="24">
        <v>8073</v>
      </c>
      <c r="Q2104" s="22">
        <f>IF(COUNTIFS(A$2:A2104,A2104,I$2:I2104,I2104)=1,1,0)</f>
        <v>0</v>
      </c>
      <c r="R2104" s="22">
        <f t="shared" si="32"/>
        <v>5</v>
      </c>
      <c r="S2104" s="33">
        <f>IF(COUNTIF(O$2:O2104,O2104)=1,R2104,0)/2.5</f>
        <v>0</v>
      </c>
    </row>
    <row r="2105" spans="1:19" ht="18" customHeight="1" x14ac:dyDescent="0.25">
      <c r="A2105" s="7" t="s">
        <v>43</v>
      </c>
      <c r="B2105" s="8">
        <v>1</v>
      </c>
      <c r="C2105" s="9">
        <v>527</v>
      </c>
      <c r="D2105" s="29">
        <f>C2105+IF(INDEX('Справочник по %'!B:B,(MATCH(A2105,'Справочник по %'!A:A,0)))="кол-во",B2105*INDEX('Справочник по %'!C:C,(MATCH(A2105,'Справочник по %'!A:A,0))),ОТЧЕТ!C2105*INDEX('Справочник по %'!C:C,(MATCH(A2105,'Справочник по %'!A:A,0))))/100</f>
        <v>579.70000000000005</v>
      </c>
      <c r="E2105" s="29">
        <f>IF(ОТЧЕТ!A2105="SKU3",C2105+ОТЧЕТ!C2105*0.2,C2105+ОТЧЕТ!C2105*0.15)</f>
        <v>606.04999999999995</v>
      </c>
      <c r="F2105" s="7" t="s">
        <v>4197</v>
      </c>
      <c r="G2105" s="7">
        <v>7705947629</v>
      </c>
      <c r="H2105" s="20" t="s">
        <v>50</v>
      </c>
      <c r="I2105" s="22" t="str">
        <f>INDEX('Справочник Сети'!B:B,(MATCH(G2105,'Справочник Сети'!C:C,0)))</f>
        <v>36,6</v>
      </c>
      <c r="J2105" s="7" t="s">
        <v>104</v>
      </c>
      <c r="K2105" s="7" t="s">
        <v>84</v>
      </c>
      <c r="L2105" s="7" t="s">
        <v>104</v>
      </c>
      <c r="M2105" s="31">
        <v>45693</v>
      </c>
      <c r="N2105" s="7" t="s">
        <v>4198</v>
      </c>
      <c r="O2105" s="8">
        <v>1629</v>
      </c>
      <c r="P2105" s="24">
        <v>8074</v>
      </c>
      <c r="Q2105" s="22">
        <f>IF(COUNTIFS(A$2:A2105,A2105,I$2:I2105,I2105)=1,1,0)</f>
        <v>0</v>
      </c>
      <c r="R2105" s="22">
        <f t="shared" si="32"/>
        <v>8</v>
      </c>
      <c r="S2105" s="33">
        <f>IF(COUNTIF(O$2:O2105,O2105)=1,R2105,0)/2.5</f>
        <v>0</v>
      </c>
    </row>
    <row r="2106" spans="1:19" ht="18" customHeight="1" x14ac:dyDescent="0.25">
      <c r="A2106" s="7" t="s">
        <v>43</v>
      </c>
      <c r="B2106" s="8">
        <v>1</v>
      </c>
      <c r="C2106" s="9">
        <v>407.06</v>
      </c>
      <c r="D2106" s="29">
        <f>C2106+IF(INDEX('Справочник по %'!B:B,(MATCH(A2106,'Справочник по %'!A:A,0)))="кол-во",B2106*INDEX('Справочник по %'!C:C,(MATCH(A2106,'Справочник по %'!A:A,0))),ОТЧЕТ!C2106*INDEX('Справочник по %'!C:C,(MATCH(A2106,'Справочник по %'!A:A,0))))/100</f>
        <v>447.76600000000002</v>
      </c>
      <c r="E2106" s="29">
        <f>IF(ОТЧЕТ!A2106="SKU3",C2106+ОТЧЕТ!C2106*0.2,C2106+ОТЧЕТ!C2106*0.15)</f>
        <v>468.11900000000003</v>
      </c>
      <c r="F2106" s="7" t="s">
        <v>4199</v>
      </c>
      <c r="G2106" s="7">
        <v>7705947629</v>
      </c>
      <c r="H2106" s="20" t="s">
        <v>50</v>
      </c>
      <c r="I2106" s="22" t="str">
        <f>INDEX('Справочник Сети'!B:B,(MATCH(G2106,'Справочник Сети'!C:C,0)))</f>
        <v>36,6</v>
      </c>
      <c r="J2106" s="7" t="s">
        <v>104</v>
      </c>
      <c r="K2106" s="7" t="s">
        <v>801</v>
      </c>
      <c r="L2106" s="7" t="s">
        <v>104</v>
      </c>
      <c r="M2106" s="31">
        <v>45693</v>
      </c>
      <c r="N2106" s="7" t="s">
        <v>3598</v>
      </c>
      <c r="O2106" s="8">
        <v>1629</v>
      </c>
      <c r="P2106" s="24">
        <v>8078</v>
      </c>
      <c r="Q2106" s="22">
        <f>IF(COUNTIFS(A$2:A2106,A2106,I$2:I2106,I2106)=1,1,0)</f>
        <v>0</v>
      </c>
      <c r="R2106" s="22">
        <f t="shared" si="32"/>
        <v>8</v>
      </c>
      <c r="S2106" s="33">
        <f>IF(COUNTIF(O$2:O2106,O2106)=1,R2106,0)/2.5</f>
        <v>0</v>
      </c>
    </row>
    <row r="2107" spans="1:19" ht="18" customHeight="1" x14ac:dyDescent="0.25">
      <c r="A2107" s="7" t="s">
        <v>43</v>
      </c>
      <c r="B2107" s="8">
        <v>1</v>
      </c>
      <c r="C2107" s="9">
        <v>527</v>
      </c>
      <c r="D2107" s="29">
        <f>C2107+IF(INDEX('Справочник по %'!B:B,(MATCH(A2107,'Справочник по %'!A:A,0)))="кол-во",B2107*INDEX('Справочник по %'!C:C,(MATCH(A2107,'Справочник по %'!A:A,0))),ОТЧЕТ!C2107*INDEX('Справочник по %'!C:C,(MATCH(A2107,'Справочник по %'!A:A,0))))/100</f>
        <v>579.70000000000005</v>
      </c>
      <c r="E2107" s="29">
        <f>IF(ОТЧЕТ!A2107="SKU3",C2107+ОТЧЕТ!C2107*0.2,C2107+ОТЧЕТ!C2107*0.15)</f>
        <v>606.04999999999995</v>
      </c>
      <c r="F2107" s="7" t="s">
        <v>4200</v>
      </c>
      <c r="G2107" s="7">
        <v>7705947629</v>
      </c>
      <c r="H2107" s="20" t="s">
        <v>50</v>
      </c>
      <c r="I2107" s="22" t="str">
        <f>INDEX('Справочник Сети'!B:B,(MATCH(G2107,'Справочник Сети'!C:C,0)))</f>
        <v>36,6</v>
      </c>
      <c r="J2107" s="7" t="s">
        <v>104</v>
      </c>
      <c r="K2107" s="7" t="s">
        <v>1678</v>
      </c>
      <c r="L2107" s="7" t="s">
        <v>104</v>
      </c>
      <c r="M2107" s="31">
        <v>45693</v>
      </c>
      <c r="N2107" s="7" t="s">
        <v>4201</v>
      </c>
      <c r="O2107" s="8">
        <v>1629</v>
      </c>
      <c r="P2107" s="24">
        <v>8079</v>
      </c>
      <c r="Q2107" s="22">
        <f>IF(COUNTIFS(A$2:A2107,A2107,I$2:I2107,I2107)=1,1,0)</f>
        <v>0</v>
      </c>
      <c r="R2107" s="22">
        <f t="shared" si="32"/>
        <v>8</v>
      </c>
      <c r="S2107" s="33">
        <f>IF(COUNTIF(O$2:O2107,O2107)=1,R2107,0)/2.5</f>
        <v>0</v>
      </c>
    </row>
    <row r="2108" spans="1:19" ht="18" customHeight="1" x14ac:dyDescent="0.25">
      <c r="A2108" s="7" t="s">
        <v>37</v>
      </c>
      <c r="B2108" s="8">
        <v>1</v>
      </c>
      <c r="C2108" s="9">
        <v>541</v>
      </c>
      <c r="D2108" s="29">
        <f>C2108+IF(INDEX('Справочник по %'!B:B,(MATCH(A2108,'Справочник по %'!A:A,0)))="кол-во",B2108*INDEX('Справочник по %'!C:C,(MATCH(A2108,'Справочник по %'!A:A,0))),ОТЧЕТ!C2108*INDEX('Справочник по %'!C:C,(MATCH(A2108,'Справочник по %'!A:A,0))))/100</f>
        <v>541.20000000000005</v>
      </c>
      <c r="E2108" s="29">
        <f>IF(ОТЧЕТ!A2108="SKU3",C2108+ОТЧЕТ!C2108*0.2,C2108+ОТЧЕТ!C2108*0.15)</f>
        <v>622.15</v>
      </c>
      <c r="F2108" s="7" t="s">
        <v>4202</v>
      </c>
      <c r="G2108" s="7">
        <v>7706795062</v>
      </c>
      <c r="H2108" s="20" t="s">
        <v>487</v>
      </c>
      <c r="I2108" s="22" t="str">
        <f>INDEX('Справочник Сети'!B:B,(MATCH(G2108,'Справочник Сети'!C:C,0)))</f>
        <v>Планета здоровья</v>
      </c>
      <c r="J2108" s="7" t="s">
        <v>87</v>
      </c>
      <c r="K2108" s="7" t="s">
        <v>644</v>
      </c>
      <c r="L2108" s="7" t="s">
        <v>116</v>
      </c>
      <c r="M2108" s="31">
        <v>45692</v>
      </c>
      <c r="N2108" s="7" t="s">
        <v>4203</v>
      </c>
      <c r="O2108" s="8">
        <v>1268</v>
      </c>
      <c r="P2108" s="24">
        <v>8080</v>
      </c>
      <c r="Q2108" s="22">
        <f>IF(COUNTIFS(A$2:A2108,A2108,I$2:I2108,I2108)=1,1,0)</f>
        <v>0</v>
      </c>
      <c r="R2108" s="22">
        <f t="shared" si="32"/>
        <v>1</v>
      </c>
      <c r="S2108" s="33">
        <f>IF(COUNTIF(O$2:O2108,O2108)=1,R2108,0)/2.5</f>
        <v>0.4</v>
      </c>
    </row>
    <row r="2109" spans="1:19" ht="18" customHeight="1" x14ac:dyDescent="0.25">
      <c r="A2109" s="7" t="s">
        <v>43</v>
      </c>
      <c r="B2109" s="8">
        <v>1</v>
      </c>
      <c r="C2109" s="9">
        <v>440</v>
      </c>
      <c r="D2109" s="29">
        <f>C2109+IF(INDEX('Справочник по %'!B:B,(MATCH(A2109,'Справочник по %'!A:A,0)))="кол-во",B2109*INDEX('Справочник по %'!C:C,(MATCH(A2109,'Справочник по %'!A:A,0))),ОТЧЕТ!C2109*INDEX('Справочник по %'!C:C,(MATCH(A2109,'Справочник по %'!A:A,0))))/100</f>
        <v>484</v>
      </c>
      <c r="E2109" s="29">
        <f>IF(ОТЧЕТ!A2109="SKU3",C2109+ОТЧЕТ!C2109*0.2,C2109+ОТЧЕТ!C2109*0.15)</f>
        <v>506</v>
      </c>
      <c r="F2109" s="7" t="s">
        <v>4202</v>
      </c>
      <c r="G2109" s="7">
        <v>2222896536</v>
      </c>
      <c r="H2109" s="20" t="s">
        <v>50</v>
      </c>
      <c r="I2109" s="22" t="str">
        <f>INDEX('Справочник Сети'!B:B,(MATCH(G2109,'Справочник Сети'!C:C,0)))</f>
        <v>Нео-фарм</v>
      </c>
      <c r="J2109" s="7" t="s">
        <v>372</v>
      </c>
      <c r="K2109" s="7" t="s">
        <v>1720</v>
      </c>
      <c r="L2109" s="7" t="s">
        <v>372</v>
      </c>
      <c r="M2109" s="31">
        <v>45730</v>
      </c>
      <c r="N2109" s="7" t="s">
        <v>4204</v>
      </c>
      <c r="O2109" s="8">
        <v>151</v>
      </c>
      <c r="P2109" s="24">
        <v>8083</v>
      </c>
      <c r="Q2109" s="22">
        <f>IF(COUNTIFS(A$2:A2109,A2109,I$2:I2109,I2109)=1,1,0)</f>
        <v>0</v>
      </c>
      <c r="R2109" s="22">
        <f t="shared" si="32"/>
        <v>1</v>
      </c>
      <c r="S2109" s="33">
        <f>IF(COUNTIF(O$2:O2109,O2109)=1,R2109,0)/2.5</f>
        <v>0.4</v>
      </c>
    </row>
    <row r="2110" spans="1:19" ht="18" customHeight="1" x14ac:dyDescent="0.25">
      <c r="A2110" s="7" t="s">
        <v>43</v>
      </c>
      <c r="B2110" s="8">
        <v>1</v>
      </c>
      <c r="C2110" s="9">
        <v>376</v>
      </c>
      <c r="D2110" s="29">
        <f>C2110+IF(INDEX('Справочник по %'!B:B,(MATCH(A2110,'Справочник по %'!A:A,0)))="кол-во",B2110*INDEX('Справочник по %'!C:C,(MATCH(A2110,'Справочник по %'!A:A,0))),ОТЧЕТ!C2110*INDEX('Справочник по %'!C:C,(MATCH(A2110,'Справочник по %'!A:A,0))))/100</f>
        <v>413.6</v>
      </c>
      <c r="E2110" s="29">
        <f>IF(ОТЧЕТ!A2110="SKU3",C2110+ОТЧЕТ!C2110*0.2,C2110+ОТЧЕТ!C2110*0.15)</f>
        <v>432.4</v>
      </c>
      <c r="F2110" s="7" t="s">
        <v>4205</v>
      </c>
      <c r="G2110" s="7">
        <v>7706795062</v>
      </c>
      <c r="H2110" s="20" t="s">
        <v>188</v>
      </c>
      <c r="I2110" s="22" t="str">
        <f>INDEX('Справочник Сети'!B:B,(MATCH(G2110,'Справочник Сети'!C:C,0)))</f>
        <v>Планета здоровья</v>
      </c>
      <c r="J2110" s="7" t="s">
        <v>87</v>
      </c>
      <c r="K2110" s="7" t="s">
        <v>2374</v>
      </c>
      <c r="L2110" s="7" t="s">
        <v>116</v>
      </c>
      <c r="M2110" s="31">
        <v>45692</v>
      </c>
      <c r="N2110" s="7" t="s">
        <v>4206</v>
      </c>
      <c r="O2110" s="8">
        <v>364</v>
      </c>
      <c r="P2110" s="24">
        <v>8087</v>
      </c>
      <c r="Q2110" s="22">
        <f>IF(COUNTIFS(A$2:A2110,A2110,I$2:I2110,I2110)=1,1,0)</f>
        <v>0</v>
      </c>
      <c r="R2110" s="22">
        <f t="shared" si="32"/>
        <v>3</v>
      </c>
      <c r="S2110" s="33">
        <f>IF(COUNTIF(O$2:O2110,O2110)=1,R2110,0)/2.5</f>
        <v>0</v>
      </c>
    </row>
    <row r="2111" spans="1:19" ht="18" customHeight="1" x14ac:dyDescent="0.25">
      <c r="A2111" s="7" t="s">
        <v>43</v>
      </c>
      <c r="B2111" s="8">
        <v>1</v>
      </c>
      <c r="C2111" s="9">
        <v>432</v>
      </c>
      <c r="D2111" s="29">
        <f>C2111+IF(INDEX('Справочник по %'!B:B,(MATCH(A2111,'Справочник по %'!A:A,0)))="кол-во",B2111*INDEX('Справочник по %'!C:C,(MATCH(A2111,'Справочник по %'!A:A,0))),ОТЧЕТ!C2111*INDEX('Справочник по %'!C:C,(MATCH(A2111,'Справочник по %'!A:A,0))))/100</f>
        <v>475.2</v>
      </c>
      <c r="E2111" s="29">
        <f>IF(ОТЧЕТ!A2111="SKU3",C2111+ОТЧЕТ!C2111*0.2,C2111+ОТЧЕТ!C2111*0.15)</f>
        <v>496.8</v>
      </c>
      <c r="F2111" s="7" t="s">
        <v>4205</v>
      </c>
      <c r="G2111" s="7">
        <v>2465327355</v>
      </c>
      <c r="H2111" s="20" t="s">
        <v>50</v>
      </c>
      <c r="I2111" s="22" t="str">
        <f>INDEX('Справочник Сети'!B:B,(MATCH(G2111,'Справочник Сети'!C:C,0)))</f>
        <v>Планета здоровья</v>
      </c>
      <c r="J2111" s="7" t="s">
        <v>96</v>
      </c>
      <c r="K2111" s="7" t="s">
        <v>1720</v>
      </c>
      <c r="L2111" s="7" t="s">
        <v>96</v>
      </c>
      <c r="M2111" s="31">
        <v>45727</v>
      </c>
      <c r="N2111" s="7" t="s">
        <v>4207</v>
      </c>
      <c r="O2111" s="8">
        <v>3069</v>
      </c>
      <c r="P2111" s="24">
        <v>8088</v>
      </c>
      <c r="Q2111" s="22">
        <f>IF(COUNTIFS(A$2:A2111,A2111,I$2:I2111,I2111)=1,1,0)</f>
        <v>0</v>
      </c>
      <c r="R2111" s="22">
        <f t="shared" si="32"/>
        <v>4</v>
      </c>
      <c r="S2111" s="33">
        <f>IF(COUNTIF(O$2:O2111,O2111)=1,R2111,0)/2.5</f>
        <v>0</v>
      </c>
    </row>
    <row r="2112" spans="1:19" ht="18" customHeight="1" x14ac:dyDescent="0.25">
      <c r="A2112" s="7" t="s">
        <v>43</v>
      </c>
      <c r="B2112" s="8">
        <v>1</v>
      </c>
      <c r="C2112" s="9">
        <v>391.61</v>
      </c>
      <c r="D2112" s="29">
        <f>C2112+IF(INDEX('Справочник по %'!B:B,(MATCH(A2112,'Справочник по %'!A:A,0)))="кол-во",B2112*INDEX('Справочник по %'!C:C,(MATCH(A2112,'Справочник по %'!A:A,0))),ОТЧЕТ!C2112*INDEX('Справочник по %'!C:C,(MATCH(A2112,'Справочник по %'!A:A,0))))/100</f>
        <v>430.77100000000002</v>
      </c>
      <c r="E2112" s="29">
        <f>IF(ОТЧЕТ!A2112="SKU3",C2112+ОТЧЕТ!C2112*0.2,C2112+ОТЧЕТ!C2112*0.15)</f>
        <v>450.35149999999999</v>
      </c>
      <c r="F2112" s="7" t="s">
        <v>4205</v>
      </c>
      <c r="G2112" s="7">
        <v>5507102175</v>
      </c>
      <c r="H2112" s="20" t="s">
        <v>91</v>
      </c>
      <c r="I2112" s="22" t="str">
        <f>INDEX('Справочник Сети'!B:B,(MATCH(G2112,'Справочник Сети'!C:C,0)))</f>
        <v>Столички</v>
      </c>
      <c r="J2112" s="7" t="s">
        <v>255</v>
      </c>
      <c r="K2112" s="7" t="s">
        <v>3102</v>
      </c>
      <c r="L2112" s="7" t="s">
        <v>255</v>
      </c>
      <c r="M2112" s="31">
        <v>45713</v>
      </c>
      <c r="N2112" s="7" t="s">
        <v>4208</v>
      </c>
      <c r="O2112" s="8">
        <v>2523</v>
      </c>
      <c r="P2112" s="24">
        <v>8089</v>
      </c>
      <c r="Q2112" s="22">
        <f>IF(COUNTIFS(A$2:A2112,A2112,I$2:I2112,I2112)=1,1,0)</f>
        <v>0</v>
      </c>
      <c r="R2112" s="22">
        <f t="shared" si="32"/>
        <v>1</v>
      </c>
      <c r="S2112" s="33">
        <f>IF(COUNTIF(O$2:O2112,O2112)=1,R2112,0)/2.5</f>
        <v>0.4</v>
      </c>
    </row>
    <row r="2113" spans="1:19" ht="18" customHeight="1" x14ac:dyDescent="0.25">
      <c r="A2113" s="7" t="s">
        <v>43</v>
      </c>
      <c r="B2113" s="8">
        <v>1</v>
      </c>
      <c r="C2113" s="9">
        <v>391</v>
      </c>
      <c r="D2113" s="29">
        <f>C2113+IF(INDEX('Справочник по %'!B:B,(MATCH(A2113,'Справочник по %'!A:A,0)))="кол-во",B2113*INDEX('Справочник по %'!C:C,(MATCH(A2113,'Справочник по %'!A:A,0))),ОТЧЕТ!C2113*INDEX('Справочник по %'!C:C,(MATCH(A2113,'Справочник по %'!A:A,0))))/100</f>
        <v>430.1</v>
      </c>
      <c r="E2113" s="29">
        <f>IF(ОТЧЕТ!A2113="SKU3",C2113+ОТЧЕТ!C2113*0.2,C2113+ОТЧЕТ!C2113*0.15)</f>
        <v>449.65</v>
      </c>
      <c r="F2113" s="7" t="s">
        <v>4209</v>
      </c>
      <c r="G2113" s="7">
        <v>6350008920</v>
      </c>
      <c r="H2113" s="20" t="s">
        <v>50</v>
      </c>
      <c r="I2113" s="22">
        <f>INDEX('Справочник Сети'!B:B,(MATCH(G2113,'Справочник Сети'!C:C,0)))</f>
        <v>0</v>
      </c>
      <c r="J2113" s="7" t="s">
        <v>133</v>
      </c>
      <c r="K2113" s="7" t="s">
        <v>762</v>
      </c>
      <c r="L2113" s="7" t="s">
        <v>133</v>
      </c>
      <c r="M2113" s="31">
        <v>45695</v>
      </c>
      <c r="N2113" s="7" t="s">
        <v>4210</v>
      </c>
      <c r="O2113" s="8">
        <v>165</v>
      </c>
      <c r="P2113" s="24">
        <v>8093</v>
      </c>
      <c r="Q2113" s="22">
        <f>IF(COUNTIFS(A$2:A2113,A2113,I$2:I2113,I2113)=1,1,0)</f>
        <v>0</v>
      </c>
      <c r="R2113" s="22">
        <f t="shared" si="32"/>
        <v>1</v>
      </c>
      <c r="S2113" s="33">
        <f>IF(COUNTIF(O$2:O2113,O2113)=1,R2113,0)/2.5</f>
        <v>0.4</v>
      </c>
    </row>
    <row r="2114" spans="1:19" ht="18" customHeight="1" x14ac:dyDescent="0.25">
      <c r="A2114" s="7" t="s">
        <v>37</v>
      </c>
      <c r="B2114" s="8">
        <v>1</v>
      </c>
      <c r="C2114" s="9">
        <v>573</v>
      </c>
      <c r="D2114" s="29">
        <f>C2114+IF(INDEX('Справочник по %'!B:B,(MATCH(A2114,'Справочник по %'!A:A,0)))="кол-во",B2114*INDEX('Справочник по %'!C:C,(MATCH(A2114,'Справочник по %'!A:A,0))),ОТЧЕТ!C2114*INDEX('Справочник по %'!C:C,(MATCH(A2114,'Справочник по %'!A:A,0))))/100</f>
        <v>573.20000000000005</v>
      </c>
      <c r="E2114" s="29">
        <f>IF(ОТЧЕТ!A2114="SKU3",C2114+ОТЧЕТ!C2114*0.2,C2114+ОТЧЕТ!C2114*0.15)</f>
        <v>658.95</v>
      </c>
      <c r="F2114" s="7" t="s">
        <v>4211</v>
      </c>
      <c r="G2114" s="7">
        <v>7732121736</v>
      </c>
      <c r="H2114" s="20" t="s">
        <v>3362</v>
      </c>
      <c r="I2114" s="22" t="str">
        <f>INDEX('Справочник Сети'!B:B,(MATCH(G2114,'Справочник Сети'!C:C,0)))</f>
        <v>Планета здоровья</v>
      </c>
      <c r="J2114" s="7" t="s">
        <v>149</v>
      </c>
      <c r="K2114" s="7" t="s">
        <v>127</v>
      </c>
      <c r="L2114" s="7" t="s">
        <v>149</v>
      </c>
      <c r="M2114" s="31">
        <v>45673</v>
      </c>
      <c r="N2114" s="7" t="s">
        <v>4212</v>
      </c>
      <c r="O2114" s="8">
        <v>3046</v>
      </c>
      <c r="P2114" s="24">
        <v>8097</v>
      </c>
      <c r="Q2114" s="22">
        <f>IF(COUNTIFS(A$2:A2114,A2114,I$2:I2114,I2114)=1,1,0)</f>
        <v>0</v>
      </c>
      <c r="R2114" s="22">
        <f t="shared" si="32"/>
        <v>7</v>
      </c>
      <c r="S2114" s="33">
        <f>IF(COUNTIF(O$2:O2114,O2114)=1,R2114,0)/2.5</f>
        <v>0</v>
      </c>
    </row>
    <row r="2115" spans="1:19" ht="18" customHeight="1" x14ac:dyDescent="0.25">
      <c r="A2115" s="7" t="s">
        <v>43</v>
      </c>
      <c r="B2115" s="8">
        <v>1</v>
      </c>
      <c r="C2115" s="9">
        <v>412.8</v>
      </c>
      <c r="D2115" s="29">
        <f>C2115+IF(INDEX('Справочник по %'!B:B,(MATCH(A2115,'Справочник по %'!A:A,0)))="кол-во",B2115*INDEX('Справочник по %'!C:C,(MATCH(A2115,'Справочник по %'!A:A,0))),ОТЧЕТ!C2115*INDEX('Справочник по %'!C:C,(MATCH(A2115,'Справочник по %'!A:A,0))))/100</f>
        <v>454.08000000000004</v>
      </c>
      <c r="E2115" s="29">
        <f>IF(ОТЧЕТ!A2115="SKU3",C2115+ОТЧЕТ!C2115*0.2,C2115+ОТЧЕТ!C2115*0.15)</f>
        <v>474.72</v>
      </c>
      <c r="F2115" s="7" t="s">
        <v>4213</v>
      </c>
      <c r="G2115" s="7">
        <v>9102213935</v>
      </c>
      <c r="H2115" s="20" t="s">
        <v>868</v>
      </c>
      <c r="I2115" s="22" t="str">
        <f>INDEX('Справочник Сети'!B:B,(MATCH(G2115,'Справочник Сети'!C:C,0)))</f>
        <v>Ригла</v>
      </c>
      <c r="J2115" s="7" t="s">
        <v>315</v>
      </c>
      <c r="K2115" s="7" t="s">
        <v>1971</v>
      </c>
      <c r="L2115" s="7" t="s">
        <v>315</v>
      </c>
      <c r="M2115" s="31">
        <v>45670</v>
      </c>
      <c r="N2115" s="7" t="s">
        <v>4214</v>
      </c>
      <c r="O2115" s="8">
        <v>550</v>
      </c>
      <c r="P2115" s="24">
        <v>8099</v>
      </c>
      <c r="Q2115" s="22">
        <f>IF(COUNTIFS(A$2:A2115,A2115,I$2:I2115,I2115)=1,1,0)</f>
        <v>0</v>
      </c>
      <c r="R2115" s="22">
        <f t="shared" ref="R2115:R2178" si="33">COUNTIF(O:O,O2115)</f>
        <v>3</v>
      </c>
      <c r="S2115" s="33">
        <f>IF(COUNTIF(O$2:O2115,O2115)=1,R2115,0)/2.5</f>
        <v>0</v>
      </c>
    </row>
    <row r="2116" spans="1:19" ht="18" customHeight="1" x14ac:dyDescent="0.25">
      <c r="A2116" s="7" t="s">
        <v>43</v>
      </c>
      <c r="B2116" s="8">
        <v>1</v>
      </c>
      <c r="C2116" s="9">
        <v>395</v>
      </c>
      <c r="D2116" s="29">
        <f>C2116+IF(INDEX('Справочник по %'!B:B,(MATCH(A2116,'Справочник по %'!A:A,0)))="кол-во",B2116*INDEX('Справочник по %'!C:C,(MATCH(A2116,'Справочник по %'!A:A,0))),ОТЧЕТ!C2116*INDEX('Справочник по %'!C:C,(MATCH(A2116,'Справочник по %'!A:A,0))))/100</f>
        <v>434.5</v>
      </c>
      <c r="E2116" s="29">
        <f>IF(ОТЧЕТ!A2116="SKU3",C2116+ОТЧЕТ!C2116*0.2,C2116+ОТЧЕТ!C2116*0.15)</f>
        <v>454.25</v>
      </c>
      <c r="F2116" s="7" t="s">
        <v>4215</v>
      </c>
      <c r="G2116" s="7">
        <v>7731334851</v>
      </c>
      <c r="H2116" s="20" t="s">
        <v>4216</v>
      </c>
      <c r="I2116" s="22" t="str">
        <f>INDEX('Справочник Сети'!B:B,(MATCH(G2116,'Справочник Сети'!C:C,0)))</f>
        <v>Планета здоровья</v>
      </c>
      <c r="J2116" s="7" t="s">
        <v>142</v>
      </c>
      <c r="K2116" s="7" t="s">
        <v>2379</v>
      </c>
      <c r="L2116" s="7" t="s">
        <v>142</v>
      </c>
      <c r="M2116" s="31">
        <v>45674</v>
      </c>
      <c r="N2116" s="7" t="s">
        <v>4217</v>
      </c>
      <c r="O2116" s="8">
        <v>2972</v>
      </c>
      <c r="P2116" s="24">
        <v>8104</v>
      </c>
      <c r="Q2116" s="22">
        <f>IF(COUNTIFS(A$2:A2116,A2116,I$2:I2116,I2116)=1,1,0)</f>
        <v>0</v>
      </c>
      <c r="R2116" s="22">
        <f t="shared" si="33"/>
        <v>1</v>
      </c>
      <c r="S2116" s="33">
        <f>IF(COUNTIF(O$2:O2116,O2116)=1,R2116,0)/2.5</f>
        <v>0.4</v>
      </c>
    </row>
    <row r="2117" spans="1:19" ht="18" customHeight="1" x14ac:dyDescent="0.25">
      <c r="A2117" s="7" t="s">
        <v>43</v>
      </c>
      <c r="B2117" s="8">
        <v>1</v>
      </c>
      <c r="C2117" s="9">
        <v>480</v>
      </c>
      <c r="D2117" s="29">
        <f>C2117+IF(INDEX('Справочник по %'!B:B,(MATCH(A2117,'Справочник по %'!A:A,0)))="кол-во",B2117*INDEX('Справочник по %'!C:C,(MATCH(A2117,'Справочник по %'!A:A,0))),ОТЧЕТ!C2117*INDEX('Справочник по %'!C:C,(MATCH(A2117,'Справочник по %'!A:A,0))))/100</f>
        <v>528</v>
      </c>
      <c r="E2117" s="29">
        <f>IF(ОТЧЕТ!A2117="SKU3",C2117+ОТЧЕТ!C2117*0.2,C2117+ОТЧЕТ!C2117*0.15)</f>
        <v>552</v>
      </c>
      <c r="F2117" s="7" t="s">
        <v>4218</v>
      </c>
      <c r="G2117" s="7">
        <v>2329014392</v>
      </c>
      <c r="H2117" s="20" t="s">
        <v>64</v>
      </c>
      <c r="I2117" s="22">
        <f>INDEX('Справочник Сети'!B:B,(MATCH(G2117,'Справочник Сети'!C:C,0)))</f>
        <v>0</v>
      </c>
      <c r="J2117" s="7" t="s">
        <v>96</v>
      </c>
      <c r="K2117" s="7" t="s">
        <v>616</v>
      </c>
      <c r="L2117" s="7" t="s">
        <v>70</v>
      </c>
      <c r="M2117" s="31">
        <v>45728</v>
      </c>
      <c r="N2117" s="7" t="s">
        <v>4219</v>
      </c>
      <c r="O2117" s="8">
        <v>673</v>
      </c>
      <c r="P2117" s="24">
        <v>8109</v>
      </c>
      <c r="Q2117" s="22">
        <f>IF(COUNTIFS(A$2:A2117,A2117,I$2:I2117,I2117)=1,1,0)</f>
        <v>0</v>
      </c>
      <c r="R2117" s="22">
        <f t="shared" si="33"/>
        <v>1</v>
      </c>
      <c r="S2117" s="33">
        <f>IF(COUNTIF(O$2:O2117,O2117)=1,R2117,0)/2.5</f>
        <v>0.4</v>
      </c>
    </row>
    <row r="2118" spans="1:19" ht="18" customHeight="1" x14ac:dyDescent="0.25">
      <c r="A2118" s="7" t="s">
        <v>43</v>
      </c>
      <c r="B2118" s="8">
        <v>1</v>
      </c>
      <c r="C2118" s="9">
        <v>380</v>
      </c>
      <c r="D2118" s="29">
        <f>C2118+IF(INDEX('Справочник по %'!B:B,(MATCH(A2118,'Справочник по %'!A:A,0)))="кол-во",B2118*INDEX('Справочник по %'!C:C,(MATCH(A2118,'Справочник по %'!A:A,0))),ОТЧЕТ!C2118*INDEX('Справочник по %'!C:C,(MATCH(A2118,'Справочник по %'!A:A,0))))/100</f>
        <v>418</v>
      </c>
      <c r="E2118" s="29">
        <f>IF(ОТЧЕТ!A2118="SKU3",C2118+ОТЧЕТ!C2118*0.2,C2118+ОТЧЕТ!C2118*0.15)</f>
        <v>437</v>
      </c>
      <c r="F2118" s="7" t="s">
        <v>4218</v>
      </c>
      <c r="G2118" s="7">
        <v>3448023905</v>
      </c>
      <c r="H2118" s="20" t="s">
        <v>3532</v>
      </c>
      <c r="I2118" s="22">
        <f>INDEX('Справочник Сети'!B:B,(MATCH(G2118,'Справочник Сети'!C:C,0)))</f>
        <v>0</v>
      </c>
      <c r="J2118" s="7" t="s">
        <v>65</v>
      </c>
      <c r="K2118" s="7" t="s">
        <v>3751</v>
      </c>
      <c r="L2118" s="7" t="s">
        <v>193</v>
      </c>
      <c r="M2118" s="31">
        <v>45718</v>
      </c>
      <c r="N2118" s="7" t="s">
        <v>4220</v>
      </c>
      <c r="O2118" s="8">
        <v>475</v>
      </c>
      <c r="P2118" s="24">
        <v>8110</v>
      </c>
      <c r="Q2118" s="22">
        <f>IF(COUNTIFS(A$2:A2118,A2118,I$2:I2118,I2118)=1,1,0)</f>
        <v>0</v>
      </c>
      <c r="R2118" s="22">
        <f t="shared" si="33"/>
        <v>3</v>
      </c>
      <c r="S2118" s="33">
        <f>IF(COUNTIF(O$2:O2118,O2118)=1,R2118,0)/2.5</f>
        <v>0</v>
      </c>
    </row>
    <row r="2119" spans="1:19" ht="18" customHeight="1" x14ac:dyDescent="0.25">
      <c r="A2119" s="7" t="s">
        <v>43</v>
      </c>
      <c r="B2119" s="8">
        <v>1</v>
      </c>
      <c r="C2119" s="9">
        <v>476</v>
      </c>
      <c r="D2119" s="29">
        <f>C2119+IF(INDEX('Справочник по %'!B:B,(MATCH(A2119,'Справочник по %'!A:A,0)))="кол-во",B2119*INDEX('Справочник по %'!C:C,(MATCH(A2119,'Справочник по %'!A:A,0))),ОТЧЕТ!C2119*INDEX('Справочник по %'!C:C,(MATCH(A2119,'Справочник по %'!A:A,0))))/100</f>
        <v>523.6</v>
      </c>
      <c r="E2119" s="29">
        <f>IF(ОТЧЕТ!A2119="SKU3",C2119+ОТЧЕТ!C2119*0.2,C2119+ОТЧЕТ!C2119*0.15)</f>
        <v>547.4</v>
      </c>
      <c r="F2119" s="7" t="s">
        <v>4218</v>
      </c>
      <c r="G2119" s="7">
        <v>7726423062</v>
      </c>
      <c r="H2119" s="20" t="s">
        <v>50</v>
      </c>
      <c r="I2119" s="22" t="str">
        <f>INDEX('Справочник Сети'!B:B,(MATCH(G2119,'Справочник Сети'!C:C,0)))</f>
        <v>Ригла</v>
      </c>
      <c r="J2119" s="7" t="s">
        <v>185</v>
      </c>
      <c r="K2119" s="7" t="s">
        <v>1308</v>
      </c>
      <c r="L2119" s="7" t="s">
        <v>185</v>
      </c>
      <c r="M2119" s="31">
        <v>45675</v>
      </c>
      <c r="N2119" s="7" t="s">
        <v>4221</v>
      </c>
      <c r="O2119" s="8">
        <v>2113</v>
      </c>
      <c r="P2119" s="24">
        <v>8117</v>
      </c>
      <c r="Q2119" s="22">
        <f>IF(COUNTIFS(A$2:A2119,A2119,I$2:I2119,I2119)=1,1,0)</f>
        <v>0</v>
      </c>
      <c r="R2119" s="22">
        <f t="shared" si="33"/>
        <v>3</v>
      </c>
      <c r="S2119" s="33">
        <f>IF(COUNTIF(O$2:O2119,O2119)=1,R2119,0)/2.5</f>
        <v>0</v>
      </c>
    </row>
    <row r="2120" spans="1:19" ht="18" customHeight="1" x14ac:dyDescent="0.25">
      <c r="A2120" s="7" t="s">
        <v>43</v>
      </c>
      <c r="B2120" s="8">
        <v>1</v>
      </c>
      <c r="C2120" s="9">
        <v>392</v>
      </c>
      <c r="D2120" s="29">
        <f>C2120+IF(INDEX('Справочник по %'!B:B,(MATCH(A2120,'Справочник по %'!A:A,0)))="кол-во",B2120*INDEX('Справочник по %'!C:C,(MATCH(A2120,'Справочник по %'!A:A,0))),ОТЧЕТ!C2120*INDEX('Справочник по %'!C:C,(MATCH(A2120,'Справочник по %'!A:A,0))))/100</f>
        <v>431.2</v>
      </c>
      <c r="E2120" s="29">
        <f>IF(ОТЧЕТ!A2120="SKU3",C2120+ОТЧЕТ!C2120*0.2,C2120+ОТЧЕТ!C2120*0.15)</f>
        <v>450.8</v>
      </c>
      <c r="F2120" s="7" t="s">
        <v>4218</v>
      </c>
      <c r="G2120" s="7">
        <v>150402161852</v>
      </c>
      <c r="H2120" s="20" t="s">
        <v>725</v>
      </c>
      <c r="I2120" s="22">
        <f>INDEX('Справочник Сети'!B:B,(MATCH(G2120,'Справочник Сети'!C:C,0)))</f>
        <v>0</v>
      </c>
      <c r="J2120" s="7" t="s">
        <v>74</v>
      </c>
      <c r="K2120" s="7" t="s">
        <v>1542</v>
      </c>
      <c r="L2120" s="7" t="s">
        <v>74</v>
      </c>
      <c r="M2120" s="31">
        <v>45661</v>
      </c>
      <c r="N2120" s="7" t="s">
        <v>4222</v>
      </c>
      <c r="O2120" s="8">
        <v>3721</v>
      </c>
      <c r="P2120" s="24">
        <v>8118</v>
      </c>
      <c r="Q2120" s="22">
        <f>IF(COUNTIFS(A$2:A2120,A2120,I$2:I2120,I2120)=1,1,0)</f>
        <v>0</v>
      </c>
      <c r="R2120" s="22">
        <f t="shared" si="33"/>
        <v>3</v>
      </c>
      <c r="S2120" s="33">
        <f>IF(COUNTIF(O$2:O2120,O2120)=1,R2120,0)/2.5</f>
        <v>0</v>
      </c>
    </row>
    <row r="2121" spans="1:19" ht="18" customHeight="1" x14ac:dyDescent="0.25">
      <c r="A2121" s="7" t="s">
        <v>43</v>
      </c>
      <c r="B2121" s="8">
        <v>1</v>
      </c>
      <c r="C2121" s="9">
        <v>430</v>
      </c>
      <c r="D2121" s="29">
        <f>C2121+IF(INDEX('Справочник по %'!B:B,(MATCH(A2121,'Справочник по %'!A:A,0)))="кол-во",B2121*INDEX('Справочник по %'!C:C,(MATCH(A2121,'Справочник по %'!A:A,0))),ОТЧЕТ!C2121*INDEX('Справочник по %'!C:C,(MATCH(A2121,'Справочник по %'!A:A,0))))/100</f>
        <v>473</v>
      </c>
      <c r="E2121" s="29">
        <f>IF(ОТЧЕТ!A2121="SKU3",C2121+ОТЧЕТ!C2121*0.2,C2121+ОТЧЕТ!C2121*0.15)</f>
        <v>494.5</v>
      </c>
      <c r="F2121" s="7" t="s">
        <v>4218</v>
      </c>
      <c r="G2121" s="7">
        <v>105031038</v>
      </c>
      <c r="H2121" s="20" t="s">
        <v>50</v>
      </c>
      <c r="I2121" s="22">
        <f>INDEX('Справочник Сети'!B:B,(MATCH(G2121,'Справочник Сети'!C:C,0)))</f>
        <v>0</v>
      </c>
      <c r="J2121" s="7" t="s">
        <v>362</v>
      </c>
      <c r="K2121" s="7" t="s">
        <v>118</v>
      </c>
      <c r="L2121" s="7" t="s">
        <v>362</v>
      </c>
      <c r="M2121" s="31">
        <v>45732</v>
      </c>
      <c r="N2121" s="7" t="s">
        <v>4223</v>
      </c>
      <c r="O2121" s="8">
        <v>1174</v>
      </c>
      <c r="P2121" s="24">
        <v>8125</v>
      </c>
      <c r="Q2121" s="22">
        <f>IF(COUNTIFS(A$2:A2121,A2121,I$2:I2121,I2121)=1,1,0)</f>
        <v>0</v>
      </c>
      <c r="R2121" s="22">
        <f t="shared" si="33"/>
        <v>1</v>
      </c>
      <c r="S2121" s="33">
        <f>IF(COUNTIF(O$2:O2121,O2121)=1,R2121,0)/2.5</f>
        <v>0.4</v>
      </c>
    </row>
    <row r="2122" spans="1:19" ht="18" customHeight="1" x14ac:dyDescent="0.25">
      <c r="A2122" s="7" t="s">
        <v>43</v>
      </c>
      <c r="B2122" s="8">
        <v>1</v>
      </c>
      <c r="C2122" s="9">
        <v>417.94</v>
      </c>
      <c r="D2122" s="29">
        <f>C2122+IF(INDEX('Справочник по %'!B:B,(MATCH(A2122,'Справочник по %'!A:A,0)))="кол-во",B2122*INDEX('Справочник по %'!C:C,(MATCH(A2122,'Справочник по %'!A:A,0))),ОТЧЕТ!C2122*INDEX('Справочник по %'!C:C,(MATCH(A2122,'Справочник по %'!A:A,0))))/100</f>
        <v>459.73399999999998</v>
      </c>
      <c r="E2122" s="29">
        <f>IF(ОТЧЕТ!A2122="SKU3",C2122+ОТЧЕТ!C2122*0.2,C2122+ОТЧЕТ!C2122*0.15)</f>
        <v>480.63099999999997</v>
      </c>
      <c r="F2122" s="7" t="s">
        <v>4218</v>
      </c>
      <c r="G2122" s="7">
        <v>615403933636</v>
      </c>
      <c r="H2122" s="20" t="s">
        <v>4224</v>
      </c>
      <c r="I2122" s="22">
        <f>INDEX('Справочник Сети'!B:B,(MATCH(G2122,'Справочник Сети'!C:C,0)))</f>
        <v>0</v>
      </c>
      <c r="J2122" s="7" t="s">
        <v>251</v>
      </c>
      <c r="K2122" s="7" t="s">
        <v>3626</v>
      </c>
      <c r="L2122" s="7" t="s">
        <v>251</v>
      </c>
      <c r="M2122" s="31">
        <v>45659</v>
      </c>
      <c r="N2122" s="7" t="s">
        <v>4225</v>
      </c>
      <c r="O2122" s="8">
        <v>1112</v>
      </c>
      <c r="P2122" s="24">
        <v>8127</v>
      </c>
      <c r="Q2122" s="22">
        <f>IF(COUNTIFS(A$2:A2122,A2122,I$2:I2122,I2122)=1,1,0)</f>
        <v>0</v>
      </c>
      <c r="R2122" s="22">
        <f t="shared" si="33"/>
        <v>1</v>
      </c>
      <c r="S2122" s="33">
        <f>IF(COUNTIF(O$2:O2122,O2122)=1,R2122,0)/2.5</f>
        <v>0.4</v>
      </c>
    </row>
    <row r="2123" spans="1:19" ht="18" customHeight="1" x14ac:dyDescent="0.25">
      <c r="A2123" s="7" t="s">
        <v>37</v>
      </c>
      <c r="B2123" s="8">
        <v>1</v>
      </c>
      <c r="C2123" s="9">
        <v>543</v>
      </c>
      <c r="D2123" s="29">
        <f>C2123+IF(INDEX('Справочник по %'!B:B,(MATCH(A2123,'Справочник по %'!A:A,0)))="кол-во",B2123*INDEX('Справочник по %'!C:C,(MATCH(A2123,'Справочник по %'!A:A,0))),ОТЧЕТ!C2123*INDEX('Справочник по %'!C:C,(MATCH(A2123,'Справочник по %'!A:A,0))))/100</f>
        <v>543.20000000000005</v>
      </c>
      <c r="E2123" s="29">
        <f>IF(ОТЧЕТ!A2123="SKU3",C2123+ОТЧЕТ!C2123*0.2,C2123+ОТЧЕТ!C2123*0.15)</f>
        <v>624.45000000000005</v>
      </c>
      <c r="F2123" s="7" t="s">
        <v>4218</v>
      </c>
      <c r="G2123" s="7">
        <v>7706795062</v>
      </c>
      <c r="H2123" s="20" t="s">
        <v>4110</v>
      </c>
      <c r="I2123" s="22" t="str">
        <f>INDEX('Справочник Сети'!B:B,(MATCH(G2123,'Справочник Сети'!C:C,0)))</f>
        <v>Планета здоровья</v>
      </c>
      <c r="J2123" s="7" t="s">
        <v>87</v>
      </c>
      <c r="K2123" s="7" t="s">
        <v>3010</v>
      </c>
      <c r="L2123" s="7" t="s">
        <v>87</v>
      </c>
      <c r="M2123" s="31">
        <v>45691</v>
      </c>
      <c r="N2123" s="7" t="s">
        <v>4226</v>
      </c>
      <c r="O2123" s="8">
        <v>1982</v>
      </c>
      <c r="P2123" s="24">
        <v>8132</v>
      </c>
      <c r="Q2123" s="22">
        <f>IF(COUNTIFS(A$2:A2123,A2123,I$2:I2123,I2123)=1,1,0)</f>
        <v>0</v>
      </c>
      <c r="R2123" s="22">
        <f t="shared" si="33"/>
        <v>1</v>
      </c>
      <c r="S2123" s="33">
        <f>IF(COUNTIF(O$2:O2123,O2123)=1,R2123,0)/2.5</f>
        <v>0.4</v>
      </c>
    </row>
    <row r="2124" spans="1:19" ht="18" customHeight="1" x14ac:dyDescent="0.25">
      <c r="A2124" s="7" t="s">
        <v>43</v>
      </c>
      <c r="B2124" s="8">
        <v>1</v>
      </c>
      <c r="C2124" s="9">
        <v>392</v>
      </c>
      <c r="D2124" s="29">
        <f>C2124+IF(INDEX('Справочник по %'!B:B,(MATCH(A2124,'Справочник по %'!A:A,0)))="кол-во",B2124*INDEX('Справочник по %'!C:C,(MATCH(A2124,'Справочник по %'!A:A,0))),ОТЧЕТ!C2124*INDEX('Справочник по %'!C:C,(MATCH(A2124,'Справочник по %'!A:A,0))))/100</f>
        <v>431.2</v>
      </c>
      <c r="E2124" s="29">
        <f>IF(ОТЧЕТ!A2124="SKU3",C2124+ОТЧЕТ!C2124*0.2,C2124+ОТЧЕТ!C2124*0.15)</f>
        <v>450.8</v>
      </c>
      <c r="F2124" s="7" t="s">
        <v>4218</v>
      </c>
      <c r="G2124" s="7">
        <v>7731334851</v>
      </c>
      <c r="H2124" s="20" t="s">
        <v>1168</v>
      </c>
      <c r="I2124" s="22" t="str">
        <f>INDEX('Справочник Сети'!B:B,(MATCH(G2124,'Справочник Сети'!C:C,0)))</f>
        <v>Планета здоровья</v>
      </c>
      <c r="J2124" s="7" t="s">
        <v>142</v>
      </c>
      <c r="K2124" s="7" t="s">
        <v>2248</v>
      </c>
      <c r="L2124" s="7" t="s">
        <v>142</v>
      </c>
      <c r="M2124" s="31">
        <v>45674</v>
      </c>
      <c r="N2124" s="7" t="s">
        <v>4227</v>
      </c>
      <c r="O2124" s="8">
        <v>2200</v>
      </c>
      <c r="P2124" s="24">
        <v>8133</v>
      </c>
      <c r="Q2124" s="22">
        <f>IF(COUNTIFS(A$2:A2124,A2124,I$2:I2124,I2124)=1,1,0)</f>
        <v>0</v>
      </c>
      <c r="R2124" s="22">
        <f t="shared" si="33"/>
        <v>5</v>
      </c>
      <c r="S2124" s="33">
        <f>IF(COUNTIF(O$2:O2124,O2124)=1,R2124,0)/2.5</f>
        <v>0</v>
      </c>
    </row>
    <row r="2125" spans="1:19" ht="18" customHeight="1" x14ac:dyDescent="0.25">
      <c r="A2125" s="7" t="s">
        <v>43</v>
      </c>
      <c r="B2125" s="8">
        <v>1</v>
      </c>
      <c r="C2125" s="9">
        <v>382</v>
      </c>
      <c r="D2125" s="29">
        <f>C2125+IF(INDEX('Справочник по %'!B:B,(MATCH(A2125,'Справочник по %'!A:A,0)))="кол-во",B2125*INDEX('Справочник по %'!C:C,(MATCH(A2125,'Справочник по %'!A:A,0))),ОТЧЕТ!C2125*INDEX('Справочник по %'!C:C,(MATCH(A2125,'Справочник по %'!A:A,0))))/100</f>
        <v>420.2</v>
      </c>
      <c r="E2125" s="29">
        <f>IF(ОТЧЕТ!A2125="SKU3",C2125+ОТЧЕТ!C2125*0.2,C2125+ОТЧЕТ!C2125*0.15)</f>
        <v>439.3</v>
      </c>
      <c r="F2125" s="7" t="s">
        <v>4218</v>
      </c>
      <c r="G2125" s="7">
        <v>7706795062</v>
      </c>
      <c r="H2125" s="20" t="s">
        <v>1154</v>
      </c>
      <c r="I2125" s="22" t="str">
        <f>INDEX('Справочник Сети'!B:B,(MATCH(G2125,'Справочник Сети'!C:C,0)))</f>
        <v>Планета здоровья</v>
      </c>
      <c r="J2125" s="7" t="s">
        <v>87</v>
      </c>
      <c r="K2125" s="7" t="s">
        <v>129</v>
      </c>
      <c r="L2125" s="7" t="s">
        <v>87</v>
      </c>
      <c r="M2125" s="31">
        <v>45691</v>
      </c>
      <c r="N2125" s="7" t="s">
        <v>4228</v>
      </c>
      <c r="O2125" s="8">
        <v>2352</v>
      </c>
      <c r="P2125" s="24">
        <v>8134</v>
      </c>
      <c r="Q2125" s="22">
        <f>IF(COUNTIFS(A$2:A2125,A2125,I$2:I2125,I2125)=1,1,0)</f>
        <v>0</v>
      </c>
      <c r="R2125" s="22">
        <f t="shared" si="33"/>
        <v>1</v>
      </c>
      <c r="S2125" s="33">
        <f>IF(COUNTIF(O$2:O2125,O2125)=1,R2125,0)/2.5</f>
        <v>0.4</v>
      </c>
    </row>
    <row r="2126" spans="1:19" ht="18" customHeight="1" x14ac:dyDescent="0.25">
      <c r="A2126" s="7" t="s">
        <v>43</v>
      </c>
      <c r="B2126" s="8">
        <v>1</v>
      </c>
      <c r="C2126" s="9">
        <v>435.9</v>
      </c>
      <c r="D2126" s="29">
        <f>C2126+IF(INDEX('Справочник по %'!B:B,(MATCH(A2126,'Справочник по %'!A:A,0)))="кол-во",B2126*INDEX('Справочник по %'!C:C,(MATCH(A2126,'Справочник по %'!A:A,0))),ОТЧЕТ!C2126*INDEX('Справочник по %'!C:C,(MATCH(A2126,'Справочник по %'!A:A,0))))/100</f>
        <v>479.49</v>
      </c>
      <c r="E2126" s="29">
        <f>IF(ОТЧЕТ!A2126="SKU3",C2126+ОТЧЕТ!C2126*0.2,C2126+ОТЧЕТ!C2126*0.15)</f>
        <v>501.28499999999997</v>
      </c>
      <c r="F2126" s="7" t="s">
        <v>4229</v>
      </c>
      <c r="G2126" s="7">
        <v>1831060811</v>
      </c>
      <c r="H2126" s="20" t="s">
        <v>800</v>
      </c>
      <c r="I2126" s="22" t="str">
        <f>INDEX('Справочник Сети'!B:B,(MATCH(G2126,'Справочник Сети'!C:C,0)))</f>
        <v>Ригла</v>
      </c>
      <c r="J2126" s="7" t="s">
        <v>335</v>
      </c>
      <c r="K2126" s="7" t="s">
        <v>1815</v>
      </c>
      <c r="L2126" s="7" t="s">
        <v>335</v>
      </c>
      <c r="M2126" s="31">
        <v>45731</v>
      </c>
      <c r="N2126" s="7" t="s">
        <v>4230</v>
      </c>
      <c r="O2126" s="8">
        <v>133</v>
      </c>
      <c r="P2126" s="24">
        <v>8145</v>
      </c>
      <c r="Q2126" s="22">
        <f>IF(COUNTIFS(A$2:A2126,A2126,I$2:I2126,I2126)=1,1,0)</f>
        <v>0</v>
      </c>
      <c r="R2126" s="22">
        <f t="shared" si="33"/>
        <v>14</v>
      </c>
      <c r="S2126" s="33">
        <f>IF(COUNTIF(O$2:O2126,O2126)=1,R2126,0)/2.5</f>
        <v>0</v>
      </c>
    </row>
    <row r="2127" spans="1:19" ht="18" customHeight="1" x14ac:dyDescent="0.25">
      <c r="A2127" s="7" t="s">
        <v>43</v>
      </c>
      <c r="B2127" s="8">
        <v>1</v>
      </c>
      <c r="C2127" s="9">
        <v>451</v>
      </c>
      <c r="D2127" s="29">
        <f>C2127+IF(INDEX('Справочник по %'!B:B,(MATCH(A2127,'Справочник по %'!A:A,0)))="кол-во",B2127*INDEX('Справочник по %'!C:C,(MATCH(A2127,'Справочник по %'!A:A,0))),ОТЧЕТ!C2127*INDEX('Справочник по %'!C:C,(MATCH(A2127,'Справочник по %'!A:A,0))))/100</f>
        <v>496.1</v>
      </c>
      <c r="E2127" s="29">
        <f>IF(ОТЧЕТ!A2127="SKU3",C2127+ОТЧЕТ!C2127*0.2,C2127+ОТЧЕТ!C2127*0.15)</f>
        <v>518.65</v>
      </c>
      <c r="F2127" s="7" t="s">
        <v>4229</v>
      </c>
      <c r="G2127" s="7">
        <v>9203545630</v>
      </c>
      <c r="H2127" s="20" t="s">
        <v>4231</v>
      </c>
      <c r="I2127" s="22">
        <f>INDEX('Справочник Сети'!B:B,(MATCH(G2127,'Справочник Сети'!C:C,0)))</f>
        <v>0</v>
      </c>
      <c r="J2127" s="7" t="s">
        <v>239</v>
      </c>
      <c r="K2127" s="7" t="s">
        <v>2337</v>
      </c>
      <c r="L2127" s="7" t="s">
        <v>239</v>
      </c>
      <c r="M2127" s="31">
        <v>45662</v>
      </c>
      <c r="N2127" s="7" t="s">
        <v>4232</v>
      </c>
      <c r="O2127" s="8">
        <v>1314</v>
      </c>
      <c r="P2127" s="24">
        <v>8148</v>
      </c>
      <c r="Q2127" s="22">
        <f>IF(COUNTIFS(A$2:A2127,A2127,I$2:I2127,I2127)=1,1,0)</f>
        <v>0</v>
      </c>
      <c r="R2127" s="22">
        <f t="shared" si="33"/>
        <v>1</v>
      </c>
      <c r="S2127" s="33">
        <f>IF(COUNTIF(O$2:O2127,O2127)=1,R2127,0)/2.5</f>
        <v>0.4</v>
      </c>
    </row>
    <row r="2128" spans="1:19" ht="18" customHeight="1" x14ac:dyDescent="0.25">
      <c r="A2128" s="7" t="s">
        <v>43</v>
      </c>
      <c r="B2128" s="8">
        <v>1</v>
      </c>
      <c r="C2128" s="9">
        <v>455.9</v>
      </c>
      <c r="D2128" s="29">
        <f>C2128+IF(INDEX('Справочник по %'!B:B,(MATCH(A2128,'Справочник по %'!A:A,0)))="кол-во",B2128*INDEX('Справочник по %'!C:C,(MATCH(A2128,'Справочник по %'!A:A,0))),ОТЧЕТ!C2128*INDEX('Справочник по %'!C:C,(MATCH(A2128,'Справочник по %'!A:A,0))))/100</f>
        <v>501.49</v>
      </c>
      <c r="E2128" s="29">
        <f>IF(ОТЧЕТ!A2128="SKU3",C2128+ОТЧЕТ!C2128*0.2,C2128+ОТЧЕТ!C2128*0.15)</f>
        <v>524.28499999999997</v>
      </c>
      <c r="F2128" s="7" t="s">
        <v>4233</v>
      </c>
      <c r="G2128" s="7">
        <v>1831060811</v>
      </c>
      <c r="H2128" s="20" t="s">
        <v>800</v>
      </c>
      <c r="I2128" s="22" t="str">
        <f>INDEX('Справочник Сети'!B:B,(MATCH(G2128,'Справочник Сети'!C:C,0)))</f>
        <v>Ригла</v>
      </c>
      <c r="J2128" s="7" t="s">
        <v>335</v>
      </c>
      <c r="K2128" s="7" t="s">
        <v>757</v>
      </c>
      <c r="L2128" s="7" t="s">
        <v>335</v>
      </c>
      <c r="M2128" s="31">
        <v>45731</v>
      </c>
      <c r="N2128" s="7" t="s">
        <v>4234</v>
      </c>
      <c r="O2128" s="8">
        <v>133</v>
      </c>
      <c r="P2128" s="24">
        <v>8151</v>
      </c>
      <c r="Q2128" s="22">
        <f>IF(COUNTIFS(A$2:A2128,A2128,I$2:I2128,I2128)=1,1,0)</f>
        <v>0</v>
      </c>
      <c r="R2128" s="22">
        <f t="shared" si="33"/>
        <v>14</v>
      </c>
      <c r="S2128" s="33">
        <f>IF(COUNTIF(O$2:O2128,O2128)=1,R2128,0)/2.5</f>
        <v>0</v>
      </c>
    </row>
    <row r="2129" spans="1:19" ht="18" customHeight="1" x14ac:dyDescent="0.25">
      <c r="A2129" s="7" t="s">
        <v>37</v>
      </c>
      <c r="B2129" s="8">
        <v>1</v>
      </c>
      <c r="C2129" s="9">
        <v>659</v>
      </c>
      <c r="D2129" s="29">
        <f>C2129+IF(INDEX('Справочник по %'!B:B,(MATCH(A2129,'Справочник по %'!A:A,0)))="кол-во",B2129*INDEX('Справочник по %'!C:C,(MATCH(A2129,'Справочник по %'!A:A,0))),ОТЧЕТ!C2129*INDEX('Справочник по %'!C:C,(MATCH(A2129,'Справочник по %'!A:A,0))))/100</f>
        <v>659.2</v>
      </c>
      <c r="E2129" s="29">
        <f>IF(ОТЧЕТ!A2129="SKU3",C2129+ОТЧЕТ!C2129*0.2,C2129+ОТЧЕТ!C2129*0.15)</f>
        <v>757.85</v>
      </c>
      <c r="F2129" s="7" t="s">
        <v>4233</v>
      </c>
      <c r="G2129" s="7">
        <v>7719727285</v>
      </c>
      <c r="H2129" s="20" t="s">
        <v>91</v>
      </c>
      <c r="I2129" s="22">
        <f>INDEX('Справочник Сети'!B:B,(MATCH(G2129,'Справочник Сети'!C:C,0)))</f>
        <v>0</v>
      </c>
      <c r="J2129" s="7" t="s">
        <v>168</v>
      </c>
      <c r="K2129" s="7" t="s">
        <v>129</v>
      </c>
      <c r="L2129" s="7" t="s">
        <v>168</v>
      </c>
      <c r="M2129" s="31">
        <v>45676</v>
      </c>
      <c r="N2129" s="7" t="s">
        <v>4235</v>
      </c>
      <c r="O2129" s="8">
        <v>2849</v>
      </c>
      <c r="P2129" s="24">
        <v>8156</v>
      </c>
      <c r="Q2129" s="22">
        <f>IF(COUNTIFS(A$2:A2129,A2129,I$2:I2129,I2129)=1,1,0)</f>
        <v>0</v>
      </c>
      <c r="R2129" s="22">
        <f t="shared" si="33"/>
        <v>1</v>
      </c>
      <c r="S2129" s="33">
        <f>IF(COUNTIF(O$2:O2129,O2129)=1,R2129,0)/2.5</f>
        <v>0.4</v>
      </c>
    </row>
    <row r="2130" spans="1:19" ht="18" customHeight="1" x14ac:dyDescent="0.25">
      <c r="A2130" s="7" t="s">
        <v>43</v>
      </c>
      <c r="B2130" s="8">
        <v>1</v>
      </c>
      <c r="C2130" s="9">
        <v>401</v>
      </c>
      <c r="D2130" s="29">
        <f>C2130+IF(INDEX('Справочник по %'!B:B,(MATCH(A2130,'Справочник по %'!A:A,0)))="кол-во",B2130*INDEX('Справочник по %'!C:C,(MATCH(A2130,'Справочник по %'!A:A,0))),ОТЧЕТ!C2130*INDEX('Справочник по %'!C:C,(MATCH(A2130,'Справочник по %'!A:A,0))))/100</f>
        <v>441.1</v>
      </c>
      <c r="E2130" s="29">
        <f>IF(ОТЧЕТ!A2130="SKU3",C2130+ОТЧЕТ!C2130*0.2,C2130+ОТЧЕТ!C2130*0.15)</f>
        <v>461.15</v>
      </c>
      <c r="F2130" s="7" t="s">
        <v>4233</v>
      </c>
      <c r="G2130" s="7">
        <v>5752042253</v>
      </c>
      <c r="H2130" s="20" t="s">
        <v>50</v>
      </c>
      <c r="I2130" s="22" t="str">
        <f>INDEX('Справочник Сети'!B:B,(MATCH(G2130,'Справочник Сети'!C:C,0)))</f>
        <v>Ригла</v>
      </c>
      <c r="J2130" s="7" t="s">
        <v>40</v>
      </c>
      <c r="K2130" s="7" t="s">
        <v>784</v>
      </c>
      <c r="L2130" s="7" t="s">
        <v>255</v>
      </c>
      <c r="M2130" s="31">
        <v>45713</v>
      </c>
      <c r="N2130" s="7" t="s">
        <v>4236</v>
      </c>
      <c r="O2130" s="8">
        <v>3581</v>
      </c>
      <c r="P2130" s="24">
        <v>8157</v>
      </c>
      <c r="Q2130" s="22">
        <f>IF(COUNTIFS(A$2:A2130,A2130,I$2:I2130,I2130)=1,1,0)</f>
        <v>0</v>
      </c>
      <c r="R2130" s="22">
        <f t="shared" si="33"/>
        <v>1</v>
      </c>
      <c r="S2130" s="33">
        <f>IF(COUNTIF(O$2:O2130,O2130)=1,R2130,0)/2.5</f>
        <v>0.4</v>
      </c>
    </row>
    <row r="2131" spans="1:19" ht="18" customHeight="1" x14ac:dyDescent="0.25">
      <c r="A2131" s="7" t="s">
        <v>43</v>
      </c>
      <c r="B2131" s="8">
        <v>1</v>
      </c>
      <c r="C2131" s="9">
        <v>409</v>
      </c>
      <c r="D2131" s="29">
        <f>C2131+IF(INDEX('Справочник по %'!B:B,(MATCH(A2131,'Справочник по %'!A:A,0)))="кол-во",B2131*INDEX('Справочник по %'!C:C,(MATCH(A2131,'Справочник по %'!A:A,0))),ОТЧЕТ!C2131*INDEX('Справочник по %'!C:C,(MATCH(A2131,'Справочник по %'!A:A,0))))/100</f>
        <v>449.9</v>
      </c>
      <c r="E2131" s="29">
        <f>IF(ОТЧЕТ!A2131="SKU3",C2131+ОТЧЕТ!C2131*0.2,C2131+ОТЧЕТ!C2131*0.15)</f>
        <v>470.35</v>
      </c>
      <c r="F2131" s="7" t="s">
        <v>4237</v>
      </c>
      <c r="G2131" s="7">
        <v>5507102175</v>
      </c>
      <c r="H2131" s="20" t="s">
        <v>50</v>
      </c>
      <c r="I2131" s="22" t="str">
        <f>INDEX('Справочник Сети'!B:B,(MATCH(G2131,'Справочник Сети'!C:C,0)))</f>
        <v>Столички</v>
      </c>
      <c r="J2131" s="7" t="s">
        <v>255</v>
      </c>
      <c r="K2131" s="7" t="s">
        <v>3015</v>
      </c>
      <c r="L2131" s="7" t="s">
        <v>255</v>
      </c>
      <c r="M2131" s="31">
        <v>45713</v>
      </c>
      <c r="N2131" s="7" t="s">
        <v>4238</v>
      </c>
      <c r="O2131" s="8">
        <v>3288</v>
      </c>
      <c r="P2131" s="24">
        <v>8158</v>
      </c>
      <c r="Q2131" s="22">
        <f>IF(COUNTIFS(A$2:A2131,A2131,I$2:I2131,I2131)=1,1,0)</f>
        <v>0</v>
      </c>
      <c r="R2131" s="22">
        <f t="shared" si="33"/>
        <v>3</v>
      </c>
      <c r="S2131" s="33">
        <f>IF(COUNTIF(O$2:O2131,O2131)=1,R2131,0)/2.5</f>
        <v>0</v>
      </c>
    </row>
    <row r="2132" spans="1:19" ht="18" customHeight="1" x14ac:dyDescent="0.25">
      <c r="A2132" s="7" t="s">
        <v>43</v>
      </c>
      <c r="B2132" s="8">
        <v>1</v>
      </c>
      <c r="C2132" s="9">
        <v>401</v>
      </c>
      <c r="D2132" s="29">
        <f>C2132+IF(INDEX('Справочник по %'!B:B,(MATCH(A2132,'Справочник по %'!A:A,0)))="кол-во",B2132*INDEX('Справочник по %'!C:C,(MATCH(A2132,'Справочник по %'!A:A,0))),ОТЧЕТ!C2132*INDEX('Справочник по %'!C:C,(MATCH(A2132,'Справочник по %'!A:A,0))))/100</f>
        <v>441.1</v>
      </c>
      <c r="E2132" s="29">
        <f>IF(ОТЧЕТ!A2132="SKU3",C2132+ОТЧЕТ!C2132*0.2,C2132+ОТЧЕТ!C2132*0.15)</f>
        <v>461.15</v>
      </c>
      <c r="F2132" s="7" t="s">
        <v>4237</v>
      </c>
      <c r="G2132" s="7">
        <v>5752042253</v>
      </c>
      <c r="H2132" s="20" t="s">
        <v>50</v>
      </c>
      <c r="I2132" s="22" t="str">
        <f>INDEX('Справочник Сети'!B:B,(MATCH(G2132,'Справочник Сети'!C:C,0)))</f>
        <v>Ригла</v>
      </c>
      <c r="J2132" s="7" t="s">
        <v>40</v>
      </c>
      <c r="K2132" s="7" t="s">
        <v>342</v>
      </c>
      <c r="L2132" s="7" t="s">
        <v>255</v>
      </c>
      <c r="M2132" s="31">
        <v>45713</v>
      </c>
      <c r="N2132" s="7" t="s">
        <v>4239</v>
      </c>
      <c r="O2132" s="8">
        <v>3584</v>
      </c>
      <c r="P2132" s="24">
        <v>8160</v>
      </c>
      <c r="Q2132" s="22">
        <f>IF(COUNTIFS(A$2:A2132,A2132,I$2:I2132,I2132)=1,1,0)</f>
        <v>0</v>
      </c>
      <c r="R2132" s="22">
        <f t="shared" si="33"/>
        <v>5</v>
      </c>
      <c r="S2132" s="33">
        <f>IF(COUNTIF(O$2:O2132,O2132)=1,R2132,0)/2.5</f>
        <v>0</v>
      </c>
    </row>
    <row r="2133" spans="1:19" ht="18" customHeight="1" x14ac:dyDescent="0.25">
      <c r="A2133" s="7" t="s">
        <v>37</v>
      </c>
      <c r="B2133" s="8">
        <v>1</v>
      </c>
      <c r="C2133" s="9">
        <v>715</v>
      </c>
      <c r="D2133" s="29">
        <f>C2133+IF(INDEX('Справочник по %'!B:B,(MATCH(A2133,'Справочник по %'!A:A,0)))="кол-во",B2133*INDEX('Справочник по %'!C:C,(MATCH(A2133,'Справочник по %'!A:A,0))),ОТЧЕТ!C2133*INDEX('Справочник по %'!C:C,(MATCH(A2133,'Справочник по %'!A:A,0))))/100</f>
        <v>715.2</v>
      </c>
      <c r="E2133" s="29">
        <f>IF(ОТЧЕТ!A2133="SKU3",C2133+ОТЧЕТ!C2133*0.2,C2133+ОТЧЕТ!C2133*0.15)</f>
        <v>822.25</v>
      </c>
      <c r="F2133" s="7" t="s">
        <v>4237</v>
      </c>
      <c r="G2133" s="7">
        <v>4710024740</v>
      </c>
      <c r="H2133" s="20" t="s">
        <v>50</v>
      </c>
      <c r="I2133" s="22" t="str">
        <f>INDEX('Справочник Сети'!B:B,(MATCH(G2133,'Справочник Сети'!C:C,0)))</f>
        <v>Ригла</v>
      </c>
      <c r="J2133" s="7" t="s">
        <v>83</v>
      </c>
      <c r="K2133" s="7" t="s">
        <v>4240</v>
      </c>
      <c r="L2133" s="7" t="s">
        <v>83</v>
      </c>
      <c r="M2133" s="31">
        <v>45715</v>
      </c>
      <c r="N2133" s="7" t="s">
        <v>4241</v>
      </c>
      <c r="O2133" s="8">
        <v>117</v>
      </c>
      <c r="P2133" s="24">
        <v>8162</v>
      </c>
      <c r="Q2133" s="22">
        <f>IF(COUNTIFS(A$2:A2133,A2133,I$2:I2133,I2133)=1,1,0)</f>
        <v>0</v>
      </c>
      <c r="R2133" s="22">
        <f t="shared" si="33"/>
        <v>3</v>
      </c>
      <c r="S2133" s="33">
        <f>IF(COUNTIF(O$2:O2133,O2133)=1,R2133,0)/2.5</f>
        <v>0</v>
      </c>
    </row>
    <row r="2134" spans="1:19" ht="18" customHeight="1" x14ac:dyDescent="0.25">
      <c r="A2134" s="7" t="s">
        <v>43</v>
      </c>
      <c r="B2134" s="8">
        <v>1</v>
      </c>
      <c r="C2134" s="9">
        <v>465.9</v>
      </c>
      <c r="D2134" s="29">
        <f>C2134+IF(INDEX('Справочник по %'!B:B,(MATCH(A2134,'Справочник по %'!A:A,0)))="кол-во",B2134*INDEX('Справочник по %'!C:C,(MATCH(A2134,'Справочник по %'!A:A,0))),ОТЧЕТ!C2134*INDEX('Справочник по %'!C:C,(MATCH(A2134,'Справочник по %'!A:A,0))))/100</f>
        <v>512.49</v>
      </c>
      <c r="E2134" s="29">
        <f>IF(ОТЧЕТ!A2134="SKU3",C2134+ОТЧЕТ!C2134*0.2,C2134+ОТЧЕТ!C2134*0.15)</f>
        <v>535.78499999999997</v>
      </c>
      <c r="F2134" s="7" t="s">
        <v>4242</v>
      </c>
      <c r="G2134" s="7">
        <v>4632047297</v>
      </c>
      <c r="H2134" s="20" t="s">
        <v>3052</v>
      </c>
      <c r="I2134" s="22">
        <f>INDEX('Справочник Сети'!B:B,(MATCH(G2134,'Справочник Сети'!C:C,0)))</f>
        <v>0</v>
      </c>
      <c r="J2134" s="7" t="s">
        <v>155</v>
      </c>
      <c r="K2134" s="7" t="s">
        <v>751</v>
      </c>
      <c r="L2134" s="7" t="s">
        <v>155</v>
      </c>
      <c r="M2134" s="31">
        <v>45716</v>
      </c>
      <c r="N2134" s="7" t="s">
        <v>4243</v>
      </c>
      <c r="O2134" s="8">
        <v>1047</v>
      </c>
      <c r="P2134" s="24">
        <v>8163</v>
      </c>
      <c r="Q2134" s="22">
        <f>IF(COUNTIFS(A$2:A2134,A2134,I$2:I2134,I2134)=1,1,0)</f>
        <v>0</v>
      </c>
      <c r="R2134" s="22">
        <f t="shared" si="33"/>
        <v>6</v>
      </c>
      <c r="S2134" s="33">
        <f>IF(COUNTIF(O$2:O2134,O2134)=1,R2134,0)/2.5</f>
        <v>0</v>
      </c>
    </row>
    <row r="2135" spans="1:19" ht="18" customHeight="1" x14ac:dyDescent="0.25">
      <c r="A2135" s="7" t="s">
        <v>43</v>
      </c>
      <c r="B2135" s="8">
        <v>1</v>
      </c>
      <c r="C2135" s="9">
        <v>358</v>
      </c>
      <c r="D2135" s="29">
        <f>C2135+IF(INDEX('Справочник по %'!B:B,(MATCH(A2135,'Справочник по %'!A:A,0)))="кол-во",B2135*INDEX('Справочник по %'!C:C,(MATCH(A2135,'Справочник по %'!A:A,0))),ОТЧЕТ!C2135*INDEX('Справочник по %'!C:C,(MATCH(A2135,'Справочник по %'!A:A,0))))/100</f>
        <v>393.8</v>
      </c>
      <c r="E2135" s="29">
        <f>IF(ОТЧЕТ!A2135="SKU3",C2135+ОТЧЕТ!C2135*0.2,C2135+ОТЧЕТ!C2135*0.15)</f>
        <v>411.7</v>
      </c>
      <c r="F2135" s="7" t="s">
        <v>4242</v>
      </c>
      <c r="G2135" s="7">
        <v>2311169959</v>
      </c>
      <c r="H2135" s="20" t="s">
        <v>50</v>
      </c>
      <c r="I2135" s="22">
        <f>INDEX('Справочник Сети'!B:B,(MATCH(G2135,'Справочник Сети'!C:C,0)))</f>
        <v>0</v>
      </c>
      <c r="J2135" s="7" t="s">
        <v>70</v>
      </c>
      <c r="K2135" s="7" t="s">
        <v>2881</v>
      </c>
      <c r="L2135" s="7" t="s">
        <v>70</v>
      </c>
      <c r="M2135" s="31">
        <v>45728</v>
      </c>
      <c r="N2135" s="7" t="s">
        <v>4244</v>
      </c>
      <c r="O2135" s="8">
        <v>561</v>
      </c>
      <c r="P2135" s="24">
        <v>8164</v>
      </c>
      <c r="Q2135" s="22">
        <f>IF(COUNTIFS(A$2:A2135,A2135,I$2:I2135,I2135)=1,1,0)</f>
        <v>0</v>
      </c>
      <c r="R2135" s="22">
        <f t="shared" si="33"/>
        <v>2</v>
      </c>
      <c r="S2135" s="33">
        <f>IF(COUNTIF(O$2:O2135,O2135)=1,R2135,0)/2.5</f>
        <v>0</v>
      </c>
    </row>
    <row r="2136" spans="1:19" ht="18" customHeight="1" x14ac:dyDescent="0.25">
      <c r="A2136" s="7" t="s">
        <v>43</v>
      </c>
      <c r="B2136" s="8">
        <v>1</v>
      </c>
      <c r="C2136" s="9">
        <v>424</v>
      </c>
      <c r="D2136" s="29">
        <f>C2136+IF(INDEX('Справочник по %'!B:B,(MATCH(A2136,'Справочник по %'!A:A,0)))="кол-во",B2136*INDEX('Справочник по %'!C:C,(MATCH(A2136,'Справочник по %'!A:A,0))),ОТЧЕТ!C2136*INDEX('Справочник по %'!C:C,(MATCH(A2136,'Справочник по %'!A:A,0))))/100</f>
        <v>466.4</v>
      </c>
      <c r="E2136" s="29">
        <f>IF(ОТЧЕТ!A2136="SKU3",C2136+ОТЧЕТ!C2136*0.2,C2136+ОТЧЕТ!C2136*0.15)</f>
        <v>487.6</v>
      </c>
      <c r="F2136" s="7" t="s">
        <v>4242</v>
      </c>
      <c r="G2136" s="7">
        <v>2308110232</v>
      </c>
      <c r="H2136" s="20" t="s">
        <v>69</v>
      </c>
      <c r="I2136" s="22" t="str">
        <f>INDEX('Справочник Сети'!B:B,(MATCH(G2136,'Справочник Сети'!C:C,0)))</f>
        <v>Нео-фарм</v>
      </c>
      <c r="J2136" s="7" t="s">
        <v>372</v>
      </c>
      <c r="K2136" s="7" t="s">
        <v>1793</v>
      </c>
      <c r="L2136" s="7" t="s">
        <v>372</v>
      </c>
      <c r="M2136" s="31">
        <v>45730</v>
      </c>
      <c r="N2136" s="7" t="s">
        <v>4245</v>
      </c>
      <c r="O2136" s="8">
        <v>1035</v>
      </c>
      <c r="P2136" s="24">
        <v>8166</v>
      </c>
      <c r="Q2136" s="22">
        <f>IF(COUNTIFS(A$2:A2136,A2136,I$2:I2136,I2136)=1,1,0)</f>
        <v>0</v>
      </c>
      <c r="R2136" s="22">
        <f t="shared" si="33"/>
        <v>1</v>
      </c>
      <c r="S2136" s="33">
        <f>IF(COUNTIF(O$2:O2136,O2136)=1,R2136,0)/2.5</f>
        <v>0.4</v>
      </c>
    </row>
    <row r="2137" spans="1:19" ht="18" customHeight="1" x14ac:dyDescent="0.25">
      <c r="A2137" s="7" t="s">
        <v>43</v>
      </c>
      <c r="B2137" s="8">
        <v>1</v>
      </c>
      <c r="C2137" s="9">
        <v>394</v>
      </c>
      <c r="D2137" s="29">
        <f>C2137+IF(INDEX('Справочник по %'!B:B,(MATCH(A2137,'Справочник по %'!A:A,0)))="кол-во",B2137*INDEX('Справочник по %'!C:C,(MATCH(A2137,'Справочник по %'!A:A,0))),ОТЧЕТ!C2137*INDEX('Справочник по %'!C:C,(MATCH(A2137,'Справочник по %'!A:A,0))))/100</f>
        <v>433.4</v>
      </c>
      <c r="E2137" s="29">
        <f>IF(ОТЧЕТ!A2137="SKU3",C2137+ОТЧЕТ!C2137*0.2,C2137+ОТЧЕТ!C2137*0.15)</f>
        <v>453.1</v>
      </c>
      <c r="F2137" s="7" t="s">
        <v>4246</v>
      </c>
      <c r="G2137" s="7">
        <v>7706795062</v>
      </c>
      <c r="H2137" s="20" t="s">
        <v>1270</v>
      </c>
      <c r="I2137" s="22" t="str">
        <f>INDEX('Справочник Сети'!B:B,(MATCH(G2137,'Справочник Сети'!C:C,0)))</f>
        <v>Планета здоровья</v>
      </c>
      <c r="J2137" s="7" t="s">
        <v>87</v>
      </c>
      <c r="K2137" s="7" t="s">
        <v>175</v>
      </c>
      <c r="L2137" s="7" t="s">
        <v>87</v>
      </c>
      <c r="M2137" s="31">
        <v>45691</v>
      </c>
      <c r="N2137" s="7" t="s">
        <v>4247</v>
      </c>
      <c r="O2137" s="8">
        <v>2533</v>
      </c>
      <c r="P2137" s="24">
        <v>8172</v>
      </c>
      <c r="Q2137" s="22">
        <f>IF(COUNTIFS(A$2:A2137,A2137,I$2:I2137,I2137)=1,1,0)</f>
        <v>0</v>
      </c>
      <c r="R2137" s="22">
        <f t="shared" si="33"/>
        <v>1</v>
      </c>
      <c r="S2137" s="33">
        <f>IF(COUNTIF(O$2:O2137,O2137)=1,R2137,0)/2.5</f>
        <v>0.4</v>
      </c>
    </row>
    <row r="2138" spans="1:19" ht="18" customHeight="1" x14ac:dyDescent="0.25">
      <c r="A2138" s="7" t="s">
        <v>43</v>
      </c>
      <c r="B2138" s="8">
        <v>1</v>
      </c>
      <c r="C2138" s="9">
        <v>399</v>
      </c>
      <c r="D2138" s="29">
        <f>C2138+IF(INDEX('Справочник по %'!B:B,(MATCH(A2138,'Справочник по %'!A:A,0)))="кол-во",B2138*INDEX('Справочник по %'!C:C,(MATCH(A2138,'Справочник по %'!A:A,0))),ОТЧЕТ!C2138*INDEX('Справочник по %'!C:C,(MATCH(A2138,'Справочник по %'!A:A,0))))/100</f>
        <v>438.9</v>
      </c>
      <c r="E2138" s="29">
        <f>IF(ОТЧЕТ!A2138="SKU3",C2138+ОТЧЕТ!C2138*0.2,C2138+ОТЧЕТ!C2138*0.15)</f>
        <v>458.85</v>
      </c>
      <c r="F2138" s="7" t="s">
        <v>4248</v>
      </c>
      <c r="G2138" s="7">
        <v>3123296586</v>
      </c>
      <c r="H2138" s="20" t="s">
        <v>50</v>
      </c>
      <c r="I2138" s="22" t="str">
        <f>INDEX('Справочник Сети'!B:B,(MATCH(G2138,'Справочник Сети'!C:C,0)))</f>
        <v>Столички</v>
      </c>
      <c r="J2138" s="7" t="s">
        <v>193</v>
      </c>
      <c r="K2138" s="7" t="s">
        <v>75</v>
      </c>
      <c r="L2138" s="7" t="s">
        <v>193</v>
      </c>
      <c r="M2138" s="31">
        <v>45718</v>
      </c>
      <c r="N2138" s="7" t="s">
        <v>4249</v>
      </c>
      <c r="O2138" s="8">
        <v>3558</v>
      </c>
      <c r="P2138" s="24">
        <v>8177</v>
      </c>
      <c r="Q2138" s="22">
        <f>IF(COUNTIFS(A$2:A2138,A2138,I$2:I2138,I2138)=1,1,0)</f>
        <v>0</v>
      </c>
      <c r="R2138" s="22">
        <f t="shared" si="33"/>
        <v>1</v>
      </c>
      <c r="S2138" s="33">
        <f>IF(COUNTIF(O$2:O2138,O2138)=1,R2138,0)/2.5</f>
        <v>0.4</v>
      </c>
    </row>
    <row r="2139" spans="1:19" ht="18" customHeight="1" x14ac:dyDescent="0.25">
      <c r="A2139" s="7" t="s">
        <v>43</v>
      </c>
      <c r="B2139" s="8">
        <v>1</v>
      </c>
      <c r="C2139" s="9">
        <v>460</v>
      </c>
      <c r="D2139" s="29">
        <f>C2139+IF(INDEX('Справочник по %'!B:B,(MATCH(A2139,'Справочник по %'!A:A,0)))="кол-во",B2139*INDEX('Справочник по %'!C:C,(MATCH(A2139,'Справочник по %'!A:A,0))),ОТЧЕТ!C2139*INDEX('Справочник по %'!C:C,(MATCH(A2139,'Справочник по %'!A:A,0))))/100</f>
        <v>506</v>
      </c>
      <c r="E2139" s="29">
        <f>IF(ОТЧЕТ!A2139="SKU3",C2139+ОТЧЕТ!C2139*0.2,C2139+ОТЧЕТ!C2139*0.15)</f>
        <v>529</v>
      </c>
      <c r="F2139" s="7" t="s">
        <v>4250</v>
      </c>
      <c r="G2139" s="7">
        <v>910800091897</v>
      </c>
      <c r="H2139" s="20" t="s">
        <v>1046</v>
      </c>
      <c r="I2139" s="22">
        <f>INDEX('Справочник Сети'!B:B,(MATCH(G2139,'Справочник Сети'!C:C,0)))</f>
        <v>0</v>
      </c>
      <c r="J2139" s="7" t="s">
        <v>322</v>
      </c>
      <c r="K2139" s="7" t="s">
        <v>1107</v>
      </c>
      <c r="L2139" s="7" t="s">
        <v>322</v>
      </c>
      <c r="M2139" s="31">
        <v>45658</v>
      </c>
      <c r="N2139" s="7" t="s">
        <v>4251</v>
      </c>
      <c r="O2139" s="8">
        <v>2630</v>
      </c>
      <c r="P2139" s="24">
        <v>8179</v>
      </c>
      <c r="Q2139" s="22">
        <f>IF(COUNTIFS(A$2:A2139,A2139,I$2:I2139,I2139)=1,1,0)</f>
        <v>0</v>
      </c>
      <c r="R2139" s="22">
        <f t="shared" si="33"/>
        <v>23</v>
      </c>
      <c r="S2139" s="33">
        <f>IF(COUNTIF(O$2:O2139,O2139)=1,R2139,0)/2.5</f>
        <v>0</v>
      </c>
    </row>
    <row r="2140" spans="1:19" ht="18" customHeight="1" x14ac:dyDescent="0.25">
      <c r="A2140" s="7" t="s">
        <v>43</v>
      </c>
      <c r="B2140" s="8">
        <v>1</v>
      </c>
      <c r="C2140" s="9">
        <v>375</v>
      </c>
      <c r="D2140" s="29">
        <f>C2140+IF(INDEX('Справочник по %'!B:B,(MATCH(A2140,'Справочник по %'!A:A,0)))="кол-во",B2140*INDEX('Справочник по %'!C:C,(MATCH(A2140,'Справочник по %'!A:A,0))),ОТЧЕТ!C2140*INDEX('Справочник по %'!C:C,(MATCH(A2140,'Справочник по %'!A:A,0))))/100</f>
        <v>412.5</v>
      </c>
      <c r="E2140" s="29">
        <f>IF(ОТЧЕТ!A2140="SKU3",C2140+ОТЧЕТ!C2140*0.2,C2140+ОТЧЕТ!C2140*0.15)</f>
        <v>431.25</v>
      </c>
      <c r="F2140" s="7" t="s">
        <v>4252</v>
      </c>
      <c r="G2140" s="7">
        <v>7732121736</v>
      </c>
      <c r="H2140" s="20" t="s">
        <v>3528</v>
      </c>
      <c r="I2140" s="22" t="str">
        <f>INDEX('Справочник Сети'!B:B,(MATCH(G2140,'Справочник Сети'!C:C,0)))</f>
        <v>Планета здоровья</v>
      </c>
      <c r="J2140" s="7" t="s">
        <v>149</v>
      </c>
      <c r="K2140" s="7" t="s">
        <v>169</v>
      </c>
      <c r="L2140" s="7" t="s">
        <v>149</v>
      </c>
      <c r="M2140" s="31">
        <v>45673</v>
      </c>
      <c r="N2140" s="7" t="s">
        <v>4253</v>
      </c>
      <c r="O2140" s="8">
        <v>1462</v>
      </c>
      <c r="P2140" s="24">
        <v>8184</v>
      </c>
      <c r="Q2140" s="22">
        <f>IF(COUNTIFS(A$2:A2140,A2140,I$2:I2140,I2140)=1,1,0)</f>
        <v>0</v>
      </c>
      <c r="R2140" s="22">
        <f t="shared" si="33"/>
        <v>2</v>
      </c>
      <c r="S2140" s="33">
        <f>IF(COUNTIF(O$2:O2140,O2140)=1,R2140,0)/2.5</f>
        <v>0</v>
      </c>
    </row>
    <row r="2141" spans="1:19" ht="18" customHeight="1" x14ac:dyDescent="0.25">
      <c r="A2141" s="7" t="s">
        <v>43</v>
      </c>
      <c r="B2141" s="8">
        <v>1</v>
      </c>
      <c r="C2141" s="9">
        <v>516</v>
      </c>
      <c r="D2141" s="29">
        <f>C2141+IF(INDEX('Справочник по %'!B:B,(MATCH(A2141,'Справочник по %'!A:A,0)))="кол-во",B2141*INDEX('Справочник по %'!C:C,(MATCH(A2141,'Справочник по %'!A:A,0))),ОТЧЕТ!C2141*INDEX('Справочник по %'!C:C,(MATCH(A2141,'Справочник по %'!A:A,0))))/100</f>
        <v>567.6</v>
      </c>
      <c r="E2141" s="29">
        <f>IF(ОТЧЕТ!A2141="SKU3",C2141+ОТЧЕТ!C2141*0.2,C2141+ОТЧЕТ!C2141*0.15)</f>
        <v>593.4</v>
      </c>
      <c r="F2141" s="7" t="s">
        <v>4254</v>
      </c>
      <c r="G2141" s="7">
        <v>4707025487</v>
      </c>
      <c r="H2141" s="20" t="s">
        <v>50</v>
      </c>
      <c r="I2141" s="22">
        <f>INDEX('Справочник Сети'!B:B,(MATCH(G2141,'Справочник Сети'!C:C,0)))</f>
        <v>0</v>
      </c>
      <c r="J2141" s="7" t="s">
        <v>83</v>
      </c>
      <c r="K2141" s="7" t="s">
        <v>2371</v>
      </c>
      <c r="L2141" s="7" t="s">
        <v>83</v>
      </c>
      <c r="M2141" s="31">
        <v>45715</v>
      </c>
      <c r="N2141" s="7" t="s">
        <v>4255</v>
      </c>
      <c r="O2141" s="8">
        <v>3334</v>
      </c>
      <c r="P2141" s="24">
        <v>8190</v>
      </c>
      <c r="Q2141" s="22">
        <f>IF(COUNTIFS(A$2:A2141,A2141,I$2:I2141,I2141)=1,1,0)</f>
        <v>0</v>
      </c>
      <c r="R2141" s="22">
        <f t="shared" si="33"/>
        <v>6</v>
      </c>
      <c r="S2141" s="33">
        <f>IF(COUNTIF(O$2:O2141,O2141)=1,R2141,0)/2.5</f>
        <v>0</v>
      </c>
    </row>
    <row r="2142" spans="1:19" ht="18" customHeight="1" x14ac:dyDescent="0.25">
      <c r="A2142" s="7" t="s">
        <v>43</v>
      </c>
      <c r="B2142" s="8">
        <v>1</v>
      </c>
      <c r="C2142" s="9">
        <v>422</v>
      </c>
      <c r="D2142" s="29">
        <f>C2142+IF(INDEX('Справочник по %'!B:B,(MATCH(A2142,'Справочник по %'!A:A,0)))="кол-во",B2142*INDEX('Справочник по %'!C:C,(MATCH(A2142,'Справочник по %'!A:A,0))),ОТЧЕТ!C2142*INDEX('Справочник по %'!C:C,(MATCH(A2142,'Справочник по %'!A:A,0))))/100</f>
        <v>464.2</v>
      </c>
      <c r="E2142" s="29">
        <f>IF(ОТЧЕТ!A2142="SKU3",C2142+ОТЧЕТ!C2142*0.2,C2142+ОТЧЕТ!C2142*0.15)</f>
        <v>485.3</v>
      </c>
      <c r="F2142" s="7" t="s">
        <v>4256</v>
      </c>
      <c r="G2142" s="7">
        <v>5005007369</v>
      </c>
      <c r="H2142" s="20" t="s">
        <v>50</v>
      </c>
      <c r="I2142" s="22">
        <f>INDEX('Справочник Сети'!B:B,(MATCH(G2142,'Справочник Сети'!C:C,0)))</f>
        <v>0</v>
      </c>
      <c r="J2142" s="7" t="s">
        <v>83</v>
      </c>
      <c r="K2142" s="7" t="s">
        <v>1717</v>
      </c>
      <c r="L2142" s="7" t="s">
        <v>83</v>
      </c>
      <c r="M2142" s="31">
        <v>45715</v>
      </c>
      <c r="N2142" s="7" t="s">
        <v>4257</v>
      </c>
      <c r="O2142" s="8">
        <v>2579</v>
      </c>
      <c r="P2142" s="24">
        <v>8192</v>
      </c>
      <c r="Q2142" s="22">
        <f>IF(COUNTIFS(A$2:A2142,A2142,I$2:I2142,I2142)=1,1,0)</f>
        <v>0</v>
      </c>
      <c r="R2142" s="22">
        <f t="shared" si="33"/>
        <v>1</v>
      </c>
      <c r="S2142" s="33">
        <f>IF(COUNTIF(O$2:O2142,O2142)=1,R2142,0)/2.5</f>
        <v>0.4</v>
      </c>
    </row>
    <row r="2143" spans="1:19" ht="18" customHeight="1" x14ac:dyDescent="0.25">
      <c r="A2143" s="7" t="s">
        <v>43</v>
      </c>
      <c r="B2143" s="8">
        <v>1</v>
      </c>
      <c r="C2143" s="9">
        <v>393</v>
      </c>
      <c r="D2143" s="29">
        <f>C2143+IF(INDEX('Справочник по %'!B:B,(MATCH(A2143,'Справочник по %'!A:A,0)))="кол-во",B2143*INDEX('Справочник по %'!C:C,(MATCH(A2143,'Справочник по %'!A:A,0))),ОТЧЕТ!C2143*INDEX('Справочник по %'!C:C,(MATCH(A2143,'Справочник по %'!A:A,0))))/100</f>
        <v>432.3</v>
      </c>
      <c r="E2143" s="29">
        <f>IF(ОТЧЕТ!A2143="SKU3",C2143+ОТЧЕТ!C2143*0.2,C2143+ОТЧЕТ!C2143*0.15)</f>
        <v>451.95</v>
      </c>
      <c r="F2143" s="7" t="s">
        <v>4256</v>
      </c>
      <c r="G2143" s="7">
        <v>2309136755</v>
      </c>
      <c r="H2143" s="20" t="s">
        <v>50</v>
      </c>
      <c r="I2143" s="22" t="str">
        <f>INDEX('Справочник Сети'!B:B,(MATCH(G2143,'Справочник Сети'!C:C,0)))</f>
        <v>Столички</v>
      </c>
      <c r="J2143" s="7" t="s">
        <v>57</v>
      </c>
      <c r="K2143" s="7" t="s">
        <v>4258</v>
      </c>
      <c r="L2143" s="7" t="s">
        <v>57</v>
      </c>
      <c r="M2143" s="31">
        <v>45729</v>
      </c>
      <c r="N2143" s="7" t="s">
        <v>4259</v>
      </c>
      <c r="O2143" s="8">
        <v>1488</v>
      </c>
      <c r="P2143" s="24">
        <v>8194</v>
      </c>
      <c r="Q2143" s="22">
        <f>IF(COUNTIFS(A$2:A2143,A2143,I$2:I2143,I2143)=1,1,0)</f>
        <v>0</v>
      </c>
      <c r="R2143" s="22">
        <f t="shared" si="33"/>
        <v>3</v>
      </c>
      <c r="S2143" s="33">
        <f>IF(COUNTIF(O$2:O2143,O2143)=1,R2143,0)/2.5</f>
        <v>0</v>
      </c>
    </row>
    <row r="2144" spans="1:19" ht="18" customHeight="1" x14ac:dyDescent="0.25">
      <c r="A2144" s="7" t="s">
        <v>43</v>
      </c>
      <c r="B2144" s="8">
        <v>1</v>
      </c>
      <c r="C2144" s="9">
        <v>353</v>
      </c>
      <c r="D2144" s="29">
        <f>C2144+IF(INDEX('Справочник по %'!B:B,(MATCH(A2144,'Справочник по %'!A:A,0)))="кол-во",B2144*INDEX('Справочник по %'!C:C,(MATCH(A2144,'Справочник по %'!A:A,0))),ОТЧЕТ!C2144*INDEX('Справочник по %'!C:C,(MATCH(A2144,'Справочник по %'!A:A,0))))/100</f>
        <v>388.3</v>
      </c>
      <c r="E2144" s="29">
        <f>IF(ОТЧЕТ!A2144="SKU3",C2144+ОТЧЕТ!C2144*0.2,C2144+ОТЧЕТ!C2144*0.15)</f>
        <v>405.95</v>
      </c>
      <c r="F2144" s="7" t="s">
        <v>4260</v>
      </c>
      <c r="G2144" s="7">
        <v>2309136755</v>
      </c>
      <c r="H2144" s="20" t="s">
        <v>50</v>
      </c>
      <c r="I2144" s="22" t="str">
        <f>INDEX('Справочник Сети'!B:B,(MATCH(G2144,'Справочник Сети'!C:C,0)))</f>
        <v>Столички</v>
      </c>
      <c r="J2144" s="7" t="s">
        <v>57</v>
      </c>
      <c r="K2144" s="7" t="s">
        <v>2715</v>
      </c>
      <c r="L2144" s="7" t="s">
        <v>57</v>
      </c>
      <c r="M2144" s="31">
        <v>45729</v>
      </c>
      <c r="N2144" s="7" t="s">
        <v>4261</v>
      </c>
      <c r="O2144" s="8">
        <v>1488</v>
      </c>
      <c r="P2144" s="24">
        <v>8195</v>
      </c>
      <c r="Q2144" s="22">
        <f>IF(COUNTIFS(A$2:A2144,A2144,I$2:I2144,I2144)=1,1,0)</f>
        <v>0</v>
      </c>
      <c r="R2144" s="22">
        <f t="shared" si="33"/>
        <v>3</v>
      </c>
      <c r="S2144" s="33">
        <f>IF(COUNTIF(O$2:O2144,O2144)=1,R2144,0)/2.5</f>
        <v>0</v>
      </c>
    </row>
    <row r="2145" spans="1:19" ht="18" customHeight="1" x14ac:dyDescent="0.25">
      <c r="A2145" s="7" t="s">
        <v>43</v>
      </c>
      <c r="B2145" s="8">
        <v>1</v>
      </c>
      <c r="C2145" s="9">
        <v>406.7</v>
      </c>
      <c r="D2145" s="29">
        <f>C2145+IF(INDEX('Справочник по %'!B:B,(MATCH(A2145,'Справочник по %'!A:A,0)))="кол-во",B2145*INDEX('Справочник по %'!C:C,(MATCH(A2145,'Справочник по %'!A:A,0))),ОТЧЕТ!C2145*INDEX('Справочник по %'!C:C,(MATCH(A2145,'Справочник по %'!A:A,0))))/100</f>
        <v>447.37</v>
      </c>
      <c r="E2145" s="29">
        <f>IF(ОТЧЕТ!A2145="SKU3",C2145+ОТЧЕТ!C2145*0.2,C2145+ОТЧЕТ!C2145*0.15)</f>
        <v>467.70499999999998</v>
      </c>
      <c r="F2145" s="7" t="s">
        <v>4262</v>
      </c>
      <c r="G2145" s="7">
        <v>7714844316</v>
      </c>
      <c r="H2145" s="20" t="s">
        <v>64</v>
      </c>
      <c r="I2145" s="22" t="str">
        <f>INDEX('Справочник Сети'!B:B,(MATCH(G2145,'Справочник Сети'!C:C,0)))</f>
        <v>Планета здоровья</v>
      </c>
      <c r="J2145" s="7" t="s">
        <v>504</v>
      </c>
      <c r="K2145" s="7" t="s">
        <v>280</v>
      </c>
      <c r="L2145" s="7" t="s">
        <v>504</v>
      </c>
      <c r="M2145" s="31">
        <v>45690</v>
      </c>
      <c r="N2145" s="7" t="s">
        <v>4263</v>
      </c>
      <c r="O2145" s="8">
        <v>681</v>
      </c>
      <c r="P2145" s="24">
        <v>8205</v>
      </c>
      <c r="Q2145" s="22">
        <f>IF(COUNTIFS(A$2:A2145,A2145,I$2:I2145,I2145)=1,1,0)</f>
        <v>0</v>
      </c>
      <c r="R2145" s="22">
        <f t="shared" si="33"/>
        <v>1</v>
      </c>
      <c r="S2145" s="33">
        <f>IF(COUNTIF(O$2:O2145,O2145)=1,R2145,0)/2.5</f>
        <v>0.4</v>
      </c>
    </row>
    <row r="2146" spans="1:19" ht="18" customHeight="1" x14ac:dyDescent="0.25">
      <c r="A2146" s="7" t="s">
        <v>43</v>
      </c>
      <c r="B2146" s="8">
        <v>1</v>
      </c>
      <c r="C2146" s="9">
        <v>449.2</v>
      </c>
      <c r="D2146" s="29">
        <f>C2146+IF(INDEX('Справочник по %'!B:B,(MATCH(A2146,'Справочник по %'!A:A,0)))="кол-во",B2146*INDEX('Справочник по %'!C:C,(MATCH(A2146,'Справочник по %'!A:A,0))),ОТЧЕТ!C2146*INDEX('Справочник по %'!C:C,(MATCH(A2146,'Справочник по %'!A:A,0))))/100</f>
        <v>494.12</v>
      </c>
      <c r="E2146" s="29">
        <f>IF(ОТЧЕТ!A2146="SKU3",C2146+ОТЧЕТ!C2146*0.2,C2146+ОТЧЕТ!C2146*0.15)</f>
        <v>516.57999999999993</v>
      </c>
      <c r="F2146" s="7" t="s">
        <v>4264</v>
      </c>
      <c r="G2146" s="7">
        <v>4401090930</v>
      </c>
      <c r="H2146" s="20" t="s">
        <v>50</v>
      </c>
      <c r="I2146" s="22">
        <f>INDEX('Справочник Сети'!B:B,(MATCH(G2146,'Справочник Сети'!C:C,0)))</f>
        <v>0</v>
      </c>
      <c r="J2146" s="7" t="s">
        <v>155</v>
      </c>
      <c r="K2146" s="7" t="s">
        <v>1812</v>
      </c>
      <c r="L2146" s="7" t="s">
        <v>155</v>
      </c>
      <c r="M2146" s="31">
        <v>45716</v>
      </c>
      <c r="N2146" s="7" t="s">
        <v>1267</v>
      </c>
      <c r="O2146" s="8">
        <v>2727</v>
      </c>
      <c r="P2146" s="24">
        <v>8210</v>
      </c>
      <c r="Q2146" s="22">
        <f>IF(COUNTIFS(A$2:A2146,A2146,I$2:I2146,I2146)=1,1,0)</f>
        <v>0</v>
      </c>
      <c r="R2146" s="22">
        <f t="shared" si="33"/>
        <v>2</v>
      </c>
      <c r="S2146" s="33">
        <f>IF(COUNTIF(O$2:O2146,O2146)=1,R2146,0)/2.5</f>
        <v>0</v>
      </c>
    </row>
    <row r="2147" spans="1:19" ht="18" customHeight="1" x14ac:dyDescent="0.25">
      <c r="A2147" s="7" t="s">
        <v>43</v>
      </c>
      <c r="B2147" s="8">
        <v>1</v>
      </c>
      <c r="C2147" s="9">
        <v>493</v>
      </c>
      <c r="D2147" s="29">
        <f>C2147+IF(INDEX('Справочник по %'!B:B,(MATCH(A2147,'Справочник по %'!A:A,0)))="кол-во",B2147*INDEX('Справочник по %'!C:C,(MATCH(A2147,'Справочник по %'!A:A,0))),ОТЧЕТ!C2147*INDEX('Справочник по %'!C:C,(MATCH(A2147,'Справочник по %'!A:A,0))))/100</f>
        <v>542.29999999999995</v>
      </c>
      <c r="E2147" s="29">
        <f>IF(ОТЧЕТ!A2147="SKU3",C2147+ОТЧЕТ!C2147*0.2,C2147+ОТЧЕТ!C2147*0.15)</f>
        <v>566.95000000000005</v>
      </c>
      <c r="F2147" s="7" t="s">
        <v>4264</v>
      </c>
      <c r="G2147" s="7">
        <v>7734732748</v>
      </c>
      <c r="H2147" s="20" t="s">
        <v>511</v>
      </c>
      <c r="I2147" s="22" t="str">
        <f>INDEX('Справочник Сети'!B:B,(MATCH(G2147,'Справочник Сети'!C:C,0)))</f>
        <v>Планета здоровья</v>
      </c>
      <c r="J2147" s="7" t="s">
        <v>353</v>
      </c>
      <c r="K2147" s="7" t="s">
        <v>3096</v>
      </c>
      <c r="L2147" s="7" t="s">
        <v>353</v>
      </c>
      <c r="M2147" s="31">
        <v>45672</v>
      </c>
      <c r="N2147" s="7" t="s">
        <v>4265</v>
      </c>
      <c r="O2147" s="8">
        <v>2111</v>
      </c>
      <c r="P2147" s="24">
        <v>8211</v>
      </c>
      <c r="Q2147" s="22">
        <f>IF(COUNTIFS(A$2:A2147,A2147,I$2:I2147,I2147)=1,1,0)</f>
        <v>0</v>
      </c>
      <c r="R2147" s="22">
        <f t="shared" si="33"/>
        <v>1</v>
      </c>
      <c r="S2147" s="33">
        <f>IF(COUNTIF(O$2:O2147,O2147)=1,R2147,0)/2.5</f>
        <v>0.4</v>
      </c>
    </row>
    <row r="2148" spans="1:19" ht="18" customHeight="1" x14ac:dyDescent="0.25">
      <c r="A2148" s="7" t="s">
        <v>43</v>
      </c>
      <c r="B2148" s="8">
        <v>1</v>
      </c>
      <c r="C2148" s="9">
        <v>397</v>
      </c>
      <c r="D2148" s="29">
        <f>C2148+IF(INDEX('Справочник по %'!B:B,(MATCH(A2148,'Справочник по %'!A:A,0)))="кол-во",B2148*INDEX('Справочник по %'!C:C,(MATCH(A2148,'Справочник по %'!A:A,0))),ОТЧЕТ!C2148*INDEX('Справочник по %'!C:C,(MATCH(A2148,'Справочник по %'!A:A,0))))/100</f>
        <v>436.7</v>
      </c>
      <c r="E2148" s="29">
        <f>IF(ОТЧЕТ!A2148="SKU3",C2148+ОТЧЕТ!C2148*0.2,C2148+ОТЧЕТ!C2148*0.15)</f>
        <v>456.55</v>
      </c>
      <c r="F2148" s="7" t="s">
        <v>4264</v>
      </c>
      <c r="G2148" s="7">
        <v>7732121736</v>
      </c>
      <c r="H2148" s="20" t="s">
        <v>3362</v>
      </c>
      <c r="I2148" s="22" t="str">
        <f>INDEX('Справочник Сети'!B:B,(MATCH(G2148,'Справочник Сети'!C:C,0)))</f>
        <v>Планета здоровья</v>
      </c>
      <c r="J2148" s="7" t="s">
        <v>149</v>
      </c>
      <c r="K2148" s="7" t="s">
        <v>3081</v>
      </c>
      <c r="L2148" s="7" t="s">
        <v>149</v>
      </c>
      <c r="M2148" s="31">
        <v>45673</v>
      </c>
      <c r="N2148" s="7" t="s">
        <v>4266</v>
      </c>
      <c r="O2148" s="8">
        <v>3046</v>
      </c>
      <c r="P2148" s="24">
        <v>8215</v>
      </c>
      <c r="Q2148" s="22">
        <f>IF(COUNTIFS(A$2:A2148,A2148,I$2:I2148,I2148)=1,1,0)</f>
        <v>0</v>
      </c>
      <c r="R2148" s="22">
        <f t="shared" si="33"/>
        <v>7</v>
      </c>
      <c r="S2148" s="33">
        <f>IF(COUNTIF(O$2:O2148,O2148)=1,R2148,0)/2.5</f>
        <v>0</v>
      </c>
    </row>
    <row r="2149" spans="1:19" ht="18" customHeight="1" x14ac:dyDescent="0.25">
      <c r="A2149" s="7" t="s">
        <v>43</v>
      </c>
      <c r="B2149" s="8">
        <v>1</v>
      </c>
      <c r="C2149" s="9">
        <v>485</v>
      </c>
      <c r="D2149" s="29">
        <f>C2149+IF(INDEX('Справочник по %'!B:B,(MATCH(A2149,'Справочник по %'!A:A,0)))="кол-во",B2149*INDEX('Справочник по %'!C:C,(MATCH(A2149,'Справочник по %'!A:A,0))),ОТЧЕТ!C2149*INDEX('Справочник по %'!C:C,(MATCH(A2149,'Справочник по %'!A:A,0))))/100</f>
        <v>533.5</v>
      </c>
      <c r="E2149" s="29">
        <f>IF(ОТЧЕТ!A2149="SKU3",C2149+ОТЧЕТ!C2149*0.2,C2149+ОТЧЕТ!C2149*0.15)</f>
        <v>557.75</v>
      </c>
      <c r="F2149" s="7" t="s">
        <v>4264</v>
      </c>
      <c r="G2149" s="7">
        <v>7720292600</v>
      </c>
      <c r="H2149" s="20" t="s">
        <v>50</v>
      </c>
      <c r="I2149" s="22">
        <f>INDEX('Справочник Сети'!B:B,(MATCH(G2149,'Справочник Сети'!C:C,0)))</f>
        <v>0</v>
      </c>
      <c r="J2149" s="7" t="s">
        <v>168</v>
      </c>
      <c r="K2149" s="7" t="s">
        <v>1196</v>
      </c>
      <c r="L2149" s="7" t="s">
        <v>168</v>
      </c>
      <c r="M2149" s="31">
        <v>45676</v>
      </c>
      <c r="N2149" s="7" t="s">
        <v>4267</v>
      </c>
      <c r="O2149" s="8">
        <v>1148</v>
      </c>
      <c r="P2149" s="24">
        <v>8216</v>
      </c>
      <c r="Q2149" s="22">
        <f>IF(COUNTIFS(A$2:A2149,A2149,I$2:I2149,I2149)=1,1,0)</f>
        <v>0</v>
      </c>
      <c r="R2149" s="22">
        <f t="shared" si="33"/>
        <v>1</v>
      </c>
      <c r="S2149" s="33">
        <f>IF(COUNTIF(O$2:O2149,O2149)=1,R2149,0)/2.5</f>
        <v>0.4</v>
      </c>
    </row>
    <row r="2150" spans="1:19" ht="18" customHeight="1" x14ac:dyDescent="0.25">
      <c r="A2150" s="7" t="s">
        <v>43</v>
      </c>
      <c r="B2150" s="8">
        <v>1</v>
      </c>
      <c r="C2150" s="9">
        <v>397</v>
      </c>
      <c r="D2150" s="29">
        <f>C2150+IF(INDEX('Справочник по %'!B:B,(MATCH(A2150,'Справочник по %'!A:A,0)))="кол-во",B2150*INDEX('Справочник по %'!C:C,(MATCH(A2150,'Справочник по %'!A:A,0))),ОТЧЕТ!C2150*INDEX('Справочник по %'!C:C,(MATCH(A2150,'Справочник по %'!A:A,0))))/100</f>
        <v>436.7</v>
      </c>
      <c r="E2150" s="29">
        <f>IF(ОТЧЕТ!A2150="SKU3",C2150+ОТЧЕТ!C2150*0.2,C2150+ОТЧЕТ!C2150*0.15)</f>
        <v>456.55</v>
      </c>
      <c r="F2150" s="7" t="s">
        <v>4264</v>
      </c>
      <c r="G2150" s="7">
        <v>6166125005</v>
      </c>
      <c r="H2150" s="20" t="s">
        <v>4001</v>
      </c>
      <c r="I2150" s="22" t="str">
        <f>INDEX('Справочник Сети'!B:B,(MATCH(G2150,'Справочник Сети'!C:C,0)))</f>
        <v>Столички</v>
      </c>
      <c r="J2150" s="7" t="s">
        <v>203</v>
      </c>
      <c r="K2150" s="7" t="s">
        <v>3081</v>
      </c>
      <c r="L2150" s="7" t="s">
        <v>203</v>
      </c>
      <c r="M2150" s="31">
        <v>45696</v>
      </c>
      <c r="N2150" s="7" t="s">
        <v>4268</v>
      </c>
      <c r="O2150" s="8">
        <v>1458</v>
      </c>
      <c r="P2150" s="24">
        <v>8219</v>
      </c>
      <c r="Q2150" s="22">
        <f>IF(COUNTIFS(A$2:A2150,A2150,I$2:I2150,I2150)=1,1,0)</f>
        <v>0</v>
      </c>
      <c r="R2150" s="22">
        <f t="shared" si="33"/>
        <v>3</v>
      </c>
      <c r="S2150" s="33">
        <f>IF(COUNTIF(O$2:O2150,O2150)=1,R2150,0)/2.5</f>
        <v>0</v>
      </c>
    </row>
    <row r="2151" spans="1:19" ht="18" customHeight="1" x14ac:dyDescent="0.25">
      <c r="A2151" s="7" t="s">
        <v>43</v>
      </c>
      <c r="B2151" s="8">
        <v>1</v>
      </c>
      <c r="C2151" s="9">
        <v>455</v>
      </c>
      <c r="D2151" s="29">
        <f>C2151+IF(INDEX('Справочник по %'!B:B,(MATCH(A2151,'Справочник по %'!A:A,0)))="кол-во",B2151*INDEX('Справочник по %'!C:C,(MATCH(A2151,'Справочник по %'!A:A,0))),ОТЧЕТ!C2151*INDEX('Справочник по %'!C:C,(MATCH(A2151,'Справочник по %'!A:A,0))))/100</f>
        <v>500.5</v>
      </c>
      <c r="E2151" s="29">
        <f>IF(ОТЧЕТ!A2151="SKU3",C2151+ОТЧЕТ!C2151*0.2,C2151+ОТЧЕТ!C2151*0.15)</f>
        <v>523.25</v>
      </c>
      <c r="F2151" s="7" t="s">
        <v>4269</v>
      </c>
      <c r="G2151" s="7">
        <v>5902058784</v>
      </c>
      <c r="H2151" s="20" t="s">
        <v>39</v>
      </c>
      <c r="I2151" s="22" t="str">
        <f>INDEX('Справочник Сети'!B:B,(MATCH(G2151,'Справочник Сети'!C:C,0)))</f>
        <v>Планета здоровья</v>
      </c>
      <c r="J2151" s="7" t="s">
        <v>40</v>
      </c>
      <c r="K2151" s="7" t="s">
        <v>3081</v>
      </c>
      <c r="L2151" s="7" t="s">
        <v>40</v>
      </c>
      <c r="M2151" s="31">
        <v>45712</v>
      </c>
      <c r="N2151" s="7" t="s">
        <v>4270</v>
      </c>
      <c r="O2151" s="8">
        <v>2569</v>
      </c>
      <c r="P2151" s="24">
        <v>8222</v>
      </c>
      <c r="Q2151" s="22">
        <f>IF(COUNTIFS(A$2:A2151,A2151,I$2:I2151,I2151)=1,1,0)</f>
        <v>0</v>
      </c>
      <c r="R2151" s="22">
        <f t="shared" si="33"/>
        <v>2</v>
      </c>
      <c r="S2151" s="33">
        <f>IF(COUNTIF(O$2:O2151,O2151)=1,R2151,0)/2.5</f>
        <v>0</v>
      </c>
    </row>
    <row r="2152" spans="1:19" ht="18" customHeight="1" x14ac:dyDescent="0.25">
      <c r="A2152" s="7" t="s">
        <v>43</v>
      </c>
      <c r="B2152" s="8">
        <v>1</v>
      </c>
      <c r="C2152" s="9">
        <v>450</v>
      </c>
      <c r="D2152" s="29">
        <f>C2152+IF(INDEX('Справочник по %'!B:B,(MATCH(A2152,'Справочник по %'!A:A,0)))="кол-во",B2152*INDEX('Справочник по %'!C:C,(MATCH(A2152,'Справочник по %'!A:A,0))),ОТЧЕТ!C2152*INDEX('Справочник по %'!C:C,(MATCH(A2152,'Справочник по %'!A:A,0))))/100</f>
        <v>495</v>
      </c>
      <c r="E2152" s="29">
        <f>IF(ОТЧЕТ!A2152="SKU3",C2152+ОТЧЕТ!C2152*0.2,C2152+ОТЧЕТ!C2152*0.15)</f>
        <v>517.5</v>
      </c>
      <c r="F2152" s="7" t="s">
        <v>4269</v>
      </c>
      <c r="G2152" s="7">
        <v>910800091897</v>
      </c>
      <c r="H2152" s="20" t="s">
        <v>1046</v>
      </c>
      <c r="I2152" s="22">
        <f>INDEX('Справочник Сети'!B:B,(MATCH(G2152,'Справочник Сети'!C:C,0)))</f>
        <v>0</v>
      </c>
      <c r="J2152" s="7" t="s">
        <v>322</v>
      </c>
      <c r="K2152" s="7" t="s">
        <v>1196</v>
      </c>
      <c r="L2152" s="7" t="s">
        <v>322</v>
      </c>
      <c r="M2152" s="31">
        <v>45658</v>
      </c>
      <c r="N2152" s="7" t="s">
        <v>4271</v>
      </c>
      <c r="O2152" s="8">
        <v>3806</v>
      </c>
      <c r="P2152" s="24">
        <v>8225</v>
      </c>
      <c r="Q2152" s="22">
        <f>IF(COUNTIFS(A$2:A2152,A2152,I$2:I2152,I2152)=1,1,0)</f>
        <v>0</v>
      </c>
      <c r="R2152" s="22">
        <f t="shared" si="33"/>
        <v>6</v>
      </c>
      <c r="S2152" s="33">
        <f>IF(COUNTIF(O$2:O2152,O2152)=1,R2152,0)/2.5</f>
        <v>0</v>
      </c>
    </row>
    <row r="2153" spans="1:19" ht="18" customHeight="1" x14ac:dyDescent="0.25">
      <c r="A2153" s="7" t="s">
        <v>43</v>
      </c>
      <c r="B2153" s="8">
        <v>1</v>
      </c>
      <c r="C2153" s="9">
        <v>425.01</v>
      </c>
      <c r="D2153" s="29">
        <f>C2153+IF(INDEX('Справочник по %'!B:B,(MATCH(A2153,'Справочник по %'!A:A,0)))="кол-во",B2153*INDEX('Справочник по %'!C:C,(MATCH(A2153,'Справочник по %'!A:A,0))),ОТЧЕТ!C2153*INDEX('Справочник по %'!C:C,(MATCH(A2153,'Справочник по %'!A:A,0))))/100</f>
        <v>467.51099999999997</v>
      </c>
      <c r="E2153" s="29">
        <f>IF(ОТЧЕТ!A2153="SKU3",C2153+ОТЧЕТ!C2153*0.2,C2153+ОТЧЕТ!C2153*0.15)</f>
        <v>488.76149999999996</v>
      </c>
      <c r="F2153" s="7" t="s">
        <v>4272</v>
      </c>
      <c r="G2153" s="7">
        <v>2311278771</v>
      </c>
      <c r="H2153" s="20" t="s">
        <v>792</v>
      </c>
      <c r="I2153" s="22">
        <f>INDEX('Справочник Сети'!B:B,(MATCH(G2153,'Справочник Сети'!C:C,0)))</f>
        <v>0</v>
      </c>
      <c r="J2153" s="7" t="s">
        <v>70</v>
      </c>
      <c r="K2153" s="7" t="s">
        <v>2462</v>
      </c>
      <c r="L2153" s="7" t="s">
        <v>70</v>
      </c>
      <c r="M2153" s="31">
        <v>45728</v>
      </c>
      <c r="N2153" s="7" t="s">
        <v>4273</v>
      </c>
      <c r="O2153" s="8">
        <v>49</v>
      </c>
      <c r="P2153" s="24">
        <v>8232</v>
      </c>
      <c r="Q2153" s="22">
        <f>IF(COUNTIFS(A$2:A2153,A2153,I$2:I2153,I2153)=1,1,0)</f>
        <v>0</v>
      </c>
      <c r="R2153" s="22">
        <f t="shared" si="33"/>
        <v>2</v>
      </c>
      <c r="S2153" s="33">
        <f>IF(COUNTIF(O$2:O2153,O2153)=1,R2153,0)/2.5</f>
        <v>0</v>
      </c>
    </row>
    <row r="2154" spans="1:19" ht="18" customHeight="1" x14ac:dyDescent="0.25">
      <c r="A2154" s="7" t="s">
        <v>43</v>
      </c>
      <c r="B2154" s="8">
        <v>1</v>
      </c>
      <c r="C2154" s="9">
        <v>412</v>
      </c>
      <c r="D2154" s="29">
        <f>C2154+IF(INDEX('Справочник по %'!B:B,(MATCH(A2154,'Справочник по %'!A:A,0)))="кол-во",B2154*INDEX('Справочник по %'!C:C,(MATCH(A2154,'Справочник по %'!A:A,0))),ОТЧЕТ!C2154*INDEX('Справочник по %'!C:C,(MATCH(A2154,'Справочник по %'!A:A,0))))/100</f>
        <v>453.2</v>
      </c>
      <c r="E2154" s="29">
        <f>IF(ОТЧЕТ!A2154="SKU3",C2154+ОТЧЕТ!C2154*0.2,C2154+ОТЧЕТ!C2154*0.15)</f>
        <v>473.8</v>
      </c>
      <c r="F2154" s="7" t="s">
        <v>4272</v>
      </c>
      <c r="G2154" s="7">
        <v>2310096546</v>
      </c>
      <c r="H2154" s="20" t="s">
        <v>69</v>
      </c>
      <c r="I2154" s="22" t="str">
        <f>INDEX('Справочник Сети'!B:B,(MATCH(G2154,'Справочник Сети'!C:C,0)))</f>
        <v>36,6</v>
      </c>
      <c r="J2154" s="7" t="s">
        <v>57</v>
      </c>
      <c r="K2154" s="7" t="s">
        <v>2106</v>
      </c>
      <c r="L2154" s="7" t="s">
        <v>57</v>
      </c>
      <c r="M2154" s="31">
        <v>45729</v>
      </c>
      <c r="N2154" s="7" t="s">
        <v>4274</v>
      </c>
      <c r="O2154" s="8">
        <v>779</v>
      </c>
      <c r="P2154" s="24">
        <v>8233</v>
      </c>
      <c r="Q2154" s="22">
        <f>IF(COUNTIFS(A$2:A2154,A2154,I$2:I2154,I2154)=1,1,0)</f>
        <v>0</v>
      </c>
      <c r="R2154" s="22">
        <f t="shared" si="33"/>
        <v>3</v>
      </c>
      <c r="S2154" s="33">
        <f>IF(COUNTIF(O$2:O2154,O2154)=1,R2154,0)/2.5</f>
        <v>0</v>
      </c>
    </row>
    <row r="2155" spans="1:19" ht="18" customHeight="1" x14ac:dyDescent="0.25">
      <c r="A2155" s="7" t="s">
        <v>43</v>
      </c>
      <c r="B2155" s="8">
        <v>1</v>
      </c>
      <c r="C2155" s="9">
        <v>453</v>
      </c>
      <c r="D2155" s="29">
        <f>C2155+IF(INDEX('Справочник по %'!B:B,(MATCH(A2155,'Справочник по %'!A:A,0)))="кол-во",B2155*INDEX('Справочник по %'!C:C,(MATCH(A2155,'Справочник по %'!A:A,0))),ОТЧЕТ!C2155*INDEX('Справочник по %'!C:C,(MATCH(A2155,'Справочник по %'!A:A,0))))/100</f>
        <v>498.3</v>
      </c>
      <c r="E2155" s="29">
        <f>IF(ОТЧЕТ!A2155="SKU3",C2155+ОТЧЕТ!C2155*0.2,C2155+ОТЧЕТ!C2155*0.15)</f>
        <v>520.95000000000005</v>
      </c>
      <c r="F2155" s="7" t="s">
        <v>4272</v>
      </c>
      <c r="G2155" s="7">
        <v>7705947629</v>
      </c>
      <c r="H2155" s="20" t="s">
        <v>50</v>
      </c>
      <c r="I2155" s="22" t="str">
        <f>INDEX('Справочник Сети'!B:B,(MATCH(G2155,'Справочник Сети'!C:C,0)))</f>
        <v>36,6</v>
      </c>
      <c r="J2155" s="7" t="s">
        <v>104</v>
      </c>
      <c r="K2155" s="7" t="s">
        <v>1163</v>
      </c>
      <c r="L2155" s="7" t="s">
        <v>104</v>
      </c>
      <c r="M2155" s="31">
        <v>45693</v>
      </c>
      <c r="N2155" s="7" t="s">
        <v>4275</v>
      </c>
      <c r="O2155" s="8">
        <v>289</v>
      </c>
      <c r="P2155" s="24">
        <v>8239</v>
      </c>
      <c r="Q2155" s="22">
        <f>IF(COUNTIFS(A$2:A2155,A2155,I$2:I2155,I2155)=1,1,0)</f>
        <v>0</v>
      </c>
      <c r="R2155" s="22">
        <f t="shared" si="33"/>
        <v>2</v>
      </c>
      <c r="S2155" s="33">
        <f>IF(COUNTIF(O$2:O2155,O2155)=1,R2155,0)/2.5</f>
        <v>0</v>
      </c>
    </row>
    <row r="2156" spans="1:19" ht="18" customHeight="1" x14ac:dyDescent="0.25">
      <c r="A2156" s="7" t="s">
        <v>43</v>
      </c>
      <c r="B2156" s="8">
        <v>1</v>
      </c>
      <c r="C2156" s="9">
        <v>561</v>
      </c>
      <c r="D2156" s="29">
        <f>C2156+IF(INDEX('Справочник по %'!B:B,(MATCH(A2156,'Справочник по %'!A:A,0)))="кол-во",B2156*INDEX('Справочник по %'!C:C,(MATCH(A2156,'Справочник по %'!A:A,0))),ОТЧЕТ!C2156*INDEX('Справочник по %'!C:C,(MATCH(A2156,'Справочник по %'!A:A,0))))/100</f>
        <v>617.1</v>
      </c>
      <c r="E2156" s="29">
        <f>IF(ОТЧЕТ!A2156="SKU3",C2156+ОТЧЕТ!C2156*0.2,C2156+ОТЧЕТ!C2156*0.15)</f>
        <v>645.15</v>
      </c>
      <c r="F2156" s="7" t="s">
        <v>4272</v>
      </c>
      <c r="G2156" s="7">
        <v>2312262911</v>
      </c>
      <c r="H2156" s="20" t="s">
        <v>50</v>
      </c>
      <c r="I2156" s="22">
        <f>INDEX('Справочник Сети'!B:B,(MATCH(G2156,'Справочник Сети'!C:C,0)))</f>
        <v>0</v>
      </c>
      <c r="J2156" s="7" t="s">
        <v>70</v>
      </c>
      <c r="K2156" s="7" t="s">
        <v>1832</v>
      </c>
      <c r="L2156" s="7" t="s">
        <v>70</v>
      </c>
      <c r="M2156" s="31">
        <v>45728</v>
      </c>
      <c r="N2156" s="7" t="s">
        <v>4276</v>
      </c>
      <c r="O2156" s="8">
        <v>3596</v>
      </c>
      <c r="P2156" s="24">
        <v>8241</v>
      </c>
      <c r="Q2156" s="22">
        <f>IF(COUNTIFS(A$2:A2156,A2156,I$2:I2156,I2156)=1,1,0)</f>
        <v>0</v>
      </c>
      <c r="R2156" s="22">
        <f t="shared" si="33"/>
        <v>1</v>
      </c>
      <c r="S2156" s="33">
        <f>IF(COUNTIF(O$2:O2156,O2156)=1,R2156,0)/2.5</f>
        <v>0.4</v>
      </c>
    </row>
    <row r="2157" spans="1:19" ht="18" customHeight="1" x14ac:dyDescent="0.25">
      <c r="A2157" s="7" t="s">
        <v>43</v>
      </c>
      <c r="B2157" s="8">
        <v>1</v>
      </c>
      <c r="C2157" s="9">
        <v>407</v>
      </c>
      <c r="D2157" s="29">
        <f>C2157+IF(INDEX('Справочник по %'!B:B,(MATCH(A2157,'Справочник по %'!A:A,0)))="кол-во",B2157*INDEX('Справочник по %'!C:C,(MATCH(A2157,'Справочник по %'!A:A,0))),ОТЧЕТ!C2157*INDEX('Справочник по %'!C:C,(MATCH(A2157,'Справочник по %'!A:A,0))))/100</f>
        <v>447.7</v>
      </c>
      <c r="E2157" s="29">
        <f>IF(ОТЧЕТ!A2157="SKU3",C2157+ОТЧЕТ!C2157*0.2,C2157+ОТЧЕТ!C2157*0.15)</f>
        <v>468.05</v>
      </c>
      <c r="F2157" s="7" t="s">
        <v>4272</v>
      </c>
      <c r="G2157" s="7">
        <v>2310212231</v>
      </c>
      <c r="H2157" s="20" t="s">
        <v>69</v>
      </c>
      <c r="I2157" s="22" t="str">
        <f>INDEX('Справочник Сети'!B:B,(MATCH(G2157,'Справочник Сети'!C:C,0)))</f>
        <v>Нео-фарм</v>
      </c>
      <c r="J2157" s="7" t="s">
        <v>70</v>
      </c>
      <c r="K2157" s="7" t="s">
        <v>1480</v>
      </c>
      <c r="L2157" s="7" t="s">
        <v>70</v>
      </c>
      <c r="M2157" s="31">
        <v>45728</v>
      </c>
      <c r="N2157" s="7" t="s">
        <v>4277</v>
      </c>
      <c r="O2157" s="8">
        <v>2051</v>
      </c>
      <c r="P2157" s="24">
        <v>8243</v>
      </c>
      <c r="Q2157" s="22">
        <f>IF(COUNTIFS(A$2:A2157,A2157,I$2:I2157,I2157)=1,1,0)</f>
        <v>0</v>
      </c>
      <c r="R2157" s="22">
        <f t="shared" si="33"/>
        <v>2</v>
      </c>
      <c r="S2157" s="33">
        <f>IF(COUNTIF(O$2:O2157,O2157)=1,R2157,0)/2.5</f>
        <v>0</v>
      </c>
    </row>
    <row r="2158" spans="1:19" ht="18" customHeight="1" x14ac:dyDescent="0.25">
      <c r="A2158" s="7" t="s">
        <v>43</v>
      </c>
      <c r="B2158" s="8">
        <v>1</v>
      </c>
      <c r="C2158" s="9">
        <v>369</v>
      </c>
      <c r="D2158" s="29">
        <f>C2158+IF(INDEX('Справочник по %'!B:B,(MATCH(A2158,'Справочник по %'!A:A,0)))="кол-во",B2158*INDEX('Справочник по %'!C:C,(MATCH(A2158,'Справочник по %'!A:A,0))),ОТЧЕТ!C2158*INDEX('Справочник по %'!C:C,(MATCH(A2158,'Справочник по %'!A:A,0))))/100</f>
        <v>405.9</v>
      </c>
      <c r="E2158" s="29">
        <f>IF(ОТЧЕТ!A2158="SKU3",C2158+ОТЧЕТ!C2158*0.2,C2158+ОТЧЕТ!C2158*0.15)</f>
        <v>424.35</v>
      </c>
      <c r="F2158" s="7" t="s">
        <v>4272</v>
      </c>
      <c r="G2158" s="7">
        <v>7706795062</v>
      </c>
      <c r="H2158" s="20" t="s">
        <v>3564</v>
      </c>
      <c r="I2158" s="22" t="str">
        <f>INDEX('Справочник Сети'!B:B,(MATCH(G2158,'Справочник Сети'!C:C,0)))</f>
        <v>Планета здоровья</v>
      </c>
      <c r="J2158" s="7" t="s">
        <v>87</v>
      </c>
      <c r="K2158" s="7" t="s">
        <v>1407</v>
      </c>
      <c r="L2158" s="7" t="s">
        <v>87</v>
      </c>
      <c r="M2158" s="31">
        <v>45691</v>
      </c>
      <c r="N2158" s="7" t="s">
        <v>4278</v>
      </c>
      <c r="O2158" s="8">
        <v>1367</v>
      </c>
      <c r="P2158" s="24">
        <v>8248</v>
      </c>
      <c r="Q2158" s="22">
        <f>IF(COUNTIFS(A$2:A2158,A2158,I$2:I2158,I2158)=1,1,0)</f>
        <v>0</v>
      </c>
      <c r="R2158" s="22">
        <f t="shared" si="33"/>
        <v>2</v>
      </c>
      <c r="S2158" s="33">
        <f>IF(COUNTIF(O$2:O2158,O2158)=1,R2158,0)/2.5</f>
        <v>0</v>
      </c>
    </row>
    <row r="2159" spans="1:19" ht="18" customHeight="1" x14ac:dyDescent="0.25">
      <c r="A2159" s="7" t="s">
        <v>43</v>
      </c>
      <c r="B2159" s="8">
        <v>1</v>
      </c>
      <c r="C2159" s="9">
        <v>395</v>
      </c>
      <c r="D2159" s="29">
        <f>C2159+IF(INDEX('Справочник по %'!B:B,(MATCH(A2159,'Справочник по %'!A:A,0)))="кол-во",B2159*INDEX('Справочник по %'!C:C,(MATCH(A2159,'Справочник по %'!A:A,0))),ОТЧЕТ!C2159*INDEX('Справочник по %'!C:C,(MATCH(A2159,'Справочник по %'!A:A,0))))/100</f>
        <v>434.5</v>
      </c>
      <c r="E2159" s="29">
        <f>IF(ОТЧЕТ!A2159="SKU3",C2159+ОТЧЕТ!C2159*0.2,C2159+ОТЧЕТ!C2159*0.15)</f>
        <v>454.25</v>
      </c>
      <c r="F2159" s="7" t="s">
        <v>4279</v>
      </c>
      <c r="G2159" s="7">
        <v>9107036084</v>
      </c>
      <c r="H2159" s="20" t="s">
        <v>91</v>
      </c>
      <c r="I2159" s="22">
        <f>INDEX('Справочник Сети'!B:B,(MATCH(G2159,'Справочник Сети'!C:C,0)))</f>
        <v>0</v>
      </c>
      <c r="J2159" s="7" t="s">
        <v>4280</v>
      </c>
      <c r="K2159" s="7" t="s">
        <v>4281</v>
      </c>
      <c r="L2159" s="7" t="s">
        <v>239</v>
      </c>
      <c r="M2159" s="31">
        <v>45662</v>
      </c>
      <c r="N2159" s="7" t="s">
        <v>4282</v>
      </c>
      <c r="O2159" s="8">
        <v>835</v>
      </c>
      <c r="P2159" s="24">
        <v>8249</v>
      </c>
      <c r="Q2159" s="22">
        <f>IF(COUNTIFS(A$2:A2159,A2159,I$2:I2159,I2159)=1,1,0)</f>
        <v>0</v>
      </c>
      <c r="R2159" s="22">
        <f t="shared" si="33"/>
        <v>1</v>
      </c>
      <c r="S2159" s="33">
        <f>IF(COUNTIF(O$2:O2159,O2159)=1,R2159,0)/2.5</f>
        <v>0.4</v>
      </c>
    </row>
    <row r="2160" spans="1:19" ht="18" customHeight="1" x14ac:dyDescent="0.25">
      <c r="A2160" s="7" t="s">
        <v>43</v>
      </c>
      <c r="B2160" s="8">
        <v>1</v>
      </c>
      <c r="C2160" s="9">
        <v>475.3</v>
      </c>
      <c r="D2160" s="29">
        <f>C2160+IF(INDEX('Справочник по %'!B:B,(MATCH(A2160,'Справочник по %'!A:A,0)))="кол-во",B2160*INDEX('Справочник по %'!C:C,(MATCH(A2160,'Справочник по %'!A:A,0))),ОТЧЕТ!C2160*INDEX('Справочник по %'!C:C,(MATCH(A2160,'Справочник по %'!A:A,0))))/100</f>
        <v>522.83000000000004</v>
      </c>
      <c r="E2160" s="29">
        <f>IF(ОТЧЕТ!A2160="SKU3",C2160+ОТЧЕТ!C2160*0.2,C2160+ОТЧЕТ!C2160*0.15)</f>
        <v>546.59500000000003</v>
      </c>
      <c r="F2160" s="7" t="s">
        <v>4283</v>
      </c>
      <c r="G2160" s="7">
        <v>6319162952</v>
      </c>
      <c r="H2160" s="20" t="s">
        <v>2410</v>
      </c>
      <c r="I2160" s="22">
        <f>INDEX('Справочник Сети'!B:B,(MATCH(G2160,'Справочник Сети'!C:C,0)))</f>
        <v>0</v>
      </c>
      <c r="J2160" s="7" t="s">
        <v>133</v>
      </c>
      <c r="K2160" s="7" t="s">
        <v>647</v>
      </c>
      <c r="L2160" s="7" t="s">
        <v>133</v>
      </c>
      <c r="M2160" s="31">
        <v>45695</v>
      </c>
      <c r="N2160" s="7" t="s">
        <v>4284</v>
      </c>
      <c r="O2160" s="8">
        <v>2906</v>
      </c>
      <c r="P2160" s="24">
        <v>8253</v>
      </c>
      <c r="Q2160" s="22">
        <f>IF(COUNTIFS(A$2:A2160,A2160,I$2:I2160,I2160)=1,1,0)</f>
        <v>0</v>
      </c>
      <c r="R2160" s="22">
        <f t="shared" si="33"/>
        <v>3</v>
      </c>
      <c r="S2160" s="33">
        <f>IF(COUNTIF(O$2:O2160,O2160)=1,R2160,0)/2.5</f>
        <v>0</v>
      </c>
    </row>
    <row r="2161" spans="1:19" ht="18" customHeight="1" x14ac:dyDescent="0.25">
      <c r="A2161" s="7" t="s">
        <v>43</v>
      </c>
      <c r="B2161" s="8">
        <v>1</v>
      </c>
      <c r="C2161" s="9">
        <v>414.04</v>
      </c>
      <c r="D2161" s="29">
        <f>C2161+IF(INDEX('Справочник по %'!B:B,(MATCH(A2161,'Справочник по %'!A:A,0)))="кол-во",B2161*INDEX('Справочник по %'!C:C,(MATCH(A2161,'Справочник по %'!A:A,0))),ОТЧЕТ!C2161*INDEX('Справочник по %'!C:C,(MATCH(A2161,'Справочник по %'!A:A,0))))/100</f>
        <v>455.44400000000002</v>
      </c>
      <c r="E2161" s="29">
        <f>IF(ОТЧЕТ!A2161="SKU3",C2161+ОТЧЕТ!C2161*0.2,C2161+ОТЧЕТ!C2161*0.15)</f>
        <v>476.14600000000002</v>
      </c>
      <c r="F2161" s="7" t="s">
        <v>4283</v>
      </c>
      <c r="G2161" s="7">
        <v>7705947629</v>
      </c>
      <c r="H2161" s="20" t="s">
        <v>50</v>
      </c>
      <c r="I2161" s="22" t="str">
        <f>INDEX('Справочник Сети'!B:B,(MATCH(G2161,'Справочник Сети'!C:C,0)))</f>
        <v>36,6</v>
      </c>
      <c r="J2161" s="7" t="s">
        <v>104</v>
      </c>
      <c r="K2161" s="7" t="s">
        <v>4285</v>
      </c>
      <c r="L2161" s="7" t="s">
        <v>104</v>
      </c>
      <c r="M2161" s="31">
        <v>45693</v>
      </c>
      <c r="N2161" s="7" t="s">
        <v>4286</v>
      </c>
      <c r="O2161" s="8">
        <v>2411</v>
      </c>
      <c r="P2161" s="24">
        <v>8254</v>
      </c>
      <c r="Q2161" s="22">
        <f>IF(COUNTIFS(A$2:A2161,A2161,I$2:I2161,I2161)=1,1,0)</f>
        <v>0</v>
      </c>
      <c r="R2161" s="22">
        <f t="shared" si="33"/>
        <v>1</v>
      </c>
      <c r="S2161" s="33">
        <f>IF(COUNTIF(O$2:O2161,O2161)=1,R2161,0)/2.5</f>
        <v>0.4</v>
      </c>
    </row>
    <row r="2162" spans="1:19" ht="18" customHeight="1" x14ac:dyDescent="0.25">
      <c r="A2162" s="7" t="s">
        <v>43</v>
      </c>
      <c r="B2162" s="8">
        <v>1</v>
      </c>
      <c r="C2162" s="9">
        <v>433.5</v>
      </c>
      <c r="D2162" s="29">
        <f>C2162+IF(INDEX('Справочник по %'!B:B,(MATCH(A2162,'Справочник по %'!A:A,0)))="кол-во",B2162*INDEX('Справочник по %'!C:C,(MATCH(A2162,'Справочник по %'!A:A,0))),ОТЧЕТ!C2162*INDEX('Справочник по %'!C:C,(MATCH(A2162,'Справочник по %'!A:A,0))))/100</f>
        <v>476.85</v>
      </c>
      <c r="E2162" s="29">
        <f>IF(ОТЧЕТ!A2162="SKU3",C2162+ОТЧЕТ!C2162*0.2,C2162+ОТЧЕТ!C2162*0.15)</f>
        <v>498.52499999999998</v>
      </c>
      <c r="F2162" s="7" t="s">
        <v>4287</v>
      </c>
      <c r="G2162" s="7">
        <v>5050136454</v>
      </c>
      <c r="H2162" s="20" t="s">
        <v>50</v>
      </c>
      <c r="I2162" s="22" t="str">
        <f>INDEX('Справочник Сети'!B:B,(MATCH(G2162,'Справочник Сети'!C:C,0)))</f>
        <v>Нео-фарм</v>
      </c>
      <c r="J2162" s="7" t="s">
        <v>92</v>
      </c>
      <c r="K2162" s="7" t="s">
        <v>1770</v>
      </c>
      <c r="L2162" s="7" t="s">
        <v>92</v>
      </c>
      <c r="M2162" s="31">
        <v>45714</v>
      </c>
      <c r="N2162" s="7" t="s">
        <v>4288</v>
      </c>
      <c r="O2162" s="8">
        <v>878</v>
      </c>
      <c r="P2162" s="24">
        <v>8263</v>
      </c>
      <c r="Q2162" s="22">
        <f>IF(COUNTIFS(A$2:A2162,A2162,I$2:I2162,I2162)=1,1,0)</f>
        <v>0</v>
      </c>
      <c r="R2162" s="22">
        <f t="shared" si="33"/>
        <v>2</v>
      </c>
      <c r="S2162" s="33">
        <f>IF(COUNTIF(O$2:O2162,O2162)=1,R2162,0)/2.5</f>
        <v>0</v>
      </c>
    </row>
    <row r="2163" spans="1:19" ht="18" customHeight="1" x14ac:dyDescent="0.25">
      <c r="A2163" s="7" t="s">
        <v>43</v>
      </c>
      <c r="B2163" s="8">
        <v>1</v>
      </c>
      <c r="C2163" s="9">
        <v>453</v>
      </c>
      <c r="D2163" s="29">
        <f>C2163+IF(INDEX('Справочник по %'!B:B,(MATCH(A2163,'Справочник по %'!A:A,0)))="кол-во",B2163*INDEX('Справочник по %'!C:C,(MATCH(A2163,'Справочник по %'!A:A,0))),ОТЧЕТ!C2163*INDEX('Справочник по %'!C:C,(MATCH(A2163,'Справочник по %'!A:A,0))))/100</f>
        <v>498.3</v>
      </c>
      <c r="E2163" s="29">
        <f>IF(ОТЧЕТ!A2163="SKU3",C2163+ОТЧЕТ!C2163*0.2,C2163+ОТЧЕТ!C2163*0.15)</f>
        <v>520.95000000000005</v>
      </c>
      <c r="F2163" s="7" t="s">
        <v>4289</v>
      </c>
      <c r="G2163" s="7">
        <v>5005061052</v>
      </c>
      <c r="H2163" s="20" t="s">
        <v>91</v>
      </c>
      <c r="I2163" s="22">
        <f>INDEX('Справочник Сети'!B:B,(MATCH(G2163,'Справочник Сети'!C:C,0)))</f>
        <v>0</v>
      </c>
      <c r="J2163" s="7" t="s">
        <v>83</v>
      </c>
      <c r="K2163" s="7" t="s">
        <v>647</v>
      </c>
      <c r="L2163" s="7" t="s">
        <v>83</v>
      </c>
      <c r="M2163" s="31">
        <v>45715</v>
      </c>
      <c r="N2163" s="7" t="s">
        <v>4290</v>
      </c>
      <c r="O2163" s="8">
        <v>898</v>
      </c>
      <c r="P2163" s="24">
        <v>8267</v>
      </c>
      <c r="Q2163" s="22">
        <f>IF(COUNTIFS(A$2:A2163,A2163,I$2:I2163,I2163)=1,1,0)</f>
        <v>0</v>
      </c>
      <c r="R2163" s="22">
        <f t="shared" si="33"/>
        <v>3</v>
      </c>
      <c r="S2163" s="33">
        <f>IF(COUNTIF(O$2:O2163,O2163)=1,R2163,0)/2.5</f>
        <v>0</v>
      </c>
    </row>
    <row r="2164" spans="1:19" ht="18" customHeight="1" x14ac:dyDescent="0.25">
      <c r="A2164" s="7" t="s">
        <v>43</v>
      </c>
      <c r="B2164" s="8">
        <v>1</v>
      </c>
      <c r="C2164" s="9">
        <v>387</v>
      </c>
      <c r="D2164" s="29">
        <f>C2164+IF(INDEX('Справочник по %'!B:B,(MATCH(A2164,'Справочник по %'!A:A,0)))="кол-во",B2164*INDEX('Справочник по %'!C:C,(MATCH(A2164,'Справочник по %'!A:A,0))),ОТЧЕТ!C2164*INDEX('Справочник по %'!C:C,(MATCH(A2164,'Справочник по %'!A:A,0))))/100</f>
        <v>425.7</v>
      </c>
      <c r="E2164" s="29">
        <f>IF(ОТЧЕТ!A2164="SKU3",C2164+ОТЧЕТ!C2164*0.2,C2164+ОТЧЕТ!C2164*0.15)</f>
        <v>445.05</v>
      </c>
      <c r="F2164" s="7" t="s">
        <v>4289</v>
      </c>
      <c r="G2164" s="7">
        <v>9102213935</v>
      </c>
      <c r="H2164" s="20" t="s">
        <v>868</v>
      </c>
      <c r="I2164" s="22" t="str">
        <f>INDEX('Справочник Сети'!B:B,(MATCH(G2164,'Справочник Сети'!C:C,0)))</f>
        <v>Ригла</v>
      </c>
      <c r="J2164" s="7" t="s">
        <v>315</v>
      </c>
      <c r="K2164" s="7" t="s">
        <v>4291</v>
      </c>
      <c r="L2164" s="7" t="s">
        <v>315</v>
      </c>
      <c r="M2164" s="31">
        <v>45670</v>
      </c>
      <c r="N2164" s="7" t="s">
        <v>4292</v>
      </c>
      <c r="O2164" s="8">
        <v>3680</v>
      </c>
      <c r="P2164" s="24">
        <v>8268</v>
      </c>
      <c r="Q2164" s="22">
        <f>IF(COUNTIFS(A$2:A2164,A2164,I$2:I2164,I2164)=1,1,0)</f>
        <v>0</v>
      </c>
      <c r="R2164" s="22">
        <f t="shared" si="33"/>
        <v>1</v>
      </c>
      <c r="S2164" s="33">
        <f>IF(COUNTIF(O$2:O2164,O2164)=1,R2164,0)/2.5</f>
        <v>0.4</v>
      </c>
    </row>
    <row r="2165" spans="1:19" ht="18" customHeight="1" x14ac:dyDescent="0.25">
      <c r="A2165" s="7" t="s">
        <v>43</v>
      </c>
      <c r="B2165" s="8">
        <v>1</v>
      </c>
      <c r="C2165" s="9">
        <v>384</v>
      </c>
      <c r="D2165" s="29">
        <f>C2165+IF(INDEX('Справочник по %'!B:B,(MATCH(A2165,'Справочник по %'!A:A,0)))="кол-во",B2165*INDEX('Справочник по %'!C:C,(MATCH(A2165,'Справочник по %'!A:A,0))),ОТЧЕТ!C2165*INDEX('Справочник по %'!C:C,(MATCH(A2165,'Справочник по %'!A:A,0))))/100</f>
        <v>422.4</v>
      </c>
      <c r="E2165" s="29">
        <f>IF(ОТЧЕТ!A2165="SKU3",C2165+ОТЧЕТ!C2165*0.2,C2165+ОТЧЕТ!C2165*0.15)</f>
        <v>441.6</v>
      </c>
      <c r="F2165" s="7" t="s">
        <v>4289</v>
      </c>
      <c r="G2165" s="7">
        <v>7734732748</v>
      </c>
      <c r="H2165" s="20" t="s">
        <v>39</v>
      </c>
      <c r="I2165" s="22" t="str">
        <f>INDEX('Справочник Сети'!B:B,(MATCH(G2165,'Справочник Сети'!C:C,0)))</f>
        <v>Планета здоровья</v>
      </c>
      <c r="J2165" s="7" t="s">
        <v>353</v>
      </c>
      <c r="K2165" s="7" t="s">
        <v>216</v>
      </c>
      <c r="L2165" s="7" t="s">
        <v>353</v>
      </c>
      <c r="M2165" s="31">
        <v>45672</v>
      </c>
      <c r="N2165" s="7" t="s">
        <v>4293</v>
      </c>
      <c r="O2165" s="8">
        <v>556</v>
      </c>
      <c r="P2165" s="24">
        <v>8271</v>
      </c>
      <c r="Q2165" s="22">
        <f>IF(COUNTIFS(A$2:A2165,A2165,I$2:I2165,I2165)=1,1,0)</f>
        <v>0</v>
      </c>
      <c r="R2165" s="22">
        <f t="shared" si="33"/>
        <v>2</v>
      </c>
      <c r="S2165" s="33">
        <f>IF(COUNTIF(O$2:O2165,O2165)=1,R2165,0)/2.5</f>
        <v>0</v>
      </c>
    </row>
    <row r="2166" spans="1:19" ht="18" customHeight="1" x14ac:dyDescent="0.25">
      <c r="A2166" s="7" t="s">
        <v>43</v>
      </c>
      <c r="B2166" s="8">
        <v>1</v>
      </c>
      <c r="C2166" s="9">
        <v>507</v>
      </c>
      <c r="D2166" s="29">
        <f>C2166+IF(INDEX('Справочник по %'!B:B,(MATCH(A2166,'Справочник по %'!A:A,0)))="кол-во",B2166*INDEX('Справочник по %'!C:C,(MATCH(A2166,'Справочник по %'!A:A,0))),ОТЧЕТ!C2166*INDEX('Справочник по %'!C:C,(MATCH(A2166,'Справочник по %'!A:A,0))))/100</f>
        <v>557.70000000000005</v>
      </c>
      <c r="E2166" s="29">
        <f>IF(ОТЧЕТ!A2166="SKU3",C2166+ОТЧЕТ!C2166*0.2,C2166+ОТЧЕТ!C2166*0.15)</f>
        <v>583.04999999999995</v>
      </c>
      <c r="F2166" s="7" t="s">
        <v>4289</v>
      </c>
      <c r="G2166" s="7">
        <v>9718164298</v>
      </c>
      <c r="H2166" s="20" t="s">
        <v>91</v>
      </c>
      <c r="I2166" s="22">
        <f>INDEX('Справочник Сети'!B:B,(MATCH(G2166,'Справочник Сети'!C:C,0)))</f>
        <v>0</v>
      </c>
      <c r="J2166" s="7" t="s">
        <v>74</v>
      </c>
      <c r="K2166" s="7" t="s">
        <v>1274</v>
      </c>
      <c r="L2166" s="7" t="s">
        <v>239</v>
      </c>
      <c r="M2166" s="31">
        <v>45662</v>
      </c>
      <c r="N2166" s="7" t="s">
        <v>4294</v>
      </c>
      <c r="O2166" s="8">
        <v>2755</v>
      </c>
      <c r="P2166" s="24">
        <v>8274</v>
      </c>
      <c r="Q2166" s="22">
        <f>IF(COUNTIFS(A$2:A2166,A2166,I$2:I2166,I2166)=1,1,0)</f>
        <v>0</v>
      </c>
      <c r="R2166" s="22">
        <f t="shared" si="33"/>
        <v>1</v>
      </c>
      <c r="S2166" s="33">
        <f>IF(COUNTIF(O$2:O2166,O2166)=1,R2166,0)/2.5</f>
        <v>0.4</v>
      </c>
    </row>
    <row r="2167" spans="1:19" ht="18" customHeight="1" x14ac:dyDescent="0.25">
      <c r="A2167" s="7" t="s">
        <v>37</v>
      </c>
      <c r="B2167" s="8">
        <v>1</v>
      </c>
      <c r="C2167" s="9">
        <v>575</v>
      </c>
      <c r="D2167" s="29">
        <f>C2167+IF(INDEX('Справочник по %'!B:B,(MATCH(A2167,'Справочник по %'!A:A,0)))="кол-во",B2167*INDEX('Справочник по %'!C:C,(MATCH(A2167,'Справочник по %'!A:A,0))),ОТЧЕТ!C2167*INDEX('Справочник по %'!C:C,(MATCH(A2167,'Справочник по %'!A:A,0))))/100</f>
        <v>575.20000000000005</v>
      </c>
      <c r="E2167" s="29">
        <f>IF(ОТЧЕТ!A2167="SKU3",C2167+ОТЧЕТ!C2167*0.2,C2167+ОТЧЕТ!C2167*0.15)</f>
        <v>661.25</v>
      </c>
      <c r="F2167" s="7" t="s">
        <v>4289</v>
      </c>
      <c r="G2167" s="7">
        <v>5906088959</v>
      </c>
      <c r="H2167" s="20" t="s">
        <v>658</v>
      </c>
      <c r="I2167" s="22">
        <f>INDEX('Справочник Сети'!B:B,(MATCH(G2167,'Справочник Сети'!C:C,0)))</f>
        <v>0</v>
      </c>
      <c r="J2167" s="7" t="s">
        <v>79</v>
      </c>
      <c r="K2167" s="7" t="s">
        <v>1087</v>
      </c>
      <c r="L2167" s="7" t="s">
        <v>174</v>
      </c>
      <c r="M2167" s="31">
        <v>45711</v>
      </c>
      <c r="N2167" s="7" t="s">
        <v>4295</v>
      </c>
      <c r="O2167" s="8">
        <v>2104</v>
      </c>
      <c r="P2167" s="24">
        <v>8275</v>
      </c>
      <c r="Q2167" s="22">
        <f>IF(COUNTIFS(A$2:A2167,A2167,I$2:I2167,I2167)=1,1,0)</f>
        <v>0</v>
      </c>
      <c r="R2167" s="22">
        <f t="shared" si="33"/>
        <v>3</v>
      </c>
      <c r="S2167" s="33">
        <f>IF(COUNTIF(O$2:O2167,O2167)=1,R2167,0)/2.5</f>
        <v>0</v>
      </c>
    </row>
    <row r="2168" spans="1:19" ht="18" customHeight="1" x14ac:dyDescent="0.25">
      <c r="A2168" s="7" t="s">
        <v>43</v>
      </c>
      <c r="B2168" s="8">
        <v>1</v>
      </c>
      <c r="C2168" s="9">
        <v>417</v>
      </c>
      <c r="D2168" s="29">
        <f>C2168+IF(INDEX('Справочник по %'!B:B,(MATCH(A2168,'Справочник по %'!A:A,0)))="кол-во",B2168*INDEX('Справочник по %'!C:C,(MATCH(A2168,'Справочник по %'!A:A,0))),ОТЧЕТ!C2168*INDEX('Справочник по %'!C:C,(MATCH(A2168,'Справочник по %'!A:A,0))))/100</f>
        <v>458.7</v>
      </c>
      <c r="E2168" s="29">
        <f>IF(ОТЧЕТ!A2168="SKU3",C2168+ОТЧЕТ!C2168*0.2,C2168+ОТЧЕТ!C2168*0.15)</f>
        <v>479.55</v>
      </c>
      <c r="F2168" s="7" t="s">
        <v>4296</v>
      </c>
      <c r="G2168" s="7">
        <v>7705947629</v>
      </c>
      <c r="H2168" s="20" t="s">
        <v>64</v>
      </c>
      <c r="I2168" s="22" t="str">
        <f>INDEX('Справочник Сети'!B:B,(MATCH(G2168,'Справочник Сети'!C:C,0)))</f>
        <v>36,6</v>
      </c>
      <c r="J2168" s="7" t="s">
        <v>116</v>
      </c>
      <c r="K2168" s="7" t="s">
        <v>197</v>
      </c>
      <c r="L2168" s="7" t="s">
        <v>104</v>
      </c>
      <c r="M2168" s="31">
        <v>45693</v>
      </c>
      <c r="N2168" s="7" t="s">
        <v>4297</v>
      </c>
      <c r="O2168" s="8">
        <v>2571</v>
      </c>
      <c r="P2168" s="24">
        <v>8276</v>
      </c>
      <c r="Q2168" s="22">
        <f>IF(COUNTIFS(A$2:A2168,A2168,I$2:I2168,I2168)=1,1,0)</f>
        <v>0</v>
      </c>
      <c r="R2168" s="22">
        <f t="shared" si="33"/>
        <v>9</v>
      </c>
      <c r="S2168" s="33">
        <f>IF(COUNTIF(O$2:O2168,O2168)=1,R2168,0)/2.5</f>
        <v>0</v>
      </c>
    </row>
    <row r="2169" spans="1:19" ht="18" customHeight="1" x14ac:dyDescent="0.25">
      <c r="A2169" s="7" t="s">
        <v>43</v>
      </c>
      <c r="B2169" s="8">
        <v>1</v>
      </c>
      <c r="C2169" s="9">
        <v>608</v>
      </c>
      <c r="D2169" s="29">
        <f>C2169+IF(INDEX('Справочник по %'!B:B,(MATCH(A2169,'Справочник по %'!A:A,0)))="кол-во",B2169*INDEX('Справочник по %'!C:C,(MATCH(A2169,'Справочник по %'!A:A,0))),ОТЧЕТ!C2169*INDEX('Справочник по %'!C:C,(MATCH(A2169,'Справочник по %'!A:A,0))))/100</f>
        <v>668.8</v>
      </c>
      <c r="E2169" s="29">
        <f>IF(ОТЧЕТ!A2169="SKU3",C2169+ОТЧЕТ!C2169*0.2,C2169+ОТЧЕТ!C2169*0.15)</f>
        <v>699.2</v>
      </c>
      <c r="F2169" s="7" t="s">
        <v>4298</v>
      </c>
      <c r="G2169" s="7">
        <v>7705947629</v>
      </c>
      <c r="H2169" s="20" t="s">
        <v>50</v>
      </c>
      <c r="I2169" s="22" t="str">
        <f>INDEX('Справочник Сети'!B:B,(MATCH(G2169,'Справочник Сети'!C:C,0)))</f>
        <v>36,6</v>
      </c>
      <c r="J2169" s="7" t="s">
        <v>116</v>
      </c>
      <c r="K2169" s="7" t="s">
        <v>1861</v>
      </c>
      <c r="L2169" s="7" t="s">
        <v>104</v>
      </c>
      <c r="M2169" s="31">
        <v>45693</v>
      </c>
      <c r="N2169" s="7" t="s">
        <v>4299</v>
      </c>
      <c r="O2169" s="8">
        <v>2645</v>
      </c>
      <c r="P2169" s="24">
        <v>8279</v>
      </c>
      <c r="Q2169" s="22">
        <f>IF(COUNTIFS(A$2:A2169,A2169,I$2:I2169,I2169)=1,1,0)</f>
        <v>0</v>
      </c>
      <c r="R2169" s="22">
        <f t="shared" si="33"/>
        <v>9</v>
      </c>
      <c r="S2169" s="33">
        <f>IF(COUNTIF(O$2:O2169,O2169)=1,R2169,0)/2.5</f>
        <v>0</v>
      </c>
    </row>
    <row r="2170" spans="1:19" ht="18" customHeight="1" x14ac:dyDescent="0.25">
      <c r="A2170" s="7" t="s">
        <v>43</v>
      </c>
      <c r="B2170" s="8">
        <v>1</v>
      </c>
      <c r="C2170" s="9">
        <v>534</v>
      </c>
      <c r="D2170" s="29">
        <f>C2170+IF(INDEX('Справочник по %'!B:B,(MATCH(A2170,'Справочник по %'!A:A,0)))="кол-во",B2170*INDEX('Справочник по %'!C:C,(MATCH(A2170,'Справочник по %'!A:A,0))),ОТЧЕТ!C2170*INDEX('Справочник по %'!C:C,(MATCH(A2170,'Справочник по %'!A:A,0))))/100</f>
        <v>587.4</v>
      </c>
      <c r="E2170" s="29">
        <f>IF(ОТЧЕТ!A2170="SKU3",C2170+ОТЧЕТ!C2170*0.2,C2170+ОТЧЕТ!C2170*0.15)</f>
        <v>614.1</v>
      </c>
      <c r="F2170" s="7" t="s">
        <v>4300</v>
      </c>
      <c r="G2170" s="7">
        <v>7705947629</v>
      </c>
      <c r="H2170" s="20" t="s">
        <v>50</v>
      </c>
      <c r="I2170" s="22" t="str">
        <f>INDEX('Справочник Сети'!B:B,(MATCH(G2170,'Справочник Сети'!C:C,0)))</f>
        <v>36,6</v>
      </c>
      <c r="J2170" s="7" t="s">
        <v>104</v>
      </c>
      <c r="K2170" s="7" t="s">
        <v>4301</v>
      </c>
      <c r="L2170" s="7" t="s">
        <v>104</v>
      </c>
      <c r="M2170" s="31">
        <v>45693</v>
      </c>
      <c r="N2170" s="7" t="s">
        <v>4302</v>
      </c>
      <c r="O2170" s="8">
        <v>1631</v>
      </c>
      <c r="P2170" s="24">
        <v>8281</v>
      </c>
      <c r="Q2170" s="22">
        <f>IF(COUNTIFS(A$2:A2170,A2170,I$2:I2170,I2170)=1,1,0)</f>
        <v>0</v>
      </c>
      <c r="R2170" s="22">
        <f t="shared" si="33"/>
        <v>5</v>
      </c>
      <c r="S2170" s="33">
        <f>IF(COUNTIF(O$2:O2170,O2170)=1,R2170,0)/2.5</f>
        <v>0</v>
      </c>
    </row>
    <row r="2171" spans="1:19" ht="18" customHeight="1" x14ac:dyDescent="0.25">
      <c r="A2171" s="7" t="s">
        <v>43</v>
      </c>
      <c r="B2171" s="8">
        <v>1</v>
      </c>
      <c r="C2171" s="9">
        <v>534</v>
      </c>
      <c r="D2171" s="29">
        <f>C2171+IF(INDEX('Справочник по %'!B:B,(MATCH(A2171,'Справочник по %'!A:A,0)))="кол-во",B2171*INDEX('Справочник по %'!C:C,(MATCH(A2171,'Справочник по %'!A:A,0))),ОТЧЕТ!C2171*INDEX('Справочник по %'!C:C,(MATCH(A2171,'Справочник по %'!A:A,0))))/100</f>
        <v>587.4</v>
      </c>
      <c r="E2171" s="29">
        <f>IF(ОТЧЕТ!A2171="SKU3",C2171+ОТЧЕТ!C2171*0.2,C2171+ОТЧЕТ!C2171*0.15)</f>
        <v>614.1</v>
      </c>
      <c r="F2171" s="7" t="s">
        <v>4303</v>
      </c>
      <c r="G2171" s="7">
        <v>7705947629</v>
      </c>
      <c r="H2171" s="20" t="s">
        <v>50</v>
      </c>
      <c r="I2171" s="22" t="str">
        <f>INDEX('Справочник Сети'!B:B,(MATCH(G2171,'Справочник Сети'!C:C,0)))</f>
        <v>36,6</v>
      </c>
      <c r="J2171" s="7" t="s">
        <v>104</v>
      </c>
      <c r="K2171" s="7" t="s">
        <v>1316</v>
      </c>
      <c r="L2171" s="7" t="s">
        <v>104</v>
      </c>
      <c r="M2171" s="31">
        <v>45693</v>
      </c>
      <c r="N2171" s="7" t="s">
        <v>4304</v>
      </c>
      <c r="O2171" s="8">
        <v>1631</v>
      </c>
      <c r="P2171" s="24">
        <v>8282</v>
      </c>
      <c r="Q2171" s="22">
        <f>IF(COUNTIFS(A$2:A2171,A2171,I$2:I2171,I2171)=1,1,0)</f>
        <v>0</v>
      </c>
      <c r="R2171" s="22">
        <f t="shared" si="33"/>
        <v>5</v>
      </c>
      <c r="S2171" s="33">
        <f>IF(COUNTIF(O$2:O2171,O2171)=1,R2171,0)/2.5</f>
        <v>0</v>
      </c>
    </row>
    <row r="2172" spans="1:19" ht="18" customHeight="1" x14ac:dyDescent="0.25">
      <c r="A2172" s="7" t="s">
        <v>37</v>
      </c>
      <c r="B2172" s="8">
        <v>1</v>
      </c>
      <c r="C2172" s="9">
        <v>680</v>
      </c>
      <c r="D2172" s="29">
        <f>C2172+IF(INDEX('Справочник по %'!B:B,(MATCH(A2172,'Справочник по %'!A:A,0)))="кол-во",B2172*INDEX('Справочник по %'!C:C,(MATCH(A2172,'Справочник по %'!A:A,0))),ОТЧЕТ!C2172*INDEX('Справочник по %'!C:C,(MATCH(A2172,'Справочник по %'!A:A,0))))/100</f>
        <v>680.2</v>
      </c>
      <c r="E2172" s="29">
        <f>IF(ОТЧЕТ!A2172="SKU3",C2172+ОТЧЕТ!C2172*0.2,C2172+ОТЧЕТ!C2172*0.15)</f>
        <v>782</v>
      </c>
      <c r="F2172" s="7" t="s">
        <v>4303</v>
      </c>
      <c r="G2172" s="7">
        <v>7816221906</v>
      </c>
      <c r="H2172" s="20" t="s">
        <v>50</v>
      </c>
      <c r="I2172" s="22" t="str">
        <f>INDEX('Справочник Сети'!B:B,(MATCH(G2172,'Справочник Сети'!C:C,0)))</f>
        <v>Ригла</v>
      </c>
      <c r="J2172" s="7" t="s">
        <v>121</v>
      </c>
      <c r="K2172" s="7" t="s">
        <v>3579</v>
      </c>
      <c r="L2172" s="7" t="s">
        <v>121</v>
      </c>
      <c r="M2172" s="31">
        <v>45671</v>
      </c>
      <c r="N2172" s="7" t="s">
        <v>4305</v>
      </c>
      <c r="O2172" s="8">
        <v>1412</v>
      </c>
      <c r="P2172" s="24">
        <v>8285</v>
      </c>
      <c r="Q2172" s="22">
        <f>IF(COUNTIFS(A$2:A2172,A2172,I$2:I2172,I2172)=1,1,0)</f>
        <v>0</v>
      </c>
      <c r="R2172" s="22">
        <f t="shared" si="33"/>
        <v>2</v>
      </c>
      <c r="S2172" s="33">
        <f>IF(COUNTIF(O$2:O2172,O2172)=1,R2172,0)/2.5</f>
        <v>0</v>
      </c>
    </row>
    <row r="2173" spans="1:19" ht="18" customHeight="1" x14ac:dyDescent="0.25">
      <c r="A2173" s="7" t="s">
        <v>43</v>
      </c>
      <c r="B2173" s="8">
        <v>1</v>
      </c>
      <c r="C2173" s="9">
        <v>424</v>
      </c>
      <c r="D2173" s="29">
        <f>C2173+IF(INDEX('Справочник по %'!B:B,(MATCH(A2173,'Справочник по %'!A:A,0)))="кол-во",B2173*INDEX('Справочник по %'!C:C,(MATCH(A2173,'Справочник по %'!A:A,0))),ОТЧЕТ!C2173*INDEX('Справочник по %'!C:C,(MATCH(A2173,'Справочник по %'!A:A,0))))/100</f>
        <v>466.4</v>
      </c>
      <c r="E2173" s="29">
        <f>IF(ОТЧЕТ!A2173="SKU3",C2173+ОТЧЕТ!C2173*0.2,C2173+ОТЧЕТ!C2173*0.15)</f>
        <v>487.6</v>
      </c>
      <c r="F2173" s="7" t="s">
        <v>4303</v>
      </c>
      <c r="G2173" s="7">
        <v>1655482068</v>
      </c>
      <c r="H2173" s="20" t="s">
        <v>1528</v>
      </c>
      <c r="I2173" s="22">
        <f>INDEX('Справочник Сети'!B:B,(MATCH(G2173,'Справочник Сети'!C:C,0)))</f>
        <v>0</v>
      </c>
      <c r="J2173" s="7" t="s">
        <v>335</v>
      </c>
      <c r="K2173" s="7" t="s">
        <v>1262</v>
      </c>
      <c r="L2173" s="7" t="s">
        <v>335</v>
      </c>
      <c r="M2173" s="31">
        <v>45731</v>
      </c>
      <c r="N2173" s="7" t="s">
        <v>4306</v>
      </c>
      <c r="O2173" s="8">
        <v>299</v>
      </c>
      <c r="P2173" s="24">
        <v>8286</v>
      </c>
      <c r="Q2173" s="22">
        <f>IF(COUNTIFS(A$2:A2173,A2173,I$2:I2173,I2173)=1,1,0)</f>
        <v>0</v>
      </c>
      <c r="R2173" s="22">
        <f t="shared" si="33"/>
        <v>4</v>
      </c>
      <c r="S2173" s="33">
        <f>IF(COUNTIF(O$2:O2173,O2173)=1,R2173,0)/2.5</f>
        <v>0</v>
      </c>
    </row>
    <row r="2174" spans="1:19" ht="18" customHeight="1" x14ac:dyDescent="0.25">
      <c r="A2174" s="7" t="s">
        <v>43</v>
      </c>
      <c r="B2174" s="8">
        <v>1</v>
      </c>
      <c r="C2174" s="9">
        <v>426</v>
      </c>
      <c r="D2174" s="29">
        <f>C2174+IF(INDEX('Справочник по %'!B:B,(MATCH(A2174,'Справочник по %'!A:A,0)))="кол-во",B2174*INDEX('Справочник по %'!C:C,(MATCH(A2174,'Справочник по %'!A:A,0))),ОТЧЕТ!C2174*INDEX('Справочник по %'!C:C,(MATCH(A2174,'Справочник по %'!A:A,0))))/100</f>
        <v>468.6</v>
      </c>
      <c r="E2174" s="29">
        <f>IF(ОТЧЕТ!A2174="SKU3",C2174+ОТЧЕТ!C2174*0.2,C2174+ОТЧЕТ!C2174*0.15)</f>
        <v>489.9</v>
      </c>
      <c r="F2174" s="7" t="s">
        <v>4303</v>
      </c>
      <c r="G2174" s="7">
        <v>1655482068</v>
      </c>
      <c r="H2174" s="20" t="s">
        <v>1528</v>
      </c>
      <c r="I2174" s="22">
        <f>INDEX('Справочник Сети'!B:B,(MATCH(G2174,'Справочник Сети'!C:C,0)))</f>
        <v>0</v>
      </c>
      <c r="J2174" s="7" t="s">
        <v>335</v>
      </c>
      <c r="K2174" s="7" t="s">
        <v>1262</v>
      </c>
      <c r="L2174" s="7" t="s">
        <v>335</v>
      </c>
      <c r="M2174" s="31">
        <v>45731</v>
      </c>
      <c r="N2174" s="7" t="s">
        <v>4306</v>
      </c>
      <c r="O2174" s="8">
        <v>299</v>
      </c>
      <c r="P2174" s="24">
        <v>8286</v>
      </c>
      <c r="Q2174" s="22">
        <f>IF(COUNTIFS(A$2:A2174,A2174,I$2:I2174,I2174)=1,1,0)</f>
        <v>0</v>
      </c>
      <c r="R2174" s="22">
        <f t="shared" si="33"/>
        <v>4</v>
      </c>
      <c r="S2174" s="33">
        <f>IF(COUNTIF(O$2:O2174,O2174)=1,R2174,0)/2.5</f>
        <v>0</v>
      </c>
    </row>
    <row r="2175" spans="1:19" ht="18" customHeight="1" x14ac:dyDescent="0.25">
      <c r="A2175" s="7" t="s">
        <v>43</v>
      </c>
      <c r="B2175" s="8">
        <v>1</v>
      </c>
      <c r="C2175" s="9">
        <v>430</v>
      </c>
      <c r="D2175" s="29">
        <f>C2175+IF(INDEX('Справочник по %'!B:B,(MATCH(A2175,'Справочник по %'!A:A,0)))="кол-во",B2175*INDEX('Справочник по %'!C:C,(MATCH(A2175,'Справочник по %'!A:A,0))),ОТЧЕТ!C2175*INDEX('Справочник по %'!C:C,(MATCH(A2175,'Справочник по %'!A:A,0))))/100</f>
        <v>473</v>
      </c>
      <c r="E2175" s="29">
        <f>IF(ОТЧЕТ!A2175="SKU3",C2175+ОТЧЕТ!C2175*0.2,C2175+ОТЧЕТ!C2175*0.15)</f>
        <v>494.5</v>
      </c>
      <c r="F2175" s="7" t="s">
        <v>4303</v>
      </c>
      <c r="G2175" s="7">
        <v>1655482068</v>
      </c>
      <c r="H2175" s="20" t="s">
        <v>1528</v>
      </c>
      <c r="I2175" s="22">
        <f>INDEX('Справочник Сети'!B:B,(MATCH(G2175,'Справочник Сети'!C:C,0)))</f>
        <v>0</v>
      </c>
      <c r="J2175" s="7" t="s">
        <v>335</v>
      </c>
      <c r="K2175" s="7" t="s">
        <v>1262</v>
      </c>
      <c r="L2175" s="7" t="s">
        <v>335</v>
      </c>
      <c r="M2175" s="31">
        <v>45731</v>
      </c>
      <c r="N2175" s="7" t="s">
        <v>4306</v>
      </c>
      <c r="O2175" s="8">
        <v>299</v>
      </c>
      <c r="P2175" s="24">
        <v>8286</v>
      </c>
      <c r="Q2175" s="22">
        <f>IF(COUNTIFS(A$2:A2175,A2175,I$2:I2175,I2175)=1,1,0)</f>
        <v>0</v>
      </c>
      <c r="R2175" s="22">
        <f t="shared" si="33"/>
        <v>4</v>
      </c>
      <c r="S2175" s="33">
        <f>IF(COUNTIF(O$2:O2175,O2175)=1,R2175,0)/2.5</f>
        <v>0</v>
      </c>
    </row>
    <row r="2176" spans="1:19" ht="18" customHeight="1" x14ac:dyDescent="0.25">
      <c r="A2176" s="7" t="s">
        <v>43</v>
      </c>
      <c r="B2176" s="8">
        <v>1</v>
      </c>
      <c r="C2176" s="9">
        <v>429</v>
      </c>
      <c r="D2176" s="29">
        <f>C2176+IF(INDEX('Справочник по %'!B:B,(MATCH(A2176,'Справочник по %'!A:A,0)))="кол-во",B2176*INDEX('Справочник по %'!C:C,(MATCH(A2176,'Справочник по %'!A:A,0))),ОТЧЕТ!C2176*INDEX('Справочник по %'!C:C,(MATCH(A2176,'Справочник по %'!A:A,0))))/100</f>
        <v>471.9</v>
      </c>
      <c r="E2176" s="29">
        <f>IF(ОТЧЕТ!A2176="SKU3",C2176+ОТЧЕТ!C2176*0.2,C2176+ОТЧЕТ!C2176*0.15)</f>
        <v>493.35</v>
      </c>
      <c r="F2176" s="7" t="s">
        <v>4303</v>
      </c>
      <c r="G2176" s="7">
        <v>6673189463</v>
      </c>
      <c r="H2176" s="20" t="s">
        <v>2638</v>
      </c>
      <c r="I2176" s="22" t="str">
        <f>INDEX('Справочник Сети'!B:B,(MATCH(G2176,'Справочник Сети'!C:C,0)))</f>
        <v>Нео-фарм</v>
      </c>
      <c r="J2176" s="7" t="s">
        <v>133</v>
      </c>
      <c r="K2176" s="7" t="s">
        <v>1631</v>
      </c>
      <c r="L2176" s="7" t="s">
        <v>133</v>
      </c>
      <c r="M2176" s="31">
        <v>45695</v>
      </c>
      <c r="N2176" s="7" t="s">
        <v>4307</v>
      </c>
      <c r="O2176" s="8">
        <v>2501</v>
      </c>
      <c r="P2176" s="24">
        <v>8288</v>
      </c>
      <c r="Q2176" s="22">
        <f>IF(COUNTIFS(A$2:A2176,A2176,I$2:I2176,I2176)=1,1,0)</f>
        <v>0</v>
      </c>
      <c r="R2176" s="22">
        <f t="shared" si="33"/>
        <v>1</v>
      </c>
      <c r="S2176" s="33">
        <f>IF(COUNTIF(O$2:O2176,O2176)=1,R2176,0)/2.5</f>
        <v>0.4</v>
      </c>
    </row>
    <row r="2177" spans="1:19" ht="18" customHeight="1" x14ac:dyDescent="0.25">
      <c r="A2177" s="7" t="s">
        <v>43</v>
      </c>
      <c r="B2177" s="8">
        <v>1</v>
      </c>
      <c r="C2177" s="9">
        <v>365.4</v>
      </c>
      <c r="D2177" s="29">
        <f>C2177+IF(INDEX('Справочник по %'!B:B,(MATCH(A2177,'Справочник по %'!A:A,0)))="кол-во",B2177*INDEX('Справочник по %'!C:C,(MATCH(A2177,'Справочник по %'!A:A,0))),ОТЧЕТ!C2177*INDEX('Справочник по %'!C:C,(MATCH(A2177,'Справочник по %'!A:A,0))))/100</f>
        <v>401.94</v>
      </c>
      <c r="E2177" s="29">
        <f>IF(ОТЧЕТ!A2177="SKU3",C2177+ОТЧЕТ!C2177*0.2,C2177+ОТЧЕТ!C2177*0.15)</f>
        <v>420.21</v>
      </c>
      <c r="F2177" s="7" t="s">
        <v>4303</v>
      </c>
      <c r="G2177" s="7">
        <v>9102157582</v>
      </c>
      <c r="H2177" s="20" t="s">
        <v>4308</v>
      </c>
      <c r="I2177" s="22">
        <f>INDEX('Справочник Сети'!B:B,(MATCH(G2177,'Справочник Сети'!C:C,0)))</f>
        <v>0</v>
      </c>
      <c r="J2177" s="7" t="s">
        <v>315</v>
      </c>
      <c r="K2177" s="7" t="s">
        <v>2261</v>
      </c>
      <c r="L2177" s="7" t="s">
        <v>315</v>
      </c>
      <c r="M2177" s="31">
        <v>45670</v>
      </c>
      <c r="N2177" s="7" t="s">
        <v>4309</v>
      </c>
      <c r="O2177" s="8">
        <v>3713</v>
      </c>
      <c r="P2177" s="24">
        <v>8289</v>
      </c>
      <c r="Q2177" s="22">
        <f>IF(COUNTIFS(A$2:A2177,A2177,I$2:I2177,I2177)=1,1,0)</f>
        <v>0</v>
      </c>
      <c r="R2177" s="22">
        <f t="shared" si="33"/>
        <v>1</v>
      </c>
      <c r="S2177" s="33">
        <f>IF(COUNTIF(O$2:O2177,O2177)=1,R2177,0)/2.5</f>
        <v>0.4</v>
      </c>
    </row>
    <row r="2178" spans="1:19" ht="18" customHeight="1" x14ac:dyDescent="0.25">
      <c r="A2178" s="7" t="s">
        <v>43</v>
      </c>
      <c r="B2178" s="8">
        <v>1</v>
      </c>
      <c r="C2178" s="9">
        <v>397</v>
      </c>
      <c r="D2178" s="29">
        <f>C2178+IF(INDEX('Справочник по %'!B:B,(MATCH(A2178,'Справочник по %'!A:A,0)))="кол-во",B2178*INDEX('Справочник по %'!C:C,(MATCH(A2178,'Справочник по %'!A:A,0))),ОТЧЕТ!C2178*INDEX('Справочник по %'!C:C,(MATCH(A2178,'Справочник по %'!A:A,0))))/100</f>
        <v>436.7</v>
      </c>
      <c r="E2178" s="29">
        <f>IF(ОТЧЕТ!A2178="SKU3",C2178+ОТЧЕТ!C2178*0.2,C2178+ОТЧЕТ!C2178*0.15)</f>
        <v>456.55</v>
      </c>
      <c r="F2178" s="7" t="s">
        <v>4310</v>
      </c>
      <c r="G2178" s="7">
        <v>6166125005</v>
      </c>
      <c r="H2178" s="20" t="s">
        <v>4001</v>
      </c>
      <c r="I2178" s="22" t="str">
        <f>INDEX('Справочник Сети'!B:B,(MATCH(G2178,'Справочник Сети'!C:C,0)))</f>
        <v>Столички</v>
      </c>
      <c r="J2178" s="7" t="s">
        <v>203</v>
      </c>
      <c r="K2178" s="7" t="s">
        <v>1339</v>
      </c>
      <c r="L2178" s="7" t="s">
        <v>203</v>
      </c>
      <c r="M2178" s="31">
        <v>45696</v>
      </c>
      <c r="N2178" s="7" t="s">
        <v>4311</v>
      </c>
      <c r="O2178" s="8">
        <v>1458</v>
      </c>
      <c r="P2178" s="24">
        <v>8290</v>
      </c>
      <c r="Q2178" s="22">
        <f>IF(COUNTIFS(A$2:A2178,A2178,I$2:I2178,I2178)=1,1,0)</f>
        <v>0</v>
      </c>
      <c r="R2178" s="22">
        <f t="shared" si="33"/>
        <v>3</v>
      </c>
      <c r="S2178" s="33">
        <f>IF(COUNTIF(O$2:O2178,O2178)=1,R2178,0)/2.5</f>
        <v>0</v>
      </c>
    </row>
    <row r="2179" spans="1:19" ht="18" customHeight="1" x14ac:dyDescent="0.25">
      <c r="A2179" s="7" t="s">
        <v>43</v>
      </c>
      <c r="B2179" s="8">
        <v>1</v>
      </c>
      <c r="C2179" s="9">
        <v>466.18</v>
      </c>
      <c r="D2179" s="29">
        <f>C2179+IF(INDEX('Справочник по %'!B:B,(MATCH(A2179,'Справочник по %'!A:A,0)))="кол-во",B2179*INDEX('Справочник по %'!C:C,(MATCH(A2179,'Справочник по %'!A:A,0))),ОТЧЕТ!C2179*INDEX('Справочник по %'!C:C,(MATCH(A2179,'Справочник по %'!A:A,0))))/100</f>
        <v>512.798</v>
      </c>
      <c r="E2179" s="29">
        <f>IF(ОТЧЕТ!A2179="SKU3",C2179+ОТЧЕТ!C2179*0.2,C2179+ОТЧЕТ!C2179*0.15)</f>
        <v>536.10699999999997</v>
      </c>
      <c r="F2179" s="7" t="s">
        <v>4310</v>
      </c>
      <c r="G2179" s="7">
        <v>5800010141</v>
      </c>
      <c r="H2179" s="20" t="s">
        <v>91</v>
      </c>
      <c r="I2179" s="22">
        <f>INDEX('Справочник Сети'!B:B,(MATCH(G2179,'Справочник Сети'!C:C,0)))</f>
        <v>0</v>
      </c>
      <c r="J2179" s="7" t="s">
        <v>40</v>
      </c>
      <c r="K2179" s="7" t="s">
        <v>3369</v>
      </c>
      <c r="L2179" s="7" t="s">
        <v>40</v>
      </c>
      <c r="M2179" s="31">
        <v>45712</v>
      </c>
      <c r="N2179" s="7" t="s">
        <v>4312</v>
      </c>
      <c r="O2179" s="8">
        <v>2320</v>
      </c>
      <c r="P2179" s="24">
        <v>8292</v>
      </c>
      <c r="Q2179" s="22">
        <f>IF(COUNTIFS(A$2:A2179,A2179,I$2:I2179,I2179)=1,1,0)</f>
        <v>0</v>
      </c>
      <c r="R2179" s="22">
        <f t="shared" ref="R2179:R2242" si="34">COUNTIF(O:O,O2179)</f>
        <v>2</v>
      </c>
      <c r="S2179" s="33">
        <f>IF(COUNTIF(O$2:O2179,O2179)=1,R2179,0)/2.5</f>
        <v>0.8</v>
      </c>
    </row>
    <row r="2180" spans="1:19" ht="18" customHeight="1" x14ac:dyDescent="0.25">
      <c r="A2180" s="7" t="s">
        <v>37</v>
      </c>
      <c r="B2180" s="8">
        <v>1</v>
      </c>
      <c r="C2180" s="9">
        <v>575</v>
      </c>
      <c r="D2180" s="29">
        <f>C2180+IF(INDEX('Справочник по %'!B:B,(MATCH(A2180,'Справочник по %'!A:A,0)))="кол-во",B2180*INDEX('Справочник по %'!C:C,(MATCH(A2180,'Справочник по %'!A:A,0))),ОТЧЕТ!C2180*INDEX('Справочник по %'!C:C,(MATCH(A2180,'Справочник по %'!A:A,0))))/100</f>
        <v>575.20000000000005</v>
      </c>
      <c r="E2180" s="29">
        <f>IF(ОТЧЕТ!A2180="SKU3",C2180+ОТЧЕТ!C2180*0.2,C2180+ОТЧЕТ!C2180*0.15)</f>
        <v>661.25</v>
      </c>
      <c r="F2180" s="7" t="s">
        <v>4310</v>
      </c>
      <c r="G2180" s="7">
        <v>5906088959</v>
      </c>
      <c r="H2180" s="20" t="s">
        <v>658</v>
      </c>
      <c r="I2180" s="22">
        <f>INDEX('Справочник Сети'!B:B,(MATCH(G2180,'Справочник Сети'!C:C,0)))</f>
        <v>0</v>
      </c>
      <c r="J2180" s="7" t="s">
        <v>79</v>
      </c>
      <c r="K2180" s="7" t="s">
        <v>825</v>
      </c>
      <c r="L2180" s="7" t="s">
        <v>174</v>
      </c>
      <c r="M2180" s="31">
        <v>45711</v>
      </c>
      <c r="N2180" s="7" t="s">
        <v>4313</v>
      </c>
      <c r="O2180" s="8">
        <v>2104</v>
      </c>
      <c r="P2180" s="24">
        <v>8296</v>
      </c>
      <c r="Q2180" s="22">
        <f>IF(COUNTIFS(A$2:A2180,A2180,I$2:I2180,I2180)=1,1,0)</f>
        <v>0</v>
      </c>
      <c r="R2180" s="22">
        <f t="shared" si="34"/>
        <v>3</v>
      </c>
      <c r="S2180" s="33">
        <f>IF(COUNTIF(O$2:O2180,O2180)=1,R2180,0)/2.5</f>
        <v>0</v>
      </c>
    </row>
    <row r="2181" spans="1:19" ht="18" customHeight="1" x14ac:dyDescent="0.25">
      <c r="A2181" s="7" t="s">
        <v>43</v>
      </c>
      <c r="B2181" s="8">
        <v>1</v>
      </c>
      <c r="C2181" s="9">
        <v>396.87</v>
      </c>
      <c r="D2181" s="29">
        <f>C2181+IF(INDEX('Справочник по %'!B:B,(MATCH(A2181,'Справочник по %'!A:A,0)))="кол-во",B2181*INDEX('Справочник по %'!C:C,(MATCH(A2181,'Справочник по %'!A:A,0))),ОТЧЕТ!C2181*INDEX('Справочник по %'!C:C,(MATCH(A2181,'Справочник по %'!A:A,0))))/100</f>
        <v>436.55700000000002</v>
      </c>
      <c r="E2181" s="29">
        <f>IF(ОТЧЕТ!A2181="SKU3",C2181+ОТЧЕТ!C2181*0.2,C2181+ОТЧЕТ!C2181*0.15)</f>
        <v>456.40050000000002</v>
      </c>
      <c r="F2181" s="7" t="s">
        <v>4314</v>
      </c>
      <c r="G2181" s="7">
        <v>6166128454</v>
      </c>
      <c r="H2181" s="20" t="s">
        <v>4315</v>
      </c>
      <c r="I2181" s="22" t="str">
        <f>INDEX('Справочник Сети'!B:B,(MATCH(G2181,'Справочник Сети'!C:C,0)))</f>
        <v>Планета здоровья</v>
      </c>
      <c r="J2181" s="7" t="s">
        <v>203</v>
      </c>
      <c r="K2181" s="7" t="s">
        <v>231</v>
      </c>
      <c r="L2181" s="7" t="s">
        <v>203</v>
      </c>
      <c r="M2181" s="31">
        <v>45696</v>
      </c>
      <c r="N2181" s="7" t="s">
        <v>4316</v>
      </c>
      <c r="O2181" s="8">
        <v>2707</v>
      </c>
      <c r="P2181" s="24">
        <v>8297</v>
      </c>
      <c r="Q2181" s="22">
        <f>IF(COUNTIFS(A$2:A2181,A2181,I$2:I2181,I2181)=1,1,0)</f>
        <v>0</v>
      </c>
      <c r="R2181" s="22">
        <f t="shared" si="34"/>
        <v>1</v>
      </c>
      <c r="S2181" s="33">
        <f>IF(COUNTIF(O$2:O2181,O2181)=1,R2181,0)/2.5</f>
        <v>0.4</v>
      </c>
    </row>
    <row r="2182" spans="1:19" ht="18" customHeight="1" x14ac:dyDescent="0.25">
      <c r="A2182" s="7" t="s">
        <v>43</v>
      </c>
      <c r="B2182" s="8">
        <v>1</v>
      </c>
      <c r="C2182" s="9">
        <v>385</v>
      </c>
      <c r="D2182" s="29">
        <f>C2182+IF(INDEX('Справочник по %'!B:B,(MATCH(A2182,'Справочник по %'!A:A,0)))="кол-во",B2182*INDEX('Справочник по %'!C:C,(MATCH(A2182,'Справочник по %'!A:A,0))),ОТЧЕТ!C2182*INDEX('Справочник по %'!C:C,(MATCH(A2182,'Справочник по %'!A:A,0))))/100</f>
        <v>423.5</v>
      </c>
      <c r="E2182" s="29">
        <f>IF(ОТЧЕТ!A2182="SKU3",C2182+ОТЧЕТ!C2182*0.2,C2182+ОТЧЕТ!C2182*0.15)</f>
        <v>442.75</v>
      </c>
      <c r="F2182" s="7" t="s">
        <v>4314</v>
      </c>
      <c r="G2182" s="7">
        <v>4703148953</v>
      </c>
      <c r="H2182" s="20" t="s">
        <v>4317</v>
      </c>
      <c r="I2182" s="22">
        <f>INDEX('Справочник Сети'!B:B,(MATCH(G2182,'Справочник Сети'!C:C,0)))</f>
        <v>0</v>
      </c>
      <c r="J2182" s="7" t="s">
        <v>83</v>
      </c>
      <c r="K2182" s="7" t="s">
        <v>392</v>
      </c>
      <c r="L2182" s="7" t="s">
        <v>83</v>
      </c>
      <c r="M2182" s="31">
        <v>45715</v>
      </c>
      <c r="N2182" s="7" t="s">
        <v>4318</v>
      </c>
      <c r="O2182" s="8">
        <v>2323</v>
      </c>
      <c r="P2182" s="24">
        <v>8298</v>
      </c>
      <c r="Q2182" s="22">
        <f>IF(COUNTIFS(A$2:A2182,A2182,I$2:I2182,I2182)=1,1,0)</f>
        <v>0</v>
      </c>
      <c r="R2182" s="22">
        <f t="shared" si="34"/>
        <v>1</v>
      </c>
      <c r="S2182" s="33">
        <f>IF(COUNTIF(O$2:O2182,O2182)=1,R2182,0)/2.5</f>
        <v>0.4</v>
      </c>
    </row>
    <row r="2183" spans="1:19" ht="18" customHeight="1" x14ac:dyDescent="0.25">
      <c r="A2183" s="7" t="s">
        <v>37</v>
      </c>
      <c r="B2183" s="8">
        <v>1</v>
      </c>
      <c r="C2183" s="9">
        <v>569</v>
      </c>
      <c r="D2183" s="29">
        <f>C2183+IF(INDEX('Справочник по %'!B:B,(MATCH(A2183,'Справочник по %'!A:A,0)))="кол-во",B2183*INDEX('Справочник по %'!C:C,(MATCH(A2183,'Справочник по %'!A:A,0))),ОТЧЕТ!C2183*INDEX('Справочник по %'!C:C,(MATCH(A2183,'Справочник по %'!A:A,0))))/100</f>
        <v>569.20000000000005</v>
      </c>
      <c r="E2183" s="29">
        <f>IF(ОТЧЕТ!A2183="SKU3",C2183+ОТЧЕТ!C2183*0.2,C2183+ОТЧЕТ!C2183*0.15)</f>
        <v>654.35</v>
      </c>
      <c r="F2183" s="7" t="s">
        <v>4314</v>
      </c>
      <c r="G2183" s="7">
        <v>7724854659</v>
      </c>
      <c r="H2183" s="20" t="s">
        <v>658</v>
      </c>
      <c r="I2183" s="22">
        <f>INDEX('Справочник Сети'!B:B,(MATCH(G2183,'Справочник Сети'!C:C,0)))</f>
        <v>0</v>
      </c>
      <c r="J2183" s="7" t="s">
        <v>185</v>
      </c>
      <c r="K2183" s="7" t="s">
        <v>328</v>
      </c>
      <c r="L2183" s="7" t="s">
        <v>185</v>
      </c>
      <c r="M2183" s="31">
        <v>45675</v>
      </c>
      <c r="N2183" s="7" t="s">
        <v>4319</v>
      </c>
      <c r="O2183" s="8">
        <v>3515</v>
      </c>
      <c r="P2183" s="24">
        <v>8299</v>
      </c>
      <c r="Q2183" s="22">
        <f>IF(COUNTIFS(A$2:A2183,A2183,I$2:I2183,I2183)=1,1,0)</f>
        <v>0</v>
      </c>
      <c r="R2183" s="22">
        <f t="shared" si="34"/>
        <v>1</v>
      </c>
      <c r="S2183" s="33">
        <f>IF(COUNTIF(O$2:O2183,O2183)=1,R2183,0)/2.5</f>
        <v>0.4</v>
      </c>
    </row>
    <row r="2184" spans="1:19" ht="18" customHeight="1" x14ac:dyDescent="0.25">
      <c r="A2184" s="7" t="s">
        <v>43</v>
      </c>
      <c r="B2184" s="8">
        <v>1</v>
      </c>
      <c r="C2184" s="9">
        <v>435</v>
      </c>
      <c r="D2184" s="29">
        <f>C2184+IF(INDEX('Справочник по %'!B:B,(MATCH(A2184,'Справочник по %'!A:A,0)))="кол-во",B2184*INDEX('Справочник по %'!C:C,(MATCH(A2184,'Справочник по %'!A:A,0))),ОТЧЕТ!C2184*INDEX('Справочник по %'!C:C,(MATCH(A2184,'Справочник по %'!A:A,0))))/100</f>
        <v>478.5</v>
      </c>
      <c r="E2184" s="29">
        <f>IF(ОТЧЕТ!A2184="SKU3",C2184+ОТЧЕТ!C2184*0.2,C2184+ОТЧЕТ!C2184*0.15)</f>
        <v>500.25</v>
      </c>
      <c r="F2184" s="7" t="s">
        <v>4314</v>
      </c>
      <c r="G2184" s="7">
        <v>3446042846</v>
      </c>
      <c r="H2184" s="20" t="s">
        <v>319</v>
      </c>
      <c r="I2184" s="22" t="str">
        <f>INDEX('Справочник Сети'!B:B,(MATCH(G2184,'Справочник Сети'!C:C,0)))</f>
        <v>Столички</v>
      </c>
      <c r="J2184" s="7" t="s">
        <v>193</v>
      </c>
      <c r="K2184" s="7" t="s">
        <v>842</v>
      </c>
      <c r="L2184" s="7" t="s">
        <v>193</v>
      </c>
      <c r="M2184" s="31">
        <v>45718</v>
      </c>
      <c r="N2184" s="7" t="s">
        <v>4320</v>
      </c>
      <c r="O2184" s="8">
        <v>2581</v>
      </c>
      <c r="P2184" s="24">
        <v>8303</v>
      </c>
      <c r="Q2184" s="22">
        <f>IF(COUNTIFS(A$2:A2184,A2184,I$2:I2184,I2184)=1,1,0)</f>
        <v>0</v>
      </c>
      <c r="R2184" s="22">
        <f t="shared" si="34"/>
        <v>7</v>
      </c>
      <c r="S2184" s="33">
        <f>IF(COUNTIF(O$2:O2184,O2184)=1,R2184,0)/2.5</f>
        <v>0</v>
      </c>
    </row>
    <row r="2185" spans="1:19" ht="18" customHeight="1" x14ac:dyDescent="0.25">
      <c r="A2185" s="7" t="s">
        <v>43</v>
      </c>
      <c r="B2185" s="8">
        <v>1</v>
      </c>
      <c r="C2185" s="9">
        <v>490</v>
      </c>
      <c r="D2185" s="29">
        <f>C2185+IF(INDEX('Справочник по %'!B:B,(MATCH(A2185,'Справочник по %'!A:A,0)))="кол-во",B2185*INDEX('Справочник по %'!C:C,(MATCH(A2185,'Справочник по %'!A:A,0))),ОТЧЕТ!C2185*INDEX('Справочник по %'!C:C,(MATCH(A2185,'Справочник по %'!A:A,0))))/100</f>
        <v>539</v>
      </c>
      <c r="E2185" s="29">
        <f>IF(ОТЧЕТ!A2185="SKU3",C2185+ОТЧЕТ!C2185*0.2,C2185+ОТЧЕТ!C2185*0.15)</f>
        <v>563.5</v>
      </c>
      <c r="F2185" s="7" t="s">
        <v>4314</v>
      </c>
      <c r="G2185" s="7">
        <v>6319162952</v>
      </c>
      <c r="H2185" s="20" t="s">
        <v>2410</v>
      </c>
      <c r="I2185" s="22">
        <f>INDEX('Справочник Сети'!B:B,(MATCH(G2185,'Справочник Сети'!C:C,0)))</f>
        <v>0</v>
      </c>
      <c r="J2185" s="7" t="s">
        <v>133</v>
      </c>
      <c r="K2185" s="7" t="s">
        <v>3642</v>
      </c>
      <c r="L2185" s="7" t="s">
        <v>133</v>
      </c>
      <c r="M2185" s="31">
        <v>45695</v>
      </c>
      <c r="N2185" s="7" t="s">
        <v>4321</v>
      </c>
      <c r="O2185" s="8">
        <v>2906</v>
      </c>
      <c r="P2185" s="24">
        <v>8304</v>
      </c>
      <c r="Q2185" s="22">
        <f>IF(COUNTIFS(A$2:A2185,A2185,I$2:I2185,I2185)=1,1,0)</f>
        <v>0</v>
      </c>
      <c r="R2185" s="22">
        <f t="shared" si="34"/>
        <v>3</v>
      </c>
      <c r="S2185" s="33">
        <f>IF(COUNTIF(O$2:O2185,O2185)=1,R2185,0)/2.5</f>
        <v>0</v>
      </c>
    </row>
    <row r="2186" spans="1:19" ht="18" customHeight="1" x14ac:dyDescent="0.25">
      <c r="A2186" s="7" t="s">
        <v>43</v>
      </c>
      <c r="B2186" s="8">
        <v>1</v>
      </c>
      <c r="C2186" s="9">
        <v>369.97</v>
      </c>
      <c r="D2186" s="29">
        <f>C2186+IF(INDEX('Справочник по %'!B:B,(MATCH(A2186,'Справочник по %'!A:A,0)))="кол-во",B2186*INDEX('Справочник по %'!C:C,(MATCH(A2186,'Справочник по %'!A:A,0))),ОТЧЕТ!C2186*INDEX('Справочник по %'!C:C,(MATCH(A2186,'Справочник по %'!A:A,0))))/100</f>
        <v>406.96700000000004</v>
      </c>
      <c r="E2186" s="29">
        <f>IF(ОТЧЕТ!A2186="SKU3",C2186+ОТЧЕТ!C2186*0.2,C2186+ОТЧЕТ!C2186*0.15)</f>
        <v>425.46550000000002</v>
      </c>
      <c r="F2186" s="7" t="s">
        <v>4314</v>
      </c>
      <c r="G2186" s="7">
        <v>7814443325</v>
      </c>
      <c r="H2186" s="20" t="s">
        <v>50</v>
      </c>
      <c r="I2186" s="22" t="str">
        <f>INDEX('Справочник Сети'!B:B,(MATCH(G2186,'Справочник Сети'!C:C,0)))</f>
        <v>Планета здоровья</v>
      </c>
      <c r="J2186" s="7" t="s">
        <v>121</v>
      </c>
      <c r="K2186" s="7" t="s">
        <v>325</v>
      </c>
      <c r="L2186" s="7" t="s">
        <v>121</v>
      </c>
      <c r="M2186" s="31">
        <v>45671</v>
      </c>
      <c r="N2186" s="7" t="s">
        <v>4322</v>
      </c>
      <c r="O2186" s="8">
        <v>38</v>
      </c>
      <c r="P2186" s="24">
        <v>8305</v>
      </c>
      <c r="Q2186" s="22">
        <f>IF(COUNTIFS(A$2:A2186,A2186,I$2:I2186,I2186)=1,1,0)</f>
        <v>0</v>
      </c>
      <c r="R2186" s="22">
        <f t="shared" si="34"/>
        <v>3</v>
      </c>
      <c r="S2186" s="33">
        <f>IF(COUNTIF(O$2:O2186,O2186)=1,R2186,0)/2.5</f>
        <v>0</v>
      </c>
    </row>
    <row r="2187" spans="1:19" ht="18" customHeight="1" x14ac:dyDescent="0.25">
      <c r="A2187" s="7" t="s">
        <v>43</v>
      </c>
      <c r="B2187" s="8">
        <v>1</v>
      </c>
      <c r="C2187" s="9">
        <v>544</v>
      </c>
      <c r="D2187" s="29">
        <f>C2187+IF(INDEX('Справочник по %'!B:B,(MATCH(A2187,'Справочник по %'!A:A,0)))="кол-во",B2187*INDEX('Справочник по %'!C:C,(MATCH(A2187,'Справочник по %'!A:A,0))),ОТЧЕТ!C2187*INDEX('Справочник по %'!C:C,(MATCH(A2187,'Справочник по %'!A:A,0))))/100</f>
        <v>598.4</v>
      </c>
      <c r="E2187" s="29">
        <f>IF(ОТЧЕТ!A2187="SKU3",C2187+ОТЧЕТ!C2187*0.2,C2187+ОТЧЕТ!C2187*0.15)</f>
        <v>625.6</v>
      </c>
      <c r="F2187" s="7" t="s">
        <v>4314</v>
      </c>
      <c r="G2187" s="7">
        <v>7203539016</v>
      </c>
      <c r="H2187" s="20" t="s">
        <v>50</v>
      </c>
      <c r="I2187" s="22">
        <f>INDEX('Справочник Сети'!B:B,(MATCH(G2187,'Справочник Сети'!C:C,0)))</f>
        <v>0</v>
      </c>
      <c r="J2187" s="7" t="s">
        <v>104</v>
      </c>
      <c r="K2187" s="7" t="s">
        <v>4323</v>
      </c>
      <c r="L2187" s="7" t="s">
        <v>106</v>
      </c>
      <c r="M2187" s="31">
        <v>45694</v>
      </c>
      <c r="N2187" s="7" t="s">
        <v>4324</v>
      </c>
      <c r="O2187" s="8">
        <v>3023</v>
      </c>
      <c r="P2187" s="24">
        <v>8306</v>
      </c>
      <c r="Q2187" s="22">
        <f>IF(COUNTIFS(A$2:A2187,A2187,I$2:I2187,I2187)=1,1,0)</f>
        <v>0</v>
      </c>
      <c r="R2187" s="22">
        <f t="shared" si="34"/>
        <v>3</v>
      </c>
      <c r="S2187" s="33">
        <f>IF(COUNTIF(O$2:O2187,O2187)=1,R2187,0)/2.5</f>
        <v>0</v>
      </c>
    </row>
    <row r="2188" spans="1:19" ht="18" customHeight="1" x14ac:dyDescent="0.25">
      <c r="A2188" s="7" t="s">
        <v>43</v>
      </c>
      <c r="B2188" s="8">
        <v>1</v>
      </c>
      <c r="C2188" s="9">
        <v>540</v>
      </c>
      <c r="D2188" s="29">
        <f>C2188+IF(INDEX('Справочник по %'!B:B,(MATCH(A2188,'Справочник по %'!A:A,0)))="кол-во",B2188*INDEX('Справочник по %'!C:C,(MATCH(A2188,'Справочник по %'!A:A,0))),ОТЧЕТ!C2188*INDEX('Справочник по %'!C:C,(MATCH(A2188,'Справочник по %'!A:A,0))))/100</f>
        <v>594</v>
      </c>
      <c r="E2188" s="29">
        <f>IF(ОТЧЕТ!A2188="SKU3",C2188+ОТЧЕТ!C2188*0.2,C2188+ОТЧЕТ!C2188*0.15)</f>
        <v>621</v>
      </c>
      <c r="F2188" s="7" t="s">
        <v>4325</v>
      </c>
      <c r="G2188" s="7">
        <v>7203539016</v>
      </c>
      <c r="H2188" s="20" t="s">
        <v>50</v>
      </c>
      <c r="I2188" s="22">
        <f>INDEX('Справочник Сети'!B:B,(MATCH(G2188,'Справочник Сети'!C:C,0)))</f>
        <v>0</v>
      </c>
      <c r="J2188" s="7" t="s">
        <v>104</v>
      </c>
      <c r="K2188" s="7" t="s">
        <v>2462</v>
      </c>
      <c r="L2188" s="7" t="s">
        <v>106</v>
      </c>
      <c r="M2188" s="31">
        <v>45694</v>
      </c>
      <c r="N2188" s="7" t="s">
        <v>4326</v>
      </c>
      <c r="O2188" s="8">
        <v>3023</v>
      </c>
      <c r="P2188" s="24">
        <v>8307</v>
      </c>
      <c r="Q2188" s="22">
        <f>IF(COUNTIFS(A$2:A2188,A2188,I$2:I2188,I2188)=1,1,0)</f>
        <v>0</v>
      </c>
      <c r="R2188" s="22">
        <f t="shared" si="34"/>
        <v>3</v>
      </c>
      <c r="S2188" s="33">
        <f>IF(COUNTIF(O$2:O2188,O2188)=1,R2188,0)/2.5</f>
        <v>0</v>
      </c>
    </row>
    <row r="2189" spans="1:19" ht="18" customHeight="1" x14ac:dyDescent="0.25">
      <c r="A2189" s="7" t="s">
        <v>43</v>
      </c>
      <c r="B2189" s="8">
        <v>1</v>
      </c>
      <c r="C2189" s="9">
        <v>401</v>
      </c>
      <c r="D2189" s="29">
        <f>C2189+IF(INDEX('Справочник по %'!B:B,(MATCH(A2189,'Справочник по %'!A:A,0)))="кол-во",B2189*INDEX('Справочник по %'!C:C,(MATCH(A2189,'Справочник по %'!A:A,0))),ОТЧЕТ!C2189*INDEX('Справочник по %'!C:C,(MATCH(A2189,'Справочник по %'!A:A,0))))/100</f>
        <v>441.1</v>
      </c>
      <c r="E2189" s="29">
        <f>IF(ОТЧЕТ!A2189="SKU3",C2189+ОТЧЕТ!C2189*0.2,C2189+ОТЧЕТ!C2189*0.15)</f>
        <v>461.15</v>
      </c>
      <c r="F2189" s="7" t="s">
        <v>4325</v>
      </c>
      <c r="G2189" s="7">
        <v>5752042253</v>
      </c>
      <c r="H2189" s="20" t="s">
        <v>50</v>
      </c>
      <c r="I2189" s="22" t="str">
        <f>INDEX('Справочник Сети'!B:B,(MATCH(G2189,'Справочник Сети'!C:C,0)))</f>
        <v>Ригла</v>
      </c>
      <c r="J2189" s="7" t="s">
        <v>40</v>
      </c>
      <c r="K2189" s="7" t="s">
        <v>1181</v>
      </c>
      <c r="L2189" s="7" t="s">
        <v>255</v>
      </c>
      <c r="M2189" s="31">
        <v>45713</v>
      </c>
      <c r="N2189" s="7" t="s">
        <v>4327</v>
      </c>
      <c r="O2189" s="8">
        <v>3584</v>
      </c>
      <c r="P2189" s="24">
        <v>8308</v>
      </c>
      <c r="Q2189" s="22">
        <f>IF(COUNTIFS(A$2:A2189,A2189,I$2:I2189,I2189)=1,1,0)</f>
        <v>0</v>
      </c>
      <c r="R2189" s="22">
        <f t="shared" si="34"/>
        <v>5</v>
      </c>
      <c r="S2189" s="33">
        <f>IF(COUNTIF(O$2:O2189,O2189)=1,R2189,0)/2.5</f>
        <v>0</v>
      </c>
    </row>
    <row r="2190" spans="1:19" ht="18" customHeight="1" x14ac:dyDescent="0.25">
      <c r="A2190" s="7" t="s">
        <v>43</v>
      </c>
      <c r="B2190" s="8">
        <v>1</v>
      </c>
      <c r="C2190" s="9">
        <v>440</v>
      </c>
      <c r="D2190" s="29">
        <f>C2190+IF(INDEX('Справочник по %'!B:B,(MATCH(A2190,'Справочник по %'!A:A,0)))="кол-во",B2190*INDEX('Справочник по %'!C:C,(MATCH(A2190,'Справочник по %'!A:A,0))),ОТЧЕТ!C2190*INDEX('Справочник по %'!C:C,(MATCH(A2190,'Справочник по %'!A:A,0))))/100</f>
        <v>484</v>
      </c>
      <c r="E2190" s="29">
        <f>IF(ОТЧЕТ!A2190="SKU3",C2190+ОТЧЕТ!C2190*0.2,C2190+ОТЧЕТ!C2190*0.15)</f>
        <v>506</v>
      </c>
      <c r="F2190" s="7" t="s">
        <v>4325</v>
      </c>
      <c r="G2190" s="7">
        <v>4205048353</v>
      </c>
      <c r="H2190" s="20" t="s">
        <v>2569</v>
      </c>
      <c r="I2190" s="22" t="str">
        <f>INDEX('Справочник Сети'!B:B,(MATCH(G2190,'Справочник Сети'!C:C,0)))</f>
        <v>Планета здоровья</v>
      </c>
      <c r="J2190" s="7" t="s">
        <v>155</v>
      </c>
      <c r="K2190" s="7" t="s">
        <v>4328</v>
      </c>
      <c r="L2190" s="7" t="s">
        <v>155</v>
      </c>
      <c r="M2190" s="31">
        <v>45716</v>
      </c>
      <c r="N2190" s="7" t="s">
        <v>4329</v>
      </c>
      <c r="O2190" s="8">
        <v>830</v>
      </c>
      <c r="P2190" s="24">
        <v>8309</v>
      </c>
      <c r="Q2190" s="22">
        <f>IF(COUNTIFS(A$2:A2190,A2190,I$2:I2190,I2190)=1,1,0)</f>
        <v>0</v>
      </c>
      <c r="R2190" s="22">
        <f t="shared" si="34"/>
        <v>1</v>
      </c>
      <c r="S2190" s="33">
        <f>IF(COUNTIF(O$2:O2190,O2190)=1,R2190,0)/2.5</f>
        <v>0.4</v>
      </c>
    </row>
    <row r="2191" spans="1:19" ht="18" customHeight="1" x14ac:dyDescent="0.25">
      <c r="A2191" s="7" t="s">
        <v>37</v>
      </c>
      <c r="B2191" s="8">
        <v>1</v>
      </c>
      <c r="C2191" s="9">
        <v>589</v>
      </c>
      <c r="D2191" s="29">
        <f>C2191+IF(INDEX('Справочник по %'!B:B,(MATCH(A2191,'Справочник по %'!A:A,0)))="кол-во",B2191*INDEX('Справочник по %'!C:C,(MATCH(A2191,'Справочник по %'!A:A,0))),ОТЧЕТ!C2191*INDEX('Справочник по %'!C:C,(MATCH(A2191,'Справочник по %'!A:A,0))))/100</f>
        <v>589.20000000000005</v>
      </c>
      <c r="E2191" s="29">
        <f>IF(ОТЧЕТ!A2191="SKU3",C2191+ОТЧЕТ!C2191*0.2,C2191+ОТЧЕТ!C2191*0.15)</f>
        <v>677.35</v>
      </c>
      <c r="F2191" s="7" t="s">
        <v>4325</v>
      </c>
      <c r="G2191" s="7">
        <v>7706795062</v>
      </c>
      <c r="H2191" s="20" t="s">
        <v>816</v>
      </c>
      <c r="I2191" s="22" t="str">
        <f>INDEX('Справочник Сети'!B:B,(MATCH(G2191,'Справочник Сети'!C:C,0)))</f>
        <v>Планета здоровья</v>
      </c>
      <c r="J2191" s="7" t="s">
        <v>87</v>
      </c>
      <c r="K2191" s="7" t="s">
        <v>238</v>
      </c>
      <c r="L2191" s="7" t="s">
        <v>87</v>
      </c>
      <c r="M2191" s="31">
        <v>45691</v>
      </c>
      <c r="N2191" s="7" t="s">
        <v>4330</v>
      </c>
      <c r="O2191" s="8">
        <v>2510</v>
      </c>
      <c r="P2191" s="24">
        <v>8311</v>
      </c>
      <c r="Q2191" s="22">
        <f>IF(COUNTIFS(A$2:A2191,A2191,I$2:I2191,I2191)=1,1,0)</f>
        <v>0</v>
      </c>
      <c r="R2191" s="22">
        <f t="shared" si="34"/>
        <v>2</v>
      </c>
      <c r="S2191" s="33">
        <f>IF(COUNTIF(O$2:O2191,O2191)=1,R2191,0)/2.5</f>
        <v>0.8</v>
      </c>
    </row>
    <row r="2192" spans="1:19" ht="18" customHeight="1" x14ac:dyDescent="0.25">
      <c r="A2192" s="7" t="s">
        <v>43</v>
      </c>
      <c r="B2192" s="8">
        <v>1</v>
      </c>
      <c r="C2192" s="9">
        <v>550</v>
      </c>
      <c r="D2192" s="29">
        <f>C2192+IF(INDEX('Справочник по %'!B:B,(MATCH(A2192,'Справочник по %'!A:A,0)))="кол-во",B2192*INDEX('Справочник по %'!C:C,(MATCH(A2192,'Справочник по %'!A:A,0))),ОТЧЕТ!C2192*INDEX('Справочник по %'!C:C,(MATCH(A2192,'Справочник по %'!A:A,0))))/100</f>
        <v>605</v>
      </c>
      <c r="E2192" s="29">
        <f>IF(ОТЧЕТ!A2192="SKU3",C2192+ОТЧЕТ!C2192*0.2,C2192+ОТЧЕТ!C2192*0.15)</f>
        <v>632.5</v>
      </c>
      <c r="F2192" s="7" t="s">
        <v>4331</v>
      </c>
      <c r="G2192" s="7">
        <v>2320218433</v>
      </c>
      <c r="H2192" s="20" t="s">
        <v>50</v>
      </c>
      <c r="I2192" s="22" t="str">
        <f>INDEX('Справочник Сети'!B:B,(MATCH(G2192,'Справочник Сети'!C:C,0)))</f>
        <v>Планета здоровья</v>
      </c>
      <c r="J2192" s="7" t="s">
        <v>96</v>
      </c>
      <c r="K2192" s="7" t="s">
        <v>181</v>
      </c>
      <c r="L2192" s="7" t="s">
        <v>70</v>
      </c>
      <c r="M2192" s="31">
        <v>45728</v>
      </c>
      <c r="N2192" s="7" t="s">
        <v>4332</v>
      </c>
      <c r="O2192" s="8">
        <v>3018</v>
      </c>
      <c r="P2192" s="24">
        <v>8315</v>
      </c>
      <c r="Q2192" s="22">
        <f>IF(COUNTIFS(A$2:A2192,A2192,I$2:I2192,I2192)=1,1,0)</f>
        <v>0</v>
      </c>
      <c r="R2192" s="22">
        <f t="shared" si="34"/>
        <v>3</v>
      </c>
      <c r="S2192" s="33">
        <f>IF(COUNTIF(O$2:O2192,O2192)=1,R2192,0)/2.5</f>
        <v>0</v>
      </c>
    </row>
    <row r="2193" spans="1:19" ht="18" customHeight="1" x14ac:dyDescent="0.25">
      <c r="A2193" s="7" t="s">
        <v>37</v>
      </c>
      <c r="B2193" s="8">
        <v>1</v>
      </c>
      <c r="C2193" s="9">
        <v>620</v>
      </c>
      <c r="D2193" s="29">
        <f>C2193+IF(INDEX('Справочник по %'!B:B,(MATCH(A2193,'Справочник по %'!A:A,0)))="кол-во",B2193*INDEX('Справочник по %'!C:C,(MATCH(A2193,'Справочник по %'!A:A,0))),ОТЧЕТ!C2193*INDEX('Справочник по %'!C:C,(MATCH(A2193,'Справочник по %'!A:A,0))))/100</f>
        <v>620.20000000000005</v>
      </c>
      <c r="E2193" s="29">
        <f>IF(ОТЧЕТ!A2193="SKU3",C2193+ОТЧЕТ!C2193*0.2,C2193+ОТЧЕТ!C2193*0.15)</f>
        <v>713</v>
      </c>
      <c r="F2193" s="7" t="s">
        <v>4331</v>
      </c>
      <c r="G2193" s="7">
        <v>312825165467</v>
      </c>
      <c r="H2193" s="20" t="s">
        <v>1778</v>
      </c>
      <c r="I2193" s="22">
        <f>INDEX('Справочник Сети'!B:B,(MATCH(G2193,'Справочник Сети'!C:C,0)))</f>
        <v>0</v>
      </c>
      <c r="J2193" s="7" t="s">
        <v>110</v>
      </c>
      <c r="K2193" s="7" t="s">
        <v>850</v>
      </c>
      <c r="L2193" s="7" t="s">
        <v>110</v>
      </c>
      <c r="M2193" s="31">
        <v>45660</v>
      </c>
      <c r="N2193" s="7" t="s">
        <v>4333</v>
      </c>
      <c r="O2193" s="8">
        <v>880</v>
      </c>
      <c r="P2193" s="24">
        <v>8326</v>
      </c>
      <c r="Q2193" s="22">
        <f>IF(COUNTIFS(A$2:A2193,A2193,I$2:I2193,I2193)=1,1,0)</f>
        <v>0</v>
      </c>
      <c r="R2193" s="22">
        <f t="shared" si="34"/>
        <v>1</v>
      </c>
      <c r="S2193" s="33">
        <f>IF(COUNTIF(O$2:O2193,O2193)=1,R2193,0)/2.5</f>
        <v>0.4</v>
      </c>
    </row>
    <row r="2194" spans="1:19" ht="18" customHeight="1" x14ac:dyDescent="0.25">
      <c r="A2194" s="7" t="s">
        <v>37</v>
      </c>
      <c r="B2194" s="8">
        <v>1</v>
      </c>
      <c r="C2194" s="9">
        <v>638</v>
      </c>
      <c r="D2194" s="29">
        <f>C2194+IF(INDEX('Справочник по %'!B:B,(MATCH(A2194,'Справочник по %'!A:A,0)))="кол-во",B2194*INDEX('Справочник по %'!C:C,(MATCH(A2194,'Справочник по %'!A:A,0))),ОТЧЕТ!C2194*INDEX('Справочник по %'!C:C,(MATCH(A2194,'Справочник по %'!A:A,0))))/100</f>
        <v>638.20000000000005</v>
      </c>
      <c r="E2194" s="29">
        <f>IF(ОТЧЕТ!A2194="SKU3",C2194+ОТЧЕТ!C2194*0.2,C2194+ОТЧЕТ!C2194*0.15)</f>
        <v>733.7</v>
      </c>
      <c r="F2194" s="7" t="s">
        <v>4331</v>
      </c>
      <c r="G2194" s="7">
        <v>7705947629</v>
      </c>
      <c r="H2194" s="20" t="s">
        <v>50</v>
      </c>
      <c r="I2194" s="22" t="str">
        <f>INDEX('Справочник Сети'!B:B,(MATCH(G2194,'Справочник Сети'!C:C,0)))</f>
        <v>36,6</v>
      </c>
      <c r="J2194" s="7" t="s">
        <v>116</v>
      </c>
      <c r="K2194" s="7" t="s">
        <v>942</v>
      </c>
      <c r="L2194" s="7" t="s">
        <v>104</v>
      </c>
      <c r="M2194" s="31">
        <v>45693</v>
      </c>
      <c r="N2194" s="7" t="s">
        <v>4334</v>
      </c>
      <c r="O2194" s="8">
        <v>2649</v>
      </c>
      <c r="P2194" s="24">
        <v>8327</v>
      </c>
      <c r="Q2194" s="22">
        <f>IF(COUNTIFS(A$2:A2194,A2194,I$2:I2194,I2194)=1,1,0)</f>
        <v>0</v>
      </c>
      <c r="R2194" s="22">
        <f t="shared" si="34"/>
        <v>2</v>
      </c>
      <c r="S2194" s="33">
        <f>IF(COUNTIF(O$2:O2194,O2194)=1,R2194,0)/2.5</f>
        <v>0.8</v>
      </c>
    </row>
    <row r="2195" spans="1:19" ht="18" customHeight="1" x14ac:dyDescent="0.25">
      <c r="A2195" s="7" t="s">
        <v>43</v>
      </c>
      <c r="B2195" s="8">
        <v>1</v>
      </c>
      <c r="C2195" s="9">
        <v>418</v>
      </c>
      <c r="D2195" s="29">
        <f>C2195+IF(INDEX('Справочник по %'!B:B,(MATCH(A2195,'Справочник по %'!A:A,0)))="кол-во",B2195*INDEX('Справочник по %'!C:C,(MATCH(A2195,'Справочник по %'!A:A,0))),ОТЧЕТ!C2195*INDEX('Справочник по %'!C:C,(MATCH(A2195,'Справочник по %'!A:A,0))))/100</f>
        <v>459.8</v>
      </c>
      <c r="E2195" s="29">
        <f>IF(ОТЧЕТ!A2195="SKU3",C2195+ОТЧЕТ!C2195*0.2,C2195+ОТЧЕТ!C2195*0.15)</f>
        <v>480.7</v>
      </c>
      <c r="F2195" s="7" t="s">
        <v>4331</v>
      </c>
      <c r="G2195" s="7">
        <v>2308110232</v>
      </c>
      <c r="H2195" s="20" t="s">
        <v>69</v>
      </c>
      <c r="I2195" s="22" t="str">
        <f>INDEX('Справочник Сети'!B:B,(MATCH(G2195,'Справочник Сети'!C:C,0)))</f>
        <v>Нео-фарм</v>
      </c>
      <c r="J2195" s="7" t="s">
        <v>372</v>
      </c>
      <c r="K2195" s="7" t="s">
        <v>2510</v>
      </c>
      <c r="L2195" s="7" t="s">
        <v>372</v>
      </c>
      <c r="M2195" s="31">
        <v>45730</v>
      </c>
      <c r="N2195" s="7" t="s">
        <v>4335</v>
      </c>
      <c r="O2195" s="8">
        <v>2530</v>
      </c>
      <c r="P2195" s="24">
        <v>8328</v>
      </c>
      <c r="Q2195" s="22">
        <f>IF(COUNTIFS(A$2:A2195,A2195,I$2:I2195,I2195)=1,1,0)</f>
        <v>0</v>
      </c>
      <c r="R2195" s="22">
        <f t="shared" si="34"/>
        <v>1</v>
      </c>
      <c r="S2195" s="33">
        <f>IF(COUNTIF(O$2:O2195,O2195)=1,R2195,0)/2.5</f>
        <v>0.4</v>
      </c>
    </row>
    <row r="2196" spans="1:19" ht="18" customHeight="1" x14ac:dyDescent="0.25">
      <c r="A2196" s="7" t="s">
        <v>43</v>
      </c>
      <c r="B2196" s="8">
        <v>1</v>
      </c>
      <c r="C2196" s="9">
        <v>431.01</v>
      </c>
      <c r="D2196" s="29">
        <f>C2196+IF(INDEX('Справочник по %'!B:B,(MATCH(A2196,'Справочник по %'!A:A,0)))="кол-во",B2196*INDEX('Справочник по %'!C:C,(MATCH(A2196,'Справочник по %'!A:A,0))),ОТЧЕТ!C2196*INDEX('Справочник по %'!C:C,(MATCH(A2196,'Справочник по %'!A:A,0))))/100</f>
        <v>474.11099999999999</v>
      </c>
      <c r="E2196" s="29">
        <f>IF(ОТЧЕТ!A2196="SKU3",C2196+ОТЧЕТ!C2196*0.2,C2196+ОТЧЕТ!C2196*0.15)</f>
        <v>495.66149999999999</v>
      </c>
      <c r="F2196" s="7" t="s">
        <v>4331</v>
      </c>
      <c r="G2196" s="7">
        <v>7705947629</v>
      </c>
      <c r="H2196" s="20" t="s">
        <v>50</v>
      </c>
      <c r="I2196" s="22" t="str">
        <f>INDEX('Справочник Сети'!B:B,(MATCH(G2196,'Справочник Сети'!C:C,0)))</f>
        <v>36,6</v>
      </c>
      <c r="J2196" s="7" t="s">
        <v>116</v>
      </c>
      <c r="K2196" s="7" t="s">
        <v>2651</v>
      </c>
      <c r="L2196" s="7" t="s">
        <v>104</v>
      </c>
      <c r="M2196" s="31">
        <v>45693</v>
      </c>
      <c r="N2196" s="7" t="s">
        <v>4336</v>
      </c>
      <c r="O2196" s="8">
        <v>3228</v>
      </c>
      <c r="P2196" s="24">
        <v>8333</v>
      </c>
      <c r="Q2196" s="22">
        <f>IF(COUNTIFS(A$2:A2196,A2196,I$2:I2196,I2196)=1,1,0)</f>
        <v>0</v>
      </c>
      <c r="R2196" s="22">
        <f t="shared" si="34"/>
        <v>3</v>
      </c>
      <c r="S2196" s="33">
        <f>IF(COUNTIF(O$2:O2196,O2196)=1,R2196,0)/2.5</f>
        <v>0</v>
      </c>
    </row>
    <row r="2197" spans="1:19" ht="18" customHeight="1" x14ac:dyDescent="0.25">
      <c r="A2197" s="7" t="s">
        <v>43</v>
      </c>
      <c r="B2197" s="8">
        <v>1</v>
      </c>
      <c r="C2197" s="9">
        <v>455</v>
      </c>
      <c r="D2197" s="29">
        <f>C2197+IF(INDEX('Справочник по %'!B:B,(MATCH(A2197,'Справочник по %'!A:A,0)))="кол-во",B2197*INDEX('Справочник по %'!C:C,(MATCH(A2197,'Справочник по %'!A:A,0))),ОТЧЕТ!C2197*INDEX('Справочник по %'!C:C,(MATCH(A2197,'Справочник по %'!A:A,0))))/100</f>
        <v>500.5</v>
      </c>
      <c r="E2197" s="29">
        <f>IF(ОТЧЕТ!A2197="SKU3",C2197+ОТЧЕТ!C2197*0.2,C2197+ОТЧЕТ!C2197*0.15)</f>
        <v>523.25</v>
      </c>
      <c r="F2197" s="7" t="s">
        <v>4331</v>
      </c>
      <c r="G2197" s="7">
        <v>7705947629</v>
      </c>
      <c r="H2197" s="20" t="s">
        <v>50</v>
      </c>
      <c r="I2197" s="22" t="str">
        <f>INDEX('Справочник Сети'!B:B,(MATCH(G2197,'Справочник Сети'!C:C,0)))</f>
        <v>36,6</v>
      </c>
      <c r="J2197" s="7" t="s">
        <v>116</v>
      </c>
      <c r="K2197" s="7" t="s">
        <v>991</v>
      </c>
      <c r="L2197" s="7" t="s">
        <v>104</v>
      </c>
      <c r="M2197" s="31">
        <v>45693</v>
      </c>
      <c r="N2197" s="7" t="s">
        <v>4337</v>
      </c>
      <c r="O2197" s="8">
        <v>3228</v>
      </c>
      <c r="P2197" s="24">
        <v>8334</v>
      </c>
      <c r="Q2197" s="22">
        <f>IF(COUNTIFS(A$2:A2197,A2197,I$2:I2197,I2197)=1,1,0)</f>
        <v>0</v>
      </c>
      <c r="R2197" s="22">
        <f t="shared" si="34"/>
        <v>3</v>
      </c>
      <c r="S2197" s="33">
        <f>IF(COUNTIF(O$2:O2197,O2197)=1,R2197,0)/2.5</f>
        <v>0</v>
      </c>
    </row>
    <row r="2198" spans="1:19" ht="18" customHeight="1" x14ac:dyDescent="0.25">
      <c r="A2198" s="7" t="s">
        <v>43</v>
      </c>
      <c r="B2198" s="8">
        <v>1</v>
      </c>
      <c r="C2198" s="9">
        <v>433</v>
      </c>
      <c r="D2198" s="29">
        <f>C2198+IF(INDEX('Справочник по %'!B:B,(MATCH(A2198,'Справочник по %'!A:A,0)))="кол-во",B2198*INDEX('Справочник по %'!C:C,(MATCH(A2198,'Справочник по %'!A:A,0))),ОТЧЕТ!C2198*INDEX('Справочник по %'!C:C,(MATCH(A2198,'Справочник по %'!A:A,0))))/100</f>
        <v>476.3</v>
      </c>
      <c r="E2198" s="29">
        <f>IF(ОТЧЕТ!A2198="SKU3",C2198+ОТЧЕТ!C2198*0.2,C2198+ОТЧЕТ!C2198*0.15)</f>
        <v>497.95</v>
      </c>
      <c r="F2198" s="7" t="s">
        <v>4331</v>
      </c>
      <c r="G2198" s="7">
        <v>7705947629</v>
      </c>
      <c r="H2198" s="20" t="s">
        <v>64</v>
      </c>
      <c r="I2198" s="22" t="str">
        <f>INDEX('Справочник Сети'!B:B,(MATCH(G2198,'Справочник Сети'!C:C,0)))</f>
        <v>36,6</v>
      </c>
      <c r="J2198" s="7" t="s">
        <v>116</v>
      </c>
      <c r="K2198" s="7" t="s">
        <v>436</v>
      </c>
      <c r="L2198" s="7" t="s">
        <v>116</v>
      </c>
      <c r="M2198" s="31">
        <v>45692</v>
      </c>
      <c r="N2198" s="7" t="s">
        <v>4338</v>
      </c>
      <c r="O2198" s="8">
        <v>3799</v>
      </c>
      <c r="P2198" s="24">
        <v>8336</v>
      </c>
      <c r="Q2198" s="22">
        <f>IF(COUNTIFS(A$2:A2198,A2198,I$2:I2198,I2198)=1,1,0)</f>
        <v>0</v>
      </c>
      <c r="R2198" s="22">
        <f t="shared" si="34"/>
        <v>6</v>
      </c>
      <c r="S2198" s="33">
        <f>IF(COUNTIF(O$2:O2198,O2198)=1,R2198,0)/2.5</f>
        <v>0</v>
      </c>
    </row>
    <row r="2199" spans="1:19" ht="18" customHeight="1" x14ac:dyDescent="0.25">
      <c r="A2199" s="7" t="s">
        <v>43</v>
      </c>
      <c r="B2199" s="8">
        <v>1</v>
      </c>
      <c r="C2199" s="9">
        <v>463.89</v>
      </c>
      <c r="D2199" s="29">
        <f>C2199+IF(INDEX('Справочник по %'!B:B,(MATCH(A2199,'Справочник по %'!A:A,0)))="кол-во",B2199*INDEX('Справочник по %'!C:C,(MATCH(A2199,'Справочник по %'!A:A,0))),ОТЧЕТ!C2199*INDEX('Справочник по %'!C:C,(MATCH(A2199,'Справочник по %'!A:A,0))))/100</f>
        <v>510.279</v>
      </c>
      <c r="E2199" s="29">
        <f>IF(ОТЧЕТ!A2199="SKU3",C2199+ОТЧЕТ!C2199*0.2,C2199+ОТЧЕТ!C2199*0.15)</f>
        <v>533.47349999999994</v>
      </c>
      <c r="F2199" s="7" t="s">
        <v>4331</v>
      </c>
      <c r="G2199" s="7">
        <v>6673189456</v>
      </c>
      <c r="H2199" s="20" t="s">
        <v>132</v>
      </c>
      <c r="I2199" s="22" t="str">
        <f>INDEX('Справочник Сети'!B:B,(MATCH(G2199,'Справочник Сети'!C:C,0)))</f>
        <v>Столички</v>
      </c>
      <c r="J2199" s="7" t="s">
        <v>133</v>
      </c>
      <c r="K2199" s="7" t="s">
        <v>1836</v>
      </c>
      <c r="L2199" s="7" t="s">
        <v>133</v>
      </c>
      <c r="M2199" s="31">
        <v>45695</v>
      </c>
      <c r="N2199" s="7" t="s">
        <v>4339</v>
      </c>
      <c r="O2199" s="8">
        <v>149</v>
      </c>
      <c r="P2199" s="24">
        <v>8337</v>
      </c>
      <c r="Q2199" s="22">
        <f>IF(COUNTIFS(A$2:A2199,A2199,I$2:I2199,I2199)=1,1,0)</f>
        <v>0</v>
      </c>
      <c r="R2199" s="22">
        <f t="shared" si="34"/>
        <v>1</v>
      </c>
      <c r="S2199" s="33">
        <f>IF(COUNTIF(O$2:O2199,O2199)=1,R2199,0)/2.5</f>
        <v>0.4</v>
      </c>
    </row>
    <row r="2200" spans="1:19" ht="18" customHeight="1" x14ac:dyDescent="0.25">
      <c r="A2200" s="7" t="s">
        <v>43</v>
      </c>
      <c r="B2200" s="8">
        <v>1</v>
      </c>
      <c r="C2200" s="9">
        <v>411</v>
      </c>
      <c r="D2200" s="29">
        <f>C2200+IF(INDEX('Справочник по %'!B:B,(MATCH(A2200,'Справочник по %'!A:A,0)))="кол-во",B2200*INDEX('Справочник по %'!C:C,(MATCH(A2200,'Справочник по %'!A:A,0))),ОТЧЕТ!C2200*INDEX('Справочник по %'!C:C,(MATCH(A2200,'Справочник по %'!A:A,0))))/100</f>
        <v>452.1</v>
      </c>
      <c r="E2200" s="29">
        <f>IF(ОТЧЕТ!A2200="SKU3",C2200+ОТЧЕТ!C2200*0.2,C2200+ОТЧЕТ!C2200*0.15)</f>
        <v>472.65</v>
      </c>
      <c r="F2200" s="7" t="s">
        <v>4331</v>
      </c>
      <c r="G2200" s="7">
        <v>2320070071</v>
      </c>
      <c r="H2200" s="20" t="s">
        <v>4340</v>
      </c>
      <c r="I2200" s="22">
        <f>INDEX('Справочник Сети'!B:B,(MATCH(G2200,'Справочник Сети'!C:C,0)))</f>
        <v>0</v>
      </c>
      <c r="J2200" s="7" t="s">
        <v>70</v>
      </c>
      <c r="K2200" s="7" t="s">
        <v>1882</v>
      </c>
      <c r="L2200" s="7" t="s">
        <v>70</v>
      </c>
      <c r="M2200" s="31">
        <v>45728</v>
      </c>
      <c r="N2200" s="7" t="s">
        <v>4341</v>
      </c>
      <c r="O2200" s="8">
        <v>3793</v>
      </c>
      <c r="P2200" s="24">
        <v>8338</v>
      </c>
      <c r="Q2200" s="22">
        <f>IF(COUNTIFS(A$2:A2200,A2200,I$2:I2200,I2200)=1,1,0)</f>
        <v>0</v>
      </c>
      <c r="R2200" s="22">
        <f t="shared" si="34"/>
        <v>1</v>
      </c>
      <c r="S2200" s="33">
        <f>IF(COUNTIF(O$2:O2200,O2200)=1,R2200,0)/2.5</f>
        <v>0.4</v>
      </c>
    </row>
    <row r="2201" spans="1:19" ht="18" customHeight="1" x14ac:dyDescent="0.25">
      <c r="A2201" s="7" t="s">
        <v>37</v>
      </c>
      <c r="B2201" s="8">
        <v>1</v>
      </c>
      <c r="C2201" s="9">
        <v>414</v>
      </c>
      <c r="D2201" s="29">
        <f>C2201+IF(INDEX('Справочник по %'!B:B,(MATCH(A2201,'Справочник по %'!A:A,0)))="кол-во",B2201*INDEX('Справочник по %'!C:C,(MATCH(A2201,'Справочник по %'!A:A,0))),ОТЧЕТ!C2201*INDEX('Справочник по %'!C:C,(MATCH(A2201,'Справочник по %'!A:A,0))))/100</f>
        <v>414.2</v>
      </c>
      <c r="E2201" s="29">
        <f>IF(ОТЧЕТ!A2201="SKU3",C2201+ОТЧЕТ!C2201*0.2,C2201+ОТЧЕТ!C2201*0.15)</f>
        <v>476.1</v>
      </c>
      <c r="F2201" s="7" t="s">
        <v>4342</v>
      </c>
      <c r="G2201" s="7">
        <v>5916027419</v>
      </c>
      <c r="H2201" s="20" t="s">
        <v>511</v>
      </c>
      <c r="I2201" s="22" t="str">
        <f>INDEX('Справочник Сети'!B:B,(MATCH(G2201,'Справочник Сети'!C:C,0)))</f>
        <v>Ригла</v>
      </c>
      <c r="J2201" s="7" t="s">
        <v>520</v>
      </c>
      <c r="K2201" s="7" t="s">
        <v>125</v>
      </c>
      <c r="L2201" s="7" t="s">
        <v>520</v>
      </c>
      <c r="M2201" s="31">
        <v>45697</v>
      </c>
      <c r="N2201" s="7" t="s">
        <v>4343</v>
      </c>
      <c r="O2201" s="8">
        <v>391</v>
      </c>
      <c r="P2201" s="24">
        <v>8341</v>
      </c>
      <c r="Q2201" s="22">
        <f>IF(COUNTIFS(A$2:A2201,A2201,I$2:I2201,I2201)=1,1,0)</f>
        <v>0</v>
      </c>
      <c r="R2201" s="22">
        <f t="shared" si="34"/>
        <v>1</v>
      </c>
      <c r="S2201" s="33">
        <f>IF(COUNTIF(O$2:O2201,O2201)=1,R2201,0)/2.5</f>
        <v>0.4</v>
      </c>
    </row>
    <row r="2202" spans="1:19" ht="18" customHeight="1" x14ac:dyDescent="0.25">
      <c r="A2202" s="7" t="s">
        <v>43</v>
      </c>
      <c r="B2202" s="8">
        <v>1</v>
      </c>
      <c r="C2202" s="9">
        <v>462</v>
      </c>
      <c r="D2202" s="29">
        <f>C2202+IF(INDEX('Справочник по %'!B:B,(MATCH(A2202,'Справочник по %'!A:A,0)))="кол-во",B2202*INDEX('Справочник по %'!C:C,(MATCH(A2202,'Справочник по %'!A:A,0))),ОТЧЕТ!C2202*INDEX('Справочник по %'!C:C,(MATCH(A2202,'Справочник по %'!A:A,0))))/100</f>
        <v>508.2</v>
      </c>
      <c r="E2202" s="29">
        <f>IF(ОТЧЕТ!A2202="SKU3",C2202+ОТЧЕТ!C2202*0.2,C2202+ОТЧЕТ!C2202*0.15)</f>
        <v>531.29999999999995</v>
      </c>
      <c r="F2202" s="7" t="s">
        <v>4344</v>
      </c>
      <c r="G2202" s="7">
        <v>7714844316</v>
      </c>
      <c r="H2202" s="20" t="s">
        <v>50</v>
      </c>
      <c r="I2202" s="22" t="str">
        <f>INDEX('Справочник Сети'!B:B,(MATCH(G2202,'Справочник Сети'!C:C,0)))</f>
        <v>Планета здоровья</v>
      </c>
      <c r="J2202" s="7" t="s">
        <v>504</v>
      </c>
      <c r="K2202" s="7" t="s">
        <v>436</v>
      </c>
      <c r="L2202" s="7" t="s">
        <v>504</v>
      </c>
      <c r="M2202" s="31">
        <v>45690</v>
      </c>
      <c r="N2202" s="7" t="s">
        <v>4345</v>
      </c>
      <c r="O2202" s="8">
        <v>1815</v>
      </c>
      <c r="P2202" s="24">
        <v>8344</v>
      </c>
      <c r="Q2202" s="22">
        <f>IF(COUNTIFS(A$2:A2202,A2202,I$2:I2202,I2202)=1,1,0)</f>
        <v>0</v>
      </c>
      <c r="R2202" s="22">
        <f t="shared" si="34"/>
        <v>1</v>
      </c>
      <c r="S2202" s="33">
        <f>IF(COUNTIF(O$2:O2202,O2202)=1,R2202,0)/2.5</f>
        <v>0.4</v>
      </c>
    </row>
    <row r="2203" spans="1:19" ht="18" customHeight="1" x14ac:dyDescent="0.25">
      <c r="A2203" s="7" t="s">
        <v>37</v>
      </c>
      <c r="B2203" s="8">
        <v>1</v>
      </c>
      <c r="C2203" s="9">
        <v>638</v>
      </c>
      <c r="D2203" s="29">
        <f>C2203+IF(INDEX('Справочник по %'!B:B,(MATCH(A2203,'Справочник по %'!A:A,0)))="кол-во",B2203*INDEX('Справочник по %'!C:C,(MATCH(A2203,'Справочник по %'!A:A,0))),ОТЧЕТ!C2203*INDEX('Справочник по %'!C:C,(MATCH(A2203,'Справочник по %'!A:A,0))))/100</f>
        <v>638.20000000000005</v>
      </c>
      <c r="E2203" s="29">
        <f>IF(ОТЧЕТ!A2203="SKU3",C2203+ОТЧЕТ!C2203*0.2,C2203+ОТЧЕТ!C2203*0.15)</f>
        <v>733.7</v>
      </c>
      <c r="F2203" s="7" t="s">
        <v>4346</v>
      </c>
      <c r="G2203" s="7">
        <v>7705947629</v>
      </c>
      <c r="H2203" s="20" t="s">
        <v>50</v>
      </c>
      <c r="I2203" s="22" t="str">
        <f>INDEX('Справочник Сети'!B:B,(MATCH(G2203,'Справочник Сети'!C:C,0)))</f>
        <v>36,6</v>
      </c>
      <c r="J2203" s="7" t="s">
        <v>116</v>
      </c>
      <c r="K2203" s="7" t="s">
        <v>3238</v>
      </c>
      <c r="L2203" s="7" t="s">
        <v>104</v>
      </c>
      <c r="M2203" s="31">
        <v>45693</v>
      </c>
      <c r="N2203" s="7" t="s">
        <v>4347</v>
      </c>
      <c r="O2203" s="8">
        <v>2649</v>
      </c>
      <c r="P2203" s="24">
        <v>8347</v>
      </c>
      <c r="Q2203" s="22">
        <f>IF(COUNTIFS(A$2:A2203,A2203,I$2:I2203,I2203)=1,1,0)</f>
        <v>0</v>
      </c>
      <c r="R2203" s="22">
        <f t="shared" si="34"/>
        <v>2</v>
      </c>
      <c r="S2203" s="33">
        <f>IF(COUNTIF(O$2:O2203,O2203)=1,R2203,0)/2.5</f>
        <v>0</v>
      </c>
    </row>
    <row r="2204" spans="1:19" ht="18" customHeight="1" x14ac:dyDescent="0.25">
      <c r="A2204" s="7" t="s">
        <v>43</v>
      </c>
      <c r="B2204" s="8">
        <v>1</v>
      </c>
      <c r="C2204" s="9">
        <v>437</v>
      </c>
      <c r="D2204" s="29">
        <f>C2204+IF(INDEX('Справочник по %'!B:B,(MATCH(A2204,'Справочник по %'!A:A,0)))="кол-во",B2204*INDEX('Справочник по %'!C:C,(MATCH(A2204,'Справочник по %'!A:A,0))),ОТЧЕТ!C2204*INDEX('Справочник по %'!C:C,(MATCH(A2204,'Справочник по %'!A:A,0))))/100</f>
        <v>480.7</v>
      </c>
      <c r="E2204" s="29">
        <f>IF(ОТЧЕТ!A2204="SKU3",C2204+ОТЧЕТ!C2204*0.2,C2204+ОТЧЕТ!C2204*0.15)</f>
        <v>502.55</v>
      </c>
      <c r="F2204" s="7" t="s">
        <v>4346</v>
      </c>
      <c r="G2204" s="7">
        <v>7814443325</v>
      </c>
      <c r="H2204" s="20" t="s">
        <v>50</v>
      </c>
      <c r="I2204" s="22" t="str">
        <f>INDEX('Справочник Сети'!B:B,(MATCH(G2204,'Справочник Сети'!C:C,0)))</f>
        <v>Планета здоровья</v>
      </c>
      <c r="J2204" s="7" t="s">
        <v>121</v>
      </c>
      <c r="K2204" s="7" t="s">
        <v>3987</v>
      </c>
      <c r="L2204" s="7" t="s">
        <v>121</v>
      </c>
      <c r="M2204" s="31">
        <v>45671</v>
      </c>
      <c r="N2204" s="7" t="s">
        <v>4348</v>
      </c>
      <c r="O2204" s="8">
        <v>1156</v>
      </c>
      <c r="P2204" s="24">
        <v>8348</v>
      </c>
      <c r="Q2204" s="22">
        <f>IF(COUNTIFS(A$2:A2204,A2204,I$2:I2204,I2204)=1,1,0)</f>
        <v>0</v>
      </c>
      <c r="R2204" s="22">
        <f t="shared" si="34"/>
        <v>1</v>
      </c>
      <c r="S2204" s="33">
        <f>IF(COUNTIF(O$2:O2204,O2204)=1,R2204,0)/2.5</f>
        <v>0.4</v>
      </c>
    </row>
    <row r="2205" spans="1:19" ht="18" customHeight="1" x14ac:dyDescent="0.25">
      <c r="A2205" s="7" t="s">
        <v>43</v>
      </c>
      <c r="B2205" s="8">
        <v>1</v>
      </c>
      <c r="C2205" s="9">
        <v>430</v>
      </c>
      <c r="D2205" s="29">
        <f>C2205+IF(INDEX('Справочник по %'!B:B,(MATCH(A2205,'Справочник по %'!A:A,0)))="кол-во",B2205*INDEX('Справочник по %'!C:C,(MATCH(A2205,'Справочник по %'!A:A,0))),ОТЧЕТ!C2205*INDEX('Справочник по %'!C:C,(MATCH(A2205,'Справочник по %'!A:A,0))))/100</f>
        <v>473</v>
      </c>
      <c r="E2205" s="29">
        <f>IF(ОТЧЕТ!A2205="SKU3",C2205+ОТЧЕТ!C2205*0.2,C2205+ОТЧЕТ!C2205*0.15)</f>
        <v>494.5</v>
      </c>
      <c r="F2205" s="7" t="s">
        <v>4349</v>
      </c>
      <c r="G2205" s="7">
        <v>4632178758</v>
      </c>
      <c r="H2205" s="20" t="s">
        <v>91</v>
      </c>
      <c r="I2205" s="22" t="str">
        <f>INDEX('Справочник Сети'!B:B,(MATCH(G2205,'Справочник Сети'!C:C,0)))</f>
        <v>Столички</v>
      </c>
      <c r="J2205" s="7" t="s">
        <v>83</v>
      </c>
      <c r="K2205" s="7" t="s">
        <v>348</v>
      </c>
      <c r="L2205" s="7" t="s">
        <v>155</v>
      </c>
      <c r="M2205" s="31">
        <v>45716</v>
      </c>
      <c r="N2205" s="7" t="s">
        <v>4350</v>
      </c>
      <c r="O2205" s="8">
        <v>1045</v>
      </c>
      <c r="P2205" s="24">
        <v>8352</v>
      </c>
      <c r="Q2205" s="22">
        <f>IF(COUNTIFS(A$2:A2205,A2205,I$2:I2205,I2205)=1,1,0)</f>
        <v>0</v>
      </c>
      <c r="R2205" s="22">
        <f t="shared" si="34"/>
        <v>1</v>
      </c>
      <c r="S2205" s="33">
        <f>IF(COUNTIF(O$2:O2205,O2205)=1,R2205,0)/2.5</f>
        <v>0.4</v>
      </c>
    </row>
    <row r="2206" spans="1:19" ht="18" customHeight="1" x14ac:dyDescent="0.25">
      <c r="A2206" s="7" t="s">
        <v>37</v>
      </c>
      <c r="B2206" s="8">
        <v>1</v>
      </c>
      <c r="C2206" s="9">
        <v>649</v>
      </c>
      <c r="D2206" s="29">
        <f>C2206+IF(INDEX('Справочник по %'!B:B,(MATCH(A2206,'Справочник по %'!A:A,0)))="кол-во",B2206*INDEX('Справочник по %'!C:C,(MATCH(A2206,'Справочник по %'!A:A,0))),ОТЧЕТ!C2206*INDEX('Справочник по %'!C:C,(MATCH(A2206,'Справочник по %'!A:A,0))))/100</f>
        <v>649.20000000000005</v>
      </c>
      <c r="E2206" s="29">
        <f>IF(ОТЧЕТ!A2206="SKU3",C2206+ОТЧЕТ!C2206*0.2,C2206+ОТЧЕТ!C2206*0.15)</f>
        <v>746.35</v>
      </c>
      <c r="F2206" s="7" t="s">
        <v>4349</v>
      </c>
      <c r="G2206" s="7">
        <v>4710024740</v>
      </c>
      <c r="H2206" s="20" t="s">
        <v>50</v>
      </c>
      <c r="I2206" s="22" t="str">
        <f>INDEX('Справочник Сети'!B:B,(MATCH(G2206,'Справочник Сети'!C:C,0)))</f>
        <v>Ригла</v>
      </c>
      <c r="J2206" s="7" t="s">
        <v>83</v>
      </c>
      <c r="K2206" s="7" t="s">
        <v>416</v>
      </c>
      <c r="L2206" s="7" t="s">
        <v>83</v>
      </c>
      <c r="M2206" s="31">
        <v>45715</v>
      </c>
      <c r="N2206" s="7" t="s">
        <v>4351</v>
      </c>
      <c r="O2206" s="8">
        <v>117</v>
      </c>
      <c r="P2206" s="24">
        <v>8353</v>
      </c>
      <c r="Q2206" s="22">
        <f>IF(COUNTIFS(A$2:A2206,A2206,I$2:I2206,I2206)=1,1,0)</f>
        <v>0</v>
      </c>
      <c r="R2206" s="22">
        <f t="shared" si="34"/>
        <v>3</v>
      </c>
      <c r="S2206" s="33">
        <f>IF(COUNTIF(O$2:O2206,O2206)=1,R2206,0)/2.5</f>
        <v>0</v>
      </c>
    </row>
    <row r="2207" spans="1:19" ht="18" customHeight="1" x14ac:dyDescent="0.25">
      <c r="A2207" s="7" t="s">
        <v>43</v>
      </c>
      <c r="B2207" s="8">
        <v>1</v>
      </c>
      <c r="C2207" s="9">
        <v>379</v>
      </c>
      <c r="D2207" s="29">
        <f>C2207+IF(INDEX('Справочник по %'!B:B,(MATCH(A2207,'Справочник по %'!A:A,0)))="кол-во",B2207*INDEX('Справочник по %'!C:C,(MATCH(A2207,'Справочник по %'!A:A,0))),ОТЧЕТ!C2207*INDEX('Справочник по %'!C:C,(MATCH(A2207,'Справочник по %'!A:A,0))))/100</f>
        <v>416.9</v>
      </c>
      <c r="E2207" s="29">
        <f>IF(ОТЧЕТ!A2207="SKU3",C2207+ОТЧЕТ!C2207*0.2,C2207+ОТЧЕТ!C2207*0.15)</f>
        <v>435.85</v>
      </c>
      <c r="F2207" s="7" t="s">
        <v>4349</v>
      </c>
      <c r="G2207" s="7">
        <v>7706795062</v>
      </c>
      <c r="H2207" s="20" t="s">
        <v>2163</v>
      </c>
      <c r="I2207" s="22" t="str">
        <f>INDEX('Справочник Сети'!B:B,(MATCH(G2207,'Справочник Сети'!C:C,0)))</f>
        <v>Планета здоровья</v>
      </c>
      <c r="J2207" s="7" t="s">
        <v>87</v>
      </c>
      <c r="K2207" s="7" t="s">
        <v>4352</v>
      </c>
      <c r="L2207" s="7" t="s">
        <v>87</v>
      </c>
      <c r="M2207" s="31">
        <v>45691</v>
      </c>
      <c r="N2207" s="7" t="s">
        <v>4353</v>
      </c>
      <c r="O2207" s="8">
        <v>2353</v>
      </c>
      <c r="P2207" s="24">
        <v>8358</v>
      </c>
      <c r="Q2207" s="22">
        <f>IF(COUNTIFS(A$2:A2207,A2207,I$2:I2207,I2207)=1,1,0)</f>
        <v>0</v>
      </c>
      <c r="R2207" s="22">
        <f t="shared" si="34"/>
        <v>5</v>
      </c>
      <c r="S2207" s="33">
        <f>IF(COUNTIF(O$2:O2207,O2207)=1,R2207,0)/2.5</f>
        <v>0</v>
      </c>
    </row>
    <row r="2208" spans="1:19" ht="18" customHeight="1" x14ac:dyDescent="0.25">
      <c r="A2208" s="7" t="s">
        <v>43</v>
      </c>
      <c r="B2208" s="8">
        <v>1</v>
      </c>
      <c r="C2208" s="9">
        <v>608</v>
      </c>
      <c r="D2208" s="29">
        <f>C2208+IF(INDEX('Справочник по %'!B:B,(MATCH(A2208,'Справочник по %'!A:A,0)))="кол-во",B2208*INDEX('Справочник по %'!C:C,(MATCH(A2208,'Справочник по %'!A:A,0))),ОТЧЕТ!C2208*INDEX('Справочник по %'!C:C,(MATCH(A2208,'Справочник по %'!A:A,0))))/100</f>
        <v>668.8</v>
      </c>
      <c r="E2208" s="29">
        <f>IF(ОТЧЕТ!A2208="SKU3",C2208+ОТЧЕТ!C2208*0.2,C2208+ОТЧЕТ!C2208*0.15)</f>
        <v>699.2</v>
      </c>
      <c r="F2208" s="7" t="s">
        <v>4354</v>
      </c>
      <c r="G2208" s="7">
        <v>7705947629</v>
      </c>
      <c r="H2208" s="20" t="s">
        <v>50</v>
      </c>
      <c r="I2208" s="22" t="str">
        <f>INDEX('Справочник Сети'!B:B,(MATCH(G2208,'Справочник Сети'!C:C,0)))</f>
        <v>36,6</v>
      </c>
      <c r="J2208" s="7" t="s">
        <v>116</v>
      </c>
      <c r="K2208" s="7" t="s">
        <v>1887</v>
      </c>
      <c r="L2208" s="7" t="s">
        <v>104</v>
      </c>
      <c r="M2208" s="31">
        <v>45693</v>
      </c>
      <c r="N2208" s="7" t="s">
        <v>4355</v>
      </c>
      <c r="O2208" s="8">
        <v>2645</v>
      </c>
      <c r="P2208" s="24">
        <v>8367</v>
      </c>
      <c r="Q2208" s="22">
        <f>IF(COUNTIFS(A$2:A2208,A2208,I$2:I2208,I2208)=1,1,0)</f>
        <v>0</v>
      </c>
      <c r="R2208" s="22">
        <f t="shared" si="34"/>
        <v>9</v>
      </c>
      <c r="S2208" s="33">
        <f>IF(COUNTIF(O$2:O2208,O2208)=1,R2208,0)/2.5</f>
        <v>0</v>
      </c>
    </row>
    <row r="2209" spans="1:19" ht="18" customHeight="1" x14ac:dyDescent="0.25">
      <c r="A2209" s="7" t="s">
        <v>43</v>
      </c>
      <c r="B2209" s="8">
        <v>1</v>
      </c>
      <c r="C2209" s="9">
        <v>407</v>
      </c>
      <c r="D2209" s="29">
        <f>C2209+IF(INDEX('Справочник по %'!B:B,(MATCH(A2209,'Справочник по %'!A:A,0)))="кол-во",B2209*INDEX('Справочник по %'!C:C,(MATCH(A2209,'Справочник по %'!A:A,0))),ОТЧЕТ!C2209*INDEX('Справочник по %'!C:C,(MATCH(A2209,'Справочник по %'!A:A,0))))/100</f>
        <v>447.7</v>
      </c>
      <c r="E2209" s="29">
        <f>IF(ОТЧЕТ!A2209="SKU3",C2209+ОТЧЕТ!C2209*0.2,C2209+ОТЧЕТ!C2209*0.15)</f>
        <v>468.05</v>
      </c>
      <c r="F2209" s="7" t="s">
        <v>4354</v>
      </c>
      <c r="G2209" s="7">
        <v>7705947629</v>
      </c>
      <c r="H2209" s="20" t="s">
        <v>50</v>
      </c>
      <c r="I2209" s="22" t="str">
        <f>INDEX('Справочник Сети'!B:B,(MATCH(G2209,'Справочник Сети'!C:C,0)))</f>
        <v>36,6</v>
      </c>
      <c r="J2209" s="7" t="s">
        <v>116</v>
      </c>
      <c r="K2209" s="7" t="s">
        <v>3227</v>
      </c>
      <c r="L2209" s="7" t="s">
        <v>116</v>
      </c>
      <c r="M2209" s="31">
        <v>45692</v>
      </c>
      <c r="N2209" s="7" t="s">
        <v>4356</v>
      </c>
      <c r="O2209" s="8">
        <v>3814</v>
      </c>
      <c r="P2209" s="24">
        <v>8369</v>
      </c>
      <c r="Q2209" s="22">
        <f>IF(COUNTIFS(A$2:A2209,A2209,I$2:I2209,I2209)=1,1,0)</f>
        <v>0</v>
      </c>
      <c r="R2209" s="22">
        <f t="shared" si="34"/>
        <v>1</v>
      </c>
      <c r="S2209" s="33">
        <f>IF(COUNTIF(O$2:O2209,O2209)=1,R2209,0)/2.5</f>
        <v>0.4</v>
      </c>
    </row>
    <row r="2210" spans="1:19" ht="18" customHeight="1" x14ac:dyDescent="0.25">
      <c r="A2210" s="7" t="s">
        <v>37</v>
      </c>
      <c r="B2210" s="8">
        <v>1</v>
      </c>
      <c r="C2210" s="9">
        <v>573</v>
      </c>
      <c r="D2210" s="29">
        <f>C2210+IF(INDEX('Справочник по %'!B:B,(MATCH(A2210,'Справочник по %'!A:A,0)))="кол-во",B2210*INDEX('Справочник по %'!C:C,(MATCH(A2210,'Справочник по %'!A:A,0))),ОТЧЕТ!C2210*INDEX('Справочник по %'!C:C,(MATCH(A2210,'Справочник по %'!A:A,0))))/100</f>
        <v>573.20000000000005</v>
      </c>
      <c r="E2210" s="29">
        <f>IF(ОТЧЕТ!A2210="SKU3",C2210+ОТЧЕТ!C2210*0.2,C2210+ОТЧЕТ!C2210*0.15)</f>
        <v>658.95</v>
      </c>
      <c r="F2210" s="7" t="s">
        <v>4354</v>
      </c>
      <c r="G2210" s="7">
        <v>7728339546</v>
      </c>
      <c r="H2210" s="20" t="s">
        <v>3611</v>
      </c>
      <c r="I2210" s="22" t="str">
        <f>INDEX('Справочник Сети'!B:B,(MATCH(G2210,'Справочник Сети'!C:C,0)))</f>
        <v>Планета здоровья</v>
      </c>
      <c r="J2210" s="7" t="s">
        <v>142</v>
      </c>
      <c r="K2210" s="7" t="s">
        <v>2254</v>
      </c>
      <c r="L2210" s="7" t="s">
        <v>142</v>
      </c>
      <c r="M2210" s="31">
        <v>45674</v>
      </c>
      <c r="N2210" s="7" t="s">
        <v>887</v>
      </c>
      <c r="O2210" s="8">
        <v>1865</v>
      </c>
      <c r="P2210" s="24">
        <v>8372</v>
      </c>
      <c r="Q2210" s="22">
        <f>IF(COUNTIFS(A$2:A2210,A2210,I$2:I2210,I2210)=1,1,0)</f>
        <v>0</v>
      </c>
      <c r="R2210" s="22">
        <f t="shared" si="34"/>
        <v>2</v>
      </c>
      <c r="S2210" s="33">
        <f>IF(COUNTIF(O$2:O2210,O2210)=1,R2210,0)/2.5</f>
        <v>0</v>
      </c>
    </row>
    <row r="2211" spans="1:19" ht="18" customHeight="1" x14ac:dyDescent="0.25">
      <c r="A2211" s="7" t="s">
        <v>37</v>
      </c>
      <c r="B2211" s="8">
        <v>1</v>
      </c>
      <c r="C2211" s="9">
        <v>569</v>
      </c>
      <c r="D2211" s="29">
        <f>C2211+IF(INDEX('Справочник по %'!B:B,(MATCH(A2211,'Справочник по %'!A:A,0)))="кол-во",B2211*INDEX('Справочник по %'!C:C,(MATCH(A2211,'Справочник по %'!A:A,0))),ОТЧЕТ!C2211*INDEX('Справочник по %'!C:C,(MATCH(A2211,'Справочник по %'!A:A,0))))/100</f>
        <v>569.20000000000005</v>
      </c>
      <c r="E2211" s="29">
        <f>IF(ОТЧЕТ!A2211="SKU3",C2211+ОТЧЕТ!C2211*0.2,C2211+ОТЧЕТ!C2211*0.15)</f>
        <v>654.35</v>
      </c>
      <c r="F2211" s="7" t="s">
        <v>4354</v>
      </c>
      <c r="G2211" s="7">
        <v>7728339546</v>
      </c>
      <c r="H2211" s="20" t="s">
        <v>2232</v>
      </c>
      <c r="I2211" s="22" t="str">
        <f>INDEX('Справочник Сети'!B:B,(MATCH(G2211,'Справочник Сети'!C:C,0)))</f>
        <v>Планета здоровья</v>
      </c>
      <c r="J2211" s="7" t="s">
        <v>142</v>
      </c>
      <c r="K2211" s="7" t="s">
        <v>3188</v>
      </c>
      <c r="L2211" s="7" t="s">
        <v>142</v>
      </c>
      <c r="M2211" s="31">
        <v>45674</v>
      </c>
      <c r="N2211" s="7" t="s">
        <v>4357</v>
      </c>
      <c r="O2211" s="8">
        <v>3034</v>
      </c>
      <c r="P2211" s="24">
        <v>8374</v>
      </c>
      <c r="Q2211" s="22">
        <f>IF(COUNTIFS(A$2:A2211,A2211,I$2:I2211,I2211)=1,1,0)</f>
        <v>0</v>
      </c>
      <c r="R2211" s="22">
        <f t="shared" si="34"/>
        <v>7</v>
      </c>
      <c r="S2211" s="33">
        <f>IF(COUNTIF(O$2:O2211,O2211)=1,R2211,0)/2.5</f>
        <v>0</v>
      </c>
    </row>
    <row r="2212" spans="1:19" ht="18" customHeight="1" x14ac:dyDescent="0.25">
      <c r="A2212" s="7" t="s">
        <v>43</v>
      </c>
      <c r="B2212" s="8">
        <v>1</v>
      </c>
      <c r="C2212" s="9">
        <v>389</v>
      </c>
      <c r="D2212" s="29">
        <f>C2212+IF(INDEX('Справочник по %'!B:B,(MATCH(A2212,'Справочник по %'!A:A,0)))="кол-во",B2212*INDEX('Справочник по %'!C:C,(MATCH(A2212,'Справочник по %'!A:A,0))),ОТЧЕТ!C2212*INDEX('Справочник по %'!C:C,(MATCH(A2212,'Справочник по %'!A:A,0))))/100</f>
        <v>427.9</v>
      </c>
      <c r="E2212" s="29">
        <f>IF(ОТЧЕТ!A2212="SKU3",C2212+ОТЧЕТ!C2212*0.2,C2212+ОТЧЕТ!C2212*0.15)</f>
        <v>447.35</v>
      </c>
      <c r="F2212" s="7" t="s">
        <v>4354</v>
      </c>
      <c r="G2212" s="7">
        <v>7732121736</v>
      </c>
      <c r="H2212" s="20" t="s">
        <v>4166</v>
      </c>
      <c r="I2212" s="22" t="str">
        <f>INDEX('Справочник Сети'!B:B,(MATCH(G2212,'Справочник Сети'!C:C,0)))</f>
        <v>Планета здоровья</v>
      </c>
      <c r="J2212" s="7" t="s">
        <v>149</v>
      </c>
      <c r="K2212" s="7" t="s">
        <v>3050</v>
      </c>
      <c r="L2212" s="7" t="s">
        <v>149</v>
      </c>
      <c r="M2212" s="31">
        <v>45673</v>
      </c>
      <c r="N2212" s="7" t="s">
        <v>3198</v>
      </c>
      <c r="O2212" s="8">
        <v>3664</v>
      </c>
      <c r="P2212" s="24">
        <v>8376</v>
      </c>
      <c r="Q2212" s="22">
        <f>IF(COUNTIFS(A$2:A2212,A2212,I$2:I2212,I2212)=1,1,0)</f>
        <v>0</v>
      </c>
      <c r="R2212" s="22">
        <f t="shared" si="34"/>
        <v>4</v>
      </c>
      <c r="S2212" s="33">
        <f>IF(COUNTIF(O$2:O2212,O2212)=1,R2212,0)/2.5</f>
        <v>0</v>
      </c>
    </row>
    <row r="2213" spans="1:19" ht="18" customHeight="1" x14ac:dyDescent="0.25">
      <c r="A2213" s="7" t="s">
        <v>43</v>
      </c>
      <c r="B2213" s="8">
        <v>1</v>
      </c>
      <c r="C2213" s="9">
        <v>401</v>
      </c>
      <c r="D2213" s="29">
        <f>C2213+IF(INDEX('Справочник по %'!B:B,(MATCH(A2213,'Справочник по %'!A:A,0)))="кол-во",B2213*INDEX('Справочник по %'!C:C,(MATCH(A2213,'Справочник по %'!A:A,0))),ОТЧЕТ!C2213*INDEX('Справочник по %'!C:C,(MATCH(A2213,'Справочник по %'!A:A,0))))/100</f>
        <v>441.1</v>
      </c>
      <c r="E2213" s="29">
        <f>IF(ОТЧЕТ!A2213="SKU3",C2213+ОТЧЕТ!C2213*0.2,C2213+ОТЧЕТ!C2213*0.15)</f>
        <v>461.15</v>
      </c>
      <c r="F2213" s="7" t="s">
        <v>4354</v>
      </c>
      <c r="G2213" s="7">
        <v>7705947629</v>
      </c>
      <c r="H2213" s="20" t="s">
        <v>64</v>
      </c>
      <c r="I2213" s="22" t="str">
        <f>INDEX('Справочник Сети'!B:B,(MATCH(G2213,'Справочник Сети'!C:C,0)))</f>
        <v>36,6</v>
      </c>
      <c r="J2213" s="7" t="s">
        <v>116</v>
      </c>
      <c r="K2213" s="7" t="s">
        <v>591</v>
      </c>
      <c r="L2213" s="7" t="s">
        <v>104</v>
      </c>
      <c r="M2213" s="31">
        <v>45693</v>
      </c>
      <c r="N2213" s="7" t="s">
        <v>4358</v>
      </c>
      <c r="O2213" s="8">
        <v>2571</v>
      </c>
      <c r="P2213" s="24">
        <v>8381</v>
      </c>
      <c r="Q2213" s="22">
        <f>IF(COUNTIFS(A$2:A2213,A2213,I$2:I2213,I2213)=1,1,0)</f>
        <v>0</v>
      </c>
      <c r="R2213" s="22">
        <f t="shared" si="34"/>
        <v>9</v>
      </c>
      <c r="S2213" s="33">
        <f>IF(COUNTIF(O$2:O2213,O2213)=1,R2213,0)/2.5</f>
        <v>0</v>
      </c>
    </row>
    <row r="2214" spans="1:19" ht="18" customHeight="1" x14ac:dyDescent="0.25">
      <c r="A2214" s="7" t="s">
        <v>43</v>
      </c>
      <c r="B2214" s="8">
        <v>1</v>
      </c>
      <c r="C2214" s="9">
        <v>395</v>
      </c>
      <c r="D2214" s="29">
        <f>C2214+IF(INDEX('Справочник по %'!B:B,(MATCH(A2214,'Справочник по %'!A:A,0)))="кол-во",B2214*INDEX('Справочник по %'!C:C,(MATCH(A2214,'Справочник по %'!A:A,0))),ОТЧЕТ!C2214*INDEX('Справочник по %'!C:C,(MATCH(A2214,'Справочник по %'!A:A,0))))/100</f>
        <v>434.5</v>
      </c>
      <c r="E2214" s="29">
        <f>IF(ОТЧЕТ!A2214="SKU3",C2214+ОТЧЕТ!C2214*0.2,C2214+ОТЧЕТ!C2214*0.15)</f>
        <v>454.25</v>
      </c>
      <c r="F2214" s="7" t="s">
        <v>4359</v>
      </c>
      <c r="G2214" s="7">
        <v>7732121736</v>
      </c>
      <c r="H2214" s="20" t="s">
        <v>4166</v>
      </c>
      <c r="I2214" s="22" t="str">
        <f>INDEX('Справочник Сети'!B:B,(MATCH(G2214,'Справочник Сети'!C:C,0)))</f>
        <v>Планета здоровья</v>
      </c>
      <c r="J2214" s="7" t="s">
        <v>149</v>
      </c>
      <c r="K2214" s="7" t="s">
        <v>784</v>
      </c>
      <c r="L2214" s="7" t="s">
        <v>149</v>
      </c>
      <c r="M2214" s="31">
        <v>45673</v>
      </c>
      <c r="N2214" s="7" t="s">
        <v>4360</v>
      </c>
      <c r="O2214" s="8">
        <v>3664</v>
      </c>
      <c r="P2214" s="24">
        <v>8385</v>
      </c>
      <c r="Q2214" s="22">
        <f>IF(COUNTIFS(A$2:A2214,A2214,I$2:I2214,I2214)=1,1,0)</f>
        <v>0</v>
      </c>
      <c r="R2214" s="22">
        <f t="shared" si="34"/>
        <v>4</v>
      </c>
      <c r="S2214" s="33">
        <f>IF(COUNTIF(O$2:O2214,O2214)=1,R2214,0)/2.5</f>
        <v>0</v>
      </c>
    </row>
    <row r="2215" spans="1:19" ht="18" customHeight="1" x14ac:dyDescent="0.25">
      <c r="A2215" s="7" t="s">
        <v>43</v>
      </c>
      <c r="B2215" s="8">
        <v>1</v>
      </c>
      <c r="C2215" s="9">
        <v>395</v>
      </c>
      <c r="D2215" s="29">
        <f>C2215+IF(INDEX('Справочник по %'!B:B,(MATCH(A2215,'Справочник по %'!A:A,0)))="кол-во",B2215*INDEX('Справочник по %'!C:C,(MATCH(A2215,'Справочник по %'!A:A,0))),ОТЧЕТ!C2215*INDEX('Справочник по %'!C:C,(MATCH(A2215,'Справочник по %'!A:A,0))))/100</f>
        <v>434.5</v>
      </c>
      <c r="E2215" s="29">
        <f>IF(ОТЧЕТ!A2215="SKU3",C2215+ОТЧЕТ!C2215*0.2,C2215+ОТЧЕТ!C2215*0.15)</f>
        <v>454.25</v>
      </c>
      <c r="F2215" s="7" t="s">
        <v>4359</v>
      </c>
      <c r="G2215" s="7">
        <v>7732121736</v>
      </c>
      <c r="H2215" s="20" t="s">
        <v>4166</v>
      </c>
      <c r="I2215" s="22" t="str">
        <f>INDEX('Справочник Сети'!B:B,(MATCH(G2215,'Справочник Сети'!C:C,0)))</f>
        <v>Планета здоровья</v>
      </c>
      <c r="J2215" s="7" t="s">
        <v>149</v>
      </c>
      <c r="K2215" s="7" t="s">
        <v>784</v>
      </c>
      <c r="L2215" s="7" t="s">
        <v>149</v>
      </c>
      <c r="M2215" s="31">
        <v>45673</v>
      </c>
      <c r="N2215" s="7" t="s">
        <v>4360</v>
      </c>
      <c r="O2215" s="8">
        <v>3664</v>
      </c>
      <c r="P2215" s="24">
        <v>8385</v>
      </c>
      <c r="Q2215" s="22">
        <f>IF(COUNTIFS(A$2:A2215,A2215,I$2:I2215,I2215)=1,1,0)</f>
        <v>0</v>
      </c>
      <c r="R2215" s="22">
        <f t="shared" si="34"/>
        <v>4</v>
      </c>
      <c r="S2215" s="33">
        <f>IF(COUNTIF(O$2:O2215,O2215)=1,R2215,0)/2.5</f>
        <v>0</v>
      </c>
    </row>
    <row r="2216" spans="1:19" ht="18" customHeight="1" x14ac:dyDescent="0.25">
      <c r="A2216" s="7" t="s">
        <v>43</v>
      </c>
      <c r="B2216" s="8">
        <v>1</v>
      </c>
      <c r="C2216" s="9">
        <v>590</v>
      </c>
      <c r="D2216" s="29">
        <f>C2216+IF(INDEX('Справочник по %'!B:B,(MATCH(A2216,'Справочник по %'!A:A,0)))="кол-во",B2216*INDEX('Справочник по %'!C:C,(MATCH(A2216,'Справочник по %'!A:A,0))),ОТЧЕТ!C2216*INDEX('Справочник по %'!C:C,(MATCH(A2216,'Справочник по %'!A:A,0))))/100</f>
        <v>649</v>
      </c>
      <c r="E2216" s="29">
        <f>IF(ОТЧЕТ!A2216="SKU3",C2216+ОТЧЕТ!C2216*0.2,C2216+ОТЧЕТ!C2216*0.15)</f>
        <v>678.5</v>
      </c>
      <c r="F2216" s="7" t="s">
        <v>4361</v>
      </c>
      <c r="G2216" s="7">
        <v>2310230255</v>
      </c>
      <c r="H2216" s="20" t="s">
        <v>683</v>
      </c>
      <c r="I2216" s="22">
        <f>INDEX('Справочник Сети'!B:B,(MATCH(G2216,'Справочник Сети'!C:C,0)))</f>
        <v>0</v>
      </c>
      <c r="J2216" s="7" t="s">
        <v>70</v>
      </c>
      <c r="K2216" s="7" t="s">
        <v>2136</v>
      </c>
      <c r="L2216" s="7" t="s">
        <v>70</v>
      </c>
      <c r="M2216" s="31">
        <v>45728</v>
      </c>
      <c r="N2216" s="7" t="s">
        <v>4362</v>
      </c>
      <c r="O2216" s="8">
        <v>1539</v>
      </c>
      <c r="P2216" s="24">
        <v>8388</v>
      </c>
      <c r="Q2216" s="22">
        <f>IF(COUNTIFS(A$2:A2216,A2216,I$2:I2216,I2216)=1,1,0)</f>
        <v>0</v>
      </c>
      <c r="R2216" s="22">
        <f t="shared" si="34"/>
        <v>2</v>
      </c>
      <c r="S2216" s="33">
        <f>IF(COUNTIF(O$2:O2216,O2216)=1,R2216,0)/2.5</f>
        <v>0</v>
      </c>
    </row>
    <row r="2217" spans="1:19" ht="18" customHeight="1" x14ac:dyDescent="0.25">
      <c r="A2217" s="7" t="s">
        <v>43</v>
      </c>
      <c r="B2217" s="8">
        <v>1</v>
      </c>
      <c r="C2217" s="9">
        <v>374</v>
      </c>
      <c r="D2217" s="29">
        <f>C2217+IF(INDEX('Справочник по %'!B:B,(MATCH(A2217,'Справочник по %'!A:A,0)))="кол-во",B2217*INDEX('Справочник по %'!C:C,(MATCH(A2217,'Справочник по %'!A:A,0))),ОТЧЕТ!C2217*INDEX('Справочник по %'!C:C,(MATCH(A2217,'Справочник по %'!A:A,0))))/100</f>
        <v>411.4</v>
      </c>
      <c r="E2217" s="29">
        <f>IF(ОТЧЕТ!A2217="SKU3",C2217+ОТЧЕТ!C2217*0.2,C2217+ОТЧЕТ!C2217*0.15)</f>
        <v>430.1</v>
      </c>
      <c r="F2217" s="7" t="s">
        <v>4363</v>
      </c>
      <c r="G2217" s="7">
        <v>7706795062</v>
      </c>
      <c r="H2217" s="20" t="s">
        <v>4364</v>
      </c>
      <c r="I2217" s="22" t="str">
        <f>INDEX('Справочник Сети'!B:B,(MATCH(G2217,'Справочник Сети'!C:C,0)))</f>
        <v>Планета здоровья</v>
      </c>
      <c r="J2217" s="7" t="s">
        <v>87</v>
      </c>
      <c r="K2217" s="7" t="s">
        <v>276</v>
      </c>
      <c r="L2217" s="7" t="s">
        <v>87</v>
      </c>
      <c r="M2217" s="31">
        <v>45691</v>
      </c>
      <c r="N2217" s="7" t="s">
        <v>4365</v>
      </c>
      <c r="O2217" s="8">
        <v>2879</v>
      </c>
      <c r="P2217" s="24">
        <v>8392</v>
      </c>
      <c r="Q2217" s="22">
        <f>IF(COUNTIFS(A$2:A2217,A2217,I$2:I2217,I2217)=1,1,0)</f>
        <v>0</v>
      </c>
      <c r="R2217" s="22">
        <f t="shared" si="34"/>
        <v>3</v>
      </c>
      <c r="S2217" s="33">
        <f>IF(COUNTIF(O$2:O2217,O2217)=1,R2217,0)/2.5</f>
        <v>0</v>
      </c>
    </row>
    <row r="2218" spans="1:19" ht="18" customHeight="1" x14ac:dyDescent="0.25">
      <c r="A2218" s="7" t="s">
        <v>43</v>
      </c>
      <c r="B2218" s="8">
        <v>1</v>
      </c>
      <c r="C2218" s="9">
        <v>387.98</v>
      </c>
      <c r="D2218" s="29">
        <f>C2218+IF(INDEX('Справочник по %'!B:B,(MATCH(A2218,'Справочник по %'!A:A,0)))="кол-во",B2218*INDEX('Справочник по %'!C:C,(MATCH(A2218,'Справочник по %'!A:A,0))),ОТЧЕТ!C2218*INDEX('Справочник по %'!C:C,(MATCH(A2218,'Справочник по %'!A:A,0))))/100</f>
        <v>426.77800000000002</v>
      </c>
      <c r="E2218" s="29">
        <f>IF(ОТЧЕТ!A2218="SKU3",C2218+ОТЧЕТ!C2218*0.2,C2218+ОТЧЕТ!C2218*0.15)</f>
        <v>446.17700000000002</v>
      </c>
      <c r="F2218" s="7" t="s">
        <v>4366</v>
      </c>
      <c r="G2218" s="7">
        <v>5038049773</v>
      </c>
      <c r="H2218" s="20" t="s">
        <v>700</v>
      </c>
      <c r="I2218" s="22">
        <f>INDEX('Справочник Сети'!B:B,(MATCH(G2218,'Справочник Сети'!C:C,0)))</f>
        <v>0</v>
      </c>
      <c r="J2218" s="7" t="s">
        <v>92</v>
      </c>
      <c r="K2218" s="7" t="s">
        <v>4367</v>
      </c>
      <c r="L2218" s="7" t="s">
        <v>92</v>
      </c>
      <c r="M2218" s="31">
        <v>45714</v>
      </c>
      <c r="N2218" s="7" t="s">
        <v>4368</v>
      </c>
      <c r="O2218" s="8">
        <v>3332</v>
      </c>
      <c r="P2218" s="24">
        <v>8394</v>
      </c>
      <c r="Q2218" s="22">
        <f>IF(COUNTIFS(A$2:A2218,A2218,I$2:I2218,I2218)=1,1,0)</f>
        <v>0</v>
      </c>
      <c r="R2218" s="22">
        <f t="shared" si="34"/>
        <v>3</v>
      </c>
      <c r="S2218" s="33">
        <f>IF(COUNTIF(O$2:O2218,O2218)=1,R2218,0)/2.5</f>
        <v>0</v>
      </c>
    </row>
    <row r="2219" spans="1:19" ht="18" customHeight="1" x14ac:dyDescent="0.25">
      <c r="A2219" s="7" t="s">
        <v>37</v>
      </c>
      <c r="B2219" s="8">
        <v>1</v>
      </c>
      <c r="C2219" s="9">
        <v>683</v>
      </c>
      <c r="D2219" s="29">
        <f>C2219+IF(INDEX('Справочник по %'!B:B,(MATCH(A2219,'Справочник по %'!A:A,0)))="кол-во",B2219*INDEX('Справочник по %'!C:C,(MATCH(A2219,'Справочник по %'!A:A,0))),ОТЧЕТ!C2219*INDEX('Справочник по %'!C:C,(MATCH(A2219,'Справочник по %'!A:A,0))))/100</f>
        <v>683.2</v>
      </c>
      <c r="E2219" s="29">
        <f>IF(ОТЧЕТ!A2219="SKU3",C2219+ОТЧЕТ!C2219*0.2,C2219+ОТЧЕТ!C2219*0.15)</f>
        <v>785.45</v>
      </c>
      <c r="F2219" s="7" t="s">
        <v>4369</v>
      </c>
      <c r="G2219" s="7">
        <v>7802194843</v>
      </c>
      <c r="H2219" s="20" t="s">
        <v>50</v>
      </c>
      <c r="I2219" s="22" t="str">
        <f>INDEX('Справочник Сети'!B:B,(MATCH(G2219,'Справочник Сети'!C:C,0)))</f>
        <v>Столички</v>
      </c>
      <c r="J2219" s="7" t="s">
        <v>353</v>
      </c>
      <c r="K2219" s="7" t="s">
        <v>447</v>
      </c>
      <c r="L2219" s="7" t="s">
        <v>353</v>
      </c>
      <c r="M2219" s="31">
        <v>45672</v>
      </c>
      <c r="N2219" s="7" t="s">
        <v>4370</v>
      </c>
      <c r="O2219" s="8">
        <v>2441</v>
      </c>
      <c r="P2219" s="24">
        <v>8396</v>
      </c>
      <c r="Q2219" s="22">
        <f>IF(COUNTIFS(A$2:A2219,A2219,I$2:I2219,I2219)=1,1,0)</f>
        <v>0</v>
      </c>
      <c r="R2219" s="22">
        <f t="shared" si="34"/>
        <v>5</v>
      </c>
      <c r="S2219" s="33">
        <f>IF(COUNTIF(O$2:O2219,O2219)=1,R2219,0)/2.5</f>
        <v>0</v>
      </c>
    </row>
    <row r="2220" spans="1:19" ht="18" customHeight="1" x14ac:dyDescent="0.25">
      <c r="A2220" s="7" t="s">
        <v>43</v>
      </c>
      <c r="B2220" s="8">
        <v>1</v>
      </c>
      <c r="C2220" s="9">
        <v>397</v>
      </c>
      <c r="D2220" s="29">
        <f>C2220+IF(INDEX('Справочник по %'!B:B,(MATCH(A2220,'Справочник по %'!A:A,0)))="кол-во",B2220*INDEX('Справочник по %'!C:C,(MATCH(A2220,'Справочник по %'!A:A,0))),ОТЧЕТ!C2220*INDEX('Справочник по %'!C:C,(MATCH(A2220,'Справочник по %'!A:A,0))))/100</f>
        <v>436.7</v>
      </c>
      <c r="E2220" s="29">
        <f>IF(ОТЧЕТ!A2220="SKU3",C2220+ОТЧЕТ!C2220*0.2,C2220+ОТЧЕТ!C2220*0.15)</f>
        <v>456.55</v>
      </c>
      <c r="F2220" s="7" t="s">
        <v>4369</v>
      </c>
      <c r="G2220" s="7">
        <v>7731334851</v>
      </c>
      <c r="H2220" s="20" t="s">
        <v>3890</v>
      </c>
      <c r="I2220" s="22" t="str">
        <f>INDEX('Справочник Сети'!B:B,(MATCH(G2220,'Справочник Сети'!C:C,0)))</f>
        <v>Планета здоровья</v>
      </c>
      <c r="J2220" s="7" t="s">
        <v>142</v>
      </c>
      <c r="K2220" s="7" t="s">
        <v>4371</v>
      </c>
      <c r="L2220" s="7" t="s">
        <v>142</v>
      </c>
      <c r="M2220" s="31">
        <v>45674</v>
      </c>
      <c r="N2220" s="7" t="s">
        <v>4372</v>
      </c>
      <c r="O2220" s="8">
        <v>3388</v>
      </c>
      <c r="P2220" s="24">
        <v>8398</v>
      </c>
      <c r="Q2220" s="22">
        <f>IF(COUNTIFS(A$2:A2220,A2220,I$2:I2220,I2220)=1,1,0)</f>
        <v>0</v>
      </c>
      <c r="R2220" s="22">
        <f t="shared" si="34"/>
        <v>2</v>
      </c>
      <c r="S2220" s="33">
        <f>IF(COUNTIF(O$2:O2220,O2220)=1,R2220,0)/2.5</f>
        <v>0</v>
      </c>
    </row>
    <row r="2221" spans="1:19" ht="18" customHeight="1" x14ac:dyDescent="0.25">
      <c r="A2221" s="7" t="s">
        <v>43</v>
      </c>
      <c r="B2221" s="8">
        <v>1</v>
      </c>
      <c r="C2221" s="9">
        <v>389.71</v>
      </c>
      <c r="D2221" s="29">
        <f>C2221+IF(INDEX('Справочник по %'!B:B,(MATCH(A2221,'Справочник по %'!A:A,0)))="кол-во",B2221*INDEX('Справочник по %'!C:C,(MATCH(A2221,'Справочник по %'!A:A,0))),ОТЧЕТ!C2221*INDEX('Справочник по %'!C:C,(MATCH(A2221,'Справочник по %'!A:A,0))))/100</f>
        <v>428.68099999999998</v>
      </c>
      <c r="E2221" s="29">
        <f>IF(ОТЧЕТ!A2221="SKU3",C2221+ОТЧЕТ!C2221*0.2,C2221+ОТЧЕТ!C2221*0.15)</f>
        <v>448.16649999999998</v>
      </c>
      <c r="F2221" s="7" t="s">
        <v>4373</v>
      </c>
      <c r="G2221" s="7">
        <v>5651021419</v>
      </c>
      <c r="H2221" s="20" t="s">
        <v>4374</v>
      </c>
      <c r="I2221" s="22">
        <f>INDEX('Справочник Сети'!B:B,(MATCH(G2221,'Справочник Сети'!C:C,0)))</f>
        <v>0</v>
      </c>
      <c r="J2221" s="7" t="s">
        <v>255</v>
      </c>
      <c r="K2221" s="7" t="s">
        <v>3585</v>
      </c>
      <c r="L2221" s="7" t="s">
        <v>255</v>
      </c>
      <c r="M2221" s="31">
        <v>45713</v>
      </c>
      <c r="N2221" s="7" t="s">
        <v>4375</v>
      </c>
      <c r="O2221" s="8">
        <v>2249</v>
      </c>
      <c r="P2221" s="24">
        <v>8400</v>
      </c>
      <c r="Q2221" s="22">
        <f>IF(COUNTIFS(A$2:A2221,A2221,I$2:I2221,I2221)=1,1,0)</f>
        <v>0</v>
      </c>
      <c r="R2221" s="22">
        <f t="shared" si="34"/>
        <v>1</v>
      </c>
      <c r="S2221" s="33">
        <f>IF(COUNTIF(O$2:O2221,O2221)=1,R2221,0)/2.5</f>
        <v>0.4</v>
      </c>
    </row>
    <row r="2222" spans="1:19" ht="18" customHeight="1" x14ac:dyDescent="0.25">
      <c r="A2222" s="7" t="s">
        <v>43</v>
      </c>
      <c r="B2222" s="8">
        <v>1</v>
      </c>
      <c r="C2222" s="9">
        <v>439</v>
      </c>
      <c r="D2222" s="29">
        <f>C2222+IF(INDEX('Справочник по %'!B:B,(MATCH(A2222,'Справочник по %'!A:A,0)))="кол-во",B2222*INDEX('Справочник по %'!C:C,(MATCH(A2222,'Справочник по %'!A:A,0))),ОТЧЕТ!C2222*INDEX('Справочник по %'!C:C,(MATCH(A2222,'Справочник по %'!A:A,0))))/100</f>
        <v>482.9</v>
      </c>
      <c r="E2222" s="29">
        <f>IF(ОТЧЕТ!A2222="SKU3",C2222+ОТЧЕТ!C2222*0.2,C2222+ОТЧЕТ!C2222*0.15)</f>
        <v>504.85</v>
      </c>
      <c r="F2222" s="7" t="s">
        <v>4376</v>
      </c>
      <c r="G2222" s="7">
        <v>7724397441</v>
      </c>
      <c r="H2222" s="20" t="s">
        <v>91</v>
      </c>
      <c r="I2222" s="22">
        <f>INDEX('Справочник Сети'!B:B,(MATCH(G2222,'Справочник Сети'!C:C,0)))</f>
        <v>0</v>
      </c>
      <c r="J2222" s="7" t="s">
        <v>185</v>
      </c>
      <c r="K2222" s="7" t="s">
        <v>4377</v>
      </c>
      <c r="L2222" s="7" t="s">
        <v>185</v>
      </c>
      <c r="M2222" s="31">
        <v>45675</v>
      </c>
      <c r="N2222" s="7" t="s">
        <v>4378</v>
      </c>
      <c r="O2222" s="8">
        <v>1512</v>
      </c>
      <c r="P2222" s="24">
        <v>8401</v>
      </c>
      <c r="Q2222" s="22">
        <f>IF(COUNTIFS(A$2:A2222,A2222,I$2:I2222,I2222)=1,1,0)</f>
        <v>0</v>
      </c>
      <c r="R2222" s="22">
        <f t="shared" si="34"/>
        <v>2</v>
      </c>
      <c r="S2222" s="33">
        <f>IF(COUNTIF(O$2:O2222,O2222)=1,R2222,0)/2.5</f>
        <v>0</v>
      </c>
    </row>
    <row r="2223" spans="1:19" ht="18" customHeight="1" x14ac:dyDescent="0.25">
      <c r="A2223" s="7" t="s">
        <v>43</v>
      </c>
      <c r="B2223" s="8">
        <v>1</v>
      </c>
      <c r="C2223" s="9">
        <v>430</v>
      </c>
      <c r="D2223" s="29">
        <f>C2223+IF(INDEX('Справочник по %'!B:B,(MATCH(A2223,'Справочник по %'!A:A,0)))="кол-во",B2223*INDEX('Справочник по %'!C:C,(MATCH(A2223,'Справочник по %'!A:A,0))),ОТЧЕТ!C2223*INDEX('Справочник по %'!C:C,(MATCH(A2223,'Справочник по %'!A:A,0))))/100</f>
        <v>473</v>
      </c>
      <c r="E2223" s="29">
        <f>IF(ОТЧЕТ!A2223="SKU3",C2223+ОТЧЕТ!C2223*0.2,C2223+ОТЧЕТ!C2223*0.15)</f>
        <v>494.5</v>
      </c>
      <c r="F2223" s="7" t="s">
        <v>4376</v>
      </c>
      <c r="G2223" s="7">
        <v>4632178758</v>
      </c>
      <c r="H2223" s="20" t="s">
        <v>91</v>
      </c>
      <c r="I2223" s="22" t="str">
        <f>INDEX('Справочник Сети'!B:B,(MATCH(G2223,'Справочник Сети'!C:C,0)))</f>
        <v>Столички</v>
      </c>
      <c r="J2223" s="7" t="s">
        <v>83</v>
      </c>
      <c r="K2223" s="7" t="s">
        <v>4379</v>
      </c>
      <c r="L2223" s="7" t="s">
        <v>155</v>
      </c>
      <c r="M2223" s="31">
        <v>45716</v>
      </c>
      <c r="N2223" s="7" t="s">
        <v>4380</v>
      </c>
      <c r="O2223" s="8">
        <v>241</v>
      </c>
      <c r="P2223" s="24">
        <v>8404</v>
      </c>
      <c r="Q2223" s="22">
        <f>IF(COUNTIFS(A$2:A2223,A2223,I$2:I2223,I2223)=1,1,0)</f>
        <v>0</v>
      </c>
      <c r="R2223" s="22">
        <f t="shared" si="34"/>
        <v>2</v>
      </c>
      <c r="S2223" s="33">
        <f>IF(COUNTIF(O$2:O2223,O2223)=1,R2223,0)/2.5</f>
        <v>0</v>
      </c>
    </row>
    <row r="2224" spans="1:19" ht="18" customHeight="1" x14ac:dyDescent="0.25">
      <c r="A2224" s="7" t="s">
        <v>43</v>
      </c>
      <c r="B2224" s="8">
        <v>1</v>
      </c>
      <c r="C2224" s="9">
        <v>444</v>
      </c>
      <c r="D2224" s="29">
        <f>C2224+IF(INDEX('Справочник по %'!B:B,(MATCH(A2224,'Справочник по %'!A:A,0)))="кол-во",B2224*INDEX('Справочник по %'!C:C,(MATCH(A2224,'Справочник по %'!A:A,0))),ОТЧЕТ!C2224*INDEX('Справочник по %'!C:C,(MATCH(A2224,'Справочник по %'!A:A,0))))/100</f>
        <v>488.4</v>
      </c>
      <c r="E2224" s="29">
        <f>IF(ОТЧЕТ!A2224="SKU3",C2224+ОТЧЕТ!C2224*0.2,C2224+ОТЧЕТ!C2224*0.15)</f>
        <v>510.6</v>
      </c>
      <c r="F2224" s="7" t="s">
        <v>4376</v>
      </c>
      <c r="G2224" s="7">
        <v>550310361355</v>
      </c>
      <c r="H2224" s="20" t="s">
        <v>50</v>
      </c>
      <c r="I2224" s="22" t="str">
        <f>INDEX('Справочник Сети'!B:B,(MATCH(G2224,'Справочник Сети'!C:C,0)))</f>
        <v>Столички</v>
      </c>
      <c r="J2224" s="7" t="s">
        <v>251</v>
      </c>
      <c r="K2224" s="7" t="s">
        <v>4381</v>
      </c>
      <c r="L2224" s="7" t="s">
        <v>110</v>
      </c>
      <c r="M2224" s="31">
        <v>45660</v>
      </c>
      <c r="N2224" s="7" t="s">
        <v>4382</v>
      </c>
      <c r="O2224" s="8">
        <v>935</v>
      </c>
      <c r="P2224" s="24">
        <v>8406</v>
      </c>
      <c r="Q2224" s="22">
        <f>IF(COUNTIFS(A$2:A2224,A2224,I$2:I2224,I2224)=1,1,0)</f>
        <v>0</v>
      </c>
      <c r="R2224" s="22">
        <f t="shared" si="34"/>
        <v>1</v>
      </c>
      <c r="S2224" s="33">
        <f>IF(COUNTIF(O$2:O2224,O2224)=1,R2224,0)/2.5</f>
        <v>0.4</v>
      </c>
    </row>
    <row r="2225" spans="1:19" ht="18" customHeight="1" x14ac:dyDescent="0.25">
      <c r="A2225" s="7" t="s">
        <v>43</v>
      </c>
      <c r="B2225" s="8">
        <v>1</v>
      </c>
      <c r="C2225" s="9">
        <v>446</v>
      </c>
      <c r="D2225" s="29">
        <f>C2225+IF(INDEX('Справочник по %'!B:B,(MATCH(A2225,'Справочник по %'!A:A,0)))="кол-во",B2225*INDEX('Справочник по %'!C:C,(MATCH(A2225,'Справочник по %'!A:A,0))),ОТЧЕТ!C2225*INDEX('Справочник по %'!C:C,(MATCH(A2225,'Справочник по %'!A:A,0))))/100</f>
        <v>490.6</v>
      </c>
      <c r="E2225" s="29">
        <f>IF(ОТЧЕТ!A2225="SKU3",C2225+ОТЧЕТ!C2225*0.2,C2225+ОТЧЕТ!C2225*0.15)</f>
        <v>512.9</v>
      </c>
      <c r="F2225" s="7" t="s">
        <v>4376</v>
      </c>
      <c r="G2225" s="7">
        <v>7705947629</v>
      </c>
      <c r="H2225" s="20" t="s">
        <v>50</v>
      </c>
      <c r="I2225" s="22" t="str">
        <f>INDEX('Справочник Сети'!B:B,(MATCH(G2225,'Справочник Сети'!C:C,0)))</f>
        <v>36,6</v>
      </c>
      <c r="J2225" s="7" t="s">
        <v>104</v>
      </c>
      <c r="K2225" s="7" t="s">
        <v>4383</v>
      </c>
      <c r="L2225" s="7" t="s">
        <v>104</v>
      </c>
      <c r="M2225" s="31">
        <v>45693</v>
      </c>
      <c r="N2225" s="7" t="s">
        <v>4384</v>
      </c>
      <c r="O2225" s="8">
        <v>1302</v>
      </c>
      <c r="P2225" s="24">
        <v>8407</v>
      </c>
      <c r="Q2225" s="22">
        <f>IF(COUNTIFS(A$2:A2225,A2225,I$2:I2225,I2225)=1,1,0)</f>
        <v>0</v>
      </c>
      <c r="R2225" s="22">
        <f t="shared" si="34"/>
        <v>2</v>
      </c>
      <c r="S2225" s="33">
        <f>IF(COUNTIF(O$2:O2225,O2225)=1,R2225,0)/2.5</f>
        <v>0.8</v>
      </c>
    </row>
    <row r="2226" spans="1:19" ht="18" customHeight="1" x14ac:dyDescent="0.25">
      <c r="A2226" s="7" t="s">
        <v>43</v>
      </c>
      <c r="B2226" s="8">
        <v>1</v>
      </c>
      <c r="C2226" s="9">
        <v>514.5</v>
      </c>
      <c r="D2226" s="29">
        <f>C2226+IF(INDEX('Справочник по %'!B:B,(MATCH(A2226,'Справочник по %'!A:A,0)))="кол-во",B2226*INDEX('Справочник по %'!C:C,(MATCH(A2226,'Справочник по %'!A:A,0))),ОТЧЕТ!C2226*INDEX('Справочник по %'!C:C,(MATCH(A2226,'Справочник по %'!A:A,0))))/100</f>
        <v>565.95000000000005</v>
      </c>
      <c r="E2226" s="29">
        <f>IF(ОТЧЕТ!A2226="SKU3",C2226+ОТЧЕТ!C2226*0.2,C2226+ОТЧЕТ!C2226*0.15)</f>
        <v>591.67499999999995</v>
      </c>
      <c r="F2226" s="7" t="s">
        <v>4376</v>
      </c>
      <c r="G2226" s="7">
        <v>3906115197</v>
      </c>
      <c r="H2226" s="20" t="s">
        <v>4385</v>
      </c>
      <c r="I2226" s="22">
        <f>INDEX('Справочник Сети'!B:B,(MATCH(G2226,'Справочник Сети'!C:C,0)))</f>
        <v>0</v>
      </c>
      <c r="J2226" s="7" t="s">
        <v>155</v>
      </c>
      <c r="K2226" s="7" t="s">
        <v>1902</v>
      </c>
      <c r="L2226" s="7" t="s">
        <v>155</v>
      </c>
      <c r="M2226" s="31">
        <v>45716</v>
      </c>
      <c r="N2226" s="7" t="s">
        <v>4386</v>
      </c>
      <c r="O2226" s="8">
        <v>3196</v>
      </c>
      <c r="P2226" s="24">
        <v>8408</v>
      </c>
      <c r="Q2226" s="22">
        <f>IF(COUNTIFS(A$2:A2226,A2226,I$2:I2226,I2226)=1,1,0)</f>
        <v>0</v>
      </c>
      <c r="R2226" s="22">
        <f t="shared" si="34"/>
        <v>1</v>
      </c>
      <c r="S2226" s="33">
        <f>IF(COUNTIF(O$2:O2226,O2226)=1,R2226,0)/2.5</f>
        <v>0.4</v>
      </c>
    </row>
    <row r="2227" spans="1:19" ht="18" customHeight="1" x14ac:dyDescent="0.25">
      <c r="A2227" s="7" t="s">
        <v>43</v>
      </c>
      <c r="B2227" s="8">
        <v>1</v>
      </c>
      <c r="C2227" s="9">
        <v>392</v>
      </c>
      <c r="D2227" s="29">
        <f>C2227+IF(INDEX('Справочник по %'!B:B,(MATCH(A2227,'Справочник по %'!A:A,0)))="кол-во",B2227*INDEX('Справочник по %'!C:C,(MATCH(A2227,'Справочник по %'!A:A,0))),ОТЧЕТ!C2227*INDEX('Справочник по %'!C:C,(MATCH(A2227,'Справочник по %'!A:A,0))))/100</f>
        <v>431.2</v>
      </c>
      <c r="E2227" s="29">
        <f>IF(ОТЧЕТ!A2227="SKU3",C2227+ОТЧЕТ!C2227*0.2,C2227+ОТЧЕТ!C2227*0.15)</f>
        <v>450.8</v>
      </c>
      <c r="F2227" s="7" t="s">
        <v>4376</v>
      </c>
      <c r="G2227" s="7">
        <v>7706795062</v>
      </c>
      <c r="H2227" s="20" t="s">
        <v>233</v>
      </c>
      <c r="I2227" s="22" t="str">
        <f>INDEX('Справочник Сети'!B:B,(MATCH(G2227,'Справочник Сети'!C:C,0)))</f>
        <v>Планета здоровья</v>
      </c>
      <c r="J2227" s="7" t="s">
        <v>87</v>
      </c>
      <c r="K2227" s="7" t="s">
        <v>345</v>
      </c>
      <c r="L2227" s="7" t="s">
        <v>87</v>
      </c>
      <c r="M2227" s="31">
        <v>45691</v>
      </c>
      <c r="N2227" s="7" t="s">
        <v>4387</v>
      </c>
      <c r="O2227" s="8">
        <v>3460</v>
      </c>
      <c r="P2227" s="24">
        <v>8410</v>
      </c>
      <c r="Q2227" s="22">
        <f>IF(COUNTIFS(A$2:A2227,A2227,I$2:I2227,I2227)=1,1,0)</f>
        <v>0</v>
      </c>
      <c r="R2227" s="22">
        <f t="shared" si="34"/>
        <v>7</v>
      </c>
      <c r="S2227" s="33">
        <f>IF(COUNTIF(O$2:O2227,O2227)=1,R2227,0)/2.5</f>
        <v>2.8</v>
      </c>
    </row>
    <row r="2228" spans="1:19" ht="18" customHeight="1" x14ac:dyDescent="0.25">
      <c r="A2228" s="7" t="s">
        <v>43</v>
      </c>
      <c r="B2228" s="8">
        <v>1</v>
      </c>
      <c r="C2228" s="9">
        <v>392</v>
      </c>
      <c r="D2228" s="29">
        <f>C2228+IF(INDEX('Справочник по %'!B:B,(MATCH(A2228,'Справочник по %'!A:A,0)))="кол-во",B2228*INDEX('Справочник по %'!C:C,(MATCH(A2228,'Справочник по %'!A:A,0))),ОТЧЕТ!C2228*INDEX('Справочник по %'!C:C,(MATCH(A2228,'Справочник по %'!A:A,0))))/100</f>
        <v>431.2</v>
      </c>
      <c r="E2228" s="29">
        <f>IF(ОТЧЕТ!A2228="SKU3",C2228+ОТЧЕТ!C2228*0.2,C2228+ОТЧЕТ!C2228*0.15)</f>
        <v>450.8</v>
      </c>
      <c r="F2228" s="7" t="s">
        <v>4376</v>
      </c>
      <c r="G2228" s="7">
        <v>7706795062</v>
      </c>
      <c r="H2228" s="20" t="s">
        <v>233</v>
      </c>
      <c r="I2228" s="22" t="str">
        <f>INDEX('Справочник Сети'!B:B,(MATCH(G2228,'Справочник Сети'!C:C,0)))</f>
        <v>Планета здоровья</v>
      </c>
      <c r="J2228" s="7" t="s">
        <v>87</v>
      </c>
      <c r="K2228" s="7" t="s">
        <v>345</v>
      </c>
      <c r="L2228" s="7" t="s">
        <v>87</v>
      </c>
      <c r="M2228" s="31">
        <v>45691</v>
      </c>
      <c r="N2228" s="7" t="s">
        <v>4387</v>
      </c>
      <c r="O2228" s="8">
        <v>3460</v>
      </c>
      <c r="P2228" s="24">
        <v>8410</v>
      </c>
      <c r="Q2228" s="22">
        <f>IF(COUNTIFS(A$2:A2228,A2228,I$2:I2228,I2228)=1,1,0)</f>
        <v>0</v>
      </c>
      <c r="R2228" s="22">
        <f t="shared" si="34"/>
        <v>7</v>
      </c>
      <c r="S2228" s="33">
        <f>IF(COUNTIF(O$2:O2228,O2228)=1,R2228,0)/2.5</f>
        <v>0</v>
      </c>
    </row>
    <row r="2229" spans="1:19" ht="18" customHeight="1" x14ac:dyDescent="0.25">
      <c r="A2229" s="7" t="s">
        <v>43</v>
      </c>
      <c r="B2229" s="8">
        <v>1</v>
      </c>
      <c r="C2229" s="9">
        <v>394</v>
      </c>
      <c r="D2229" s="29">
        <f>C2229+IF(INDEX('Справочник по %'!B:B,(MATCH(A2229,'Справочник по %'!A:A,0)))="кол-во",B2229*INDEX('Справочник по %'!C:C,(MATCH(A2229,'Справочник по %'!A:A,0))),ОТЧЕТ!C2229*INDEX('Справочник по %'!C:C,(MATCH(A2229,'Справочник по %'!A:A,0))))/100</f>
        <v>433.4</v>
      </c>
      <c r="E2229" s="29">
        <f>IF(ОТЧЕТ!A2229="SKU3",C2229+ОТЧЕТ!C2229*0.2,C2229+ОТЧЕТ!C2229*0.15)</f>
        <v>453.1</v>
      </c>
      <c r="F2229" s="7" t="s">
        <v>4376</v>
      </c>
      <c r="G2229" s="7">
        <v>7706795062</v>
      </c>
      <c r="H2229" s="20" t="s">
        <v>233</v>
      </c>
      <c r="I2229" s="22" t="str">
        <f>INDEX('Справочник Сети'!B:B,(MATCH(G2229,'Справочник Сети'!C:C,0)))</f>
        <v>Планета здоровья</v>
      </c>
      <c r="J2229" s="7" t="s">
        <v>87</v>
      </c>
      <c r="K2229" s="7" t="s">
        <v>345</v>
      </c>
      <c r="L2229" s="7" t="s">
        <v>87</v>
      </c>
      <c r="M2229" s="31">
        <v>45691</v>
      </c>
      <c r="N2229" s="7" t="s">
        <v>4387</v>
      </c>
      <c r="O2229" s="8">
        <v>3460</v>
      </c>
      <c r="P2229" s="24">
        <v>8410</v>
      </c>
      <c r="Q2229" s="22">
        <f>IF(COUNTIFS(A$2:A2229,A2229,I$2:I2229,I2229)=1,1,0)</f>
        <v>0</v>
      </c>
      <c r="R2229" s="22">
        <f t="shared" si="34"/>
        <v>7</v>
      </c>
      <c r="S2229" s="33">
        <f>IF(COUNTIF(O$2:O2229,O2229)=1,R2229,0)/2.5</f>
        <v>0</v>
      </c>
    </row>
    <row r="2230" spans="1:19" ht="18" customHeight="1" x14ac:dyDescent="0.25">
      <c r="A2230" s="7" t="s">
        <v>43</v>
      </c>
      <c r="B2230" s="8">
        <v>1</v>
      </c>
      <c r="C2230" s="9">
        <v>398</v>
      </c>
      <c r="D2230" s="29">
        <f>C2230+IF(INDEX('Справочник по %'!B:B,(MATCH(A2230,'Справочник по %'!A:A,0)))="кол-во",B2230*INDEX('Справочник по %'!C:C,(MATCH(A2230,'Справочник по %'!A:A,0))),ОТЧЕТ!C2230*INDEX('Справочник по %'!C:C,(MATCH(A2230,'Справочник по %'!A:A,0))))/100</f>
        <v>437.8</v>
      </c>
      <c r="E2230" s="29">
        <f>IF(ОТЧЕТ!A2230="SKU3",C2230+ОТЧЕТ!C2230*0.2,C2230+ОТЧЕТ!C2230*0.15)</f>
        <v>457.7</v>
      </c>
      <c r="F2230" s="7" t="s">
        <v>4376</v>
      </c>
      <c r="G2230" s="7">
        <v>7706795062</v>
      </c>
      <c r="H2230" s="20" t="s">
        <v>233</v>
      </c>
      <c r="I2230" s="22" t="str">
        <f>INDEX('Справочник Сети'!B:B,(MATCH(G2230,'Справочник Сети'!C:C,0)))</f>
        <v>Планета здоровья</v>
      </c>
      <c r="J2230" s="7" t="s">
        <v>87</v>
      </c>
      <c r="K2230" s="7" t="s">
        <v>345</v>
      </c>
      <c r="L2230" s="7" t="s">
        <v>87</v>
      </c>
      <c r="M2230" s="31">
        <v>45691</v>
      </c>
      <c r="N2230" s="7" t="s">
        <v>4387</v>
      </c>
      <c r="O2230" s="8">
        <v>3460</v>
      </c>
      <c r="P2230" s="24">
        <v>8410</v>
      </c>
      <c r="Q2230" s="22">
        <f>IF(COUNTIFS(A$2:A2230,A2230,I$2:I2230,I2230)=1,1,0)</f>
        <v>0</v>
      </c>
      <c r="R2230" s="22">
        <f t="shared" si="34"/>
        <v>7</v>
      </c>
      <c r="S2230" s="33">
        <f>IF(COUNTIF(O$2:O2230,O2230)=1,R2230,0)/2.5</f>
        <v>0</v>
      </c>
    </row>
    <row r="2231" spans="1:19" ht="18" customHeight="1" x14ac:dyDescent="0.25">
      <c r="A2231" s="7" t="s">
        <v>146</v>
      </c>
      <c r="B2231" s="8">
        <v>2</v>
      </c>
      <c r="C2231" s="9">
        <v>804</v>
      </c>
      <c r="D2231" s="29">
        <f>C2231+IF(INDEX('Справочник по %'!B:B,(MATCH(A2231,'Справочник по %'!A:A,0)))="кол-во",B2231*INDEX('Справочник по %'!C:C,(MATCH(A2231,'Справочник по %'!A:A,0))),ОТЧЕТ!C2231*INDEX('Справочник по %'!C:C,(MATCH(A2231,'Справочник по %'!A:A,0))))/100</f>
        <v>924.6</v>
      </c>
      <c r="E2231" s="29">
        <f>IF(ОТЧЕТ!A2231="SKU3",C2231+ОТЧЕТ!C2231*0.2,C2231+ОТЧЕТ!C2231*0.15)</f>
        <v>964.8</v>
      </c>
      <c r="F2231" s="7" t="s">
        <v>4376</v>
      </c>
      <c r="G2231" s="7">
        <v>7706795062</v>
      </c>
      <c r="H2231" s="20" t="s">
        <v>233</v>
      </c>
      <c r="I2231" s="22" t="str">
        <f>INDEX('Справочник Сети'!B:B,(MATCH(G2231,'Справочник Сети'!C:C,0)))</f>
        <v>Планета здоровья</v>
      </c>
      <c r="J2231" s="7" t="s">
        <v>87</v>
      </c>
      <c r="K2231" s="7" t="s">
        <v>345</v>
      </c>
      <c r="L2231" s="7" t="s">
        <v>87</v>
      </c>
      <c r="M2231" s="31">
        <v>45691</v>
      </c>
      <c r="N2231" s="7" t="s">
        <v>4387</v>
      </c>
      <c r="O2231" s="8">
        <v>3460</v>
      </c>
      <c r="P2231" s="24">
        <v>8410</v>
      </c>
      <c r="Q2231" s="22">
        <f>IF(COUNTIFS(A$2:A2231,A2231,I$2:I2231,I2231)=1,1,0)</f>
        <v>0</v>
      </c>
      <c r="R2231" s="22">
        <f t="shared" si="34"/>
        <v>7</v>
      </c>
      <c r="S2231" s="33">
        <f>IF(COUNTIF(O$2:O2231,O2231)=1,R2231,0)/2.5</f>
        <v>0</v>
      </c>
    </row>
    <row r="2232" spans="1:19" ht="18" customHeight="1" x14ac:dyDescent="0.25">
      <c r="A2232" s="7" t="s">
        <v>43</v>
      </c>
      <c r="B2232" s="8">
        <v>1</v>
      </c>
      <c r="C2232" s="9">
        <v>396</v>
      </c>
      <c r="D2232" s="29">
        <f>C2232+IF(INDEX('Справочник по %'!B:B,(MATCH(A2232,'Справочник по %'!A:A,0)))="кол-во",B2232*INDEX('Справочник по %'!C:C,(MATCH(A2232,'Справочник по %'!A:A,0))),ОТЧЕТ!C2232*INDEX('Справочник по %'!C:C,(MATCH(A2232,'Справочник по %'!A:A,0))))/100</f>
        <v>435.6</v>
      </c>
      <c r="E2232" s="29">
        <f>IF(ОТЧЕТ!A2232="SKU3",C2232+ОТЧЕТ!C2232*0.2,C2232+ОТЧЕТ!C2232*0.15)</f>
        <v>455.4</v>
      </c>
      <c r="F2232" s="7" t="s">
        <v>4376</v>
      </c>
      <c r="G2232" s="7">
        <v>7706795062</v>
      </c>
      <c r="H2232" s="20" t="s">
        <v>233</v>
      </c>
      <c r="I2232" s="22" t="str">
        <f>INDEX('Справочник Сети'!B:B,(MATCH(G2232,'Справочник Сети'!C:C,0)))</f>
        <v>Планета здоровья</v>
      </c>
      <c r="J2232" s="7" t="s">
        <v>87</v>
      </c>
      <c r="K2232" s="7" t="s">
        <v>345</v>
      </c>
      <c r="L2232" s="7" t="s">
        <v>87</v>
      </c>
      <c r="M2232" s="31">
        <v>45691</v>
      </c>
      <c r="N2232" s="7" t="s">
        <v>4387</v>
      </c>
      <c r="O2232" s="8">
        <v>3460</v>
      </c>
      <c r="P2232" s="24">
        <v>8410</v>
      </c>
      <c r="Q2232" s="22">
        <f>IF(COUNTIFS(A$2:A2232,A2232,I$2:I2232,I2232)=1,1,0)</f>
        <v>0</v>
      </c>
      <c r="R2232" s="22">
        <f t="shared" si="34"/>
        <v>7</v>
      </c>
      <c r="S2232" s="33">
        <f>IF(COUNTIF(O$2:O2232,O2232)=1,R2232,0)/2.5</f>
        <v>0</v>
      </c>
    </row>
    <row r="2233" spans="1:19" ht="18" customHeight="1" x14ac:dyDescent="0.25">
      <c r="A2233" s="7" t="s">
        <v>43</v>
      </c>
      <c r="B2233" s="8">
        <v>1</v>
      </c>
      <c r="C2233" s="9">
        <v>397</v>
      </c>
      <c r="D2233" s="29">
        <f>C2233+IF(INDEX('Справочник по %'!B:B,(MATCH(A2233,'Справочник по %'!A:A,0)))="кол-во",B2233*INDEX('Справочник по %'!C:C,(MATCH(A2233,'Справочник по %'!A:A,0))),ОТЧЕТ!C2233*INDEX('Справочник по %'!C:C,(MATCH(A2233,'Справочник по %'!A:A,0))))/100</f>
        <v>436.7</v>
      </c>
      <c r="E2233" s="29">
        <f>IF(ОТЧЕТ!A2233="SKU3",C2233+ОТЧЕТ!C2233*0.2,C2233+ОТЧЕТ!C2233*0.15)</f>
        <v>456.55</v>
      </c>
      <c r="F2233" s="7" t="s">
        <v>4376</v>
      </c>
      <c r="G2233" s="7">
        <v>7706795062</v>
      </c>
      <c r="H2233" s="20" t="s">
        <v>233</v>
      </c>
      <c r="I2233" s="22" t="str">
        <f>INDEX('Справочник Сети'!B:B,(MATCH(G2233,'Справочник Сети'!C:C,0)))</f>
        <v>Планета здоровья</v>
      </c>
      <c r="J2233" s="7" t="s">
        <v>87</v>
      </c>
      <c r="K2233" s="7" t="s">
        <v>345</v>
      </c>
      <c r="L2233" s="7" t="s">
        <v>87</v>
      </c>
      <c r="M2233" s="31">
        <v>45691</v>
      </c>
      <c r="N2233" s="7" t="s">
        <v>4387</v>
      </c>
      <c r="O2233" s="8">
        <v>3460</v>
      </c>
      <c r="P2233" s="24">
        <v>8410</v>
      </c>
      <c r="Q2233" s="22">
        <f>IF(COUNTIFS(A$2:A2233,A2233,I$2:I2233,I2233)=1,1,0)</f>
        <v>0</v>
      </c>
      <c r="R2233" s="22">
        <f t="shared" si="34"/>
        <v>7</v>
      </c>
      <c r="S2233" s="33">
        <f>IF(COUNTIF(O$2:O2233,O2233)=1,R2233,0)/2.5</f>
        <v>0</v>
      </c>
    </row>
    <row r="2234" spans="1:19" ht="18" customHeight="1" x14ac:dyDescent="0.25">
      <c r="A2234" s="7" t="s">
        <v>37</v>
      </c>
      <c r="B2234" s="8">
        <v>1</v>
      </c>
      <c r="C2234" s="9">
        <v>541</v>
      </c>
      <c r="D2234" s="29">
        <f>C2234+IF(INDEX('Справочник по %'!B:B,(MATCH(A2234,'Справочник по %'!A:A,0)))="кол-во",B2234*INDEX('Справочник по %'!C:C,(MATCH(A2234,'Справочник по %'!A:A,0))),ОТЧЕТ!C2234*INDEX('Справочник по %'!C:C,(MATCH(A2234,'Справочник по %'!A:A,0))))/100</f>
        <v>541.20000000000005</v>
      </c>
      <c r="E2234" s="29">
        <f>IF(ОТЧЕТ!A2234="SKU3",C2234+ОТЧЕТ!C2234*0.2,C2234+ОТЧЕТ!C2234*0.15)</f>
        <v>622.15</v>
      </c>
      <c r="F2234" s="7" t="s">
        <v>4376</v>
      </c>
      <c r="G2234" s="7">
        <v>7706795062</v>
      </c>
      <c r="H2234" s="20" t="s">
        <v>487</v>
      </c>
      <c r="I2234" s="22" t="str">
        <f>INDEX('Справочник Сети'!B:B,(MATCH(G2234,'Справочник Сети'!C:C,0)))</f>
        <v>Планета здоровья</v>
      </c>
      <c r="J2234" s="7" t="s">
        <v>87</v>
      </c>
      <c r="K2234" s="7" t="s">
        <v>2551</v>
      </c>
      <c r="L2234" s="7" t="s">
        <v>87</v>
      </c>
      <c r="M2234" s="31">
        <v>45691</v>
      </c>
      <c r="N2234" s="7" t="s">
        <v>4388</v>
      </c>
      <c r="O2234" s="8">
        <v>1549</v>
      </c>
      <c r="P2234" s="24">
        <v>8412</v>
      </c>
      <c r="Q2234" s="22">
        <f>IF(COUNTIFS(A$2:A2234,A2234,I$2:I2234,I2234)=1,1,0)</f>
        <v>0</v>
      </c>
      <c r="R2234" s="22">
        <f t="shared" si="34"/>
        <v>8</v>
      </c>
      <c r="S2234" s="33">
        <f>IF(COUNTIF(O$2:O2234,O2234)=1,R2234,0)/2.5</f>
        <v>0</v>
      </c>
    </row>
    <row r="2235" spans="1:19" ht="18" customHeight="1" x14ac:dyDescent="0.25">
      <c r="A2235" s="7" t="s">
        <v>43</v>
      </c>
      <c r="B2235" s="8">
        <v>1</v>
      </c>
      <c r="C2235" s="9">
        <v>370</v>
      </c>
      <c r="D2235" s="29">
        <f>C2235+IF(INDEX('Справочник по %'!B:B,(MATCH(A2235,'Справочник по %'!A:A,0)))="кол-во",B2235*INDEX('Справочник по %'!C:C,(MATCH(A2235,'Справочник по %'!A:A,0))),ОТЧЕТ!C2235*INDEX('Справочник по %'!C:C,(MATCH(A2235,'Справочник по %'!A:A,0))))/100</f>
        <v>407</v>
      </c>
      <c r="E2235" s="29">
        <f>IF(ОТЧЕТ!A2235="SKU3",C2235+ОТЧЕТ!C2235*0.2,C2235+ОТЧЕТ!C2235*0.15)</f>
        <v>425.5</v>
      </c>
      <c r="F2235" s="7" t="s">
        <v>4376</v>
      </c>
      <c r="G2235" s="7">
        <v>4632054054</v>
      </c>
      <c r="H2235" s="20" t="s">
        <v>2437</v>
      </c>
      <c r="I2235" s="22" t="str">
        <f>INDEX('Справочник Сети'!B:B,(MATCH(G2235,'Справочник Сети'!C:C,0)))</f>
        <v>Ригла</v>
      </c>
      <c r="J2235" s="7" t="s">
        <v>155</v>
      </c>
      <c r="K2235" s="7" t="s">
        <v>1068</v>
      </c>
      <c r="L2235" s="7" t="s">
        <v>155</v>
      </c>
      <c r="M2235" s="31">
        <v>45716</v>
      </c>
      <c r="N2235" s="7" t="s">
        <v>4389</v>
      </c>
      <c r="O2235" s="8">
        <v>1936</v>
      </c>
      <c r="P2235" s="24">
        <v>8414</v>
      </c>
      <c r="Q2235" s="22">
        <f>IF(COUNTIFS(A$2:A2235,A2235,I$2:I2235,I2235)=1,1,0)</f>
        <v>0</v>
      </c>
      <c r="R2235" s="22">
        <f t="shared" si="34"/>
        <v>1</v>
      </c>
      <c r="S2235" s="33">
        <f>IF(COUNTIF(O$2:O2235,O2235)=1,R2235,0)/2.5</f>
        <v>0.4</v>
      </c>
    </row>
    <row r="2236" spans="1:19" ht="18" customHeight="1" x14ac:dyDescent="0.25">
      <c r="A2236" s="7" t="s">
        <v>43</v>
      </c>
      <c r="B2236" s="8">
        <v>1</v>
      </c>
      <c r="C2236" s="9">
        <v>551</v>
      </c>
      <c r="D2236" s="29">
        <f>C2236+IF(INDEX('Справочник по %'!B:B,(MATCH(A2236,'Справочник по %'!A:A,0)))="кол-во",B2236*INDEX('Справочник по %'!C:C,(MATCH(A2236,'Справочник по %'!A:A,0))),ОТЧЕТ!C2236*INDEX('Справочник по %'!C:C,(MATCH(A2236,'Справочник по %'!A:A,0))))/100</f>
        <v>606.1</v>
      </c>
      <c r="E2236" s="29">
        <f>IF(ОТЧЕТ!A2236="SKU3",C2236+ОТЧЕТ!C2236*0.2,C2236+ОТЧЕТ!C2236*0.15)</f>
        <v>633.65</v>
      </c>
      <c r="F2236" s="7" t="s">
        <v>4376</v>
      </c>
      <c r="G2236" s="7">
        <v>2537119205</v>
      </c>
      <c r="H2236" s="20" t="s">
        <v>1911</v>
      </c>
      <c r="I2236" s="22" t="str">
        <f>INDEX('Справочник Сети'!B:B,(MATCH(G2236,'Справочник Сети'!C:C,0)))</f>
        <v>Столички</v>
      </c>
      <c r="J2236" s="7" t="s">
        <v>46</v>
      </c>
      <c r="K2236" s="7" t="s">
        <v>4390</v>
      </c>
      <c r="L2236" s="7" t="s">
        <v>96</v>
      </c>
      <c r="M2236" s="31">
        <v>45727</v>
      </c>
      <c r="N2236" s="7" t="s">
        <v>4391</v>
      </c>
      <c r="O2236" s="8">
        <v>1028</v>
      </c>
      <c r="P2236" s="24">
        <v>8421</v>
      </c>
      <c r="Q2236" s="22">
        <f>IF(COUNTIFS(A$2:A2236,A2236,I$2:I2236,I2236)=1,1,0)</f>
        <v>0</v>
      </c>
      <c r="R2236" s="22">
        <f t="shared" si="34"/>
        <v>2</v>
      </c>
      <c r="S2236" s="33">
        <f>IF(COUNTIF(O$2:O2236,O2236)=1,R2236,0)/2.5</f>
        <v>0</v>
      </c>
    </row>
    <row r="2237" spans="1:19" ht="18" customHeight="1" x14ac:dyDescent="0.25">
      <c r="A2237" s="7" t="s">
        <v>43</v>
      </c>
      <c r="B2237" s="8">
        <v>1</v>
      </c>
      <c r="C2237" s="9">
        <v>403</v>
      </c>
      <c r="D2237" s="29">
        <f>C2237+IF(INDEX('Справочник по %'!B:B,(MATCH(A2237,'Справочник по %'!A:A,0)))="кол-во",B2237*INDEX('Справочник по %'!C:C,(MATCH(A2237,'Справочник по %'!A:A,0))),ОТЧЕТ!C2237*INDEX('Справочник по %'!C:C,(MATCH(A2237,'Справочник по %'!A:A,0))))/100</f>
        <v>443.3</v>
      </c>
      <c r="E2237" s="29">
        <f>IF(ОТЧЕТ!A2237="SKU3",C2237+ОТЧЕТ!C2237*0.2,C2237+ОТЧЕТ!C2237*0.15)</f>
        <v>463.45</v>
      </c>
      <c r="F2237" s="7" t="s">
        <v>4376</v>
      </c>
      <c r="G2237" s="7">
        <v>2724146424</v>
      </c>
      <c r="H2237" s="20" t="s">
        <v>50</v>
      </c>
      <c r="I2237" s="22" t="str">
        <f>INDEX('Справочник Сети'!B:B,(MATCH(G2237,'Справочник Сети'!C:C,0)))</f>
        <v>Столички</v>
      </c>
      <c r="J2237" s="7" t="s">
        <v>1400</v>
      </c>
      <c r="K2237" s="7" t="s">
        <v>2744</v>
      </c>
      <c r="L2237" s="7" t="s">
        <v>51</v>
      </c>
      <c r="M2237" s="31">
        <v>45725</v>
      </c>
      <c r="N2237" s="7" t="s">
        <v>4392</v>
      </c>
      <c r="O2237" s="8">
        <v>1025</v>
      </c>
      <c r="P2237" s="24">
        <v>8426</v>
      </c>
      <c r="Q2237" s="22">
        <f>IF(COUNTIFS(A$2:A2237,A2237,I$2:I2237,I2237)=1,1,0)</f>
        <v>0</v>
      </c>
      <c r="R2237" s="22">
        <f t="shared" si="34"/>
        <v>3</v>
      </c>
      <c r="S2237" s="33">
        <f>IF(COUNTIF(O$2:O2237,O2237)=1,R2237,0)/2.5</f>
        <v>0</v>
      </c>
    </row>
    <row r="2238" spans="1:19" ht="18" customHeight="1" x14ac:dyDescent="0.25">
      <c r="A2238" s="7" t="s">
        <v>43</v>
      </c>
      <c r="B2238" s="8">
        <v>1</v>
      </c>
      <c r="C2238" s="9">
        <v>419</v>
      </c>
      <c r="D2238" s="29">
        <f>C2238+IF(INDEX('Справочник по %'!B:B,(MATCH(A2238,'Справочник по %'!A:A,0)))="кол-во",B2238*INDEX('Справочник по %'!C:C,(MATCH(A2238,'Справочник по %'!A:A,0))),ОТЧЕТ!C2238*INDEX('Справочник по %'!C:C,(MATCH(A2238,'Справочник по %'!A:A,0))))/100</f>
        <v>460.9</v>
      </c>
      <c r="E2238" s="29">
        <f>IF(ОТЧЕТ!A2238="SKU3",C2238+ОТЧЕТ!C2238*0.2,C2238+ОТЧЕТ!C2238*0.15)</f>
        <v>481.85</v>
      </c>
      <c r="F2238" s="7" t="s">
        <v>4393</v>
      </c>
      <c r="G2238" s="7">
        <v>2310200444</v>
      </c>
      <c r="H2238" s="20" t="s">
        <v>69</v>
      </c>
      <c r="I2238" s="22" t="str">
        <f>INDEX('Справочник Сети'!B:B,(MATCH(G2238,'Справочник Сети'!C:C,0)))</f>
        <v>Планета здоровья</v>
      </c>
      <c r="J2238" s="7" t="s">
        <v>70</v>
      </c>
      <c r="K2238" s="7" t="s">
        <v>4394</v>
      </c>
      <c r="L2238" s="7" t="s">
        <v>57</v>
      </c>
      <c r="M2238" s="31">
        <v>45729</v>
      </c>
      <c r="N2238" s="7" t="s">
        <v>4395</v>
      </c>
      <c r="O2238" s="8">
        <v>540</v>
      </c>
      <c r="P2238" s="24">
        <v>8431</v>
      </c>
      <c r="Q2238" s="22">
        <f>IF(COUNTIFS(A$2:A2238,A2238,I$2:I2238,I2238)=1,1,0)</f>
        <v>0</v>
      </c>
      <c r="R2238" s="22">
        <f t="shared" si="34"/>
        <v>1</v>
      </c>
      <c r="S2238" s="33">
        <f>IF(COUNTIF(O$2:O2238,O2238)=1,R2238,0)/2.5</f>
        <v>0.4</v>
      </c>
    </row>
    <row r="2239" spans="1:19" ht="18" customHeight="1" x14ac:dyDescent="0.25">
      <c r="A2239" s="7" t="s">
        <v>43</v>
      </c>
      <c r="B2239" s="8">
        <v>1</v>
      </c>
      <c r="C2239" s="9">
        <v>363.39</v>
      </c>
      <c r="D2239" s="29">
        <f>C2239+IF(INDEX('Справочник по %'!B:B,(MATCH(A2239,'Справочник по %'!A:A,0)))="кол-во",B2239*INDEX('Справочник по %'!C:C,(MATCH(A2239,'Справочник по %'!A:A,0))),ОТЧЕТ!C2239*INDEX('Справочник по %'!C:C,(MATCH(A2239,'Справочник по %'!A:A,0))))/100</f>
        <v>399.72899999999998</v>
      </c>
      <c r="E2239" s="29">
        <f>IF(ОТЧЕТ!A2239="SKU3",C2239+ОТЧЕТ!C2239*0.2,C2239+ОТЧЕТ!C2239*0.15)</f>
        <v>417.89850000000001</v>
      </c>
      <c r="F2239" s="7" t="s">
        <v>4393</v>
      </c>
      <c r="G2239" s="7">
        <v>5507102175</v>
      </c>
      <c r="H2239" s="20" t="s">
        <v>50</v>
      </c>
      <c r="I2239" s="22" t="str">
        <f>INDEX('Справочник Сети'!B:B,(MATCH(G2239,'Справочник Сети'!C:C,0)))</f>
        <v>Столички</v>
      </c>
      <c r="J2239" s="7" t="s">
        <v>255</v>
      </c>
      <c r="K2239" s="7" t="s">
        <v>1244</v>
      </c>
      <c r="L2239" s="7" t="s">
        <v>255</v>
      </c>
      <c r="M2239" s="31">
        <v>45713</v>
      </c>
      <c r="N2239" s="7" t="s">
        <v>4396</v>
      </c>
      <c r="O2239" s="8">
        <v>435</v>
      </c>
      <c r="P2239" s="24">
        <v>8434</v>
      </c>
      <c r="Q2239" s="22">
        <f>IF(COUNTIFS(A$2:A2239,A2239,I$2:I2239,I2239)=1,1,0)</f>
        <v>0</v>
      </c>
      <c r="R2239" s="22">
        <f t="shared" si="34"/>
        <v>6</v>
      </c>
      <c r="S2239" s="33">
        <f>IF(COUNTIF(O$2:O2239,O2239)=1,R2239,0)/2.5</f>
        <v>0</v>
      </c>
    </row>
    <row r="2240" spans="1:19" ht="18" customHeight="1" x14ac:dyDescent="0.25">
      <c r="A2240" s="7" t="s">
        <v>43</v>
      </c>
      <c r="B2240" s="8">
        <v>1</v>
      </c>
      <c r="C2240" s="9">
        <v>378</v>
      </c>
      <c r="D2240" s="29">
        <f>C2240+IF(INDEX('Справочник по %'!B:B,(MATCH(A2240,'Справочник по %'!A:A,0)))="кол-во",B2240*INDEX('Справочник по %'!C:C,(MATCH(A2240,'Справочник по %'!A:A,0))),ОТЧЕТ!C2240*INDEX('Справочник по %'!C:C,(MATCH(A2240,'Справочник по %'!A:A,0))))/100</f>
        <v>415.8</v>
      </c>
      <c r="E2240" s="29">
        <f>IF(ОТЧЕТ!A2240="SKU3",C2240+ОТЧЕТ!C2240*0.2,C2240+ОТЧЕТ!C2240*0.15)</f>
        <v>434.7</v>
      </c>
      <c r="F2240" s="7" t="s">
        <v>4397</v>
      </c>
      <c r="G2240" s="7">
        <v>7706795062</v>
      </c>
      <c r="H2240" s="20" t="s">
        <v>2059</v>
      </c>
      <c r="I2240" s="22" t="str">
        <f>INDEX('Справочник Сети'!B:B,(MATCH(G2240,'Справочник Сети'!C:C,0)))</f>
        <v>Планета здоровья</v>
      </c>
      <c r="J2240" s="7" t="s">
        <v>87</v>
      </c>
      <c r="K2240" s="7" t="s">
        <v>748</v>
      </c>
      <c r="L2240" s="7" t="s">
        <v>87</v>
      </c>
      <c r="M2240" s="31">
        <v>45691</v>
      </c>
      <c r="N2240" s="7" t="s">
        <v>4398</v>
      </c>
      <c r="O2240" s="8">
        <v>1816</v>
      </c>
      <c r="P2240" s="24">
        <v>8437</v>
      </c>
      <c r="Q2240" s="22">
        <f>IF(COUNTIFS(A$2:A2240,A2240,I$2:I2240,I2240)=1,1,0)</f>
        <v>0</v>
      </c>
      <c r="R2240" s="22">
        <f t="shared" si="34"/>
        <v>2</v>
      </c>
      <c r="S2240" s="33">
        <f>IF(COUNTIF(O$2:O2240,O2240)=1,R2240,0)/2.5</f>
        <v>0</v>
      </c>
    </row>
    <row r="2241" spans="1:19" ht="18" customHeight="1" x14ac:dyDescent="0.25">
      <c r="A2241" s="7" t="s">
        <v>37</v>
      </c>
      <c r="B2241" s="8">
        <v>1</v>
      </c>
      <c r="C2241" s="9">
        <v>595</v>
      </c>
      <c r="D2241" s="29">
        <f>C2241+IF(INDEX('Справочник по %'!B:B,(MATCH(A2241,'Справочник по %'!A:A,0)))="кол-во",B2241*INDEX('Справочник по %'!C:C,(MATCH(A2241,'Справочник по %'!A:A,0))),ОТЧЕТ!C2241*INDEX('Справочник по %'!C:C,(MATCH(A2241,'Справочник по %'!A:A,0))))/100</f>
        <v>595.20000000000005</v>
      </c>
      <c r="E2241" s="29">
        <f>IF(ОТЧЕТ!A2241="SKU3",C2241+ОТЧЕТ!C2241*0.2,C2241+ОТЧЕТ!C2241*0.15)</f>
        <v>684.25</v>
      </c>
      <c r="F2241" s="7" t="s">
        <v>4399</v>
      </c>
      <c r="G2241" s="7">
        <v>2225105670</v>
      </c>
      <c r="H2241" s="20" t="s">
        <v>69</v>
      </c>
      <c r="I2241" s="22" t="str">
        <f>INDEX('Справочник Сети'!B:B,(MATCH(G2241,'Справочник Сети'!C:C,0)))</f>
        <v>Столички</v>
      </c>
      <c r="J2241" s="7" t="s">
        <v>372</v>
      </c>
      <c r="K2241" s="7" t="s">
        <v>4400</v>
      </c>
      <c r="L2241" s="7" t="s">
        <v>372</v>
      </c>
      <c r="M2241" s="31">
        <v>45730</v>
      </c>
      <c r="N2241" s="7" t="s">
        <v>4401</v>
      </c>
      <c r="O2241" s="8">
        <v>1187</v>
      </c>
      <c r="P2241" s="24">
        <v>8440</v>
      </c>
      <c r="Q2241" s="22">
        <f>IF(COUNTIFS(A$2:A2241,A2241,I$2:I2241,I2241)=1,1,0)</f>
        <v>0</v>
      </c>
      <c r="R2241" s="22">
        <f t="shared" si="34"/>
        <v>3</v>
      </c>
      <c r="S2241" s="33">
        <f>IF(COUNTIF(O$2:O2241,O2241)=1,R2241,0)/2.5</f>
        <v>0</v>
      </c>
    </row>
    <row r="2242" spans="1:19" ht="18" customHeight="1" x14ac:dyDescent="0.25">
      <c r="A2242" s="7" t="s">
        <v>43</v>
      </c>
      <c r="B2242" s="8">
        <v>1</v>
      </c>
      <c r="C2242" s="9">
        <v>396</v>
      </c>
      <c r="D2242" s="29">
        <f>C2242+IF(INDEX('Справочник по %'!B:B,(MATCH(A2242,'Справочник по %'!A:A,0)))="кол-во",B2242*INDEX('Справочник по %'!C:C,(MATCH(A2242,'Справочник по %'!A:A,0))),ОТЧЕТ!C2242*INDEX('Справочник по %'!C:C,(MATCH(A2242,'Справочник по %'!A:A,0))))/100</f>
        <v>435.6</v>
      </c>
      <c r="E2242" s="29">
        <f>IF(ОТЧЕТ!A2242="SKU3",C2242+ОТЧЕТ!C2242*0.2,C2242+ОТЧЕТ!C2242*0.15)</f>
        <v>455.4</v>
      </c>
      <c r="F2242" s="7" t="s">
        <v>4402</v>
      </c>
      <c r="G2242" s="7">
        <v>5902199785</v>
      </c>
      <c r="H2242" s="20" t="s">
        <v>39</v>
      </c>
      <c r="I2242" s="22">
        <f>INDEX('Справочник Сети'!B:B,(MATCH(G2242,'Справочник Сети'!C:C,0)))</f>
        <v>0</v>
      </c>
      <c r="J2242" s="7" t="s">
        <v>40</v>
      </c>
      <c r="K2242" s="7" t="s">
        <v>969</v>
      </c>
      <c r="L2242" s="7" t="s">
        <v>40</v>
      </c>
      <c r="M2242" s="31">
        <v>45712</v>
      </c>
      <c r="N2242" s="7" t="s">
        <v>4403</v>
      </c>
      <c r="O2242" s="8">
        <v>3523</v>
      </c>
      <c r="P2242" s="24">
        <v>8442</v>
      </c>
      <c r="Q2242" s="22">
        <f>IF(COUNTIFS(A$2:A2242,A2242,I$2:I2242,I2242)=1,1,0)</f>
        <v>0</v>
      </c>
      <c r="R2242" s="22">
        <f t="shared" si="34"/>
        <v>1</v>
      </c>
      <c r="S2242" s="33">
        <f>IF(COUNTIF(O$2:O2242,O2242)=1,R2242,0)/2.5</f>
        <v>0.4</v>
      </c>
    </row>
    <row r="2243" spans="1:19" ht="18" customHeight="1" x14ac:dyDescent="0.25">
      <c r="A2243" s="7" t="s">
        <v>43</v>
      </c>
      <c r="B2243" s="8">
        <v>1</v>
      </c>
      <c r="C2243" s="9">
        <v>378</v>
      </c>
      <c r="D2243" s="29">
        <f>C2243+IF(INDEX('Справочник по %'!B:B,(MATCH(A2243,'Справочник по %'!A:A,0)))="кол-во",B2243*INDEX('Справочник по %'!C:C,(MATCH(A2243,'Справочник по %'!A:A,0))),ОТЧЕТ!C2243*INDEX('Справочник по %'!C:C,(MATCH(A2243,'Справочник по %'!A:A,0))))/100</f>
        <v>415.8</v>
      </c>
      <c r="E2243" s="29">
        <f>IF(ОТЧЕТ!A2243="SKU3",C2243+ОТЧЕТ!C2243*0.2,C2243+ОТЧЕТ!C2243*0.15)</f>
        <v>434.7</v>
      </c>
      <c r="F2243" s="7" t="s">
        <v>4402</v>
      </c>
      <c r="G2243" s="7">
        <v>4217178886</v>
      </c>
      <c r="H2243" s="20" t="s">
        <v>1056</v>
      </c>
      <c r="I2243" s="22" t="str">
        <f>INDEX('Справочник Сети'!B:B,(MATCH(G2243,'Справочник Сети'!C:C,0)))</f>
        <v>Нео-фарм</v>
      </c>
      <c r="J2243" s="7" t="s">
        <v>155</v>
      </c>
      <c r="K2243" s="7" t="s">
        <v>1259</v>
      </c>
      <c r="L2243" s="7" t="s">
        <v>155</v>
      </c>
      <c r="M2243" s="31">
        <v>45716</v>
      </c>
      <c r="N2243" s="7" t="s">
        <v>4404</v>
      </c>
      <c r="O2243" s="8">
        <v>457</v>
      </c>
      <c r="P2243" s="24">
        <v>8445</v>
      </c>
      <c r="Q2243" s="22">
        <f>IF(COUNTIFS(A$2:A2243,A2243,I$2:I2243,I2243)=1,1,0)</f>
        <v>0</v>
      </c>
      <c r="R2243" s="22">
        <f t="shared" ref="R2243:R2306" si="35">COUNTIF(O:O,O2243)</f>
        <v>4</v>
      </c>
      <c r="S2243" s="33">
        <f>IF(COUNTIF(O$2:O2243,O2243)=1,R2243,0)/2.5</f>
        <v>0</v>
      </c>
    </row>
    <row r="2244" spans="1:19" ht="18" customHeight="1" x14ac:dyDescent="0.25">
      <c r="A2244" s="7" t="s">
        <v>43</v>
      </c>
      <c r="B2244" s="8">
        <v>1</v>
      </c>
      <c r="C2244" s="9">
        <v>379</v>
      </c>
      <c r="D2244" s="29">
        <f>C2244+IF(INDEX('Справочник по %'!B:B,(MATCH(A2244,'Справочник по %'!A:A,0)))="кол-во",B2244*INDEX('Справочник по %'!C:C,(MATCH(A2244,'Справочник по %'!A:A,0))),ОТЧЕТ!C2244*INDEX('Справочник по %'!C:C,(MATCH(A2244,'Справочник по %'!A:A,0))))/100</f>
        <v>416.9</v>
      </c>
      <c r="E2244" s="29">
        <f>IF(ОТЧЕТ!A2244="SKU3",C2244+ОТЧЕТ!C2244*0.2,C2244+ОТЧЕТ!C2244*0.15)</f>
        <v>435.85</v>
      </c>
      <c r="F2244" s="7" t="s">
        <v>4402</v>
      </c>
      <c r="G2244" s="7">
        <v>7706795062</v>
      </c>
      <c r="H2244" s="20" t="s">
        <v>494</v>
      </c>
      <c r="I2244" s="22" t="str">
        <f>INDEX('Справочник Сети'!B:B,(MATCH(G2244,'Справочник Сети'!C:C,0)))</f>
        <v>Планета здоровья</v>
      </c>
      <c r="J2244" s="7" t="s">
        <v>87</v>
      </c>
      <c r="K2244" s="7" t="s">
        <v>1022</v>
      </c>
      <c r="L2244" s="7" t="s">
        <v>87</v>
      </c>
      <c r="M2244" s="31">
        <v>45691</v>
      </c>
      <c r="N2244" s="7" t="s">
        <v>4405</v>
      </c>
      <c r="O2244" s="8">
        <v>2282</v>
      </c>
      <c r="P2244" s="24">
        <v>8452</v>
      </c>
      <c r="Q2244" s="22">
        <f>IF(COUNTIFS(A$2:A2244,A2244,I$2:I2244,I2244)=1,1,0)</f>
        <v>0</v>
      </c>
      <c r="R2244" s="22">
        <f t="shared" si="35"/>
        <v>2</v>
      </c>
      <c r="S2244" s="33">
        <f>IF(COUNTIF(O$2:O2244,O2244)=1,R2244,0)/2.5</f>
        <v>0.8</v>
      </c>
    </row>
    <row r="2245" spans="1:19" ht="18" customHeight="1" x14ac:dyDescent="0.25">
      <c r="A2245" s="7" t="s">
        <v>43</v>
      </c>
      <c r="B2245" s="8">
        <v>1</v>
      </c>
      <c r="C2245" s="9">
        <v>441.3</v>
      </c>
      <c r="D2245" s="29">
        <f>C2245+IF(INDEX('Справочник по %'!B:B,(MATCH(A2245,'Справочник по %'!A:A,0)))="кол-во",B2245*INDEX('Справочник по %'!C:C,(MATCH(A2245,'Справочник по %'!A:A,0))),ОТЧЕТ!C2245*INDEX('Справочник по %'!C:C,(MATCH(A2245,'Справочник по %'!A:A,0))))/100</f>
        <v>485.43</v>
      </c>
      <c r="E2245" s="29">
        <f>IF(ОТЧЕТ!A2245="SKU3",C2245+ОТЧЕТ!C2245*0.2,C2245+ОТЧЕТ!C2245*0.15)</f>
        <v>507.495</v>
      </c>
      <c r="F2245" s="7" t="s">
        <v>4402</v>
      </c>
      <c r="G2245" s="7">
        <v>6315637122</v>
      </c>
      <c r="H2245" s="20" t="s">
        <v>1201</v>
      </c>
      <c r="I2245" s="22">
        <f>INDEX('Справочник Сети'!B:B,(MATCH(G2245,'Справочник Сети'!C:C,0)))</f>
        <v>0</v>
      </c>
      <c r="J2245" s="7" t="s">
        <v>203</v>
      </c>
      <c r="K2245" s="7" t="s">
        <v>544</v>
      </c>
      <c r="L2245" s="7" t="s">
        <v>203</v>
      </c>
      <c r="M2245" s="31">
        <v>45696</v>
      </c>
      <c r="N2245" s="7" t="s">
        <v>4406</v>
      </c>
      <c r="O2245" s="8">
        <v>3765</v>
      </c>
      <c r="P2245" s="24">
        <v>8453</v>
      </c>
      <c r="Q2245" s="22">
        <f>IF(COUNTIFS(A$2:A2245,A2245,I$2:I2245,I2245)=1,1,0)</f>
        <v>0</v>
      </c>
      <c r="R2245" s="22">
        <f t="shared" si="35"/>
        <v>1</v>
      </c>
      <c r="S2245" s="33">
        <f>IF(COUNTIF(O$2:O2245,O2245)=1,R2245,0)/2.5</f>
        <v>0.4</v>
      </c>
    </row>
    <row r="2246" spans="1:19" ht="18" customHeight="1" x14ac:dyDescent="0.25">
      <c r="A2246" s="7" t="s">
        <v>43</v>
      </c>
      <c r="B2246" s="8">
        <v>1</v>
      </c>
      <c r="C2246" s="9">
        <v>481.6</v>
      </c>
      <c r="D2246" s="29">
        <f>C2246+IF(INDEX('Справочник по %'!B:B,(MATCH(A2246,'Справочник по %'!A:A,0)))="кол-во",B2246*INDEX('Справочник по %'!C:C,(MATCH(A2246,'Справочник по %'!A:A,0))),ОТЧЕТ!C2246*INDEX('Справочник по %'!C:C,(MATCH(A2246,'Справочник по %'!A:A,0))))/100</f>
        <v>529.76</v>
      </c>
      <c r="E2246" s="29">
        <f>IF(ОТЧЕТ!A2246="SKU3",C2246+ОТЧЕТ!C2246*0.2,C2246+ОТЧЕТ!C2246*0.15)</f>
        <v>553.84</v>
      </c>
      <c r="F2246" s="7" t="s">
        <v>4402</v>
      </c>
      <c r="G2246" s="7">
        <v>5800010141</v>
      </c>
      <c r="H2246" s="20" t="s">
        <v>91</v>
      </c>
      <c r="I2246" s="22">
        <f>INDEX('Справочник Сети'!B:B,(MATCH(G2246,'Справочник Сети'!C:C,0)))</f>
        <v>0</v>
      </c>
      <c r="J2246" s="7" t="s">
        <v>40</v>
      </c>
      <c r="K2246" s="7" t="s">
        <v>4407</v>
      </c>
      <c r="L2246" s="7" t="s">
        <v>40</v>
      </c>
      <c r="M2246" s="31">
        <v>45712</v>
      </c>
      <c r="N2246" s="7" t="s">
        <v>4408</v>
      </c>
      <c r="O2246" s="8">
        <v>2320</v>
      </c>
      <c r="P2246" s="24">
        <v>8455</v>
      </c>
      <c r="Q2246" s="22">
        <f>IF(COUNTIFS(A$2:A2246,A2246,I$2:I2246,I2246)=1,1,0)</f>
        <v>0</v>
      </c>
      <c r="R2246" s="22">
        <f t="shared" si="35"/>
        <v>2</v>
      </c>
      <c r="S2246" s="33">
        <f>IF(COUNTIF(O$2:O2246,O2246)=1,R2246,0)/2.5</f>
        <v>0</v>
      </c>
    </row>
    <row r="2247" spans="1:19" ht="18" customHeight="1" x14ac:dyDescent="0.25">
      <c r="A2247" s="7" t="s">
        <v>43</v>
      </c>
      <c r="B2247" s="8">
        <v>1</v>
      </c>
      <c r="C2247" s="9">
        <v>418</v>
      </c>
      <c r="D2247" s="29">
        <f>C2247+IF(INDEX('Справочник по %'!B:B,(MATCH(A2247,'Справочник по %'!A:A,0)))="кол-во",B2247*INDEX('Справочник по %'!C:C,(MATCH(A2247,'Справочник по %'!A:A,0))),ОТЧЕТ!C2247*INDEX('Справочник по %'!C:C,(MATCH(A2247,'Справочник по %'!A:A,0))))/100</f>
        <v>459.8</v>
      </c>
      <c r="E2247" s="29">
        <f>IF(ОТЧЕТ!A2247="SKU3",C2247+ОТЧЕТ!C2247*0.2,C2247+ОТЧЕТ!C2247*0.15)</f>
        <v>480.7</v>
      </c>
      <c r="F2247" s="7" t="s">
        <v>4409</v>
      </c>
      <c r="G2247" s="7">
        <v>6679151868</v>
      </c>
      <c r="H2247" s="20" t="s">
        <v>766</v>
      </c>
      <c r="I2247" s="22" t="str">
        <f>INDEX('Справочник Сети'!B:B,(MATCH(G2247,'Справочник Сети'!C:C,0)))</f>
        <v>36,6</v>
      </c>
      <c r="J2247" s="7" t="s">
        <v>106</v>
      </c>
      <c r="K2247" s="7" t="s">
        <v>4410</v>
      </c>
      <c r="L2247" s="7" t="s">
        <v>133</v>
      </c>
      <c r="M2247" s="31">
        <v>45695</v>
      </c>
      <c r="N2247" s="7" t="s">
        <v>4411</v>
      </c>
      <c r="O2247" s="8">
        <v>95</v>
      </c>
      <c r="P2247" s="24">
        <v>8456</v>
      </c>
      <c r="Q2247" s="22">
        <f>IF(COUNTIFS(A$2:A2247,A2247,I$2:I2247,I2247)=1,1,0)</f>
        <v>0</v>
      </c>
      <c r="R2247" s="22">
        <f t="shared" si="35"/>
        <v>1</v>
      </c>
      <c r="S2247" s="33">
        <f>IF(COUNTIF(O$2:O2247,O2247)=1,R2247,0)/2.5</f>
        <v>0.4</v>
      </c>
    </row>
    <row r="2248" spans="1:19" ht="18" customHeight="1" x14ac:dyDescent="0.25">
      <c r="A2248" s="7" t="s">
        <v>43</v>
      </c>
      <c r="B2248" s="8">
        <v>1</v>
      </c>
      <c r="C2248" s="9">
        <v>399</v>
      </c>
      <c r="D2248" s="29">
        <f>C2248+IF(INDEX('Справочник по %'!B:B,(MATCH(A2248,'Справочник по %'!A:A,0)))="кол-во",B2248*INDEX('Справочник по %'!C:C,(MATCH(A2248,'Справочник по %'!A:A,0))),ОТЧЕТ!C2248*INDEX('Справочник по %'!C:C,(MATCH(A2248,'Справочник по %'!A:A,0))))/100</f>
        <v>438.9</v>
      </c>
      <c r="E2248" s="29">
        <f>IF(ОТЧЕТ!A2248="SKU3",C2248+ОТЧЕТ!C2248*0.2,C2248+ОТЧЕТ!C2248*0.15)</f>
        <v>458.85</v>
      </c>
      <c r="F2248" s="7" t="s">
        <v>4412</v>
      </c>
      <c r="G2248" s="7">
        <v>7716997445</v>
      </c>
      <c r="H2248" s="20" t="s">
        <v>167</v>
      </c>
      <c r="I2248" s="22" t="str">
        <f>INDEX('Справочник Сети'!B:B,(MATCH(G2248,'Справочник Сети'!C:C,0)))</f>
        <v>Столички</v>
      </c>
      <c r="J2248" s="7" t="s">
        <v>168</v>
      </c>
      <c r="K2248" s="7" t="s">
        <v>4413</v>
      </c>
      <c r="L2248" s="7" t="s">
        <v>168</v>
      </c>
      <c r="M2248" s="31">
        <v>45676</v>
      </c>
      <c r="N2248" s="7" t="s">
        <v>4414</v>
      </c>
      <c r="O2248" s="8">
        <v>1990</v>
      </c>
      <c r="P2248" s="24">
        <v>8462</v>
      </c>
      <c r="Q2248" s="22">
        <f>IF(COUNTIFS(A$2:A2248,A2248,I$2:I2248,I2248)=1,1,0)</f>
        <v>0</v>
      </c>
      <c r="R2248" s="22">
        <f t="shared" si="35"/>
        <v>2</v>
      </c>
      <c r="S2248" s="33">
        <f>IF(COUNTIF(O$2:O2248,O2248)=1,R2248,0)/2.5</f>
        <v>0</v>
      </c>
    </row>
    <row r="2249" spans="1:19" ht="18" customHeight="1" x14ac:dyDescent="0.25">
      <c r="A2249" s="7" t="s">
        <v>43</v>
      </c>
      <c r="B2249" s="8">
        <v>1</v>
      </c>
      <c r="C2249" s="9">
        <v>534</v>
      </c>
      <c r="D2249" s="29">
        <f>C2249+IF(INDEX('Справочник по %'!B:B,(MATCH(A2249,'Справочник по %'!A:A,0)))="кол-во",B2249*INDEX('Справочник по %'!C:C,(MATCH(A2249,'Справочник по %'!A:A,0))),ОТЧЕТ!C2249*INDEX('Справочник по %'!C:C,(MATCH(A2249,'Справочник по %'!A:A,0))))/100</f>
        <v>587.4</v>
      </c>
      <c r="E2249" s="29">
        <f>IF(ОТЧЕТ!A2249="SKU3",C2249+ОТЧЕТ!C2249*0.2,C2249+ОТЧЕТ!C2249*0.15)</f>
        <v>614.1</v>
      </c>
      <c r="F2249" s="7" t="s">
        <v>4415</v>
      </c>
      <c r="G2249" s="7">
        <v>2224212012</v>
      </c>
      <c r="H2249" s="20" t="s">
        <v>50</v>
      </c>
      <c r="I2249" s="22">
        <f>INDEX('Справочник Сети'!B:B,(MATCH(G2249,'Справочник Сети'!C:C,0)))</f>
        <v>0</v>
      </c>
      <c r="J2249" s="7" t="s">
        <v>372</v>
      </c>
      <c r="K2249" s="7" t="s">
        <v>4416</v>
      </c>
      <c r="L2249" s="7" t="s">
        <v>372</v>
      </c>
      <c r="M2249" s="31">
        <v>45730</v>
      </c>
      <c r="N2249" s="7" t="s">
        <v>4417</v>
      </c>
      <c r="O2249" s="8">
        <v>222</v>
      </c>
      <c r="P2249" s="24">
        <v>8469</v>
      </c>
      <c r="Q2249" s="22">
        <f>IF(COUNTIFS(A$2:A2249,A2249,I$2:I2249,I2249)=1,1,0)</f>
        <v>0</v>
      </c>
      <c r="R2249" s="22">
        <f t="shared" si="35"/>
        <v>2</v>
      </c>
      <c r="S2249" s="33">
        <f>IF(COUNTIF(O$2:O2249,O2249)=1,R2249,0)/2.5</f>
        <v>0</v>
      </c>
    </row>
    <row r="2250" spans="1:19" ht="18" customHeight="1" x14ac:dyDescent="0.25">
      <c r="A2250" s="7" t="s">
        <v>43</v>
      </c>
      <c r="B2250" s="8">
        <v>1</v>
      </c>
      <c r="C2250" s="9">
        <v>391.5</v>
      </c>
      <c r="D2250" s="29">
        <f>C2250+IF(INDEX('Справочник по %'!B:B,(MATCH(A2250,'Справочник по %'!A:A,0)))="кол-во",B2250*INDEX('Справочник по %'!C:C,(MATCH(A2250,'Справочник по %'!A:A,0))),ОТЧЕТ!C2250*INDEX('Справочник по %'!C:C,(MATCH(A2250,'Справочник по %'!A:A,0))))/100</f>
        <v>430.65</v>
      </c>
      <c r="E2250" s="29">
        <f>IF(ОТЧЕТ!A2250="SKU3",C2250+ОТЧЕТ!C2250*0.2,C2250+ОТЧЕТ!C2250*0.15)</f>
        <v>450.22500000000002</v>
      </c>
      <c r="F2250" s="7" t="s">
        <v>4415</v>
      </c>
      <c r="G2250" s="7">
        <v>2466189073</v>
      </c>
      <c r="H2250" s="20" t="s">
        <v>2287</v>
      </c>
      <c r="I2250" s="22" t="str">
        <f>INDEX('Справочник Сети'!B:B,(MATCH(G2250,'Справочник Сети'!C:C,0)))</f>
        <v>Нео-фарм</v>
      </c>
      <c r="J2250" s="7" t="s">
        <v>96</v>
      </c>
      <c r="K2250" s="7" t="s">
        <v>4418</v>
      </c>
      <c r="L2250" s="7" t="s">
        <v>96</v>
      </c>
      <c r="M2250" s="31">
        <v>45727</v>
      </c>
      <c r="N2250" s="7" t="s">
        <v>4419</v>
      </c>
      <c r="O2250" s="8">
        <v>3522</v>
      </c>
      <c r="P2250" s="24">
        <v>8470</v>
      </c>
      <c r="Q2250" s="22">
        <f>IF(COUNTIFS(A$2:A2250,A2250,I$2:I2250,I2250)=1,1,0)</f>
        <v>0</v>
      </c>
      <c r="R2250" s="22">
        <f t="shared" si="35"/>
        <v>2</v>
      </c>
      <c r="S2250" s="33">
        <f>IF(COUNTIF(O$2:O2250,O2250)=1,R2250,0)/2.5</f>
        <v>0</v>
      </c>
    </row>
    <row r="2251" spans="1:19" ht="18" customHeight="1" x14ac:dyDescent="0.25">
      <c r="A2251" s="7" t="s">
        <v>43</v>
      </c>
      <c r="B2251" s="8">
        <v>1</v>
      </c>
      <c r="C2251" s="9">
        <v>370.79</v>
      </c>
      <c r="D2251" s="29">
        <f>C2251+IF(INDEX('Справочник по %'!B:B,(MATCH(A2251,'Справочник по %'!A:A,0)))="кол-во",B2251*INDEX('Справочник по %'!C:C,(MATCH(A2251,'Справочник по %'!A:A,0))),ОТЧЕТ!C2251*INDEX('Справочник по %'!C:C,(MATCH(A2251,'Справочник по %'!A:A,0))))/100</f>
        <v>407.86900000000003</v>
      </c>
      <c r="E2251" s="29">
        <f>IF(ОТЧЕТ!A2251="SKU3",C2251+ОТЧЕТ!C2251*0.2,C2251+ОТЧЕТ!C2251*0.15)</f>
        <v>426.4085</v>
      </c>
      <c r="F2251" s="7" t="s">
        <v>4420</v>
      </c>
      <c r="G2251" s="7">
        <v>7709068298</v>
      </c>
      <c r="H2251" s="20" t="s">
        <v>4421</v>
      </c>
      <c r="I2251" s="22" t="str">
        <f>INDEX('Справочник Сети'!B:B,(MATCH(G2251,'Справочник Сети'!C:C,0)))</f>
        <v>36,6</v>
      </c>
      <c r="J2251" s="7" t="s">
        <v>504</v>
      </c>
      <c r="K2251" s="7" t="s">
        <v>2057</v>
      </c>
      <c r="L2251" s="7" t="s">
        <v>504</v>
      </c>
      <c r="M2251" s="31">
        <v>45690</v>
      </c>
      <c r="N2251" s="7" t="s">
        <v>4422</v>
      </c>
      <c r="O2251" s="8">
        <v>1094</v>
      </c>
      <c r="P2251" s="24">
        <v>8472</v>
      </c>
      <c r="Q2251" s="22">
        <f>IF(COUNTIFS(A$2:A2251,A2251,I$2:I2251,I2251)=1,1,0)</f>
        <v>0</v>
      </c>
      <c r="R2251" s="22">
        <f t="shared" si="35"/>
        <v>1</v>
      </c>
      <c r="S2251" s="33">
        <f>IF(COUNTIF(O$2:O2251,O2251)=1,R2251,0)/2.5</f>
        <v>0.4</v>
      </c>
    </row>
    <row r="2252" spans="1:19" ht="18" customHeight="1" x14ac:dyDescent="0.25">
      <c r="A2252" s="7" t="s">
        <v>43</v>
      </c>
      <c r="B2252" s="8">
        <v>1</v>
      </c>
      <c r="C2252" s="9">
        <v>531</v>
      </c>
      <c r="D2252" s="29">
        <f>C2252+IF(INDEX('Справочник по %'!B:B,(MATCH(A2252,'Справочник по %'!A:A,0)))="кол-во",B2252*INDEX('Справочник по %'!C:C,(MATCH(A2252,'Справочник по %'!A:A,0))),ОТЧЕТ!C2252*INDEX('Справочник по %'!C:C,(MATCH(A2252,'Справочник по %'!A:A,0))))/100</f>
        <v>584.1</v>
      </c>
      <c r="E2252" s="29">
        <f>IF(ОТЧЕТ!A2252="SKU3",C2252+ОТЧЕТ!C2252*0.2,C2252+ОТЧЕТ!C2252*0.15)</f>
        <v>610.65</v>
      </c>
      <c r="F2252" s="7" t="s">
        <v>4420</v>
      </c>
      <c r="G2252" s="7">
        <v>2724040442</v>
      </c>
      <c r="H2252" s="20" t="s">
        <v>4423</v>
      </c>
      <c r="I2252" s="22">
        <f>INDEX('Справочник Сети'!B:B,(MATCH(G2252,'Справочник Сети'!C:C,0)))</f>
        <v>0</v>
      </c>
      <c r="J2252" s="7" t="s">
        <v>51</v>
      </c>
      <c r="K2252" s="7" t="s">
        <v>963</v>
      </c>
      <c r="L2252" s="7" t="s">
        <v>51</v>
      </c>
      <c r="M2252" s="31">
        <v>45725</v>
      </c>
      <c r="N2252" s="7" t="s">
        <v>4424</v>
      </c>
      <c r="O2252" s="8">
        <v>2654</v>
      </c>
      <c r="P2252" s="24">
        <v>8474</v>
      </c>
      <c r="Q2252" s="22">
        <f>IF(COUNTIFS(A$2:A2252,A2252,I$2:I2252,I2252)=1,1,0)</f>
        <v>0</v>
      </c>
      <c r="R2252" s="22">
        <f t="shared" si="35"/>
        <v>1</v>
      </c>
      <c r="S2252" s="33">
        <f>IF(COUNTIF(O$2:O2252,O2252)=1,R2252,0)/2.5</f>
        <v>0.4</v>
      </c>
    </row>
    <row r="2253" spans="1:19" ht="18" customHeight="1" x14ac:dyDescent="0.25">
      <c r="A2253" s="7" t="s">
        <v>43</v>
      </c>
      <c r="B2253" s="8">
        <v>1</v>
      </c>
      <c r="C2253" s="9">
        <v>455</v>
      </c>
      <c r="D2253" s="29">
        <f>C2253+IF(INDEX('Справочник по %'!B:B,(MATCH(A2253,'Справочник по %'!A:A,0)))="кол-во",B2253*INDEX('Справочник по %'!C:C,(MATCH(A2253,'Справочник по %'!A:A,0))),ОТЧЕТ!C2253*INDEX('Справочник по %'!C:C,(MATCH(A2253,'Справочник по %'!A:A,0))))/100</f>
        <v>500.5</v>
      </c>
      <c r="E2253" s="29">
        <f>IF(ОТЧЕТ!A2253="SKU3",C2253+ОТЧЕТ!C2253*0.2,C2253+ОТЧЕТ!C2253*0.15)</f>
        <v>523.25</v>
      </c>
      <c r="F2253" s="7" t="s">
        <v>4420</v>
      </c>
      <c r="G2253" s="7">
        <v>326537584</v>
      </c>
      <c r="H2253" s="20" t="s">
        <v>2940</v>
      </c>
      <c r="I2253" s="22" t="str">
        <f>INDEX('Справочник Сети'!B:B,(MATCH(G2253,'Справочник Сети'!C:C,0)))</f>
        <v>Планета здоровья</v>
      </c>
      <c r="J2253" s="7" t="s">
        <v>362</v>
      </c>
      <c r="K2253" s="7" t="s">
        <v>966</v>
      </c>
      <c r="L2253" s="7" t="s">
        <v>362</v>
      </c>
      <c r="M2253" s="31">
        <v>45732</v>
      </c>
      <c r="N2253" s="7" t="s">
        <v>4425</v>
      </c>
      <c r="O2253" s="8">
        <v>2943</v>
      </c>
      <c r="P2253" s="24">
        <v>8477</v>
      </c>
      <c r="Q2253" s="22">
        <f>IF(COUNTIFS(A$2:A2253,A2253,I$2:I2253,I2253)=1,1,0)</f>
        <v>0</v>
      </c>
      <c r="R2253" s="22">
        <f t="shared" si="35"/>
        <v>4</v>
      </c>
      <c r="S2253" s="33">
        <f>IF(COUNTIF(O$2:O2253,O2253)=1,R2253,0)/2.5</f>
        <v>0</v>
      </c>
    </row>
    <row r="2254" spans="1:19" ht="18" customHeight="1" x14ac:dyDescent="0.25">
      <c r="A2254" s="7" t="s">
        <v>43</v>
      </c>
      <c r="B2254" s="8">
        <v>1</v>
      </c>
      <c r="C2254" s="9">
        <v>454.38</v>
      </c>
      <c r="D2254" s="29">
        <f>C2254+IF(INDEX('Справочник по %'!B:B,(MATCH(A2254,'Справочник по %'!A:A,0)))="кол-во",B2254*INDEX('Справочник по %'!C:C,(MATCH(A2254,'Справочник по %'!A:A,0))),ОТЧЕТ!C2254*INDEX('Справочник по %'!C:C,(MATCH(A2254,'Справочник по %'!A:A,0))))/100</f>
        <v>499.81799999999998</v>
      </c>
      <c r="E2254" s="29">
        <f>IF(ОТЧЕТ!A2254="SKU3",C2254+ОТЧЕТ!C2254*0.2,C2254+ОТЧЕТ!C2254*0.15)</f>
        <v>522.53700000000003</v>
      </c>
      <c r="F2254" s="7" t="s">
        <v>4420</v>
      </c>
      <c r="G2254" s="7">
        <v>550700455672</v>
      </c>
      <c r="H2254" s="20" t="s">
        <v>50</v>
      </c>
      <c r="I2254" s="22">
        <f>INDEX('Справочник Сети'!B:B,(MATCH(G2254,'Справочник Сети'!C:C,0)))</f>
        <v>0</v>
      </c>
      <c r="J2254" s="7" t="s">
        <v>251</v>
      </c>
      <c r="K2254" s="7" t="s">
        <v>4426</v>
      </c>
      <c r="L2254" s="7" t="s">
        <v>251</v>
      </c>
      <c r="M2254" s="31">
        <v>45659</v>
      </c>
      <c r="N2254" s="7" t="s">
        <v>4427</v>
      </c>
      <c r="O2254" s="8">
        <v>3393</v>
      </c>
      <c r="P2254" s="24">
        <v>8478</v>
      </c>
      <c r="Q2254" s="22">
        <f>IF(COUNTIFS(A$2:A2254,A2254,I$2:I2254,I2254)=1,1,0)</f>
        <v>0</v>
      </c>
      <c r="R2254" s="22">
        <f t="shared" si="35"/>
        <v>3</v>
      </c>
      <c r="S2254" s="33">
        <f>IF(COUNTIF(O$2:O2254,O2254)=1,R2254,0)/2.5</f>
        <v>0</v>
      </c>
    </row>
    <row r="2255" spans="1:19" ht="18" customHeight="1" x14ac:dyDescent="0.25">
      <c r="A2255" s="7" t="s">
        <v>43</v>
      </c>
      <c r="B2255" s="8">
        <v>1</v>
      </c>
      <c r="C2255" s="9">
        <v>434.9</v>
      </c>
      <c r="D2255" s="29">
        <f>C2255+IF(INDEX('Справочник по %'!B:B,(MATCH(A2255,'Справочник по %'!A:A,0)))="кол-во",B2255*INDEX('Справочник по %'!C:C,(MATCH(A2255,'Справочник по %'!A:A,0))),ОТЧЕТ!C2255*INDEX('Справочник по %'!C:C,(MATCH(A2255,'Справочник по %'!A:A,0))))/100</f>
        <v>478.39</v>
      </c>
      <c r="E2255" s="29">
        <f>IF(ОТЧЕТ!A2255="SKU3",C2255+ОТЧЕТ!C2255*0.2,C2255+ОТЧЕТ!C2255*0.15)</f>
        <v>500.13499999999999</v>
      </c>
      <c r="F2255" s="7" t="s">
        <v>4428</v>
      </c>
      <c r="G2255" s="7">
        <v>2466233830</v>
      </c>
      <c r="H2255" s="20" t="s">
        <v>50</v>
      </c>
      <c r="I2255" s="22">
        <f>INDEX('Справочник Сети'!B:B,(MATCH(G2255,'Справочник Сети'!C:C,0)))</f>
        <v>0</v>
      </c>
      <c r="J2255" s="7" t="s">
        <v>96</v>
      </c>
      <c r="K2255" s="7" t="s">
        <v>4429</v>
      </c>
      <c r="L2255" s="7" t="s">
        <v>96</v>
      </c>
      <c r="M2255" s="31">
        <v>45727</v>
      </c>
      <c r="N2255" s="7" t="s">
        <v>4430</v>
      </c>
      <c r="O2255" s="8">
        <v>877</v>
      </c>
      <c r="P2255" s="24">
        <v>8485</v>
      </c>
      <c r="Q2255" s="22">
        <f>IF(COUNTIFS(A$2:A2255,A2255,I$2:I2255,I2255)=1,1,0)</f>
        <v>0</v>
      </c>
      <c r="R2255" s="22">
        <f t="shared" si="35"/>
        <v>1</v>
      </c>
      <c r="S2255" s="33">
        <f>IF(COUNTIF(O$2:O2255,O2255)=1,R2255,0)/2.5</f>
        <v>0.4</v>
      </c>
    </row>
    <row r="2256" spans="1:19" ht="18" customHeight="1" x14ac:dyDescent="0.25">
      <c r="A2256" s="7" t="s">
        <v>43</v>
      </c>
      <c r="B2256" s="8">
        <v>1</v>
      </c>
      <c r="C2256" s="9">
        <v>410.13</v>
      </c>
      <c r="D2256" s="29">
        <f>C2256+IF(INDEX('Справочник по %'!B:B,(MATCH(A2256,'Справочник по %'!A:A,0)))="кол-во",B2256*INDEX('Справочник по %'!C:C,(MATCH(A2256,'Справочник по %'!A:A,0))),ОТЧЕТ!C2256*INDEX('Справочник по %'!C:C,(MATCH(A2256,'Справочник по %'!A:A,0))))/100</f>
        <v>451.14300000000003</v>
      </c>
      <c r="E2256" s="29">
        <f>IF(ОТЧЕТ!A2256="SKU3",C2256+ОТЧЕТ!C2256*0.2,C2256+ОТЧЕТ!C2256*0.15)</f>
        <v>471.64949999999999</v>
      </c>
      <c r="F2256" s="7" t="s">
        <v>4428</v>
      </c>
      <c r="G2256" s="7">
        <v>5501217490</v>
      </c>
      <c r="H2256" s="20" t="s">
        <v>4431</v>
      </c>
      <c r="I2256" s="22">
        <f>INDEX('Справочник Сети'!B:B,(MATCH(G2256,'Справочник Сети'!C:C,0)))</f>
        <v>0</v>
      </c>
      <c r="J2256" s="7" t="s">
        <v>255</v>
      </c>
      <c r="K2256" s="7" t="s">
        <v>1507</v>
      </c>
      <c r="L2256" s="7" t="s">
        <v>255</v>
      </c>
      <c r="M2256" s="31">
        <v>45713</v>
      </c>
      <c r="N2256" s="7" t="s">
        <v>4432</v>
      </c>
      <c r="O2256" s="8">
        <v>1916</v>
      </c>
      <c r="P2256" s="24">
        <v>8489</v>
      </c>
      <c r="Q2256" s="22">
        <f>IF(COUNTIFS(A$2:A2256,A2256,I$2:I2256,I2256)=1,1,0)</f>
        <v>0</v>
      </c>
      <c r="R2256" s="22">
        <f t="shared" si="35"/>
        <v>6</v>
      </c>
      <c r="S2256" s="33">
        <f>IF(COUNTIF(O$2:O2256,O2256)=1,R2256,0)/2.5</f>
        <v>0</v>
      </c>
    </row>
    <row r="2257" spans="1:19" ht="18" customHeight="1" x14ac:dyDescent="0.25">
      <c r="A2257" s="7" t="s">
        <v>43</v>
      </c>
      <c r="B2257" s="8">
        <v>1</v>
      </c>
      <c r="C2257" s="9">
        <v>428.9</v>
      </c>
      <c r="D2257" s="29">
        <f>C2257+IF(INDEX('Справочник по %'!B:B,(MATCH(A2257,'Справочник по %'!A:A,0)))="кол-во",B2257*INDEX('Справочник по %'!C:C,(MATCH(A2257,'Справочник по %'!A:A,0))),ОТЧЕТ!C2257*INDEX('Справочник по %'!C:C,(MATCH(A2257,'Справочник по %'!A:A,0))))/100</f>
        <v>471.78999999999996</v>
      </c>
      <c r="E2257" s="29">
        <f>IF(ОТЧЕТ!A2257="SKU3",C2257+ОТЧЕТ!C2257*0.2,C2257+ОТЧЕТ!C2257*0.15)</f>
        <v>493.23499999999996</v>
      </c>
      <c r="F2257" s="7" t="s">
        <v>4428</v>
      </c>
      <c r="G2257" s="7">
        <v>7204146152</v>
      </c>
      <c r="H2257" s="20" t="s">
        <v>4433</v>
      </c>
      <c r="I2257" s="22" t="str">
        <f>INDEX('Справочник Сети'!B:B,(MATCH(G2257,'Справочник Сети'!C:C,0)))</f>
        <v>36,6</v>
      </c>
      <c r="J2257" s="7" t="s">
        <v>104</v>
      </c>
      <c r="K2257" s="7" t="s">
        <v>4434</v>
      </c>
      <c r="L2257" s="7" t="s">
        <v>106</v>
      </c>
      <c r="M2257" s="31">
        <v>45694</v>
      </c>
      <c r="N2257" s="7" t="s">
        <v>4435</v>
      </c>
      <c r="O2257" s="8">
        <v>836</v>
      </c>
      <c r="P2257" s="24">
        <v>8493</v>
      </c>
      <c r="Q2257" s="22">
        <f>IF(COUNTIFS(A$2:A2257,A2257,I$2:I2257,I2257)=1,1,0)</f>
        <v>0</v>
      </c>
      <c r="R2257" s="22">
        <f t="shared" si="35"/>
        <v>11</v>
      </c>
      <c r="S2257" s="33">
        <f>IF(COUNTIF(O$2:O2257,O2257)=1,R2257,0)/2.5</f>
        <v>0</v>
      </c>
    </row>
    <row r="2258" spans="1:19" ht="18" customHeight="1" x14ac:dyDescent="0.25">
      <c r="A2258" s="7" t="s">
        <v>43</v>
      </c>
      <c r="B2258" s="8">
        <v>1</v>
      </c>
      <c r="C2258" s="9">
        <v>445</v>
      </c>
      <c r="D2258" s="29">
        <f>C2258+IF(INDEX('Справочник по %'!B:B,(MATCH(A2258,'Справочник по %'!A:A,0)))="кол-во",B2258*INDEX('Справочник по %'!C:C,(MATCH(A2258,'Справочник по %'!A:A,0))),ОТЧЕТ!C2258*INDEX('Справочник по %'!C:C,(MATCH(A2258,'Справочник по %'!A:A,0))))/100</f>
        <v>489.5</v>
      </c>
      <c r="E2258" s="29">
        <f>IF(ОТЧЕТ!A2258="SKU3",C2258+ОТЧЕТ!C2258*0.2,C2258+ОТЧЕТ!C2258*0.15)</f>
        <v>511.75</v>
      </c>
      <c r="F2258" s="7" t="s">
        <v>4428</v>
      </c>
      <c r="G2258" s="7">
        <v>5018012052</v>
      </c>
      <c r="H2258" s="20" t="s">
        <v>50</v>
      </c>
      <c r="I2258" s="22" t="str">
        <f>INDEX('Справочник Сети'!B:B,(MATCH(G2258,'Справочник Сети'!C:C,0)))</f>
        <v>Столички</v>
      </c>
      <c r="J2258" s="7" t="s">
        <v>83</v>
      </c>
      <c r="K2258" s="7" t="s">
        <v>4436</v>
      </c>
      <c r="L2258" s="7" t="s">
        <v>83</v>
      </c>
      <c r="M2258" s="31">
        <v>45715</v>
      </c>
      <c r="N2258" s="7" t="s">
        <v>4437</v>
      </c>
      <c r="O2258" s="8">
        <v>1044</v>
      </c>
      <c r="P2258" s="24">
        <v>8494</v>
      </c>
      <c r="Q2258" s="22">
        <f>IF(COUNTIFS(A$2:A2258,A2258,I$2:I2258,I2258)=1,1,0)</f>
        <v>0</v>
      </c>
      <c r="R2258" s="22">
        <f t="shared" si="35"/>
        <v>3</v>
      </c>
      <c r="S2258" s="33">
        <f>IF(COUNTIF(O$2:O2258,O2258)=1,R2258,0)/2.5</f>
        <v>0</v>
      </c>
    </row>
    <row r="2259" spans="1:19" ht="18" customHeight="1" x14ac:dyDescent="0.25">
      <c r="A2259" s="7" t="s">
        <v>43</v>
      </c>
      <c r="B2259" s="8">
        <v>1</v>
      </c>
      <c r="C2259" s="9">
        <v>466.57</v>
      </c>
      <c r="D2259" s="29">
        <f>C2259+IF(INDEX('Справочник по %'!B:B,(MATCH(A2259,'Справочник по %'!A:A,0)))="кол-во",B2259*INDEX('Справочник по %'!C:C,(MATCH(A2259,'Справочник по %'!A:A,0))),ОТЧЕТ!C2259*INDEX('Справочник по %'!C:C,(MATCH(A2259,'Справочник по %'!A:A,0))))/100</f>
        <v>513.22699999999998</v>
      </c>
      <c r="E2259" s="29">
        <f>IF(ОТЧЕТ!A2259="SKU3",C2259+ОТЧЕТ!C2259*0.2,C2259+ОТЧЕТ!C2259*0.15)</f>
        <v>536.55549999999994</v>
      </c>
      <c r="F2259" s="7" t="s">
        <v>4438</v>
      </c>
      <c r="G2259" s="7">
        <v>7813354866</v>
      </c>
      <c r="H2259" s="20" t="s">
        <v>4439</v>
      </c>
      <c r="I2259" s="22">
        <f>INDEX('Справочник Сети'!B:B,(MATCH(G2259,'Справочник Сети'!C:C,0)))</f>
        <v>0</v>
      </c>
      <c r="J2259" s="7" t="s">
        <v>121</v>
      </c>
      <c r="K2259" s="7" t="s">
        <v>2052</v>
      </c>
      <c r="L2259" s="7" t="s">
        <v>121</v>
      </c>
      <c r="M2259" s="31">
        <v>45671</v>
      </c>
      <c r="N2259" s="7" t="s">
        <v>4440</v>
      </c>
      <c r="O2259" s="8">
        <v>1849</v>
      </c>
      <c r="P2259" s="24">
        <v>8497</v>
      </c>
      <c r="Q2259" s="22">
        <f>IF(COUNTIFS(A$2:A2259,A2259,I$2:I2259,I2259)=1,1,0)</f>
        <v>0</v>
      </c>
      <c r="R2259" s="22">
        <f t="shared" si="35"/>
        <v>2</v>
      </c>
      <c r="S2259" s="33">
        <f>IF(COUNTIF(O$2:O2259,O2259)=1,R2259,0)/2.5</f>
        <v>0</v>
      </c>
    </row>
    <row r="2260" spans="1:19" ht="18" customHeight="1" x14ac:dyDescent="0.25">
      <c r="A2260" s="7" t="s">
        <v>43</v>
      </c>
      <c r="B2260" s="8">
        <v>1</v>
      </c>
      <c r="C2260" s="9">
        <v>355.4</v>
      </c>
      <c r="D2260" s="29">
        <f>C2260+IF(INDEX('Справочник по %'!B:B,(MATCH(A2260,'Справочник по %'!A:A,0)))="кол-во",B2260*INDEX('Справочник по %'!C:C,(MATCH(A2260,'Справочник по %'!A:A,0))),ОТЧЕТ!C2260*INDEX('Справочник по %'!C:C,(MATCH(A2260,'Справочник по %'!A:A,0))))/100</f>
        <v>390.94</v>
      </c>
      <c r="E2260" s="29">
        <f>IF(ОТЧЕТ!A2260="SKU3",C2260+ОТЧЕТ!C2260*0.2,C2260+ОТЧЕТ!C2260*0.15)</f>
        <v>408.71</v>
      </c>
      <c r="F2260" s="7" t="s">
        <v>4441</v>
      </c>
      <c r="G2260" s="7">
        <v>6324030969</v>
      </c>
      <c r="H2260" s="20" t="s">
        <v>2582</v>
      </c>
      <c r="I2260" s="22">
        <f>INDEX('Справочник Сети'!B:B,(MATCH(G2260,'Справочник Сети'!C:C,0)))</f>
        <v>0</v>
      </c>
      <c r="J2260" s="7" t="s">
        <v>133</v>
      </c>
      <c r="K2260" s="7" t="s">
        <v>508</v>
      </c>
      <c r="L2260" s="7" t="s">
        <v>133</v>
      </c>
      <c r="M2260" s="31">
        <v>45695</v>
      </c>
      <c r="N2260" s="7" t="s">
        <v>4442</v>
      </c>
      <c r="O2260" s="8">
        <v>1059</v>
      </c>
      <c r="P2260" s="24">
        <v>8502</v>
      </c>
      <c r="Q2260" s="22">
        <f>IF(COUNTIFS(A$2:A2260,A2260,I$2:I2260,I2260)=1,1,0)</f>
        <v>0</v>
      </c>
      <c r="R2260" s="22">
        <f t="shared" si="35"/>
        <v>1</v>
      </c>
      <c r="S2260" s="33">
        <f>IF(COUNTIF(O$2:O2260,O2260)=1,R2260,0)/2.5</f>
        <v>0.4</v>
      </c>
    </row>
    <row r="2261" spans="1:19" ht="18" customHeight="1" x14ac:dyDescent="0.25">
      <c r="A2261" s="7" t="s">
        <v>43</v>
      </c>
      <c r="B2261" s="8">
        <v>1</v>
      </c>
      <c r="C2261" s="9">
        <v>432</v>
      </c>
      <c r="D2261" s="29">
        <f>C2261+IF(INDEX('Справочник по %'!B:B,(MATCH(A2261,'Справочник по %'!A:A,0)))="кол-во",B2261*INDEX('Справочник по %'!C:C,(MATCH(A2261,'Справочник по %'!A:A,0))),ОТЧЕТ!C2261*INDEX('Справочник по %'!C:C,(MATCH(A2261,'Справочник по %'!A:A,0))))/100</f>
        <v>475.2</v>
      </c>
      <c r="E2261" s="29">
        <f>IF(ОТЧЕТ!A2261="SKU3",C2261+ОТЧЕТ!C2261*0.2,C2261+ОТЧЕТ!C2261*0.15)</f>
        <v>496.8</v>
      </c>
      <c r="F2261" s="7" t="s">
        <v>4443</v>
      </c>
      <c r="G2261" s="7">
        <v>2310052764</v>
      </c>
      <c r="H2261" s="20" t="s">
        <v>1575</v>
      </c>
      <c r="I2261" s="22" t="str">
        <f>INDEX('Справочник Сети'!B:B,(MATCH(G2261,'Справочник Сети'!C:C,0)))</f>
        <v>Планета здоровья</v>
      </c>
      <c r="J2261" s="7" t="s">
        <v>57</v>
      </c>
      <c r="K2261" s="7" t="s">
        <v>381</v>
      </c>
      <c r="L2261" s="7" t="s">
        <v>57</v>
      </c>
      <c r="M2261" s="31">
        <v>45729</v>
      </c>
      <c r="N2261" s="7" t="s">
        <v>4444</v>
      </c>
      <c r="O2261" s="8">
        <v>3458</v>
      </c>
      <c r="P2261" s="24">
        <v>8504</v>
      </c>
      <c r="Q2261" s="22">
        <f>IF(COUNTIFS(A$2:A2261,A2261,I$2:I2261,I2261)=1,1,0)</f>
        <v>0</v>
      </c>
      <c r="R2261" s="22">
        <f t="shared" si="35"/>
        <v>4</v>
      </c>
      <c r="S2261" s="33">
        <f>IF(COUNTIF(O$2:O2261,O2261)=1,R2261,0)/2.5</f>
        <v>0</v>
      </c>
    </row>
    <row r="2262" spans="1:19" ht="18" customHeight="1" x14ac:dyDescent="0.25">
      <c r="A2262" s="7" t="s">
        <v>43</v>
      </c>
      <c r="B2262" s="8">
        <v>1</v>
      </c>
      <c r="C2262" s="9">
        <v>446.2</v>
      </c>
      <c r="D2262" s="29">
        <f>C2262+IF(INDEX('Справочник по %'!B:B,(MATCH(A2262,'Справочник по %'!A:A,0)))="кол-во",B2262*INDEX('Справочник по %'!C:C,(MATCH(A2262,'Справочник по %'!A:A,0))),ОТЧЕТ!C2262*INDEX('Справочник по %'!C:C,(MATCH(A2262,'Справочник по %'!A:A,0))))/100</f>
        <v>490.82</v>
      </c>
      <c r="E2262" s="29">
        <f>IF(ОТЧЕТ!A2262="SKU3",C2262+ОТЧЕТ!C2262*0.2,C2262+ОТЧЕТ!C2262*0.15)</f>
        <v>513.13</v>
      </c>
      <c r="F2262" s="7" t="s">
        <v>4445</v>
      </c>
      <c r="G2262" s="7">
        <v>1652023411</v>
      </c>
      <c r="H2262" s="20" t="s">
        <v>4446</v>
      </c>
      <c r="I2262" s="22" t="str">
        <f>INDEX('Справочник Сети'!B:B,(MATCH(G2262,'Справочник Сети'!C:C,0)))</f>
        <v>Ригла</v>
      </c>
      <c r="J2262" s="7" t="s">
        <v>335</v>
      </c>
      <c r="K2262" s="7" t="s">
        <v>2125</v>
      </c>
      <c r="L2262" s="7" t="s">
        <v>335</v>
      </c>
      <c r="M2262" s="31">
        <v>45731</v>
      </c>
      <c r="N2262" s="7" t="s">
        <v>4447</v>
      </c>
      <c r="O2262" s="8">
        <v>1214</v>
      </c>
      <c r="P2262" s="24">
        <v>8505</v>
      </c>
      <c r="Q2262" s="22">
        <f>IF(COUNTIFS(A$2:A2262,A2262,I$2:I2262,I2262)=1,1,0)</f>
        <v>0</v>
      </c>
      <c r="R2262" s="22">
        <f t="shared" si="35"/>
        <v>1</v>
      </c>
      <c r="S2262" s="33">
        <f>IF(COUNTIF(O$2:O2262,O2262)=1,R2262,0)/2.5</f>
        <v>0.4</v>
      </c>
    </row>
    <row r="2263" spans="1:19" ht="18" customHeight="1" x14ac:dyDescent="0.25">
      <c r="A2263" s="7" t="s">
        <v>43</v>
      </c>
      <c r="B2263" s="8">
        <v>1</v>
      </c>
      <c r="C2263" s="9">
        <v>393</v>
      </c>
      <c r="D2263" s="29">
        <f>C2263+IF(INDEX('Справочник по %'!B:B,(MATCH(A2263,'Справочник по %'!A:A,0)))="кол-во",B2263*INDEX('Справочник по %'!C:C,(MATCH(A2263,'Справочник по %'!A:A,0))),ОТЧЕТ!C2263*INDEX('Справочник по %'!C:C,(MATCH(A2263,'Справочник по %'!A:A,0))))/100</f>
        <v>432.3</v>
      </c>
      <c r="E2263" s="29">
        <f>IF(ОТЧЕТ!A2263="SKU3",C2263+ОТЧЕТ!C2263*0.2,C2263+ОТЧЕТ!C2263*0.15)</f>
        <v>451.95</v>
      </c>
      <c r="F2263" s="7" t="s">
        <v>4445</v>
      </c>
      <c r="G2263" s="7">
        <v>7732121736</v>
      </c>
      <c r="H2263" s="20" t="s">
        <v>1984</v>
      </c>
      <c r="I2263" s="22" t="str">
        <f>INDEX('Справочник Сети'!B:B,(MATCH(G2263,'Справочник Сети'!C:C,0)))</f>
        <v>Планета здоровья</v>
      </c>
      <c r="J2263" s="7" t="s">
        <v>149</v>
      </c>
      <c r="K2263" s="7" t="s">
        <v>1224</v>
      </c>
      <c r="L2263" s="7" t="s">
        <v>149</v>
      </c>
      <c r="M2263" s="31">
        <v>45673</v>
      </c>
      <c r="N2263" s="7" t="s">
        <v>4448</v>
      </c>
      <c r="O2263" s="8">
        <v>1794</v>
      </c>
      <c r="P2263" s="24">
        <v>8508</v>
      </c>
      <c r="Q2263" s="22">
        <f>IF(COUNTIFS(A$2:A2263,A2263,I$2:I2263,I2263)=1,1,0)</f>
        <v>0</v>
      </c>
      <c r="R2263" s="22">
        <f t="shared" si="35"/>
        <v>4</v>
      </c>
      <c r="S2263" s="33">
        <f>IF(COUNTIF(O$2:O2263,O2263)=1,R2263,0)/2.5</f>
        <v>0</v>
      </c>
    </row>
    <row r="2264" spans="1:19" ht="18" customHeight="1" x14ac:dyDescent="0.25">
      <c r="A2264" s="7" t="s">
        <v>43</v>
      </c>
      <c r="B2264" s="8">
        <v>1</v>
      </c>
      <c r="C2264" s="9">
        <v>410</v>
      </c>
      <c r="D2264" s="29">
        <f>C2264+IF(INDEX('Справочник по %'!B:B,(MATCH(A2264,'Справочник по %'!A:A,0)))="кол-во",B2264*INDEX('Справочник по %'!C:C,(MATCH(A2264,'Справочник по %'!A:A,0))),ОТЧЕТ!C2264*INDEX('Справочник по %'!C:C,(MATCH(A2264,'Справочник по %'!A:A,0))))/100</f>
        <v>451</v>
      </c>
      <c r="E2264" s="29">
        <f>IF(ОТЧЕТ!A2264="SKU3",C2264+ОТЧЕТ!C2264*0.2,C2264+ОТЧЕТ!C2264*0.15)</f>
        <v>471.5</v>
      </c>
      <c r="F2264" s="7" t="s">
        <v>4445</v>
      </c>
      <c r="G2264" s="7">
        <v>7702514360</v>
      </c>
      <c r="H2264" s="20" t="s">
        <v>50</v>
      </c>
      <c r="I2264" s="22" t="str">
        <f>INDEX('Справочник Сети'!B:B,(MATCH(G2264,'Справочник Сети'!C:C,0)))</f>
        <v>Ригла</v>
      </c>
      <c r="J2264" s="7" t="s">
        <v>104</v>
      </c>
      <c r="K2264" s="7" t="s">
        <v>3413</v>
      </c>
      <c r="L2264" s="7" t="s">
        <v>104</v>
      </c>
      <c r="M2264" s="31">
        <v>45693</v>
      </c>
      <c r="N2264" s="7" t="s">
        <v>4449</v>
      </c>
      <c r="O2264" s="8">
        <v>462</v>
      </c>
      <c r="P2264" s="24">
        <v>8511</v>
      </c>
      <c r="Q2264" s="22">
        <f>IF(COUNTIFS(A$2:A2264,A2264,I$2:I2264,I2264)=1,1,0)</f>
        <v>0</v>
      </c>
      <c r="R2264" s="22">
        <f t="shared" si="35"/>
        <v>4</v>
      </c>
      <c r="S2264" s="33">
        <f>IF(COUNTIF(O$2:O2264,O2264)=1,R2264,0)/2.5</f>
        <v>0</v>
      </c>
    </row>
    <row r="2265" spans="1:19" ht="18" customHeight="1" x14ac:dyDescent="0.25">
      <c r="A2265" s="7" t="s">
        <v>43</v>
      </c>
      <c r="B2265" s="8">
        <v>1</v>
      </c>
      <c r="C2265" s="9">
        <v>400.5</v>
      </c>
      <c r="D2265" s="29">
        <f>C2265+IF(INDEX('Справочник по %'!B:B,(MATCH(A2265,'Справочник по %'!A:A,0)))="кол-во",B2265*INDEX('Справочник по %'!C:C,(MATCH(A2265,'Справочник по %'!A:A,0))),ОТЧЕТ!C2265*INDEX('Справочник по %'!C:C,(MATCH(A2265,'Справочник по %'!A:A,0))))/100</f>
        <v>440.55</v>
      </c>
      <c r="E2265" s="29">
        <f>IF(ОТЧЕТ!A2265="SKU3",C2265+ОТЧЕТ!C2265*0.2,C2265+ОТЧЕТ!C2265*0.15)</f>
        <v>460.57499999999999</v>
      </c>
      <c r="F2265" s="7" t="s">
        <v>4450</v>
      </c>
      <c r="G2265" s="7">
        <v>5507102175</v>
      </c>
      <c r="H2265" s="20" t="s">
        <v>50</v>
      </c>
      <c r="I2265" s="22" t="str">
        <f>INDEX('Справочник Сети'!B:B,(MATCH(G2265,'Справочник Сети'!C:C,0)))</f>
        <v>Столички</v>
      </c>
      <c r="J2265" s="7" t="s">
        <v>255</v>
      </c>
      <c r="K2265" s="7" t="s">
        <v>719</v>
      </c>
      <c r="L2265" s="7" t="s">
        <v>255</v>
      </c>
      <c r="M2265" s="31">
        <v>45713</v>
      </c>
      <c r="N2265" s="7" t="s">
        <v>4451</v>
      </c>
      <c r="O2265" s="8">
        <v>435</v>
      </c>
      <c r="P2265" s="24">
        <v>8520</v>
      </c>
      <c r="Q2265" s="22">
        <f>IF(COUNTIFS(A$2:A2265,A2265,I$2:I2265,I2265)=1,1,0)</f>
        <v>0</v>
      </c>
      <c r="R2265" s="22">
        <f t="shared" si="35"/>
        <v>6</v>
      </c>
      <c r="S2265" s="33">
        <f>IF(COUNTIF(O$2:O2265,O2265)=1,R2265,0)/2.5</f>
        <v>0</v>
      </c>
    </row>
    <row r="2266" spans="1:19" ht="18" customHeight="1" x14ac:dyDescent="0.25">
      <c r="A2266" s="7" t="s">
        <v>43</v>
      </c>
      <c r="B2266" s="8">
        <v>1</v>
      </c>
      <c r="C2266" s="9">
        <v>446</v>
      </c>
      <c r="D2266" s="29">
        <f>C2266+IF(INDEX('Справочник по %'!B:B,(MATCH(A2266,'Справочник по %'!A:A,0)))="кол-во",B2266*INDEX('Справочник по %'!C:C,(MATCH(A2266,'Справочник по %'!A:A,0))),ОТЧЕТ!C2266*INDEX('Справочник по %'!C:C,(MATCH(A2266,'Справочник по %'!A:A,0))))/100</f>
        <v>490.6</v>
      </c>
      <c r="E2266" s="29">
        <f>IF(ОТЧЕТ!A2266="SKU3",C2266+ОТЧЕТ!C2266*0.2,C2266+ОТЧЕТ!C2266*0.15)</f>
        <v>512.9</v>
      </c>
      <c r="F2266" s="7" t="s">
        <v>4450</v>
      </c>
      <c r="G2266" s="7">
        <v>7840411560</v>
      </c>
      <c r="H2266" s="20" t="s">
        <v>4452</v>
      </c>
      <c r="I2266" s="22" t="str">
        <f>INDEX('Справочник Сети'!B:B,(MATCH(G2266,'Справочник Сети'!C:C,0)))</f>
        <v>Столички</v>
      </c>
      <c r="J2266" s="7" t="s">
        <v>315</v>
      </c>
      <c r="K2266" s="7" t="s">
        <v>505</v>
      </c>
      <c r="L2266" s="7" t="s">
        <v>315</v>
      </c>
      <c r="M2266" s="31">
        <v>45670</v>
      </c>
      <c r="N2266" s="7" t="s">
        <v>4453</v>
      </c>
      <c r="O2266" s="8">
        <v>1</v>
      </c>
      <c r="P2266" s="24">
        <v>8525</v>
      </c>
      <c r="Q2266" s="22">
        <f>IF(COUNTIFS(A$2:A2266,A2266,I$2:I2266,I2266)=1,1,0)</f>
        <v>0</v>
      </c>
      <c r="R2266" s="22">
        <f t="shared" si="35"/>
        <v>1</v>
      </c>
      <c r="S2266" s="33">
        <f>IF(COUNTIF(O$2:O2266,O2266)=1,R2266,0)/2.5</f>
        <v>0.4</v>
      </c>
    </row>
    <row r="2267" spans="1:19" ht="18" customHeight="1" x14ac:dyDescent="0.25">
      <c r="A2267" s="7" t="s">
        <v>43</v>
      </c>
      <c r="B2267" s="8">
        <v>1</v>
      </c>
      <c r="C2267" s="9">
        <v>334</v>
      </c>
      <c r="D2267" s="29">
        <f>C2267+IF(INDEX('Справочник по %'!B:B,(MATCH(A2267,'Справочник по %'!A:A,0)))="кол-во",B2267*INDEX('Справочник по %'!C:C,(MATCH(A2267,'Справочник по %'!A:A,0))),ОТЧЕТ!C2267*INDEX('Справочник по %'!C:C,(MATCH(A2267,'Справочник по %'!A:A,0))))/100</f>
        <v>367.4</v>
      </c>
      <c r="E2267" s="29">
        <f>IF(ОТЧЕТ!A2267="SKU3",C2267+ОТЧЕТ!C2267*0.2,C2267+ОТЧЕТ!C2267*0.15)</f>
        <v>384.1</v>
      </c>
      <c r="F2267" s="7" t="s">
        <v>4450</v>
      </c>
      <c r="G2267" s="7">
        <v>7203539016</v>
      </c>
      <c r="H2267" s="20" t="s">
        <v>50</v>
      </c>
      <c r="I2267" s="22">
        <f>INDEX('Справочник Сети'!B:B,(MATCH(G2267,'Справочник Сети'!C:C,0)))</f>
        <v>0</v>
      </c>
      <c r="J2267" s="7" t="s">
        <v>104</v>
      </c>
      <c r="K2267" s="7" t="s">
        <v>691</v>
      </c>
      <c r="L2267" s="7" t="s">
        <v>106</v>
      </c>
      <c r="M2267" s="31">
        <v>45694</v>
      </c>
      <c r="N2267" s="7" t="s">
        <v>4454</v>
      </c>
      <c r="O2267" s="8">
        <v>694</v>
      </c>
      <c r="P2267" s="24">
        <v>8529</v>
      </c>
      <c r="Q2267" s="22">
        <f>IF(COUNTIFS(A$2:A2267,A2267,I$2:I2267,I2267)=1,1,0)</f>
        <v>0</v>
      </c>
      <c r="R2267" s="22">
        <f t="shared" si="35"/>
        <v>2</v>
      </c>
      <c r="S2267" s="33">
        <f>IF(COUNTIF(O$2:O2267,O2267)=1,R2267,0)/2.5</f>
        <v>0.8</v>
      </c>
    </row>
    <row r="2268" spans="1:19" ht="18" customHeight="1" x14ac:dyDescent="0.25">
      <c r="A2268" s="7" t="s">
        <v>43</v>
      </c>
      <c r="B2268" s="8">
        <v>1</v>
      </c>
      <c r="C2268" s="9">
        <v>334</v>
      </c>
      <c r="D2268" s="29">
        <f>C2268+IF(INDEX('Справочник по %'!B:B,(MATCH(A2268,'Справочник по %'!A:A,0)))="кол-во",B2268*INDEX('Справочник по %'!C:C,(MATCH(A2268,'Справочник по %'!A:A,0))),ОТЧЕТ!C2268*INDEX('Справочник по %'!C:C,(MATCH(A2268,'Справочник по %'!A:A,0))))/100</f>
        <v>367.4</v>
      </c>
      <c r="E2268" s="29">
        <f>IF(ОТЧЕТ!A2268="SKU3",C2268+ОТЧЕТ!C2268*0.2,C2268+ОТЧЕТ!C2268*0.15)</f>
        <v>384.1</v>
      </c>
      <c r="F2268" s="7" t="s">
        <v>4455</v>
      </c>
      <c r="G2268" s="7">
        <v>7203539016</v>
      </c>
      <c r="H2268" s="20" t="s">
        <v>50</v>
      </c>
      <c r="I2268" s="22">
        <f>INDEX('Справочник Сети'!B:B,(MATCH(G2268,'Справочник Сети'!C:C,0)))</f>
        <v>0</v>
      </c>
      <c r="J2268" s="7" t="s">
        <v>104</v>
      </c>
      <c r="K2268" s="7" t="s">
        <v>691</v>
      </c>
      <c r="L2268" s="7" t="s">
        <v>106</v>
      </c>
      <c r="M2268" s="31">
        <v>45694</v>
      </c>
      <c r="N2268" s="7" t="s">
        <v>4454</v>
      </c>
      <c r="O2268" s="8">
        <v>694</v>
      </c>
      <c r="P2268" s="24">
        <v>8529</v>
      </c>
      <c r="Q2268" s="22">
        <f>IF(COUNTIFS(A$2:A2268,A2268,I$2:I2268,I2268)=1,1,0)</f>
        <v>0</v>
      </c>
      <c r="R2268" s="22">
        <f t="shared" si="35"/>
        <v>2</v>
      </c>
      <c r="S2268" s="33">
        <f>IF(COUNTIF(O$2:O2268,O2268)=1,R2268,0)/2.5</f>
        <v>0</v>
      </c>
    </row>
    <row r="2269" spans="1:19" ht="18" customHeight="1" x14ac:dyDescent="0.25">
      <c r="A2269" s="7" t="s">
        <v>43</v>
      </c>
      <c r="B2269" s="8">
        <v>1</v>
      </c>
      <c r="C2269" s="9">
        <v>410</v>
      </c>
      <c r="D2269" s="29">
        <f>C2269+IF(INDEX('Справочник по %'!B:B,(MATCH(A2269,'Справочник по %'!A:A,0)))="кол-во",B2269*INDEX('Справочник по %'!C:C,(MATCH(A2269,'Справочник по %'!A:A,0))),ОТЧЕТ!C2269*INDEX('Справочник по %'!C:C,(MATCH(A2269,'Справочник по %'!A:A,0))))/100</f>
        <v>451</v>
      </c>
      <c r="E2269" s="29">
        <f>IF(ОТЧЕТ!A2269="SKU3",C2269+ОТЧЕТ!C2269*0.2,C2269+ОТЧЕТ!C2269*0.15)</f>
        <v>471.5</v>
      </c>
      <c r="F2269" s="7" t="s">
        <v>4455</v>
      </c>
      <c r="G2269" s="7">
        <v>6164078092</v>
      </c>
      <c r="H2269" s="20" t="s">
        <v>519</v>
      </c>
      <c r="I2269" s="22" t="str">
        <f>INDEX('Справочник Сети'!B:B,(MATCH(G2269,'Справочник Сети'!C:C,0)))</f>
        <v>Ригла</v>
      </c>
      <c r="J2269" s="7" t="s">
        <v>520</v>
      </c>
      <c r="K2269" s="7" t="s">
        <v>1549</v>
      </c>
      <c r="L2269" s="7" t="s">
        <v>520</v>
      </c>
      <c r="M2269" s="31">
        <v>45697</v>
      </c>
      <c r="N2269" s="7" t="s">
        <v>3438</v>
      </c>
      <c r="O2269" s="8">
        <v>1733</v>
      </c>
      <c r="P2269" s="24">
        <v>8531</v>
      </c>
      <c r="Q2269" s="22">
        <f>IF(COUNTIFS(A$2:A2269,A2269,I$2:I2269,I2269)=1,1,0)</f>
        <v>0</v>
      </c>
      <c r="R2269" s="22">
        <f t="shared" si="35"/>
        <v>2</v>
      </c>
      <c r="S2269" s="33">
        <f>IF(COUNTIF(O$2:O2269,O2269)=1,R2269,0)/2.5</f>
        <v>0</v>
      </c>
    </row>
    <row r="2270" spans="1:19" ht="18" customHeight="1" x14ac:dyDescent="0.25">
      <c r="A2270" s="7" t="s">
        <v>43</v>
      </c>
      <c r="B2270" s="8">
        <v>1</v>
      </c>
      <c r="C2270" s="9">
        <v>355</v>
      </c>
      <c r="D2270" s="29">
        <f>C2270+IF(INDEX('Справочник по %'!B:B,(MATCH(A2270,'Справочник по %'!A:A,0)))="кол-во",B2270*INDEX('Справочник по %'!C:C,(MATCH(A2270,'Справочник по %'!A:A,0))),ОТЧЕТ!C2270*INDEX('Справочник по %'!C:C,(MATCH(A2270,'Справочник по %'!A:A,0))))/100</f>
        <v>390.5</v>
      </c>
      <c r="E2270" s="29">
        <f>IF(ОТЧЕТ!A2270="SKU3",C2270+ОТЧЕТ!C2270*0.2,C2270+ОТЧЕТ!C2270*0.15)</f>
        <v>408.25</v>
      </c>
      <c r="F2270" s="7" t="s">
        <v>4455</v>
      </c>
      <c r="G2270" s="7">
        <v>2724214018</v>
      </c>
      <c r="H2270" s="20" t="s">
        <v>50</v>
      </c>
      <c r="I2270" s="22" t="str">
        <f>INDEX('Справочник Сети'!B:B,(MATCH(G2270,'Справочник Сети'!C:C,0)))</f>
        <v>Столички</v>
      </c>
      <c r="J2270" s="7" t="s">
        <v>193</v>
      </c>
      <c r="K2270" s="7" t="s">
        <v>1598</v>
      </c>
      <c r="L2270" s="7" t="s">
        <v>193</v>
      </c>
      <c r="M2270" s="31">
        <v>45718</v>
      </c>
      <c r="N2270" s="7" t="s">
        <v>2827</v>
      </c>
      <c r="O2270" s="8">
        <v>1501</v>
      </c>
      <c r="P2270" s="24">
        <v>8532</v>
      </c>
      <c r="Q2270" s="22">
        <f>IF(COUNTIFS(A$2:A2270,A2270,I$2:I2270,I2270)=1,1,0)</f>
        <v>0</v>
      </c>
      <c r="R2270" s="22">
        <f t="shared" si="35"/>
        <v>2</v>
      </c>
      <c r="S2270" s="33">
        <f>IF(COUNTIF(O$2:O2270,O2270)=1,R2270,0)/2.5</f>
        <v>0</v>
      </c>
    </row>
    <row r="2271" spans="1:19" ht="18" customHeight="1" x14ac:dyDescent="0.25">
      <c r="A2271" s="7" t="s">
        <v>43</v>
      </c>
      <c r="B2271" s="8">
        <v>1</v>
      </c>
      <c r="C2271" s="9">
        <v>410</v>
      </c>
      <c r="D2271" s="29">
        <f>C2271+IF(INDEX('Справочник по %'!B:B,(MATCH(A2271,'Справочник по %'!A:A,0)))="кол-во",B2271*INDEX('Справочник по %'!C:C,(MATCH(A2271,'Справочник по %'!A:A,0))),ОТЧЕТ!C2271*INDEX('Справочник по %'!C:C,(MATCH(A2271,'Справочник по %'!A:A,0))))/100</f>
        <v>451</v>
      </c>
      <c r="E2271" s="29">
        <f>IF(ОТЧЕТ!A2271="SKU3",C2271+ОТЧЕТ!C2271*0.2,C2271+ОТЧЕТ!C2271*0.15)</f>
        <v>471.5</v>
      </c>
      <c r="F2271" s="7" t="s">
        <v>4455</v>
      </c>
      <c r="G2271" s="7">
        <v>7702514360</v>
      </c>
      <c r="H2271" s="20" t="s">
        <v>50</v>
      </c>
      <c r="I2271" s="22" t="str">
        <f>INDEX('Справочник Сети'!B:B,(MATCH(G2271,'Справочник Сети'!C:C,0)))</f>
        <v>Ригла</v>
      </c>
      <c r="J2271" s="7" t="s">
        <v>104</v>
      </c>
      <c r="K2271" s="7" t="s">
        <v>3456</v>
      </c>
      <c r="L2271" s="7" t="s">
        <v>104</v>
      </c>
      <c r="M2271" s="31">
        <v>45693</v>
      </c>
      <c r="N2271" s="7" t="s">
        <v>4456</v>
      </c>
      <c r="O2271" s="8">
        <v>462</v>
      </c>
      <c r="P2271" s="24">
        <v>8534</v>
      </c>
      <c r="Q2271" s="22">
        <f>IF(COUNTIFS(A$2:A2271,A2271,I$2:I2271,I2271)=1,1,0)</f>
        <v>0</v>
      </c>
      <c r="R2271" s="22">
        <f t="shared" si="35"/>
        <v>4</v>
      </c>
      <c r="S2271" s="33">
        <f>IF(COUNTIF(O$2:O2271,O2271)=1,R2271,0)/2.5</f>
        <v>0</v>
      </c>
    </row>
    <row r="2272" spans="1:19" ht="18" customHeight="1" x14ac:dyDescent="0.25">
      <c r="A2272" s="7" t="s">
        <v>37</v>
      </c>
      <c r="B2272" s="8">
        <v>1</v>
      </c>
      <c r="C2272" s="9">
        <v>690</v>
      </c>
      <c r="D2272" s="29">
        <f>C2272+IF(INDEX('Справочник по %'!B:B,(MATCH(A2272,'Справочник по %'!A:A,0)))="кол-во",B2272*INDEX('Справочник по %'!C:C,(MATCH(A2272,'Справочник по %'!A:A,0))),ОТЧЕТ!C2272*INDEX('Справочник по %'!C:C,(MATCH(A2272,'Справочник по %'!A:A,0))))/100</f>
        <v>690.2</v>
      </c>
      <c r="E2272" s="29">
        <f>IF(ОТЧЕТ!A2272="SKU3",C2272+ОТЧЕТ!C2272*0.2,C2272+ОТЧЕТ!C2272*0.15)</f>
        <v>793.5</v>
      </c>
      <c r="F2272" s="7" t="s">
        <v>4457</v>
      </c>
      <c r="G2272" s="7">
        <v>7839481347</v>
      </c>
      <c r="H2272" s="20" t="s">
        <v>50</v>
      </c>
      <c r="I2272" s="22" t="str">
        <f>INDEX('Справочник Сети'!B:B,(MATCH(G2272,'Справочник Сети'!C:C,0)))</f>
        <v>Ригла</v>
      </c>
      <c r="J2272" s="7" t="s">
        <v>315</v>
      </c>
      <c r="K2272" s="7" t="s">
        <v>1215</v>
      </c>
      <c r="L2272" s="7" t="s">
        <v>121</v>
      </c>
      <c r="M2272" s="31">
        <v>45671</v>
      </c>
      <c r="N2272" s="7" t="s">
        <v>4458</v>
      </c>
      <c r="O2272" s="8">
        <v>816</v>
      </c>
      <c r="P2272" s="24">
        <v>8536</v>
      </c>
      <c r="Q2272" s="22">
        <f>IF(COUNTIFS(A$2:A2272,A2272,I$2:I2272,I2272)=1,1,0)</f>
        <v>0</v>
      </c>
      <c r="R2272" s="22">
        <f t="shared" si="35"/>
        <v>2</v>
      </c>
      <c r="S2272" s="33">
        <f>IF(COUNTIF(O$2:O2272,O2272)=1,R2272,0)/2.5</f>
        <v>0.8</v>
      </c>
    </row>
    <row r="2273" spans="1:19" ht="18" customHeight="1" x14ac:dyDescent="0.25">
      <c r="A2273" s="7" t="s">
        <v>43</v>
      </c>
      <c r="B2273" s="8">
        <v>1</v>
      </c>
      <c r="C2273" s="9">
        <v>388.41</v>
      </c>
      <c r="D2273" s="29">
        <f>C2273+IF(INDEX('Справочник по %'!B:B,(MATCH(A2273,'Справочник по %'!A:A,0)))="кол-во",B2273*INDEX('Справочник по %'!C:C,(MATCH(A2273,'Справочник по %'!A:A,0))),ОТЧЕТ!C2273*INDEX('Справочник по %'!C:C,(MATCH(A2273,'Справочник по %'!A:A,0))))/100</f>
        <v>427.25100000000003</v>
      </c>
      <c r="E2273" s="29">
        <f>IF(ОТЧЕТ!A2273="SKU3",C2273+ОТЧЕТ!C2273*0.2,C2273+ОТЧЕТ!C2273*0.15)</f>
        <v>446.67150000000004</v>
      </c>
      <c r="F2273" s="7" t="s">
        <v>4457</v>
      </c>
      <c r="G2273" s="7">
        <v>5507102175</v>
      </c>
      <c r="H2273" s="20" t="s">
        <v>50</v>
      </c>
      <c r="I2273" s="22" t="str">
        <f>INDEX('Справочник Сети'!B:B,(MATCH(G2273,'Справочник Сети'!C:C,0)))</f>
        <v>Столички</v>
      </c>
      <c r="J2273" s="7" t="s">
        <v>255</v>
      </c>
      <c r="K2273" s="7" t="s">
        <v>1262</v>
      </c>
      <c r="L2273" s="7" t="s">
        <v>255</v>
      </c>
      <c r="M2273" s="31">
        <v>45713</v>
      </c>
      <c r="N2273" s="7" t="s">
        <v>4459</v>
      </c>
      <c r="O2273" s="8">
        <v>1896</v>
      </c>
      <c r="P2273" s="24">
        <v>8537</v>
      </c>
      <c r="Q2273" s="22">
        <f>IF(COUNTIFS(A$2:A2273,A2273,I$2:I2273,I2273)=1,1,0)</f>
        <v>0</v>
      </c>
      <c r="R2273" s="22">
        <f t="shared" si="35"/>
        <v>1</v>
      </c>
      <c r="S2273" s="33">
        <f>IF(COUNTIF(O$2:O2273,O2273)=1,R2273,0)/2.5</f>
        <v>0.4</v>
      </c>
    </row>
    <row r="2274" spans="1:19" ht="18" customHeight="1" x14ac:dyDescent="0.25">
      <c r="A2274" s="7" t="s">
        <v>43</v>
      </c>
      <c r="B2274" s="8">
        <v>1</v>
      </c>
      <c r="C2274" s="9">
        <v>394.6</v>
      </c>
      <c r="D2274" s="29">
        <f>C2274+IF(INDEX('Справочник по %'!B:B,(MATCH(A2274,'Справочник по %'!A:A,0)))="кол-во",B2274*INDEX('Справочник по %'!C:C,(MATCH(A2274,'Справочник по %'!A:A,0))),ОТЧЕТ!C2274*INDEX('Справочник по %'!C:C,(MATCH(A2274,'Справочник по %'!A:A,0))))/100</f>
        <v>434.06</v>
      </c>
      <c r="E2274" s="29">
        <f>IF(ОТЧЕТ!A2274="SKU3",C2274+ОТЧЕТ!C2274*0.2,C2274+ОТЧЕТ!C2274*0.15)</f>
        <v>453.79</v>
      </c>
      <c r="F2274" s="7" t="s">
        <v>4457</v>
      </c>
      <c r="G2274" s="7">
        <v>732712429987</v>
      </c>
      <c r="H2274" s="20" t="s">
        <v>1201</v>
      </c>
      <c r="I2274" s="22">
        <f>INDEX('Справочник Сети'!B:B,(MATCH(G2274,'Справочник Сети'!C:C,0)))</f>
        <v>0</v>
      </c>
      <c r="J2274" s="7" t="s">
        <v>322</v>
      </c>
      <c r="K2274" s="7" t="s">
        <v>1671</v>
      </c>
      <c r="L2274" s="7" t="s">
        <v>322</v>
      </c>
      <c r="M2274" s="31">
        <v>45658</v>
      </c>
      <c r="N2274" s="7" t="s">
        <v>4460</v>
      </c>
      <c r="O2274" s="8">
        <v>2189</v>
      </c>
      <c r="P2274" s="24">
        <v>8542</v>
      </c>
      <c r="Q2274" s="22">
        <f>IF(COUNTIFS(A$2:A2274,A2274,I$2:I2274,I2274)=1,1,0)</f>
        <v>0</v>
      </c>
      <c r="R2274" s="22">
        <f t="shared" si="35"/>
        <v>1</v>
      </c>
      <c r="S2274" s="33">
        <f>IF(COUNTIF(O$2:O2274,O2274)=1,R2274,0)/2.5</f>
        <v>0.4</v>
      </c>
    </row>
    <row r="2275" spans="1:19" ht="18" customHeight="1" x14ac:dyDescent="0.25">
      <c r="A2275" s="7" t="s">
        <v>43</v>
      </c>
      <c r="B2275" s="8">
        <v>1</v>
      </c>
      <c r="C2275" s="9">
        <v>453</v>
      </c>
      <c r="D2275" s="29">
        <f>C2275+IF(INDEX('Справочник по %'!B:B,(MATCH(A2275,'Справочник по %'!A:A,0)))="кол-во",B2275*INDEX('Справочник по %'!C:C,(MATCH(A2275,'Справочник по %'!A:A,0))),ОТЧЕТ!C2275*INDEX('Справочник по %'!C:C,(MATCH(A2275,'Справочник по %'!A:A,0))))/100</f>
        <v>498.3</v>
      </c>
      <c r="E2275" s="29">
        <f>IF(ОТЧЕТ!A2275="SKU3",C2275+ОТЧЕТ!C2275*0.2,C2275+ОТЧЕТ!C2275*0.15)</f>
        <v>520.95000000000005</v>
      </c>
      <c r="F2275" s="7" t="s">
        <v>4457</v>
      </c>
      <c r="G2275" s="7">
        <v>3123001987</v>
      </c>
      <c r="H2275" s="20" t="s">
        <v>91</v>
      </c>
      <c r="I2275" s="22">
        <f>INDEX('Справочник Сети'!B:B,(MATCH(G2275,'Справочник Сети'!C:C,0)))</f>
        <v>0</v>
      </c>
      <c r="J2275" s="7" t="s">
        <v>193</v>
      </c>
      <c r="K2275" s="7" t="s">
        <v>4116</v>
      </c>
      <c r="L2275" s="7" t="s">
        <v>193</v>
      </c>
      <c r="M2275" s="31">
        <v>45718</v>
      </c>
      <c r="N2275" s="7" t="s">
        <v>4461</v>
      </c>
      <c r="O2275" s="8">
        <v>285</v>
      </c>
      <c r="P2275" s="24">
        <v>8543</v>
      </c>
      <c r="Q2275" s="22">
        <f>IF(COUNTIFS(A$2:A2275,A2275,I$2:I2275,I2275)=1,1,0)</f>
        <v>0</v>
      </c>
      <c r="R2275" s="22">
        <f t="shared" si="35"/>
        <v>1</v>
      </c>
      <c r="S2275" s="33">
        <f>IF(COUNTIF(O$2:O2275,O2275)=1,R2275,0)/2.5</f>
        <v>0.4</v>
      </c>
    </row>
    <row r="2276" spans="1:19" ht="18" customHeight="1" x14ac:dyDescent="0.25">
      <c r="A2276" s="7" t="s">
        <v>43</v>
      </c>
      <c r="B2276" s="8">
        <v>1</v>
      </c>
      <c r="C2276" s="9">
        <v>630</v>
      </c>
      <c r="D2276" s="29">
        <f>C2276+IF(INDEX('Справочник по %'!B:B,(MATCH(A2276,'Справочник по %'!A:A,0)))="кол-во",B2276*INDEX('Справочник по %'!C:C,(MATCH(A2276,'Справочник по %'!A:A,0))),ОТЧЕТ!C2276*INDEX('Справочник по %'!C:C,(MATCH(A2276,'Справочник по %'!A:A,0))))/100</f>
        <v>693</v>
      </c>
      <c r="E2276" s="29">
        <f>IF(ОТЧЕТ!A2276="SKU3",C2276+ОТЧЕТ!C2276*0.2,C2276+ОТЧЕТ!C2276*0.15)</f>
        <v>724.5</v>
      </c>
      <c r="F2276" s="7" t="s">
        <v>4457</v>
      </c>
      <c r="G2276" s="7">
        <v>1435268848</v>
      </c>
      <c r="H2276" s="20" t="s">
        <v>50</v>
      </c>
      <c r="I2276" s="22" t="str">
        <f>INDEX('Справочник Сети'!B:B,(MATCH(G2276,'Справочник Сети'!C:C,0)))</f>
        <v>Столички</v>
      </c>
      <c r="J2276" s="7" t="s">
        <v>335</v>
      </c>
      <c r="K2276" s="7" t="s">
        <v>394</v>
      </c>
      <c r="L2276" s="7" t="s">
        <v>335</v>
      </c>
      <c r="M2276" s="31">
        <v>45731</v>
      </c>
      <c r="N2276" s="7" t="s">
        <v>4462</v>
      </c>
      <c r="O2276" s="8">
        <v>476</v>
      </c>
      <c r="P2276" s="24">
        <v>8546</v>
      </c>
      <c r="Q2276" s="22">
        <f>IF(COUNTIFS(A$2:A2276,A2276,I$2:I2276,I2276)=1,1,0)</f>
        <v>0</v>
      </c>
      <c r="R2276" s="22">
        <f t="shared" si="35"/>
        <v>2</v>
      </c>
      <c r="S2276" s="33">
        <f>IF(COUNTIF(O$2:O2276,O2276)=1,R2276,0)/2.5</f>
        <v>0</v>
      </c>
    </row>
    <row r="2277" spans="1:19" ht="18" customHeight="1" x14ac:dyDescent="0.25">
      <c r="A2277" s="7" t="s">
        <v>37</v>
      </c>
      <c r="B2277" s="8">
        <v>1</v>
      </c>
      <c r="C2277" s="9">
        <v>616.91999999999996</v>
      </c>
      <c r="D2277" s="29">
        <f>C2277+IF(INDEX('Справочник по %'!B:B,(MATCH(A2277,'Справочник по %'!A:A,0)))="кол-во",B2277*INDEX('Справочник по %'!C:C,(MATCH(A2277,'Справочник по %'!A:A,0))),ОТЧЕТ!C2277*INDEX('Справочник по %'!C:C,(MATCH(A2277,'Справочник по %'!A:A,0))))/100</f>
        <v>617.12</v>
      </c>
      <c r="E2277" s="29">
        <f>IF(ОТЧЕТ!A2277="SKU3",C2277+ОТЧЕТ!C2277*0.2,C2277+ОТЧЕТ!C2277*0.15)</f>
        <v>709.45799999999997</v>
      </c>
      <c r="F2277" s="7" t="s">
        <v>4457</v>
      </c>
      <c r="G2277" s="7">
        <v>550502319283</v>
      </c>
      <c r="H2277" s="20" t="s">
        <v>4463</v>
      </c>
      <c r="I2277" s="22">
        <f>INDEX('Справочник Сети'!B:B,(MATCH(G2277,'Справочник Сети'!C:C,0)))</f>
        <v>0</v>
      </c>
      <c r="J2277" s="7" t="s">
        <v>251</v>
      </c>
      <c r="K2277" s="7" t="s">
        <v>3427</v>
      </c>
      <c r="L2277" s="7" t="s">
        <v>251</v>
      </c>
      <c r="M2277" s="31">
        <v>45659</v>
      </c>
      <c r="N2277" s="7" t="s">
        <v>4464</v>
      </c>
      <c r="O2277" s="8">
        <v>2084</v>
      </c>
      <c r="P2277" s="24">
        <v>8548</v>
      </c>
      <c r="Q2277" s="22">
        <f>IF(COUNTIFS(A$2:A2277,A2277,I$2:I2277,I2277)=1,1,0)</f>
        <v>0</v>
      </c>
      <c r="R2277" s="22">
        <f t="shared" si="35"/>
        <v>1</v>
      </c>
      <c r="S2277" s="33">
        <f>IF(COUNTIF(O$2:O2277,O2277)=1,R2277,0)/2.5</f>
        <v>0.4</v>
      </c>
    </row>
    <row r="2278" spans="1:19" ht="18" customHeight="1" x14ac:dyDescent="0.25">
      <c r="A2278" s="7" t="s">
        <v>43</v>
      </c>
      <c r="B2278" s="8">
        <v>1</v>
      </c>
      <c r="C2278" s="9">
        <v>603.99</v>
      </c>
      <c r="D2278" s="29">
        <f>C2278+IF(INDEX('Справочник по %'!B:B,(MATCH(A2278,'Справочник по %'!A:A,0)))="кол-во",B2278*INDEX('Справочник по %'!C:C,(MATCH(A2278,'Справочник по %'!A:A,0))),ОТЧЕТ!C2278*INDEX('Справочник по %'!C:C,(MATCH(A2278,'Справочник по %'!A:A,0))))/100</f>
        <v>664.38900000000001</v>
      </c>
      <c r="E2278" s="29">
        <f>IF(ОТЧЕТ!A2278="SKU3",C2278+ОТЧЕТ!C2278*0.2,C2278+ОТЧЕТ!C2278*0.15)</f>
        <v>694.58850000000007</v>
      </c>
      <c r="F2278" s="7" t="s">
        <v>4457</v>
      </c>
      <c r="G2278" s="7">
        <v>2225198434</v>
      </c>
      <c r="H2278" s="20" t="s">
        <v>91</v>
      </c>
      <c r="I2278" s="22">
        <f>INDEX('Справочник Сети'!B:B,(MATCH(G2278,'Справочник Сети'!C:C,0)))</f>
        <v>0</v>
      </c>
      <c r="J2278" s="7" t="s">
        <v>372</v>
      </c>
      <c r="K2278" s="7" t="s">
        <v>2438</v>
      </c>
      <c r="L2278" s="7" t="s">
        <v>372</v>
      </c>
      <c r="M2278" s="31">
        <v>45730</v>
      </c>
      <c r="N2278" s="7" t="s">
        <v>4465</v>
      </c>
      <c r="O2278" s="8">
        <v>188</v>
      </c>
      <c r="P2278" s="24">
        <v>8551</v>
      </c>
      <c r="Q2278" s="22">
        <f>IF(COUNTIFS(A$2:A2278,A2278,I$2:I2278,I2278)=1,1,0)</f>
        <v>0</v>
      </c>
      <c r="R2278" s="22">
        <f t="shared" si="35"/>
        <v>5</v>
      </c>
      <c r="S2278" s="33">
        <f>IF(COUNTIF(O$2:O2278,O2278)=1,R2278,0)/2.5</f>
        <v>0</v>
      </c>
    </row>
    <row r="2279" spans="1:19" ht="18" customHeight="1" x14ac:dyDescent="0.25">
      <c r="A2279" s="7" t="s">
        <v>43</v>
      </c>
      <c r="B2279" s="8">
        <v>1</v>
      </c>
      <c r="C2279" s="9">
        <v>400.9</v>
      </c>
      <c r="D2279" s="29">
        <f>C2279+IF(INDEX('Справочник по %'!B:B,(MATCH(A2279,'Справочник по %'!A:A,0)))="кол-во",B2279*INDEX('Справочник по %'!C:C,(MATCH(A2279,'Справочник по %'!A:A,0))),ОТЧЕТ!C2279*INDEX('Справочник по %'!C:C,(MATCH(A2279,'Справочник по %'!A:A,0))))/100</f>
        <v>440.99</v>
      </c>
      <c r="E2279" s="29">
        <f>IF(ОТЧЕТ!A2279="SKU3",C2279+ОТЧЕТ!C2279*0.2,C2279+ОТЧЕТ!C2279*0.15)</f>
        <v>461.03499999999997</v>
      </c>
      <c r="F2279" s="7" t="s">
        <v>4457</v>
      </c>
      <c r="G2279" s="7">
        <v>5507102175</v>
      </c>
      <c r="H2279" s="20" t="s">
        <v>50</v>
      </c>
      <c r="I2279" s="22" t="str">
        <f>INDEX('Справочник Сети'!B:B,(MATCH(G2279,'Справочник Сети'!C:C,0)))</f>
        <v>Столички</v>
      </c>
      <c r="J2279" s="7" t="s">
        <v>255</v>
      </c>
      <c r="K2279" s="7" t="s">
        <v>154</v>
      </c>
      <c r="L2279" s="7" t="s">
        <v>255</v>
      </c>
      <c r="M2279" s="31">
        <v>45713</v>
      </c>
      <c r="N2279" s="7" t="s">
        <v>4466</v>
      </c>
      <c r="O2279" s="8">
        <v>525</v>
      </c>
      <c r="P2279" s="24">
        <v>8559</v>
      </c>
      <c r="Q2279" s="22">
        <f>IF(COUNTIFS(A$2:A2279,A2279,I$2:I2279,I2279)=1,1,0)</f>
        <v>0</v>
      </c>
      <c r="R2279" s="22">
        <f t="shared" si="35"/>
        <v>3</v>
      </c>
      <c r="S2279" s="33">
        <f>IF(COUNTIF(O$2:O2279,O2279)=1,R2279,0)/2.5</f>
        <v>0</v>
      </c>
    </row>
    <row r="2280" spans="1:19" ht="18" customHeight="1" x14ac:dyDescent="0.25">
      <c r="A2280" s="7" t="s">
        <v>43</v>
      </c>
      <c r="B2280" s="8">
        <v>1</v>
      </c>
      <c r="C2280" s="9">
        <v>608</v>
      </c>
      <c r="D2280" s="29">
        <f>C2280+IF(INDEX('Справочник по %'!B:B,(MATCH(A2280,'Справочник по %'!A:A,0)))="кол-во",B2280*INDEX('Справочник по %'!C:C,(MATCH(A2280,'Справочник по %'!A:A,0))),ОТЧЕТ!C2280*INDEX('Справочник по %'!C:C,(MATCH(A2280,'Справочник по %'!A:A,0))))/100</f>
        <v>668.8</v>
      </c>
      <c r="E2280" s="29">
        <f>IF(ОТЧЕТ!A2280="SKU3",C2280+ОТЧЕТ!C2280*0.2,C2280+ОТЧЕТ!C2280*0.15)</f>
        <v>699.2</v>
      </c>
      <c r="F2280" s="7" t="s">
        <v>4467</v>
      </c>
      <c r="G2280" s="7">
        <v>7705947629</v>
      </c>
      <c r="H2280" s="20" t="s">
        <v>50</v>
      </c>
      <c r="I2280" s="22" t="str">
        <f>INDEX('Справочник Сети'!B:B,(MATCH(G2280,'Справочник Сети'!C:C,0)))</f>
        <v>36,6</v>
      </c>
      <c r="J2280" s="7" t="s">
        <v>116</v>
      </c>
      <c r="K2280" s="7" t="s">
        <v>969</v>
      </c>
      <c r="L2280" s="7" t="s">
        <v>104</v>
      </c>
      <c r="M2280" s="31">
        <v>45693</v>
      </c>
      <c r="N2280" s="7" t="s">
        <v>4468</v>
      </c>
      <c r="O2280" s="8">
        <v>2796</v>
      </c>
      <c r="P2280" s="24">
        <v>8561</v>
      </c>
      <c r="Q2280" s="22">
        <f>IF(COUNTIFS(A$2:A2280,A2280,I$2:I2280,I2280)=1,1,0)</f>
        <v>0</v>
      </c>
      <c r="R2280" s="22">
        <f t="shared" si="35"/>
        <v>2</v>
      </c>
      <c r="S2280" s="33">
        <f>IF(COUNTIF(O$2:O2280,O2280)=1,R2280,0)/2.5</f>
        <v>0</v>
      </c>
    </row>
    <row r="2281" spans="1:19" ht="18" customHeight="1" x14ac:dyDescent="0.25">
      <c r="A2281" s="7" t="s">
        <v>43</v>
      </c>
      <c r="B2281" s="8">
        <v>1</v>
      </c>
      <c r="C2281" s="9">
        <v>372</v>
      </c>
      <c r="D2281" s="29">
        <f>C2281+IF(INDEX('Справочник по %'!B:B,(MATCH(A2281,'Справочник по %'!A:A,0)))="кол-во",B2281*INDEX('Справочник по %'!C:C,(MATCH(A2281,'Справочник по %'!A:A,0))),ОТЧЕТ!C2281*INDEX('Справочник по %'!C:C,(MATCH(A2281,'Справочник по %'!A:A,0))))/100</f>
        <v>409.2</v>
      </c>
      <c r="E2281" s="29">
        <f>IF(ОТЧЕТ!A2281="SKU3",C2281+ОТЧЕТ!C2281*0.2,C2281+ОТЧЕТ!C2281*0.15)</f>
        <v>427.8</v>
      </c>
      <c r="F2281" s="7" t="s">
        <v>4467</v>
      </c>
      <c r="G2281" s="7">
        <v>7706795062</v>
      </c>
      <c r="H2281" s="20" t="s">
        <v>687</v>
      </c>
      <c r="I2281" s="22" t="str">
        <f>INDEX('Справочник Сети'!B:B,(MATCH(G2281,'Справочник Сети'!C:C,0)))</f>
        <v>Планета здоровья</v>
      </c>
      <c r="J2281" s="7" t="s">
        <v>87</v>
      </c>
      <c r="K2281" s="7" t="s">
        <v>996</v>
      </c>
      <c r="L2281" s="7" t="s">
        <v>87</v>
      </c>
      <c r="M2281" s="31">
        <v>45691</v>
      </c>
      <c r="N2281" s="7" t="s">
        <v>4469</v>
      </c>
      <c r="O2281" s="8">
        <v>2278</v>
      </c>
      <c r="P2281" s="24">
        <v>8565</v>
      </c>
      <c r="Q2281" s="22">
        <f>IF(COUNTIFS(A$2:A2281,A2281,I$2:I2281,I2281)=1,1,0)</f>
        <v>0</v>
      </c>
      <c r="R2281" s="22">
        <f t="shared" si="35"/>
        <v>3</v>
      </c>
      <c r="S2281" s="33">
        <f>IF(COUNTIF(O$2:O2281,O2281)=1,R2281,0)/2.5</f>
        <v>0</v>
      </c>
    </row>
    <row r="2282" spans="1:19" ht="18" customHeight="1" x14ac:dyDescent="0.25">
      <c r="A2282" s="7" t="s">
        <v>43</v>
      </c>
      <c r="B2282" s="8">
        <v>1</v>
      </c>
      <c r="C2282" s="9">
        <v>357</v>
      </c>
      <c r="D2282" s="29">
        <f>C2282+IF(INDEX('Справочник по %'!B:B,(MATCH(A2282,'Справочник по %'!A:A,0)))="кол-во",B2282*INDEX('Справочник по %'!C:C,(MATCH(A2282,'Справочник по %'!A:A,0))),ОТЧЕТ!C2282*INDEX('Справочник по %'!C:C,(MATCH(A2282,'Справочник по %'!A:A,0))))/100</f>
        <v>392.7</v>
      </c>
      <c r="E2282" s="29">
        <f>IF(ОТЧЕТ!A2282="SKU3",C2282+ОТЧЕТ!C2282*0.2,C2282+ОТЧЕТ!C2282*0.15)</f>
        <v>410.55</v>
      </c>
      <c r="F2282" s="7" t="s">
        <v>4467</v>
      </c>
      <c r="G2282" s="7">
        <v>2311244941</v>
      </c>
      <c r="H2282" s="20" t="s">
        <v>50</v>
      </c>
      <c r="I2282" s="22" t="str">
        <f>INDEX('Справочник Сети'!B:B,(MATCH(G2282,'Справочник Сети'!C:C,0)))</f>
        <v>Ригла</v>
      </c>
      <c r="J2282" s="7" t="s">
        <v>70</v>
      </c>
      <c r="K2282" s="7" t="s">
        <v>3271</v>
      </c>
      <c r="L2282" s="7" t="s">
        <v>70</v>
      </c>
      <c r="M2282" s="31">
        <v>45728</v>
      </c>
      <c r="N2282" s="7" t="s">
        <v>4470</v>
      </c>
      <c r="O2282" s="8">
        <v>123</v>
      </c>
      <c r="P2282" s="24">
        <v>8567</v>
      </c>
      <c r="Q2282" s="22">
        <f>IF(COUNTIFS(A$2:A2282,A2282,I$2:I2282,I2282)=1,1,0)</f>
        <v>0</v>
      </c>
      <c r="R2282" s="22">
        <f t="shared" si="35"/>
        <v>2</v>
      </c>
      <c r="S2282" s="33">
        <f>IF(COUNTIF(O$2:O2282,O2282)=1,R2282,0)/2.5</f>
        <v>0</v>
      </c>
    </row>
    <row r="2283" spans="1:19" ht="18" customHeight="1" x14ac:dyDescent="0.25">
      <c r="A2283" s="7" t="s">
        <v>43</v>
      </c>
      <c r="B2283" s="8">
        <v>1</v>
      </c>
      <c r="C2283" s="9">
        <v>399.6</v>
      </c>
      <c r="D2283" s="29">
        <f>C2283+IF(INDEX('Справочник по %'!B:B,(MATCH(A2283,'Справочник по %'!A:A,0)))="кол-во",B2283*INDEX('Справочник по %'!C:C,(MATCH(A2283,'Справочник по %'!A:A,0))),ОТЧЕТ!C2283*INDEX('Справочник по %'!C:C,(MATCH(A2283,'Справочник по %'!A:A,0))))/100</f>
        <v>439.56</v>
      </c>
      <c r="E2283" s="29">
        <f>IF(ОТЧЕТ!A2283="SKU3",C2283+ОТЧЕТ!C2283*0.2,C2283+ОТЧЕТ!C2283*0.15)</f>
        <v>459.54</v>
      </c>
      <c r="F2283" s="7" t="s">
        <v>4467</v>
      </c>
      <c r="G2283" s="7">
        <v>3801042576</v>
      </c>
      <c r="H2283" s="20" t="s">
        <v>64</v>
      </c>
      <c r="I2283" s="22" t="str">
        <f>INDEX('Справочник Сети'!B:B,(MATCH(G2283,'Справочник Сети'!C:C,0)))</f>
        <v>Планета здоровья</v>
      </c>
      <c r="J2283" s="7" t="s">
        <v>65</v>
      </c>
      <c r="K2283" s="7" t="s">
        <v>850</v>
      </c>
      <c r="L2283" s="7" t="s">
        <v>65</v>
      </c>
      <c r="M2283" s="31">
        <v>45717</v>
      </c>
      <c r="N2283" s="7" t="s">
        <v>4471</v>
      </c>
      <c r="O2283" s="8">
        <v>3048</v>
      </c>
      <c r="P2283" s="24">
        <v>8570</v>
      </c>
      <c r="Q2283" s="22">
        <f>IF(COUNTIFS(A$2:A2283,A2283,I$2:I2283,I2283)=1,1,0)</f>
        <v>0</v>
      </c>
      <c r="R2283" s="22">
        <f t="shared" si="35"/>
        <v>6</v>
      </c>
      <c r="S2283" s="33">
        <f>IF(COUNTIF(O$2:O2283,O2283)=1,R2283,0)/2.5</f>
        <v>0</v>
      </c>
    </row>
    <row r="2284" spans="1:19" ht="18" customHeight="1" x14ac:dyDescent="0.25">
      <c r="A2284" s="7" t="s">
        <v>43</v>
      </c>
      <c r="B2284" s="8">
        <v>1</v>
      </c>
      <c r="C2284" s="9">
        <v>393</v>
      </c>
      <c r="D2284" s="29">
        <f>C2284+IF(INDEX('Справочник по %'!B:B,(MATCH(A2284,'Справочник по %'!A:A,0)))="кол-во",B2284*INDEX('Справочник по %'!C:C,(MATCH(A2284,'Справочник по %'!A:A,0))),ОТЧЕТ!C2284*INDEX('Справочник по %'!C:C,(MATCH(A2284,'Справочник по %'!A:A,0))))/100</f>
        <v>432.3</v>
      </c>
      <c r="E2284" s="29">
        <f>IF(ОТЧЕТ!A2284="SKU3",C2284+ОТЧЕТ!C2284*0.2,C2284+ОТЧЕТ!C2284*0.15)</f>
        <v>451.95</v>
      </c>
      <c r="F2284" s="7" t="s">
        <v>4467</v>
      </c>
      <c r="G2284" s="7">
        <v>7732121736</v>
      </c>
      <c r="H2284" s="20" t="s">
        <v>4472</v>
      </c>
      <c r="I2284" s="22" t="str">
        <f>INDEX('Справочник Сети'!B:B,(MATCH(G2284,'Справочник Сети'!C:C,0)))</f>
        <v>Планета здоровья</v>
      </c>
      <c r="J2284" s="7" t="s">
        <v>149</v>
      </c>
      <c r="K2284" s="7" t="s">
        <v>2999</v>
      </c>
      <c r="L2284" s="7" t="s">
        <v>149</v>
      </c>
      <c r="M2284" s="31">
        <v>45673</v>
      </c>
      <c r="N2284" s="7" t="s">
        <v>4473</v>
      </c>
      <c r="O2284" s="8">
        <v>3542</v>
      </c>
      <c r="P2284" s="24">
        <v>8574</v>
      </c>
      <c r="Q2284" s="22">
        <f>IF(COUNTIFS(A$2:A2284,A2284,I$2:I2284,I2284)=1,1,0)</f>
        <v>0</v>
      </c>
      <c r="R2284" s="22">
        <f t="shared" si="35"/>
        <v>2</v>
      </c>
      <c r="S2284" s="33">
        <f>IF(COUNTIF(O$2:O2284,O2284)=1,R2284,0)/2.5</f>
        <v>0.8</v>
      </c>
    </row>
    <row r="2285" spans="1:19" ht="18" customHeight="1" x14ac:dyDescent="0.25">
      <c r="A2285" s="7" t="s">
        <v>37</v>
      </c>
      <c r="B2285" s="8">
        <v>1</v>
      </c>
      <c r="C2285" s="9">
        <v>605.9</v>
      </c>
      <c r="D2285" s="29">
        <f>C2285+IF(INDEX('Справочник по %'!B:B,(MATCH(A2285,'Справочник по %'!A:A,0)))="кол-во",B2285*INDEX('Справочник по %'!C:C,(MATCH(A2285,'Справочник по %'!A:A,0))),ОТЧЕТ!C2285*INDEX('Справочник по %'!C:C,(MATCH(A2285,'Справочник по %'!A:A,0))))/100</f>
        <v>606.1</v>
      </c>
      <c r="E2285" s="29">
        <f>IF(ОТЧЕТ!A2285="SKU3",C2285+ОТЧЕТ!C2285*0.2,C2285+ОТЧЕТ!C2285*0.15)</f>
        <v>696.78499999999997</v>
      </c>
      <c r="F2285" s="7" t="s">
        <v>4474</v>
      </c>
      <c r="G2285" s="7">
        <v>7204146152</v>
      </c>
      <c r="H2285" s="20" t="s">
        <v>3994</v>
      </c>
      <c r="I2285" s="22" t="str">
        <f>INDEX('Справочник Сети'!B:B,(MATCH(G2285,'Справочник Сети'!C:C,0)))</f>
        <v>36,6</v>
      </c>
      <c r="J2285" s="7" t="s">
        <v>104</v>
      </c>
      <c r="K2285" s="7" t="s">
        <v>2106</v>
      </c>
      <c r="L2285" s="7" t="s">
        <v>104</v>
      </c>
      <c r="M2285" s="31">
        <v>45693</v>
      </c>
      <c r="N2285" s="7" t="s">
        <v>4475</v>
      </c>
      <c r="O2285" s="8">
        <v>1188</v>
      </c>
      <c r="P2285" s="24">
        <v>8584</v>
      </c>
      <c r="Q2285" s="22">
        <f>IF(COUNTIFS(A$2:A2285,A2285,I$2:I2285,I2285)=1,1,0)</f>
        <v>0</v>
      </c>
      <c r="R2285" s="22">
        <f t="shared" si="35"/>
        <v>14</v>
      </c>
      <c r="S2285" s="33">
        <f>IF(COUNTIF(O$2:O2285,O2285)=1,R2285,0)/2.5</f>
        <v>0</v>
      </c>
    </row>
    <row r="2286" spans="1:19" ht="18" customHeight="1" x14ac:dyDescent="0.25">
      <c r="A2286" s="7" t="s">
        <v>43</v>
      </c>
      <c r="B2286" s="8">
        <v>1</v>
      </c>
      <c r="C2286" s="9">
        <v>430</v>
      </c>
      <c r="D2286" s="29">
        <f>C2286+IF(INDEX('Справочник по %'!B:B,(MATCH(A2286,'Справочник по %'!A:A,0)))="кол-во",B2286*INDEX('Справочник по %'!C:C,(MATCH(A2286,'Справочник по %'!A:A,0))),ОТЧЕТ!C2286*INDEX('Справочник по %'!C:C,(MATCH(A2286,'Справочник по %'!A:A,0))))/100</f>
        <v>473</v>
      </c>
      <c r="E2286" s="29">
        <f>IF(ОТЧЕТ!A2286="SKU3",C2286+ОТЧЕТ!C2286*0.2,C2286+ОТЧЕТ!C2286*0.15)</f>
        <v>494.5</v>
      </c>
      <c r="F2286" s="7" t="s">
        <v>4474</v>
      </c>
      <c r="G2286" s="7">
        <v>3446042846</v>
      </c>
      <c r="H2286" s="20" t="s">
        <v>319</v>
      </c>
      <c r="I2286" s="22" t="str">
        <f>INDEX('Справочник Сети'!B:B,(MATCH(G2286,'Справочник Сети'!C:C,0)))</f>
        <v>Столички</v>
      </c>
      <c r="J2286" s="7" t="s">
        <v>193</v>
      </c>
      <c r="K2286" s="7" t="s">
        <v>111</v>
      </c>
      <c r="L2286" s="7" t="s">
        <v>193</v>
      </c>
      <c r="M2286" s="31">
        <v>45718</v>
      </c>
      <c r="N2286" s="7" t="s">
        <v>4476</v>
      </c>
      <c r="O2286" s="8">
        <v>2581</v>
      </c>
      <c r="P2286" s="24">
        <v>8585</v>
      </c>
      <c r="Q2286" s="22">
        <f>IF(COUNTIFS(A$2:A2286,A2286,I$2:I2286,I2286)=1,1,0)</f>
        <v>0</v>
      </c>
      <c r="R2286" s="22">
        <f t="shared" si="35"/>
        <v>7</v>
      </c>
      <c r="S2286" s="33">
        <f>IF(COUNTIF(O$2:O2286,O2286)=1,R2286,0)/2.5</f>
        <v>0</v>
      </c>
    </row>
    <row r="2287" spans="1:19" ht="18" customHeight="1" x14ac:dyDescent="0.25">
      <c r="A2287" s="7" t="s">
        <v>43</v>
      </c>
      <c r="B2287" s="8">
        <v>1</v>
      </c>
      <c r="C2287" s="9">
        <v>422</v>
      </c>
      <c r="D2287" s="29">
        <f>C2287+IF(INDEX('Справочник по %'!B:B,(MATCH(A2287,'Справочник по %'!A:A,0)))="кол-во",B2287*INDEX('Справочник по %'!C:C,(MATCH(A2287,'Справочник по %'!A:A,0))),ОТЧЕТ!C2287*INDEX('Справочник по %'!C:C,(MATCH(A2287,'Справочник по %'!A:A,0))))/100</f>
        <v>464.2</v>
      </c>
      <c r="E2287" s="29">
        <f>IF(ОТЧЕТ!A2287="SKU3",C2287+ОТЧЕТ!C2287*0.2,C2287+ОТЧЕТ!C2287*0.15)</f>
        <v>485.3</v>
      </c>
      <c r="F2287" s="7" t="s">
        <v>4474</v>
      </c>
      <c r="G2287" s="7">
        <v>6164078092</v>
      </c>
      <c r="H2287" s="20" t="s">
        <v>1528</v>
      </c>
      <c r="I2287" s="22" t="str">
        <f>INDEX('Справочник Сети'!B:B,(MATCH(G2287,'Справочник Сети'!C:C,0)))</f>
        <v>Ригла</v>
      </c>
      <c r="J2287" s="7" t="s">
        <v>520</v>
      </c>
      <c r="K2287" s="7" t="s">
        <v>115</v>
      </c>
      <c r="L2287" s="7" t="s">
        <v>520</v>
      </c>
      <c r="M2287" s="31">
        <v>45697</v>
      </c>
      <c r="N2287" s="7" t="s">
        <v>4477</v>
      </c>
      <c r="O2287" s="8">
        <v>889</v>
      </c>
      <c r="P2287" s="24">
        <v>8587</v>
      </c>
      <c r="Q2287" s="22">
        <f>IF(COUNTIFS(A$2:A2287,A2287,I$2:I2287,I2287)=1,1,0)</f>
        <v>0</v>
      </c>
      <c r="R2287" s="22">
        <f t="shared" si="35"/>
        <v>2</v>
      </c>
      <c r="S2287" s="33">
        <f>IF(COUNTIF(O$2:O2287,O2287)=1,R2287,0)/2.5</f>
        <v>0</v>
      </c>
    </row>
    <row r="2288" spans="1:19" ht="18" customHeight="1" x14ac:dyDescent="0.25">
      <c r="A2288" s="7" t="s">
        <v>37</v>
      </c>
      <c r="B2288" s="8">
        <v>1</v>
      </c>
      <c r="C2288" s="9">
        <v>502.22</v>
      </c>
      <c r="D2288" s="29">
        <f>C2288+IF(INDEX('Справочник по %'!B:B,(MATCH(A2288,'Справочник по %'!A:A,0)))="кол-во",B2288*INDEX('Справочник по %'!C:C,(MATCH(A2288,'Справочник по %'!A:A,0))),ОТЧЕТ!C2288*INDEX('Справочник по %'!C:C,(MATCH(A2288,'Справочник по %'!A:A,0))))/100</f>
        <v>502.42</v>
      </c>
      <c r="E2288" s="29">
        <f>IF(ОТЧЕТ!A2288="SKU3",C2288+ОТЧЕТ!C2288*0.2,C2288+ОТЧЕТ!C2288*0.15)</f>
        <v>577.553</v>
      </c>
      <c r="F2288" s="7" t="s">
        <v>4478</v>
      </c>
      <c r="G2288" s="7">
        <v>7839481347</v>
      </c>
      <c r="H2288" s="20" t="s">
        <v>50</v>
      </c>
      <c r="I2288" s="22" t="str">
        <f>INDEX('Справочник Сети'!B:B,(MATCH(G2288,'Справочник Сети'!C:C,0)))</f>
        <v>Ригла</v>
      </c>
      <c r="J2288" s="7" t="s">
        <v>315</v>
      </c>
      <c r="K2288" s="7" t="s">
        <v>1313</v>
      </c>
      <c r="L2288" s="7" t="s">
        <v>121</v>
      </c>
      <c r="M2288" s="31">
        <v>45671</v>
      </c>
      <c r="N2288" s="7" t="s">
        <v>4479</v>
      </c>
      <c r="O2288" s="8">
        <v>816</v>
      </c>
      <c r="P2288" s="24">
        <v>8589</v>
      </c>
      <c r="Q2288" s="22">
        <f>IF(COUNTIFS(A$2:A2288,A2288,I$2:I2288,I2288)=1,1,0)</f>
        <v>0</v>
      </c>
      <c r="R2288" s="22">
        <f t="shared" si="35"/>
        <v>2</v>
      </c>
      <c r="S2288" s="33">
        <f>IF(COUNTIF(O$2:O2288,O2288)=1,R2288,0)/2.5</f>
        <v>0</v>
      </c>
    </row>
    <row r="2289" spans="1:19" ht="18" customHeight="1" x14ac:dyDescent="0.25">
      <c r="A2289" s="7" t="s">
        <v>43</v>
      </c>
      <c r="B2289" s="8">
        <v>1</v>
      </c>
      <c r="C2289" s="9">
        <v>426</v>
      </c>
      <c r="D2289" s="29">
        <f>C2289+IF(INDEX('Справочник по %'!B:B,(MATCH(A2289,'Справочник по %'!A:A,0)))="кол-во",B2289*INDEX('Справочник по %'!C:C,(MATCH(A2289,'Справочник по %'!A:A,0))),ОТЧЕТ!C2289*INDEX('Справочник по %'!C:C,(MATCH(A2289,'Справочник по %'!A:A,0))))/100</f>
        <v>468.6</v>
      </c>
      <c r="E2289" s="29">
        <f>IF(ОТЧЕТ!A2289="SKU3",C2289+ОТЧЕТ!C2289*0.2,C2289+ОТЧЕТ!C2289*0.15)</f>
        <v>489.9</v>
      </c>
      <c r="F2289" s="7" t="s">
        <v>4480</v>
      </c>
      <c r="G2289" s="7">
        <v>6454131608</v>
      </c>
      <c r="H2289" s="20" t="s">
        <v>167</v>
      </c>
      <c r="I2289" s="22">
        <f>INDEX('Справочник Сети'!B:B,(MATCH(G2289,'Справочник Сети'!C:C,0)))</f>
        <v>0</v>
      </c>
      <c r="J2289" s="7" t="s">
        <v>133</v>
      </c>
      <c r="K2289" s="7" t="s">
        <v>189</v>
      </c>
      <c r="L2289" s="7" t="s">
        <v>133</v>
      </c>
      <c r="M2289" s="31">
        <v>45695</v>
      </c>
      <c r="N2289" s="7" t="s">
        <v>4481</v>
      </c>
      <c r="O2289" s="8">
        <v>582</v>
      </c>
      <c r="P2289" s="24">
        <v>8591</v>
      </c>
      <c r="Q2289" s="22">
        <f>IF(COUNTIFS(A$2:A2289,A2289,I$2:I2289,I2289)=1,1,0)</f>
        <v>0</v>
      </c>
      <c r="R2289" s="22">
        <f t="shared" si="35"/>
        <v>1</v>
      </c>
      <c r="S2289" s="33">
        <f>IF(COUNTIF(O$2:O2289,O2289)=1,R2289,0)/2.5</f>
        <v>0.4</v>
      </c>
    </row>
    <row r="2290" spans="1:19" ht="18" customHeight="1" x14ac:dyDescent="0.25">
      <c r="A2290" s="7" t="s">
        <v>43</v>
      </c>
      <c r="B2290" s="8">
        <v>1</v>
      </c>
      <c r="C2290" s="9">
        <v>381</v>
      </c>
      <c r="D2290" s="29">
        <f>C2290+IF(INDEX('Справочник по %'!B:B,(MATCH(A2290,'Справочник по %'!A:A,0)))="кол-во",B2290*INDEX('Справочник по %'!C:C,(MATCH(A2290,'Справочник по %'!A:A,0))),ОТЧЕТ!C2290*INDEX('Справочник по %'!C:C,(MATCH(A2290,'Справочник по %'!A:A,0))))/100</f>
        <v>419.1</v>
      </c>
      <c r="E2290" s="29">
        <f>IF(ОТЧЕТ!A2290="SKU3",C2290+ОТЧЕТ!C2290*0.2,C2290+ОТЧЕТ!C2290*0.15)</f>
        <v>438.15</v>
      </c>
      <c r="F2290" s="7" t="s">
        <v>4482</v>
      </c>
      <c r="G2290" s="7">
        <v>4632157814</v>
      </c>
      <c r="H2290" s="20" t="s">
        <v>3977</v>
      </c>
      <c r="I2290" s="22" t="str">
        <f>INDEX('Справочник Сети'!B:B,(MATCH(G2290,'Справочник Сети'!C:C,0)))</f>
        <v>Столички</v>
      </c>
      <c r="J2290" s="7" t="s">
        <v>83</v>
      </c>
      <c r="K2290" s="7" t="s">
        <v>4483</v>
      </c>
      <c r="L2290" s="7" t="s">
        <v>155</v>
      </c>
      <c r="M2290" s="31">
        <v>45716</v>
      </c>
      <c r="N2290" s="7" t="s">
        <v>4484</v>
      </c>
      <c r="O2290" s="8">
        <v>1592</v>
      </c>
      <c r="P2290" s="24">
        <v>8599</v>
      </c>
      <c r="Q2290" s="22">
        <f>IF(COUNTIFS(A$2:A2290,A2290,I$2:I2290,I2290)=1,1,0)</f>
        <v>0</v>
      </c>
      <c r="R2290" s="22">
        <f t="shared" si="35"/>
        <v>2</v>
      </c>
      <c r="S2290" s="33">
        <f>IF(COUNTIF(O$2:O2290,O2290)=1,R2290,0)/2.5</f>
        <v>0</v>
      </c>
    </row>
    <row r="2291" spans="1:19" ht="18" customHeight="1" x14ac:dyDescent="0.25">
      <c r="A2291" s="7" t="s">
        <v>43</v>
      </c>
      <c r="B2291" s="8">
        <v>1</v>
      </c>
      <c r="C2291" s="9">
        <v>435</v>
      </c>
      <c r="D2291" s="29">
        <f>C2291+IF(INDEX('Справочник по %'!B:B,(MATCH(A2291,'Справочник по %'!A:A,0)))="кол-во",B2291*INDEX('Справочник по %'!C:C,(MATCH(A2291,'Справочник по %'!A:A,0))),ОТЧЕТ!C2291*INDEX('Справочник по %'!C:C,(MATCH(A2291,'Справочник по %'!A:A,0))))/100</f>
        <v>478.5</v>
      </c>
      <c r="E2291" s="29">
        <f>IF(ОТЧЕТ!A2291="SKU3",C2291+ОТЧЕТ!C2291*0.2,C2291+ОТЧЕТ!C2291*0.15)</f>
        <v>500.25</v>
      </c>
      <c r="F2291" s="7" t="s">
        <v>4482</v>
      </c>
      <c r="G2291" s="7">
        <v>2310212231</v>
      </c>
      <c r="H2291" s="20" t="s">
        <v>69</v>
      </c>
      <c r="I2291" s="22" t="str">
        <f>INDEX('Справочник Сети'!B:B,(MATCH(G2291,'Справочник Сети'!C:C,0)))</f>
        <v>Нео-фарм</v>
      </c>
      <c r="J2291" s="7" t="s">
        <v>70</v>
      </c>
      <c r="K2291" s="7" t="s">
        <v>154</v>
      </c>
      <c r="L2291" s="7" t="s">
        <v>70</v>
      </c>
      <c r="M2291" s="31">
        <v>45728</v>
      </c>
      <c r="N2291" s="7" t="s">
        <v>4485</v>
      </c>
      <c r="O2291" s="8">
        <v>3346</v>
      </c>
      <c r="P2291" s="24">
        <v>8600</v>
      </c>
      <c r="Q2291" s="22">
        <f>IF(COUNTIFS(A$2:A2291,A2291,I$2:I2291,I2291)=1,1,0)</f>
        <v>0</v>
      </c>
      <c r="R2291" s="22">
        <f t="shared" si="35"/>
        <v>2</v>
      </c>
      <c r="S2291" s="33">
        <f>IF(COUNTIF(O$2:O2291,O2291)=1,R2291,0)/2.5</f>
        <v>0</v>
      </c>
    </row>
    <row r="2292" spans="1:19" ht="18" customHeight="1" x14ac:dyDescent="0.25">
      <c r="A2292" s="7" t="s">
        <v>43</v>
      </c>
      <c r="B2292" s="8">
        <v>1</v>
      </c>
      <c r="C2292" s="9">
        <v>386.9</v>
      </c>
      <c r="D2292" s="29">
        <f>C2292+IF(INDEX('Справочник по %'!B:B,(MATCH(A2292,'Справочник по %'!A:A,0)))="кол-во",B2292*INDEX('Справочник по %'!C:C,(MATCH(A2292,'Справочник по %'!A:A,0))),ОТЧЕТ!C2292*INDEX('Справочник по %'!C:C,(MATCH(A2292,'Справочник по %'!A:A,0))))/100</f>
        <v>425.59</v>
      </c>
      <c r="E2292" s="29">
        <f>IF(ОТЧЕТ!A2292="SKU3",C2292+ОТЧЕТ!C2292*0.2,C2292+ОТЧЕТ!C2292*0.15)</f>
        <v>444.93499999999995</v>
      </c>
      <c r="F2292" s="7" t="s">
        <v>4486</v>
      </c>
      <c r="G2292" s="7">
        <v>6312076214</v>
      </c>
      <c r="H2292" s="20" t="s">
        <v>2624</v>
      </c>
      <c r="I2292" s="22" t="str">
        <f>INDEX('Справочник Сети'!B:B,(MATCH(G2292,'Справочник Сети'!C:C,0)))</f>
        <v>Ригла</v>
      </c>
      <c r="J2292" s="7" t="s">
        <v>203</v>
      </c>
      <c r="K2292" s="7" t="s">
        <v>2459</v>
      </c>
      <c r="L2292" s="7" t="s">
        <v>203</v>
      </c>
      <c r="M2292" s="31">
        <v>45696</v>
      </c>
      <c r="N2292" s="7" t="s">
        <v>4487</v>
      </c>
      <c r="O2292" s="8">
        <v>138</v>
      </c>
      <c r="P2292" s="24">
        <v>8607</v>
      </c>
      <c r="Q2292" s="22">
        <f>IF(COUNTIFS(A$2:A2292,A2292,I$2:I2292,I2292)=1,1,0)</f>
        <v>0</v>
      </c>
      <c r="R2292" s="22">
        <f t="shared" si="35"/>
        <v>2</v>
      </c>
      <c r="S2292" s="33">
        <f>IF(COUNTIF(O$2:O2292,O2292)=1,R2292,0)/2.5</f>
        <v>0</v>
      </c>
    </row>
    <row r="2293" spans="1:19" ht="18" customHeight="1" x14ac:dyDescent="0.25">
      <c r="A2293" s="7" t="s">
        <v>37</v>
      </c>
      <c r="B2293" s="8">
        <v>1</v>
      </c>
      <c r="C2293" s="9">
        <v>715</v>
      </c>
      <c r="D2293" s="29">
        <f>C2293+IF(INDEX('Справочник по %'!B:B,(MATCH(A2293,'Справочник по %'!A:A,0)))="кол-во",B2293*INDEX('Справочник по %'!C:C,(MATCH(A2293,'Справочник по %'!A:A,0))),ОТЧЕТ!C2293*INDEX('Справочник по %'!C:C,(MATCH(A2293,'Справочник по %'!A:A,0))))/100</f>
        <v>715.2</v>
      </c>
      <c r="E2293" s="29">
        <f>IF(ОТЧЕТ!A2293="SKU3",C2293+ОТЧЕТ!C2293*0.2,C2293+ОТЧЕТ!C2293*0.15)</f>
        <v>822.25</v>
      </c>
      <c r="F2293" s="7" t="s">
        <v>4488</v>
      </c>
      <c r="G2293" s="7">
        <v>4707025487</v>
      </c>
      <c r="H2293" s="20" t="s">
        <v>50</v>
      </c>
      <c r="I2293" s="22">
        <f>INDEX('Справочник Сети'!B:B,(MATCH(G2293,'Справочник Сети'!C:C,0)))</f>
        <v>0</v>
      </c>
      <c r="J2293" s="7" t="s">
        <v>83</v>
      </c>
      <c r="K2293" s="7" t="s">
        <v>1196</v>
      </c>
      <c r="L2293" s="7" t="s">
        <v>83</v>
      </c>
      <c r="M2293" s="31">
        <v>45715</v>
      </c>
      <c r="N2293" s="7" t="s">
        <v>4489</v>
      </c>
      <c r="O2293" s="8">
        <v>3334</v>
      </c>
      <c r="P2293" s="24">
        <v>8608</v>
      </c>
      <c r="Q2293" s="22">
        <f>IF(COUNTIFS(A$2:A2293,A2293,I$2:I2293,I2293)=1,1,0)</f>
        <v>0</v>
      </c>
      <c r="R2293" s="22">
        <f t="shared" si="35"/>
        <v>6</v>
      </c>
      <c r="S2293" s="33">
        <f>IF(COUNTIF(O$2:O2293,O2293)=1,R2293,0)/2.5</f>
        <v>0</v>
      </c>
    </row>
    <row r="2294" spans="1:19" ht="18" customHeight="1" x14ac:dyDescent="0.25">
      <c r="A2294" s="7" t="s">
        <v>43</v>
      </c>
      <c r="B2294" s="8">
        <v>1</v>
      </c>
      <c r="C2294" s="9">
        <v>413.52</v>
      </c>
      <c r="D2294" s="29">
        <f>C2294+IF(INDEX('Справочник по %'!B:B,(MATCH(A2294,'Справочник по %'!A:A,0)))="кол-во",B2294*INDEX('Справочник по %'!C:C,(MATCH(A2294,'Справочник по %'!A:A,0))),ОТЧЕТ!C2294*INDEX('Справочник по %'!C:C,(MATCH(A2294,'Справочник по %'!A:A,0))))/100</f>
        <v>454.87199999999996</v>
      </c>
      <c r="E2294" s="29">
        <f>IF(ОТЧЕТ!A2294="SKU3",C2294+ОТЧЕТ!C2294*0.2,C2294+ОТЧЕТ!C2294*0.15)</f>
        <v>475.548</v>
      </c>
      <c r="F2294" s="7" t="s">
        <v>4490</v>
      </c>
      <c r="G2294" s="7">
        <v>583500580818</v>
      </c>
      <c r="H2294" s="20" t="s">
        <v>50</v>
      </c>
      <c r="I2294" s="22" t="str">
        <f>INDEX('Справочник Сети'!B:B,(MATCH(G2294,'Справочник Сети'!C:C,0)))</f>
        <v>Ригла</v>
      </c>
      <c r="J2294" s="7" t="s">
        <v>251</v>
      </c>
      <c r="K2294" s="7" t="s">
        <v>1051</v>
      </c>
      <c r="L2294" s="7" t="s">
        <v>251</v>
      </c>
      <c r="M2294" s="31">
        <v>45659</v>
      </c>
      <c r="N2294" s="7" t="s">
        <v>4491</v>
      </c>
      <c r="O2294" s="8">
        <v>2479</v>
      </c>
      <c r="P2294" s="24">
        <v>8613</v>
      </c>
      <c r="Q2294" s="22">
        <f>IF(COUNTIFS(A$2:A2294,A2294,I$2:I2294,I2294)=1,1,0)</f>
        <v>0</v>
      </c>
      <c r="R2294" s="22">
        <f t="shared" si="35"/>
        <v>4</v>
      </c>
      <c r="S2294" s="33">
        <f>IF(COUNTIF(O$2:O2294,O2294)=1,R2294,0)/2.5</f>
        <v>0</v>
      </c>
    </row>
    <row r="2295" spans="1:19" ht="18" customHeight="1" x14ac:dyDescent="0.25">
      <c r="A2295" s="7" t="s">
        <v>43</v>
      </c>
      <c r="B2295" s="8">
        <v>1</v>
      </c>
      <c r="C2295" s="9">
        <v>440</v>
      </c>
      <c r="D2295" s="29">
        <f>C2295+IF(INDEX('Справочник по %'!B:B,(MATCH(A2295,'Справочник по %'!A:A,0)))="кол-во",B2295*INDEX('Справочник по %'!C:C,(MATCH(A2295,'Справочник по %'!A:A,0))),ОТЧЕТ!C2295*INDEX('Справочник по %'!C:C,(MATCH(A2295,'Справочник по %'!A:A,0))))/100</f>
        <v>484</v>
      </c>
      <c r="E2295" s="29">
        <f>IF(ОТЧЕТ!A2295="SKU3",C2295+ОТЧЕТ!C2295*0.2,C2295+ОТЧЕТ!C2295*0.15)</f>
        <v>506</v>
      </c>
      <c r="F2295" s="7" t="s">
        <v>4492</v>
      </c>
      <c r="G2295" s="7">
        <v>6913000925</v>
      </c>
      <c r="H2295" s="20" t="s">
        <v>2885</v>
      </c>
      <c r="I2295" s="22" t="str">
        <f>INDEX('Справочник Сети'!B:B,(MATCH(G2295,'Справочник Сети'!C:C,0)))</f>
        <v>Ригла</v>
      </c>
      <c r="J2295" s="7" t="s">
        <v>106</v>
      </c>
      <c r="K2295" s="7" t="s">
        <v>839</v>
      </c>
      <c r="L2295" s="7" t="s">
        <v>106</v>
      </c>
      <c r="M2295" s="31">
        <v>45694</v>
      </c>
      <c r="N2295" s="7" t="s">
        <v>4493</v>
      </c>
      <c r="O2295" s="8">
        <v>488</v>
      </c>
      <c r="P2295" s="24">
        <v>8620</v>
      </c>
      <c r="Q2295" s="22">
        <f>IF(COUNTIFS(A$2:A2295,A2295,I$2:I2295,I2295)=1,1,0)</f>
        <v>0</v>
      </c>
      <c r="R2295" s="22">
        <f t="shared" si="35"/>
        <v>2</v>
      </c>
      <c r="S2295" s="33">
        <f>IF(COUNTIF(O$2:O2295,O2295)=1,R2295,0)/2.5</f>
        <v>0</v>
      </c>
    </row>
    <row r="2296" spans="1:19" ht="18" customHeight="1" x14ac:dyDescent="0.25">
      <c r="A2296" s="7" t="s">
        <v>43</v>
      </c>
      <c r="B2296" s="8">
        <v>1</v>
      </c>
      <c r="C2296" s="9">
        <v>394</v>
      </c>
      <c r="D2296" s="29">
        <f>C2296+IF(INDEX('Справочник по %'!B:B,(MATCH(A2296,'Справочник по %'!A:A,0)))="кол-во",B2296*INDEX('Справочник по %'!C:C,(MATCH(A2296,'Справочник по %'!A:A,0))),ОТЧЕТ!C2296*INDEX('Справочник по %'!C:C,(MATCH(A2296,'Справочник по %'!A:A,0))))/100</f>
        <v>433.4</v>
      </c>
      <c r="E2296" s="29">
        <f>IF(ОТЧЕТ!A2296="SKU3",C2296+ОТЧЕТ!C2296*0.2,C2296+ОТЧЕТ!C2296*0.15)</f>
        <v>453.1</v>
      </c>
      <c r="F2296" s="7" t="s">
        <v>4492</v>
      </c>
      <c r="G2296" s="7">
        <v>7728339546</v>
      </c>
      <c r="H2296" s="20" t="s">
        <v>1792</v>
      </c>
      <c r="I2296" s="22" t="str">
        <f>INDEX('Справочник Сети'!B:B,(MATCH(G2296,'Справочник Сети'!C:C,0)))</f>
        <v>Планета здоровья</v>
      </c>
      <c r="J2296" s="7" t="s">
        <v>142</v>
      </c>
      <c r="K2296" s="7" t="s">
        <v>4494</v>
      </c>
      <c r="L2296" s="7" t="s">
        <v>142</v>
      </c>
      <c r="M2296" s="31">
        <v>45674</v>
      </c>
      <c r="N2296" s="7" t="s">
        <v>415</v>
      </c>
      <c r="O2296" s="8">
        <v>2395</v>
      </c>
      <c r="P2296" s="24">
        <v>8622</v>
      </c>
      <c r="Q2296" s="22">
        <f>IF(COUNTIFS(A$2:A2296,A2296,I$2:I2296,I2296)=1,1,0)</f>
        <v>0</v>
      </c>
      <c r="R2296" s="22">
        <f t="shared" si="35"/>
        <v>2</v>
      </c>
      <c r="S2296" s="33">
        <f>IF(COUNTIF(O$2:O2296,O2296)=1,R2296,0)/2.5</f>
        <v>0</v>
      </c>
    </row>
    <row r="2297" spans="1:19" ht="18" customHeight="1" x14ac:dyDescent="0.25">
      <c r="A2297" s="7" t="s">
        <v>43</v>
      </c>
      <c r="B2297" s="8">
        <v>1</v>
      </c>
      <c r="C2297" s="9">
        <v>500</v>
      </c>
      <c r="D2297" s="29">
        <f>C2297+IF(INDEX('Справочник по %'!B:B,(MATCH(A2297,'Справочник по %'!A:A,0)))="кол-во",B2297*INDEX('Справочник по %'!C:C,(MATCH(A2297,'Справочник по %'!A:A,0))),ОТЧЕТ!C2297*INDEX('Справочник по %'!C:C,(MATCH(A2297,'Справочник по %'!A:A,0))))/100</f>
        <v>550</v>
      </c>
      <c r="E2297" s="29">
        <f>IF(ОТЧЕТ!A2297="SKU3",C2297+ОТЧЕТ!C2297*0.2,C2297+ОТЧЕТ!C2297*0.15)</f>
        <v>575</v>
      </c>
      <c r="F2297" s="7" t="s">
        <v>4495</v>
      </c>
      <c r="G2297" s="7">
        <v>253712415590</v>
      </c>
      <c r="H2297" s="20" t="s">
        <v>4496</v>
      </c>
      <c r="I2297" s="22" t="str">
        <f>INDEX('Справочник Сети'!B:B,(MATCH(G2297,'Справочник Сети'!C:C,0)))</f>
        <v>Ригла</v>
      </c>
      <c r="J2297" s="7" t="s">
        <v>110</v>
      </c>
      <c r="K2297" s="7" t="s">
        <v>893</v>
      </c>
      <c r="L2297" s="7" t="s">
        <v>74</v>
      </c>
      <c r="M2297" s="31">
        <v>45661</v>
      </c>
      <c r="N2297" s="7" t="s">
        <v>4497</v>
      </c>
      <c r="O2297" s="8">
        <v>3442</v>
      </c>
      <c r="P2297" s="24">
        <v>8625</v>
      </c>
      <c r="Q2297" s="22">
        <f>IF(COUNTIFS(A$2:A2297,A2297,I$2:I2297,I2297)=1,1,0)</f>
        <v>0</v>
      </c>
      <c r="R2297" s="22">
        <f t="shared" si="35"/>
        <v>1</v>
      </c>
      <c r="S2297" s="33">
        <f>IF(COUNTIF(O$2:O2297,O2297)=1,R2297,0)/2.5</f>
        <v>0.4</v>
      </c>
    </row>
    <row r="2298" spans="1:19" ht="18" customHeight="1" x14ac:dyDescent="0.25">
      <c r="A2298" s="7" t="s">
        <v>43</v>
      </c>
      <c r="B2298" s="8">
        <v>1</v>
      </c>
      <c r="C2298" s="9">
        <v>471</v>
      </c>
      <c r="D2298" s="29">
        <f>C2298+IF(INDEX('Справочник по %'!B:B,(MATCH(A2298,'Справочник по %'!A:A,0)))="кол-во",B2298*INDEX('Справочник по %'!C:C,(MATCH(A2298,'Справочник по %'!A:A,0))),ОТЧЕТ!C2298*INDEX('Справочник по %'!C:C,(MATCH(A2298,'Справочник по %'!A:A,0))))/100</f>
        <v>518.1</v>
      </c>
      <c r="E2298" s="29">
        <f>IF(ОТЧЕТ!A2298="SKU3",C2298+ОТЧЕТ!C2298*0.2,C2298+ОТЧЕТ!C2298*0.15)</f>
        <v>541.65</v>
      </c>
      <c r="F2298" s="7" t="s">
        <v>4495</v>
      </c>
      <c r="G2298" s="7">
        <v>9705147513</v>
      </c>
      <c r="H2298" s="20" t="s">
        <v>50</v>
      </c>
      <c r="I2298" s="22" t="str">
        <f>INDEX('Справочник Сети'!B:B,(MATCH(G2298,'Справочник Сети'!C:C,0)))</f>
        <v>Столички</v>
      </c>
      <c r="J2298" s="7" t="s">
        <v>239</v>
      </c>
      <c r="K2298" s="7" t="s">
        <v>3952</v>
      </c>
      <c r="L2298" s="7" t="s">
        <v>239</v>
      </c>
      <c r="M2298" s="31">
        <v>45662</v>
      </c>
      <c r="N2298" s="7" t="s">
        <v>4498</v>
      </c>
      <c r="O2298" s="8">
        <v>3104</v>
      </c>
      <c r="P2298" s="24">
        <v>8632</v>
      </c>
      <c r="Q2298" s="22">
        <f>IF(COUNTIFS(A$2:A2298,A2298,I$2:I2298,I2298)=1,1,0)</f>
        <v>0</v>
      </c>
      <c r="R2298" s="22">
        <f t="shared" si="35"/>
        <v>6</v>
      </c>
      <c r="S2298" s="33">
        <f>IF(COUNTIF(O$2:O2298,O2298)=1,R2298,0)/2.5</f>
        <v>0</v>
      </c>
    </row>
    <row r="2299" spans="1:19" ht="18" customHeight="1" x14ac:dyDescent="0.25">
      <c r="A2299" s="7" t="s">
        <v>43</v>
      </c>
      <c r="B2299" s="8">
        <v>1</v>
      </c>
      <c r="C2299" s="9">
        <v>517</v>
      </c>
      <c r="D2299" s="29">
        <f>C2299+IF(INDEX('Справочник по %'!B:B,(MATCH(A2299,'Справочник по %'!A:A,0)))="кол-во",B2299*INDEX('Справочник по %'!C:C,(MATCH(A2299,'Справочник по %'!A:A,0))),ОТЧЕТ!C2299*INDEX('Справочник по %'!C:C,(MATCH(A2299,'Справочник по %'!A:A,0))))/100</f>
        <v>568.70000000000005</v>
      </c>
      <c r="E2299" s="29">
        <f>IF(ОТЧЕТ!A2299="SKU3",C2299+ОТЧЕТ!C2299*0.2,C2299+ОТЧЕТ!C2299*0.15)</f>
        <v>594.54999999999995</v>
      </c>
      <c r="F2299" s="7" t="s">
        <v>4495</v>
      </c>
      <c r="G2299" s="7">
        <v>2543102471</v>
      </c>
      <c r="H2299" s="20" t="s">
        <v>1412</v>
      </c>
      <c r="I2299" s="22" t="str">
        <f>INDEX('Справочник Сети'!B:B,(MATCH(G2299,'Справочник Сети'!C:C,0)))</f>
        <v>Столички</v>
      </c>
      <c r="J2299" s="7" t="s">
        <v>46</v>
      </c>
      <c r="K2299" s="7" t="s">
        <v>4499</v>
      </c>
      <c r="L2299" s="7" t="s">
        <v>46</v>
      </c>
      <c r="M2299" s="31">
        <v>45726</v>
      </c>
      <c r="N2299" s="7" t="s">
        <v>4500</v>
      </c>
      <c r="O2299" s="8">
        <v>710</v>
      </c>
      <c r="P2299" s="24">
        <v>8633</v>
      </c>
      <c r="Q2299" s="22">
        <f>IF(COUNTIFS(A$2:A2299,A2299,I$2:I2299,I2299)=1,1,0)</f>
        <v>0</v>
      </c>
      <c r="R2299" s="22">
        <f t="shared" si="35"/>
        <v>6</v>
      </c>
      <c r="S2299" s="33">
        <f>IF(COUNTIF(O$2:O2299,O2299)=1,R2299,0)/2.5</f>
        <v>0</v>
      </c>
    </row>
    <row r="2300" spans="1:19" ht="18" customHeight="1" x14ac:dyDescent="0.25">
      <c r="A2300" s="7" t="s">
        <v>43</v>
      </c>
      <c r="B2300" s="8">
        <v>1</v>
      </c>
      <c r="C2300" s="9">
        <v>395</v>
      </c>
      <c r="D2300" s="29">
        <f>C2300+IF(INDEX('Справочник по %'!B:B,(MATCH(A2300,'Справочник по %'!A:A,0)))="кол-во",B2300*INDEX('Справочник по %'!C:C,(MATCH(A2300,'Справочник по %'!A:A,0))),ОТЧЕТ!C2300*INDEX('Справочник по %'!C:C,(MATCH(A2300,'Справочник по %'!A:A,0))))/100</f>
        <v>434.5</v>
      </c>
      <c r="E2300" s="29">
        <f>IF(ОТЧЕТ!A2300="SKU3",C2300+ОТЧЕТ!C2300*0.2,C2300+ОТЧЕТ!C2300*0.15)</f>
        <v>454.25</v>
      </c>
      <c r="F2300" s="7" t="s">
        <v>4495</v>
      </c>
      <c r="G2300" s="7">
        <v>4206030711</v>
      </c>
      <c r="H2300" s="20" t="s">
        <v>69</v>
      </c>
      <c r="I2300" s="22">
        <f>INDEX('Справочник Сети'!B:B,(MATCH(G2300,'Справочник Сети'!C:C,0)))</f>
        <v>0</v>
      </c>
      <c r="J2300" s="7" t="s">
        <v>155</v>
      </c>
      <c r="K2300" s="7" t="s">
        <v>4501</v>
      </c>
      <c r="L2300" s="7" t="s">
        <v>155</v>
      </c>
      <c r="M2300" s="31">
        <v>45716</v>
      </c>
      <c r="N2300" s="7" t="s">
        <v>4502</v>
      </c>
      <c r="O2300" s="8">
        <v>1466</v>
      </c>
      <c r="P2300" s="24">
        <v>8634</v>
      </c>
      <c r="Q2300" s="22">
        <f>IF(COUNTIFS(A$2:A2300,A2300,I$2:I2300,I2300)=1,1,0)</f>
        <v>0</v>
      </c>
      <c r="R2300" s="22">
        <f t="shared" si="35"/>
        <v>1</v>
      </c>
      <c r="S2300" s="33">
        <f>IF(COUNTIF(O$2:O2300,O2300)=1,R2300,0)/2.5</f>
        <v>0.4</v>
      </c>
    </row>
    <row r="2301" spans="1:19" ht="18" customHeight="1" x14ac:dyDescent="0.25">
      <c r="A2301" s="7" t="s">
        <v>37</v>
      </c>
      <c r="B2301" s="8">
        <v>1</v>
      </c>
      <c r="C2301" s="9">
        <v>639</v>
      </c>
      <c r="D2301" s="29">
        <f>C2301+IF(INDEX('Справочник по %'!B:B,(MATCH(A2301,'Справочник по %'!A:A,0)))="кол-во",B2301*INDEX('Справочник по %'!C:C,(MATCH(A2301,'Справочник по %'!A:A,0))),ОТЧЕТ!C2301*INDEX('Справочник по %'!C:C,(MATCH(A2301,'Справочник по %'!A:A,0))))/100</f>
        <v>639.20000000000005</v>
      </c>
      <c r="E2301" s="29">
        <f>IF(ОТЧЕТ!A2301="SKU3",C2301+ОТЧЕТ!C2301*0.2,C2301+ОТЧЕТ!C2301*0.15)</f>
        <v>734.85</v>
      </c>
      <c r="F2301" s="7" t="s">
        <v>4495</v>
      </c>
      <c r="G2301" s="7">
        <v>5445015346</v>
      </c>
      <c r="H2301" s="20" t="s">
        <v>4503</v>
      </c>
      <c r="I2301" s="22">
        <f>INDEX('Справочник Сети'!B:B,(MATCH(G2301,'Справочник Сети'!C:C,0)))</f>
        <v>0</v>
      </c>
      <c r="J2301" s="7" t="s">
        <v>255</v>
      </c>
      <c r="K2301" s="7" t="s">
        <v>4504</v>
      </c>
      <c r="L2301" s="7" t="s">
        <v>255</v>
      </c>
      <c r="M2301" s="31">
        <v>45713</v>
      </c>
      <c r="N2301" s="7" t="s">
        <v>4505</v>
      </c>
      <c r="O2301" s="8">
        <v>1662</v>
      </c>
      <c r="P2301" s="24">
        <v>8637</v>
      </c>
      <c r="Q2301" s="22">
        <f>IF(COUNTIFS(A$2:A2301,A2301,I$2:I2301,I2301)=1,1,0)</f>
        <v>0</v>
      </c>
      <c r="R2301" s="22">
        <f t="shared" si="35"/>
        <v>2</v>
      </c>
      <c r="S2301" s="33">
        <f>IF(COUNTIF(O$2:O2301,O2301)=1,R2301,0)/2.5</f>
        <v>0.8</v>
      </c>
    </row>
    <row r="2302" spans="1:19" ht="18" customHeight="1" x14ac:dyDescent="0.25">
      <c r="A2302" s="7" t="s">
        <v>43</v>
      </c>
      <c r="B2302" s="8">
        <v>1</v>
      </c>
      <c r="C2302" s="9">
        <v>441</v>
      </c>
      <c r="D2302" s="29">
        <f>C2302+IF(INDEX('Справочник по %'!B:B,(MATCH(A2302,'Справочник по %'!A:A,0)))="кол-во",B2302*INDEX('Справочник по %'!C:C,(MATCH(A2302,'Справочник по %'!A:A,0))),ОТЧЕТ!C2302*INDEX('Справочник по %'!C:C,(MATCH(A2302,'Справочник по %'!A:A,0))))/100</f>
        <v>485.1</v>
      </c>
      <c r="E2302" s="29">
        <f>IF(ОТЧЕТ!A2302="SKU3",C2302+ОТЧЕТ!C2302*0.2,C2302+ОТЧЕТ!C2302*0.15)</f>
        <v>507.15</v>
      </c>
      <c r="F2302" s="7" t="s">
        <v>4506</v>
      </c>
      <c r="G2302" s="7">
        <v>5445015346</v>
      </c>
      <c r="H2302" s="20" t="s">
        <v>4503</v>
      </c>
      <c r="I2302" s="22">
        <f>INDEX('Справочник Сети'!B:B,(MATCH(G2302,'Справочник Сети'!C:C,0)))</f>
        <v>0</v>
      </c>
      <c r="J2302" s="7" t="s">
        <v>255</v>
      </c>
      <c r="K2302" s="7" t="s">
        <v>2462</v>
      </c>
      <c r="L2302" s="7" t="s">
        <v>255</v>
      </c>
      <c r="M2302" s="31">
        <v>45713</v>
      </c>
      <c r="N2302" s="7" t="s">
        <v>4507</v>
      </c>
      <c r="O2302" s="8">
        <v>1662</v>
      </c>
      <c r="P2302" s="24">
        <v>8638</v>
      </c>
      <c r="Q2302" s="22">
        <f>IF(COUNTIFS(A$2:A2302,A2302,I$2:I2302,I2302)=1,1,0)</f>
        <v>0</v>
      </c>
      <c r="R2302" s="22">
        <f t="shared" si="35"/>
        <v>2</v>
      </c>
      <c r="S2302" s="33">
        <f>IF(COUNTIF(O$2:O2302,O2302)=1,R2302,0)/2.5</f>
        <v>0</v>
      </c>
    </row>
    <row r="2303" spans="1:19" ht="18" customHeight="1" x14ac:dyDescent="0.25">
      <c r="A2303" s="7" t="s">
        <v>43</v>
      </c>
      <c r="B2303" s="8">
        <v>1</v>
      </c>
      <c r="C2303" s="9">
        <v>345</v>
      </c>
      <c r="D2303" s="29">
        <f>C2303+IF(INDEX('Справочник по %'!B:B,(MATCH(A2303,'Справочник по %'!A:A,0)))="кол-во",B2303*INDEX('Справочник по %'!C:C,(MATCH(A2303,'Справочник по %'!A:A,0))),ОТЧЕТ!C2303*INDEX('Справочник по %'!C:C,(MATCH(A2303,'Справочник по %'!A:A,0))))/100</f>
        <v>379.5</v>
      </c>
      <c r="E2303" s="29">
        <f>IF(ОТЧЕТ!A2303="SKU3",C2303+ОТЧЕТ!C2303*0.2,C2303+ОТЧЕТ!C2303*0.15)</f>
        <v>396.75</v>
      </c>
      <c r="F2303" s="7" t="s">
        <v>4508</v>
      </c>
      <c r="G2303" s="7">
        <v>2309111912</v>
      </c>
      <c r="H2303" s="20" t="s">
        <v>50</v>
      </c>
      <c r="I2303" s="22">
        <f>INDEX('Справочник Сети'!B:B,(MATCH(G2303,'Справочник Сети'!C:C,0)))</f>
        <v>0</v>
      </c>
      <c r="J2303" s="7" t="s">
        <v>57</v>
      </c>
      <c r="K2303" s="7" t="s">
        <v>3184</v>
      </c>
      <c r="L2303" s="7" t="s">
        <v>57</v>
      </c>
      <c r="M2303" s="31">
        <v>45729</v>
      </c>
      <c r="N2303" s="7" t="s">
        <v>4509</v>
      </c>
      <c r="O2303" s="8">
        <v>2101</v>
      </c>
      <c r="P2303" s="24">
        <v>8642</v>
      </c>
      <c r="Q2303" s="22">
        <f>IF(COUNTIFS(A$2:A2303,A2303,I$2:I2303,I2303)=1,1,0)</f>
        <v>0</v>
      </c>
      <c r="R2303" s="22">
        <f t="shared" si="35"/>
        <v>3</v>
      </c>
      <c r="S2303" s="33">
        <f>IF(COUNTIF(O$2:O2303,O2303)=1,R2303,0)/2.5</f>
        <v>0</v>
      </c>
    </row>
    <row r="2304" spans="1:19" ht="18" customHeight="1" x14ac:dyDescent="0.25">
      <c r="A2304" s="7" t="s">
        <v>37</v>
      </c>
      <c r="B2304" s="8">
        <v>1</v>
      </c>
      <c r="C2304" s="9">
        <v>693</v>
      </c>
      <c r="D2304" s="29">
        <f>C2304+IF(INDEX('Справочник по %'!B:B,(MATCH(A2304,'Справочник по %'!A:A,0)))="кол-во",B2304*INDEX('Справочник по %'!C:C,(MATCH(A2304,'Справочник по %'!A:A,0))),ОТЧЕТ!C2304*INDEX('Справочник по %'!C:C,(MATCH(A2304,'Справочник по %'!A:A,0))))/100</f>
        <v>693.2</v>
      </c>
      <c r="E2304" s="29">
        <f>IF(ОТЧЕТ!A2304="SKU3",C2304+ОТЧЕТ!C2304*0.2,C2304+ОТЧЕТ!C2304*0.15)</f>
        <v>796.95</v>
      </c>
      <c r="F2304" s="7" t="s">
        <v>4510</v>
      </c>
      <c r="G2304" s="7">
        <v>2543009225</v>
      </c>
      <c r="H2304" s="20" t="s">
        <v>3327</v>
      </c>
      <c r="I2304" s="22" t="str">
        <f>INDEX('Справочник Сети'!B:B,(MATCH(G2304,'Справочник Сети'!C:C,0)))</f>
        <v>Нео-фарм</v>
      </c>
      <c r="J2304" s="7" t="s">
        <v>46</v>
      </c>
      <c r="K2304" s="7" t="s">
        <v>521</v>
      </c>
      <c r="L2304" s="7" t="s">
        <v>46</v>
      </c>
      <c r="M2304" s="31">
        <v>45726</v>
      </c>
      <c r="N2304" s="7" t="s">
        <v>4511</v>
      </c>
      <c r="O2304" s="8">
        <v>1960</v>
      </c>
      <c r="P2304" s="24">
        <v>8643</v>
      </c>
      <c r="Q2304" s="22">
        <f>IF(COUNTIFS(A$2:A2304,A2304,I$2:I2304,I2304)=1,1,0)</f>
        <v>0</v>
      </c>
      <c r="R2304" s="22">
        <f t="shared" si="35"/>
        <v>1</v>
      </c>
      <c r="S2304" s="33">
        <f>IF(COUNTIF(O$2:O2304,O2304)=1,R2304,0)/2.5</f>
        <v>0.4</v>
      </c>
    </row>
    <row r="2305" spans="1:19" ht="18" customHeight="1" x14ac:dyDescent="0.25">
      <c r="A2305" s="7" t="s">
        <v>43</v>
      </c>
      <c r="B2305" s="8">
        <v>1</v>
      </c>
      <c r="C2305" s="9">
        <v>440</v>
      </c>
      <c r="D2305" s="29">
        <f>C2305+IF(INDEX('Справочник по %'!B:B,(MATCH(A2305,'Справочник по %'!A:A,0)))="кол-во",B2305*INDEX('Справочник по %'!C:C,(MATCH(A2305,'Справочник по %'!A:A,0))),ОТЧЕТ!C2305*INDEX('Справочник по %'!C:C,(MATCH(A2305,'Справочник по %'!A:A,0))))/100</f>
        <v>484</v>
      </c>
      <c r="E2305" s="29">
        <f>IF(ОТЧЕТ!A2305="SKU3",C2305+ОТЧЕТ!C2305*0.2,C2305+ОТЧЕТ!C2305*0.15)</f>
        <v>506</v>
      </c>
      <c r="F2305" s="7" t="s">
        <v>4512</v>
      </c>
      <c r="G2305" s="7">
        <v>3808198075</v>
      </c>
      <c r="H2305" s="20" t="s">
        <v>1357</v>
      </c>
      <c r="I2305" s="22">
        <f>INDEX('Справочник Сети'!B:B,(MATCH(G2305,'Справочник Сети'!C:C,0)))</f>
        <v>0</v>
      </c>
      <c r="J2305" s="7" t="s">
        <v>155</v>
      </c>
      <c r="K2305" s="7" t="s">
        <v>3369</v>
      </c>
      <c r="L2305" s="7" t="s">
        <v>155</v>
      </c>
      <c r="M2305" s="31">
        <v>45716</v>
      </c>
      <c r="N2305" s="7" t="s">
        <v>4513</v>
      </c>
      <c r="O2305" s="8">
        <v>1790</v>
      </c>
      <c r="P2305" s="24">
        <v>8644</v>
      </c>
      <c r="Q2305" s="22">
        <f>IF(COUNTIFS(A$2:A2305,A2305,I$2:I2305,I2305)=1,1,0)</f>
        <v>0</v>
      </c>
      <c r="R2305" s="22">
        <f t="shared" si="35"/>
        <v>1</v>
      </c>
      <c r="S2305" s="33">
        <f>IF(COUNTIF(O$2:O2305,O2305)=1,R2305,0)/2.5</f>
        <v>0.4</v>
      </c>
    </row>
    <row r="2306" spans="1:19" ht="18" customHeight="1" x14ac:dyDescent="0.25">
      <c r="A2306" s="7" t="s">
        <v>43</v>
      </c>
      <c r="B2306" s="8">
        <v>1</v>
      </c>
      <c r="C2306" s="9">
        <v>443</v>
      </c>
      <c r="D2306" s="29">
        <f>C2306+IF(INDEX('Справочник по %'!B:B,(MATCH(A2306,'Справочник по %'!A:A,0)))="кол-во",B2306*INDEX('Справочник по %'!C:C,(MATCH(A2306,'Справочник по %'!A:A,0))),ОТЧЕТ!C2306*INDEX('Справочник по %'!C:C,(MATCH(A2306,'Справочник по %'!A:A,0))))/100</f>
        <v>487.3</v>
      </c>
      <c r="E2306" s="29">
        <f>IF(ОТЧЕТ!A2306="SKU3",C2306+ОТЧЕТ!C2306*0.2,C2306+ОТЧЕТ!C2306*0.15)</f>
        <v>509.45</v>
      </c>
      <c r="F2306" s="7" t="s">
        <v>4514</v>
      </c>
      <c r="G2306" s="7">
        <v>2309111912</v>
      </c>
      <c r="H2306" s="20" t="s">
        <v>50</v>
      </c>
      <c r="I2306" s="22">
        <f>INDEX('Справочник Сети'!B:B,(MATCH(G2306,'Справочник Сети'!C:C,0)))</f>
        <v>0</v>
      </c>
      <c r="J2306" s="7" t="s">
        <v>57</v>
      </c>
      <c r="K2306" s="7" t="s">
        <v>2744</v>
      </c>
      <c r="L2306" s="7" t="s">
        <v>57</v>
      </c>
      <c r="M2306" s="31">
        <v>45729</v>
      </c>
      <c r="N2306" s="7" t="s">
        <v>4515</v>
      </c>
      <c r="O2306" s="8">
        <v>2101</v>
      </c>
      <c r="P2306" s="24">
        <v>8645</v>
      </c>
      <c r="Q2306" s="22">
        <f>IF(COUNTIFS(A$2:A2306,A2306,I$2:I2306,I2306)=1,1,0)</f>
        <v>0</v>
      </c>
      <c r="R2306" s="22">
        <f t="shared" si="35"/>
        <v>3</v>
      </c>
      <c r="S2306" s="33">
        <f>IF(COUNTIF(O$2:O2306,O2306)=1,R2306,0)/2.5</f>
        <v>0</v>
      </c>
    </row>
    <row r="2307" spans="1:19" ht="18" customHeight="1" x14ac:dyDescent="0.25">
      <c r="A2307" s="7" t="s">
        <v>37</v>
      </c>
      <c r="B2307" s="8">
        <v>1</v>
      </c>
      <c r="C2307" s="9">
        <v>585.79999999999995</v>
      </c>
      <c r="D2307" s="29">
        <f>C2307+IF(INDEX('Справочник по %'!B:B,(MATCH(A2307,'Справочник по %'!A:A,0)))="кол-во",B2307*INDEX('Справочник по %'!C:C,(MATCH(A2307,'Справочник по %'!A:A,0))),ОТЧЕТ!C2307*INDEX('Справочник по %'!C:C,(MATCH(A2307,'Справочник по %'!A:A,0))))/100</f>
        <v>586</v>
      </c>
      <c r="E2307" s="29">
        <f>IF(ОТЧЕТ!A2307="SKU3",C2307+ОТЧЕТ!C2307*0.2,C2307+ОТЧЕТ!C2307*0.15)</f>
        <v>673.67</v>
      </c>
      <c r="F2307" s="7" t="s">
        <v>4516</v>
      </c>
      <c r="G2307" s="7">
        <v>2543102471</v>
      </c>
      <c r="H2307" s="20" t="s">
        <v>1412</v>
      </c>
      <c r="I2307" s="22" t="str">
        <f>INDEX('Справочник Сети'!B:B,(MATCH(G2307,'Справочник Сети'!C:C,0)))</f>
        <v>Столички</v>
      </c>
      <c r="J2307" s="7" t="s">
        <v>46</v>
      </c>
      <c r="K2307" s="7" t="s">
        <v>2337</v>
      </c>
      <c r="L2307" s="7" t="s">
        <v>46</v>
      </c>
      <c r="M2307" s="31">
        <v>45726</v>
      </c>
      <c r="N2307" s="7" t="s">
        <v>4517</v>
      </c>
      <c r="O2307" s="8">
        <v>710</v>
      </c>
      <c r="P2307" s="24">
        <v>8647</v>
      </c>
      <c r="Q2307" s="22">
        <f>IF(COUNTIFS(A$2:A2307,A2307,I$2:I2307,I2307)=1,1,0)</f>
        <v>0</v>
      </c>
      <c r="R2307" s="22">
        <f t="shared" ref="R2307:R2370" si="36">COUNTIF(O:O,O2307)</f>
        <v>6</v>
      </c>
      <c r="S2307" s="33">
        <f>IF(COUNTIF(O$2:O2307,O2307)=1,R2307,0)/2.5</f>
        <v>0</v>
      </c>
    </row>
    <row r="2308" spans="1:19" ht="18" customHeight="1" x14ac:dyDescent="0.25">
      <c r="A2308" s="7" t="s">
        <v>37</v>
      </c>
      <c r="B2308" s="8">
        <v>1</v>
      </c>
      <c r="C2308" s="9">
        <v>572</v>
      </c>
      <c r="D2308" s="29">
        <f>C2308+IF(INDEX('Справочник по %'!B:B,(MATCH(A2308,'Справочник по %'!A:A,0)))="кол-во",B2308*INDEX('Справочник по %'!C:C,(MATCH(A2308,'Справочник по %'!A:A,0))),ОТЧЕТ!C2308*INDEX('Справочник по %'!C:C,(MATCH(A2308,'Справочник по %'!A:A,0))))/100</f>
        <v>572.20000000000005</v>
      </c>
      <c r="E2308" s="29">
        <f>IF(ОТЧЕТ!A2308="SKU3",C2308+ОТЧЕТ!C2308*0.2,C2308+ОТЧЕТ!C2308*0.15)</f>
        <v>657.8</v>
      </c>
      <c r="F2308" s="7" t="s">
        <v>4516</v>
      </c>
      <c r="G2308" s="7">
        <v>2466189073</v>
      </c>
      <c r="H2308" s="20" t="s">
        <v>3974</v>
      </c>
      <c r="I2308" s="22" t="str">
        <f>INDEX('Справочник Сети'!B:B,(MATCH(G2308,'Справочник Сети'!C:C,0)))</f>
        <v>Нео-фарм</v>
      </c>
      <c r="J2308" s="7" t="s">
        <v>96</v>
      </c>
      <c r="K2308" s="7" t="s">
        <v>3015</v>
      </c>
      <c r="L2308" s="7" t="s">
        <v>96</v>
      </c>
      <c r="M2308" s="31">
        <v>45727</v>
      </c>
      <c r="N2308" s="7" t="s">
        <v>4518</v>
      </c>
      <c r="O2308" s="8">
        <v>3570</v>
      </c>
      <c r="P2308" s="24">
        <v>8651</v>
      </c>
      <c r="Q2308" s="22">
        <f>IF(COUNTIFS(A$2:A2308,A2308,I$2:I2308,I2308)=1,1,0)</f>
        <v>0</v>
      </c>
      <c r="R2308" s="22">
        <f t="shared" si="36"/>
        <v>1</v>
      </c>
      <c r="S2308" s="33">
        <f>IF(COUNTIF(O$2:O2308,O2308)=1,R2308,0)/2.5</f>
        <v>0.4</v>
      </c>
    </row>
    <row r="2309" spans="1:19" ht="18" customHeight="1" x14ac:dyDescent="0.25">
      <c r="A2309" s="7" t="s">
        <v>43</v>
      </c>
      <c r="B2309" s="8">
        <v>1</v>
      </c>
      <c r="C2309" s="9">
        <v>395</v>
      </c>
      <c r="D2309" s="29">
        <f>C2309+IF(INDEX('Справочник по %'!B:B,(MATCH(A2309,'Справочник по %'!A:A,0)))="кол-во",B2309*INDEX('Справочник по %'!C:C,(MATCH(A2309,'Справочник по %'!A:A,0))),ОТЧЕТ!C2309*INDEX('Справочник по %'!C:C,(MATCH(A2309,'Справочник по %'!A:A,0))))/100</f>
        <v>434.5</v>
      </c>
      <c r="E2309" s="29">
        <f>IF(ОТЧЕТ!A2309="SKU3",C2309+ОТЧЕТ!C2309*0.2,C2309+ОТЧЕТ!C2309*0.15)</f>
        <v>454.25</v>
      </c>
      <c r="F2309" s="7" t="s">
        <v>4519</v>
      </c>
      <c r="G2309" s="7">
        <v>7203473252</v>
      </c>
      <c r="H2309" s="20" t="s">
        <v>3533</v>
      </c>
      <c r="I2309" s="22" t="str">
        <f>INDEX('Справочник Сети'!B:B,(MATCH(G2309,'Справочник Сети'!C:C,0)))</f>
        <v>Столички</v>
      </c>
      <c r="J2309" s="7" t="s">
        <v>106</v>
      </c>
      <c r="K2309" s="7" t="s">
        <v>1469</v>
      </c>
      <c r="L2309" s="7" t="s">
        <v>106</v>
      </c>
      <c r="M2309" s="31">
        <v>45694</v>
      </c>
      <c r="N2309" s="7" t="s">
        <v>4520</v>
      </c>
      <c r="O2309" s="8">
        <v>3067</v>
      </c>
      <c r="P2309" s="24">
        <v>8656</v>
      </c>
      <c r="Q2309" s="22">
        <f>IF(COUNTIFS(A$2:A2309,A2309,I$2:I2309,I2309)=1,1,0)</f>
        <v>0</v>
      </c>
      <c r="R2309" s="22">
        <f t="shared" si="36"/>
        <v>3</v>
      </c>
      <c r="S2309" s="33">
        <f>IF(COUNTIF(O$2:O2309,O2309)=1,R2309,0)/2.5</f>
        <v>0</v>
      </c>
    </row>
    <row r="2310" spans="1:19" ht="18" customHeight="1" x14ac:dyDescent="0.25">
      <c r="A2310" s="7" t="s">
        <v>43</v>
      </c>
      <c r="B2310" s="8">
        <v>1</v>
      </c>
      <c r="C2310" s="9">
        <v>456</v>
      </c>
      <c r="D2310" s="29">
        <f>C2310+IF(INDEX('Справочник по %'!B:B,(MATCH(A2310,'Справочник по %'!A:A,0)))="кол-во",B2310*INDEX('Справочник по %'!C:C,(MATCH(A2310,'Справочник по %'!A:A,0))),ОТЧЕТ!C2310*INDEX('Справочник по %'!C:C,(MATCH(A2310,'Справочник по %'!A:A,0))))/100</f>
        <v>501.6</v>
      </c>
      <c r="E2310" s="29">
        <f>IF(ОТЧЕТ!A2310="SKU3",C2310+ОТЧЕТ!C2310*0.2,C2310+ОТЧЕТ!C2310*0.15)</f>
        <v>524.4</v>
      </c>
      <c r="F2310" s="7" t="s">
        <v>4519</v>
      </c>
      <c r="G2310" s="7">
        <v>5501207372</v>
      </c>
      <c r="H2310" s="20" t="s">
        <v>50</v>
      </c>
      <c r="I2310" s="22" t="str">
        <f>INDEX('Справочник Сети'!B:B,(MATCH(G2310,'Справочник Сети'!C:C,0)))</f>
        <v>Ригла</v>
      </c>
      <c r="J2310" s="7" t="s">
        <v>255</v>
      </c>
      <c r="K2310" s="7" t="s">
        <v>2679</v>
      </c>
      <c r="L2310" s="7" t="s">
        <v>255</v>
      </c>
      <c r="M2310" s="31">
        <v>45713</v>
      </c>
      <c r="N2310" s="7" t="s">
        <v>4521</v>
      </c>
      <c r="O2310" s="8">
        <v>324</v>
      </c>
      <c r="P2310" s="24">
        <v>8660</v>
      </c>
      <c r="Q2310" s="22">
        <f>IF(COUNTIFS(A$2:A2310,A2310,I$2:I2310,I2310)=1,1,0)</f>
        <v>0</v>
      </c>
      <c r="R2310" s="22">
        <f t="shared" si="36"/>
        <v>8</v>
      </c>
      <c r="S2310" s="33">
        <f>IF(COUNTIF(O$2:O2310,O2310)=1,R2310,0)/2.5</f>
        <v>0</v>
      </c>
    </row>
    <row r="2311" spans="1:19" ht="18" customHeight="1" x14ac:dyDescent="0.25">
      <c r="A2311" s="7" t="s">
        <v>43</v>
      </c>
      <c r="B2311" s="8">
        <v>1</v>
      </c>
      <c r="C2311" s="9">
        <v>406</v>
      </c>
      <c r="D2311" s="29">
        <f>C2311+IF(INDEX('Справочник по %'!B:B,(MATCH(A2311,'Справочник по %'!A:A,0)))="кол-во",B2311*INDEX('Справочник по %'!C:C,(MATCH(A2311,'Справочник по %'!A:A,0))),ОТЧЕТ!C2311*INDEX('Справочник по %'!C:C,(MATCH(A2311,'Справочник по %'!A:A,0))))/100</f>
        <v>446.6</v>
      </c>
      <c r="E2311" s="29">
        <f>IF(ОТЧЕТ!A2311="SKU3",C2311+ОТЧЕТ!C2311*0.2,C2311+ОТЧЕТ!C2311*0.15)</f>
        <v>466.9</v>
      </c>
      <c r="F2311" s="7" t="s">
        <v>4522</v>
      </c>
      <c r="G2311" s="7">
        <v>2543023195</v>
      </c>
      <c r="H2311" s="20" t="s">
        <v>69</v>
      </c>
      <c r="I2311" s="22" t="str">
        <f>INDEX('Справочник Сети'!B:B,(MATCH(G2311,'Справочник Сети'!C:C,0)))</f>
        <v>36,6</v>
      </c>
      <c r="J2311" s="7" t="s">
        <v>46</v>
      </c>
      <c r="K2311" s="7" t="s">
        <v>1588</v>
      </c>
      <c r="L2311" s="7" t="s">
        <v>46</v>
      </c>
      <c r="M2311" s="31">
        <v>45726</v>
      </c>
      <c r="N2311" s="7" t="s">
        <v>4523</v>
      </c>
      <c r="O2311" s="8">
        <v>2516</v>
      </c>
      <c r="P2311" s="24">
        <v>8662</v>
      </c>
      <c r="Q2311" s="22">
        <f>IF(COUNTIFS(A$2:A2311,A2311,I$2:I2311,I2311)=1,1,0)</f>
        <v>0</v>
      </c>
      <c r="R2311" s="22">
        <f t="shared" si="36"/>
        <v>2</v>
      </c>
      <c r="S2311" s="33">
        <f>IF(COUNTIF(O$2:O2311,O2311)=1,R2311,0)/2.5</f>
        <v>0.8</v>
      </c>
    </row>
    <row r="2312" spans="1:19" ht="18" customHeight="1" x14ac:dyDescent="0.25">
      <c r="A2312" s="7" t="s">
        <v>43</v>
      </c>
      <c r="B2312" s="8">
        <v>1</v>
      </c>
      <c r="C2312" s="9">
        <v>398</v>
      </c>
      <c r="D2312" s="29">
        <f>C2312+IF(INDEX('Справочник по %'!B:B,(MATCH(A2312,'Справочник по %'!A:A,0)))="кол-во",B2312*INDEX('Справочник по %'!C:C,(MATCH(A2312,'Справочник по %'!A:A,0))),ОТЧЕТ!C2312*INDEX('Справочник по %'!C:C,(MATCH(A2312,'Справочник по %'!A:A,0))))/100</f>
        <v>437.8</v>
      </c>
      <c r="E2312" s="29">
        <f>IF(ОТЧЕТ!A2312="SKU3",C2312+ОТЧЕТ!C2312*0.2,C2312+ОТЧЕТ!C2312*0.15)</f>
        <v>457.7</v>
      </c>
      <c r="F2312" s="7" t="s">
        <v>4524</v>
      </c>
      <c r="G2312" s="7">
        <v>2466189073</v>
      </c>
      <c r="H2312" s="20" t="s">
        <v>4525</v>
      </c>
      <c r="I2312" s="22" t="str">
        <f>INDEX('Справочник Сети'!B:B,(MATCH(G2312,'Справочник Сети'!C:C,0)))</f>
        <v>Нео-фарм</v>
      </c>
      <c r="J2312" s="7" t="s">
        <v>96</v>
      </c>
      <c r="K2312" s="7" t="s">
        <v>947</v>
      </c>
      <c r="L2312" s="7" t="s">
        <v>96</v>
      </c>
      <c r="M2312" s="31">
        <v>45727</v>
      </c>
      <c r="N2312" s="7" t="s">
        <v>4526</v>
      </c>
      <c r="O2312" s="8">
        <v>1413</v>
      </c>
      <c r="P2312" s="24">
        <v>8664</v>
      </c>
      <c r="Q2312" s="22">
        <f>IF(COUNTIFS(A$2:A2312,A2312,I$2:I2312,I2312)=1,1,0)</f>
        <v>0</v>
      </c>
      <c r="R2312" s="22">
        <f t="shared" si="36"/>
        <v>1</v>
      </c>
      <c r="S2312" s="33">
        <f>IF(COUNTIF(O$2:O2312,O2312)=1,R2312,0)/2.5</f>
        <v>0.4</v>
      </c>
    </row>
    <row r="2313" spans="1:19" ht="18" customHeight="1" x14ac:dyDescent="0.25">
      <c r="A2313" s="7" t="s">
        <v>43</v>
      </c>
      <c r="B2313" s="8">
        <v>1</v>
      </c>
      <c r="C2313" s="9">
        <v>423</v>
      </c>
      <c r="D2313" s="29">
        <f>C2313+IF(INDEX('Справочник по %'!B:B,(MATCH(A2313,'Справочник по %'!A:A,0)))="кол-во",B2313*INDEX('Справочник по %'!C:C,(MATCH(A2313,'Справочник по %'!A:A,0))),ОТЧЕТ!C2313*INDEX('Справочник по %'!C:C,(MATCH(A2313,'Справочник по %'!A:A,0))))/100</f>
        <v>465.3</v>
      </c>
      <c r="E2313" s="29">
        <f>IF(ОТЧЕТ!A2313="SKU3",C2313+ОТЧЕТ!C2313*0.2,C2313+ОТЧЕТ!C2313*0.15)</f>
        <v>486.45</v>
      </c>
      <c r="F2313" s="7" t="s">
        <v>4524</v>
      </c>
      <c r="G2313" s="7">
        <v>7704865540</v>
      </c>
      <c r="H2313" s="20" t="s">
        <v>91</v>
      </c>
      <c r="I2313" s="22" t="str">
        <f>INDEX('Справочник Сети'!B:B,(MATCH(G2313,'Справочник Сети'!C:C,0)))</f>
        <v>Столички</v>
      </c>
      <c r="J2313" s="7" t="s">
        <v>104</v>
      </c>
      <c r="K2313" s="7" t="s">
        <v>4434</v>
      </c>
      <c r="L2313" s="7" t="s">
        <v>104</v>
      </c>
      <c r="M2313" s="31">
        <v>45693</v>
      </c>
      <c r="N2313" s="7" t="s">
        <v>4527</v>
      </c>
      <c r="O2313" s="8">
        <v>168</v>
      </c>
      <c r="P2313" s="24">
        <v>8668</v>
      </c>
      <c r="Q2313" s="22">
        <f>IF(COUNTIFS(A$2:A2313,A2313,I$2:I2313,I2313)=1,1,0)</f>
        <v>0</v>
      </c>
      <c r="R2313" s="22">
        <f t="shared" si="36"/>
        <v>1</v>
      </c>
      <c r="S2313" s="33">
        <f>IF(COUNTIF(O$2:O2313,O2313)=1,R2313,0)/2.5</f>
        <v>0.4</v>
      </c>
    </row>
    <row r="2314" spans="1:19" ht="18" customHeight="1" x14ac:dyDescent="0.25">
      <c r="A2314" s="7" t="s">
        <v>43</v>
      </c>
      <c r="B2314" s="8">
        <v>1</v>
      </c>
      <c r="C2314" s="9">
        <v>381.4</v>
      </c>
      <c r="D2314" s="29">
        <f>C2314+IF(INDEX('Справочник по %'!B:B,(MATCH(A2314,'Справочник по %'!A:A,0)))="кол-во",B2314*INDEX('Справочник по %'!C:C,(MATCH(A2314,'Справочник по %'!A:A,0))),ОТЧЕТ!C2314*INDEX('Справочник по %'!C:C,(MATCH(A2314,'Справочник по %'!A:A,0))))/100</f>
        <v>419.53999999999996</v>
      </c>
      <c r="E2314" s="29">
        <f>IF(ОТЧЕТ!A2314="SKU3",C2314+ОТЧЕТ!C2314*0.2,C2314+ОТЧЕТ!C2314*0.15)</f>
        <v>438.60999999999996</v>
      </c>
      <c r="F2314" s="7" t="s">
        <v>4524</v>
      </c>
      <c r="G2314" s="7">
        <v>3801042576</v>
      </c>
      <c r="H2314" s="20" t="s">
        <v>2225</v>
      </c>
      <c r="I2314" s="22" t="str">
        <f>INDEX('Справочник Сети'!B:B,(MATCH(G2314,'Справочник Сети'!C:C,0)))</f>
        <v>Планета здоровья</v>
      </c>
      <c r="J2314" s="7" t="s">
        <v>65</v>
      </c>
      <c r="K2314" s="7" t="s">
        <v>453</v>
      </c>
      <c r="L2314" s="7" t="s">
        <v>65</v>
      </c>
      <c r="M2314" s="31">
        <v>45717</v>
      </c>
      <c r="N2314" s="7" t="s">
        <v>4528</v>
      </c>
      <c r="O2314" s="8">
        <v>3540</v>
      </c>
      <c r="P2314" s="24">
        <v>8669</v>
      </c>
      <c r="Q2314" s="22">
        <f>IF(COUNTIFS(A$2:A2314,A2314,I$2:I2314,I2314)=1,1,0)</f>
        <v>0</v>
      </c>
      <c r="R2314" s="22">
        <f t="shared" si="36"/>
        <v>4</v>
      </c>
      <c r="S2314" s="33">
        <f>IF(COUNTIF(O$2:O2314,O2314)=1,R2314,0)/2.5</f>
        <v>0</v>
      </c>
    </row>
    <row r="2315" spans="1:19" ht="18" customHeight="1" x14ac:dyDescent="0.25">
      <c r="A2315" s="7" t="s">
        <v>43</v>
      </c>
      <c r="B2315" s="8">
        <v>1</v>
      </c>
      <c r="C2315" s="9">
        <v>450</v>
      </c>
      <c r="D2315" s="29">
        <f>C2315+IF(INDEX('Справочник по %'!B:B,(MATCH(A2315,'Справочник по %'!A:A,0)))="кол-во",B2315*INDEX('Справочник по %'!C:C,(MATCH(A2315,'Справочник по %'!A:A,0))),ОТЧЕТ!C2315*INDEX('Справочник по %'!C:C,(MATCH(A2315,'Справочник по %'!A:A,0))))/100</f>
        <v>495</v>
      </c>
      <c r="E2315" s="29">
        <f>IF(ОТЧЕТ!A2315="SKU3",C2315+ОТЧЕТ!C2315*0.2,C2315+ОТЧЕТ!C2315*0.15)</f>
        <v>517.5</v>
      </c>
      <c r="F2315" s="7" t="s">
        <v>4524</v>
      </c>
      <c r="G2315" s="7">
        <v>4217058652</v>
      </c>
      <c r="H2315" s="20" t="s">
        <v>167</v>
      </c>
      <c r="I2315" s="22" t="str">
        <f>INDEX('Справочник Сети'!B:B,(MATCH(G2315,'Справочник Сети'!C:C,0)))</f>
        <v>Нео-фарм</v>
      </c>
      <c r="J2315" s="7" t="s">
        <v>155</v>
      </c>
      <c r="K2315" s="7" t="s">
        <v>3234</v>
      </c>
      <c r="L2315" s="7" t="s">
        <v>155</v>
      </c>
      <c r="M2315" s="31">
        <v>45716</v>
      </c>
      <c r="N2315" s="7" t="s">
        <v>4529</v>
      </c>
      <c r="O2315" s="8">
        <v>2157</v>
      </c>
      <c r="P2315" s="24">
        <v>8670</v>
      </c>
      <c r="Q2315" s="22">
        <f>IF(COUNTIFS(A$2:A2315,A2315,I$2:I2315,I2315)=1,1,0)</f>
        <v>0</v>
      </c>
      <c r="R2315" s="22">
        <f t="shared" si="36"/>
        <v>1</v>
      </c>
      <c r="S2315" s="33">
        <f>IF(COUNTIF(O$2:O2315,O2315)=1,R2315,0)/2.5</f>
        <v>0.4</v>
      </c>
    </row>
    <row r="2316" spans="1:19" ht="18" customHeight="1" x14ac:dyDescent="0.25">
      <c r="A2316" s="7" t="s">
        <v>43</v>
      </c>
      <c r="B2316" s="8">
        <v>1</v>
      </c>
      <c r="C2316" s="9">
        <v>511</v>
      </c>
      <c r="D2316" s="29">
        <f>C2316+IF(INDEX('Справочник по %'!B:B,(MATCH(A2316,'Справочник по %'!A:A,0)))="кол-во",B2316*INDEX('Справочник по %'!C:C,(MATCH(A2316,'Справочник по %'!A:A,0))),ОТЧЕТ!C2316*INDEX('Справочник по %'!C:C,(MATCH(A2316,'Справочник по %'!A:A,0))))/100</f>
        <v>562.1</v>
      </c>
      <c r="E2316" s="29">
        <f>IF(ОТЧЕТ!A2316="SKU3",C2316+ОТЧЕТ!C2316*0.2,C2316+ОТЧЕТ!C2316*0.15)</f>
        <v>587.65</v>
      </c>
      <c r="F2316" s="7" t="s">
        <v>4524</v>
      </c>
      <c r="G2316" s="7">
        <v>7820310299</v>
      </c>
      <c r="H2316" s="20" t="s">
        <v>4530</v>
      </c>
      <c r="I2316" s="22">
        <f>INDEX('Справочник Сети'!B:B,(MATCH(G2316,'Справочник Сети'!C:C,0)))</f>
        <v>0</v>
      </c>
      <c r="J2316" s="7" t="s">
        <v>121</v>
      </c>
      <c r="K2316" s="7" t="s">
        <v>3855</v>
      </c>
      <c r="L2316" s="7" t="s">
        <v>121</v>
      </c>
      <c r="M2316" s="31">
        <v>45671</v>
      </c>
      <c r="N2316" s="7" t="s">
        <v>4531</v>
      </c>
      <c r="O2316" s="8">
        <v>3385</v>
      </c>
      <c r="P2316" s="24">
        <v>8671</v>
      </c>
      <c r="Q2316" s="22">
        <f>IF(COUNTIFS(A$2:A2316,A2316,I$2:I2316,I2316)=1,1,0)</f>
        <v>0</v>
      </c>
      <c r="R2316" s="22">
        <f t="shared" si="36"/>
        <v>5</v>
      </c>
      <c r="S2316" s="33">
        <f>IF(COUNTIF(O$2:O2316,O2316)=1,R2316,0)/2.5</f>
        <v>0</v>
      </c>
    </row>
    <row r="2317" spans="1:19" ht="18" customHeight="1" x14ac:dyDescent="0.25">
      <c r="A2317" s="7" t="s">
        <v>43</v>
      </c>
      <c r="B2317" s="8">
        <v>1</v>
      </c>
      <c r="C2317" s="9">
        <v>461.63</v>
      </c>
      <c r="D2317" s="29">
        <f>C2317+IF(INDEX('Справочник по %'!B:B,(MATCH(A2317,'Справочник по %'!A:A,0)))="кол-во",B2317*INDEX('Справочник по %'!C:C,(MATCH(A2317,'Справочник по %'!A:A,0))),ОТЧЕТ!C2317*INDEX('Справочник по %'!C:C,(MATCH(A2317,'Справочник по %'!A:A,0))))/100</f>
        <v>507.79300000000001</v>
      </c>
      <c r="E2317" s="29">
        <f>IF(ОТЧЕТ!A2317="SKU3",C2317+ОТЧЕТ!C2317*0.2,C2317+ОТЧЕТ!C2317*0.15)</f>
        <v>530.87450000000001</v>
      </c>
      <c r="F2317" s="7" t="s">
        <v>4524</v>
      </c>
      <c r="G2317" s="7">
        <v>7203539016</v>
      </c>
      <c r="H2317" s="20" t="s">
        <v>50</v>
      </c>
      <c r="I2317" s="22">
        <f>INDEX('Справочник Сети'!B:B,(MATCH(G2317,'Справочник Сети'!C:C,0)))</f>
        <v>0</v>
      </c>
      <c r="J2317" s="7" t="s">
        <v>104</v>
      </c>
      <c r="K2317" s="7" t="s">
        <v>1000</v>
      </c>
      <c r="L2317" s="7" t="s">
        <v>106</v>
      </c>
      <c r="M2317" s="31">
        <v>45694</v>
      </c>
      <c r="N2317" s="7" t="s">
        <v>4532</v>
      </c>
      <c r="O2317" s="8">
        <v>864</v>
      </c>
      <c r="P2317" s="24">
        <v>8677</v>
      </c>
      <c r="Q2317" s="22">
        <f>IF(COUNTIFS(A$2:A2317,A2317,I$2:I2317,I2317)=1,1,0)</f>
        <v>0</v>
      </c>
      <c r="R2317" s="22">
        <f t="shared" si="36"/>
        <v>1</v>
      </c>
      <c r="S2317" s="33">
        <f>IF(COUNTIF(O$2:O2317,O2317)=1,R2317,0)/2.5</f>
        <v>0.4</v>
      </c>
    </row>
    <row r="2318" spans="1:19" ht="18" customHeight="1" x14ac:dyDescent="0.25">
      <c r="A2318" s="7" t="s">
        <v>43</v>
      </c>
      <c r="B2318" s="8">
        <v>1</v>
      </c>
      <c r="C2318" s="9">
        <v>367</v>
      </c>
      <c r="D2318" s="29">
        <f>C2318+IF(INDEX('Справочник по %'!B:B,(MATCH(A2318,'Справочник по %'!A:A,0)))="кол-во",B2318*INDEX('Справочник по %'!C:C,(MATCH(A2318,'Справочник по %'!A:A,0))),ОТЧЕТ!C2318*INDEX('Справочник по %'!C:C,(MATCH(A2318,'Справочник по %'!A:A,0))))/100</f>
        <v>403.7</v>
      </c>
      <c r="E2318" s="29">
        <f>IF(ОТЧЕТ!A2318="SKU3",C2318+ОТЧЕТ!C2318*0.2,C2318+ОТЧЕТ!C2318*0.15)</f>
        <v>422.05</v>
      </c>
      <c r="F2318" s="7" t="s">
        <v>4533</v>
      </c>
      <c r="G2318" s="7">
        <v>7020028423</v>
      </c>
      <c r="H2318" s="20" t="s">
        <v>2972</v>
      </c>
      <c r="I2318" s="22" t="str">
        <f>INDEX('Справочник Сети'!B:B,(MATCH(G2318,'Справочник Сети'!C:C,0)))</f>
        <v>36,6</v>
      </c>
      <c r="J2318" s="7" t="s">
        <v>106</v>
      </c>
      <c r="K2318" s="7" t="s">
        <v>4534</v>
      </c>
      <c r="L2318" s="7" t="s">
        <v>106</v>
      </c>
      <c r="M2318" s="31">
        <v>45694</v>
      </c>
      <c r="N2318" s="7" t="s">
        <v>4535</v>
      </c>
      <c r="O2318" s="8">
        <v>1328</v>
      </c>
      <c r="P2318" s="24">
        <v>8678</v>
      </c>
      <c r="Q2318" s="22">
        <f>IF(COUNTIFS(A$2:A2318,A2318,I$2:I2318,I2318)=1,1,0)</f>
        <v>0</v>
      </c>
      <c r="R2318" s="22">
        <f t="shared" si="36"/>
        <v>2</v>
      </c>
      <c r="S2318" s="33">
        <f>IF(COUNTIF(O$2:O2318,O2318)=1,R2318,0)/2.5</f>
        <v>0.8</v>
      </c>
    </row>
    <row r="2319" spans="1:19" ht="18" customHeight="1" x14ac:dyDescent="0.25">
      <c r="A2319" s="7" t="s">
        <v>43</v>
      </c>
      <c r="B2319" s="8">
        <v>1</v>
      </c>
      <c r="C2319" s="9">
        <v>474</v>
      </c>
      <c r="D2319" s="29">
        <f>C2319+IF(INDEX('Справочник по %'!B:B,(MATCH(A2319,'Справочник по %'!A:A,0)))="кол-во",B2319*INDEX('Справочник по %'!C:C,(MATCH(A2319,'Справочник по %'!A:A,0))),ОТЧЕТ!C2319*INDEX('Справочник по %'!C:C,(MATCH(A2319,'Справочник по %'!A:A,0))))/100</f>
        <v>521.4</v>
      </c>
      <c r="E2319" s="29">
        <f>IF(ОТЧЕТ!A2319="SKU3",C2319+ОТЧЕТ!C2319*0.2,C2319+ОТЧЕТ!C2319*0.15)</f>
        <v>545.1</v>
      </c>
      <c r="F2319" s="7" t="s">
        <v>4536</v>
      </c>
      <c r="G2319" s="7">
        <v>2225224388</v>
      </c>
      <c r="H2319" s="20" t="s">
        <v>50</v>
      </c>
      <c r="I2319" s="22" t="str">
        <f>INDEX('Справочник Сети'!B:B,(MATCH(G2319,'Справочник Сети'!C:C,0)))</f>
        <v>Нео-фарм</v>
      </c>
      <c r="J2319" s="7" t="s">
        <v>372</v>
      </c>
      <c r="K2319" s="7" t="s">
        <v>505</v>
      </c>
      <c r="L2319" s="7" t="s">
        <v>372</v>
      </c>
      <c r="M2319" s="31">
        <v>45730</v>
      </c>
      <c r="N2319" s="7" t="s">
        <v>4537</v>
      </c>
      <c r="O2319" s="8">
        <v>2739</v>
      </c>
      <c r="P2319" s="24">
        <v>8679</v>
      </c>
      <c r="Q2319" s="22">
        <f>IF(COUNTIFS(A$2:A2319,A2319,I$2:I2319,I2319)=1,1,0)</f>
        <v>0</v>
      </c>
      <c r="R2319" s="22">
        <f t="shared" si="36"/>
        <v>2</v>
      </c>
      <c r="S2319" s="33">
        <f>IF(COUNTIF(O$2:O2319,O2319)=1,R2319,0)/2.5</f>
        <v>0</v>
      </c>
    </row>
    <row r="2320" spans="1:19" ht="18" customHeight="1" x14ac:dyDescent="0.25">
      <c r="A2320" s="7" t="s">
        <v>43</v>
      </c>
      <c r="B2320" s="8">
        <v>1</v>
      </c>
      <c r="C2320" s="9">
        <v>399.5</v>
      </c>
      <c r="D2320" s="29">
        <f>C2320+IF(INDEX('Справочник по %'!B:B,(MATCH(A2320,'Справочник по %'!A:A,0)))="кол-во",B2320*INDEX('Справочник по %'!C:C,(MATCH(A2320,'Справочник по %'!A:A,0))),ОТЧЕТ!C2320*INDEX('Справочник по %'!C:C,(MATCH(A2320,'Справочник по %'!A:A,0))))/100</f>
        <v>439.45</v>
      </c>
      <c r="E2320" s="29">
        <f>IF(ОТЧЕТ!A2320="SKU3",C2320+ОТЧЕТ!C2320*0.2,C2320+ОТЧЕТ!C2320*0.15)</f>
        <v>459.42500000000001</v>
      </c>
      <c r="F2320" s="7" t="s">
        <v>4538</v>
      </c>
      <c r="G2320" s="7">
        <v>3801042576</v>
      </c>
      <c r="H2320" s="20" t="s">
        <v>64</v>
      </c>
      <c r="I2320" s="22" t="str">
        <f>INDEX('Справочник Сети'!B:B,(MATCH(G2320,'Справочник Сети'!C:C,0)))</f>
        <v>Планета здоровья</v>
      </c>
      <c r="J2320" s="7" t="s">
        <v>65</v>
      </c>
      <c r="K2320" s="7" t="s">
        <v>586</v>
      </c>
      <c r="L2320" s="7" t="s">
        <v>65</v>
      </c>
      <c r="M2320" s="31">
        <v>45717</v>
      </c>
      <c r="N2320" s="7" t="s">
        <v>4539</v>
      </c>
      <c r="O2320" s="8">
        <v>2987</v>
      </c>
      <c r="P2320" s="24">
        <v>8683</v>
      </c>
      <c r="Q2320" s="22">
        <f>IF(COUNTIFS(A$2:A2320,A2320,I$2:I2320,I2320)=1,1,0)</f>
        <v>0</v>
      </c>
      <c r="R2320" s="22">
        <f t="shared" si="36"/>
        <v>2</v>
      </c>
      <c r="S2320" s="33">
        <f>IF(COUNTIF(O$2:O2320,O2320)=1,R2320,0)/2.5</f>
        <v>0.8</v>
      </c>
    </row>
    <row r="2321" spans="1:19" ht="18" customHeight="1" x14ac:dyDescent="0.25">
      <c r="A2321" s="7" t="s">
        <v>43</v>
      </c>
      <c r="B2321" s="8">
        <v>1</v>
      </c>
      <c r="C2321" s="9">
        <v>695</v>
      </c>
      <c r="D2321" s="29">
        <f>C2321+IF(INDEX('Справочник по %'!B:B,(MATCH(A2321,'Справочник по %'!A:A,0)))="кол-во",B2321*INDEX('Справочник по %'!C:C,(MATCH(A2321,'Справочник по %'!A:A,0))),ОТЧЕТ!C2321*INDEX('Справочник по %'!C:C,(MATCH(A2321,'Справочник по %'!A:A,0))))/100</f>
        <v>764.5</v>
      </c>
      <c r="E2321" s="29">
        <f>IF(ОТЧЕТ!A2321="SKU3",C2321+ОТЧЕТ!C2321*0.2,C2321+ОТЧЕТ!C2321*0.15)</f>
        <v>799.25</v>
      </c>
      <c r="F2321" s="7" t="s">
        <v>4540</v>
      </c>
      <c r="G2321" s="7">
        <v>1433020930</v>
      </c>
      <c r="H2321" s="20" t="s">
        <v>4541</v>
      </c>
      <c r="I2321" s="22">
        <f>INDEX('Справочник Сети'!B:B,(MATCH(G2321,'Справочник Сети'!C:C,0)))</f>
        <v>0</v>
      </c>
      <c r="J2321" s="7" t="s">
        <v>335</v>
      </c>
      <c r="K2321" s="7" t="s">
        <v>714</v>
      </c>
      <c r="L2321" s="7" t="s">
        <v>335</v>
      </c>
      <c r="M2321" s="31">
        <v>45731</v>
      </c>
      <c r="N2321" s="7" t="s">
        <v>4542</v>
      </c>
      <c r="O2321" s="8">
        <v>2921</v>
      </c>
      <c r="P2321" s="24">
        <v>8687</v>
      </c>
      <c r="Q2321" s="22">
        <f>IF(COUNTIFS(A$2:A2321,A2321,I$2:I2321,I2321)=1,1,0)</f>
        <v>0</v>
      </c>
      <c r="R2321" s="22">
        <f t="shared" si="36"/>
        <v>2</v>
      </c>
      <c r="S2321" s="33">
        <f>IF(COUNTIF(O$2:O2321,O2321)=1,R2321,0)/2.5</f>
        <v>0.8</v>
      </c>
    </row>
    <row r="2322" spans="1:19" ht="18" customHeight="1" x14ac:dyDescent="0.25">
      <c r="A2322" s="7" t="s">
        <v>37</v>
      </c>
      <c r="B2322" s="8">
        <v>1</v>
      </c>
      <c r="C2322" s="9">
        <v>515</v>
      </c>
      <c r="D2322" s="29">
        <f>C2322+IF(INDEX('Справочник по %'!B:B,(MATCH(A2322,'Справочник по %'!A:A,0)))="кол-во",B2322*INDEX('Справочник по %'!C:C,(MATCH(A2322,'Справочник по %'!A:A,0))),ОТЧЕТ!C2322*INDEX('Справочник по %'!C:C,(MATCH(A2322,'Справочник по %'!A:A,0))))/100</f>
        <v>515.20000000000005</v>
      </c>
      <c r="E2322" s="29">
        <f>IF(ОТЧЕТ!A2322="SKU3",C2322+ОТЧЕТ!C2322*0.2,C2322+ОТЧЕТ!C2322*0.15)</f>
        <v>592.25</v>
      </c>
      <c r="F2322" s="7" t="s">
        <v>4540</v>
      </c>
      <c r="G2322" s="7">
        <v>7722710108</v>
      </c>
      <c r="H2322" s="20" t="s">
        <v>1326</v>
      </c>
      <c r="I2322" s="22">
        <f>INDEX('Справочник Сети'!B:B,(MATCH(G2322,'Справочник Сети'!C:C,0)))</f>
        <v>0</v>
      </c>
      <c r="J2322" s="7" t="s">
        <v>185</v>
      </c>
      <c r="K2322" s="7" t="s">
        <v>4543</v>
      </c>
      <c r="L2322" s="7" t="s">
        <v>185</v>
      </c>
      <c r="M2322" s="31">
        <v>45675</v>
      </c>
      <c r="N2322" s="7" t="s">
        <v>4544</v>
      </c>
      <c r="O2322" s="8">
        <v>663</v>
      </c>
      <c r="P2322" s="24">
        <v>8688</v>
      </c>
      <c r="Q2322" s="22">
        <f>IF(COUNTIFS(A$2:A2322,A2322,I$2:I2322,I2322)=1,1,0)</f>
        <v>0</v>
      </c>
      <c r="R2322" s="22">
        <f t="shared" si="36"/>
        <v>1</v>
      </c>
      <c r="S2322" s="33">
        <f>IF(COUNTIF(O$2:O2322,O2322)=1,R2322,0)/2.5</f>
        <v>0.4</v>
      </c>
    </row>
    <row r="2323" spans="1:19" ht="18" customHeight="1" x14ac:dyDescent="0.25">
      <c r="A2323" s="7" t="s">
        <v>43</v>
      </c>
      <c r="B2323" s="8">
        <v>1</v>
      </c>
      <c r="C2323" s="9">
        <v>392</v>
      </c>
      <c r="D2323" s="29">
        <f>C2323+IF(INDEX('Справочник по %'!B:B,(MATCH(A2323,'Справочник по %'!A:A,0)))="кол-во",B2323*INDEX('Справочник по %'!C:C,(MATCH(A2323,'Справочник по %'!A:A,0))),ОТЧЕТ!C2323*INDEX('Справочник по %'!C:C,(MATCH(A2323,'Справочник по %'!A:A,0))))/100</f>
        <v>431.2</v>
      </c>
      <c r="E2323" s="29">
        <f>IF(ОТЧЕТ!A2323="SKU3",C2323+ОТЧЕТ!C2323*0.2,C2323+ОТЧЕТ!C2323*0.15)</f>
        <v>450.8</v>
      </c>
      <c r="F2323" s="7" t="s">
        <v>4540</v>
      </c>
      <c r="G2323" s="7">
        <v>2224212012</v>
      </c>
      <c r="H2323" s="20" t="s">
        <v>50</v>
      </c>
      <c r="I2323" s="22">
        <f>INDEX('Справочник Сети'!B:B,(MATCH(G2323,'Справочник Сети'!C:C,0)))</f>
        <v>0</v>
      </c>
      <c r="J2323" s="7" t="s">
        <v>372</v>
      </c>
      <c r="K2323" s="7" t="s">
        <v>1022</v>
      </c>
      <c r="L2323" s="7" t="s">
        <v>372</v>
      </c>
      <c r="M2323" s="31">
        <v>45730</v>
      </c>
      <c r="N2323" s="7" t="s">
        <v>4545</v>
      </c>
      <c r="O2323" s="8">
        <v>2480</v>
      </c>
      <c r="P2323" s="24">
        <v>8690</v>
      </c>
      <c r="Q2323" s="22">
        <f>IF(COUNTIFS(A$2:A2323,A2323,I$2:I2323,I2323)=1,1,0)</f>
        <v>0</v>
      </c>
      <c r="R2323" s="22">
        <f t="shared" si="36"/>
        <v>2</v>
      </c>
      <c r="S2323" s="33">
        <f>IF(COUNTIF(O$2:O2323,O2323)=1,R2323,0)/2.5</f>
        <v>0</v>
      </c>
    </row>
    <row r="2324" spans="1:19" ht="18" customHeight="1" x14ac:dyDescent="0.25">
      <c r="A2324" s="7" t="s">
        <v>43</v>
      </c>
      <c r="B2324" s="8">
        <v>1</v>
      </c>
      <c r="C2324" s="9">
        <v>397.11</v>
      </c>
      <c r="D2324" s="29">
        <f>C2324+IF(INDEX('Справочник по %'!B:B,(MATCH(A2324,'Справочник по %'!A:A,0)))="кол-во",B2324*INDEX('Справочник по %'!C:C,(MATCH(A2324,'Справочник по %'!A:A,0))),ОТЧЕТ!C2324*INDEX('Справочник по %'!C:C,(MATCH(A2324,'Справочник по %'!A:A,0))))/100</f>
        <v>436.82100000000003</v>
      </c>
      <c r="E2324" s="29">
        <f>IF(ОТЧЕТ!A2324="SKU3",C2324+ОТЧЕТ!C2324*0.2,C2324+ОТЧЕТ!C2324*0.15)</f>
        <v>456.67650000000003</v>
      </c>
      <c r="F2324" s="7" t="s">
        <v>4540</v>
      </c>
      <c r="G2324" s="7">
        <v>550502319283</v>
      </c>
      <c r="H2324" s="20" t="s">
        <v>50</v>
      </c>
      <c r="I2324" s="22">
        <f>INDEX('Справочник Сети'!B:B,(MATCH(G2324,'Справочник Сети'!C:C,0)))</f>
        <v>0</v>
      </c>
      <c r="J2324" s="7" t="s">
        <v>251</v>
      </c>
      <c r="K2324" s="7" t="s">
        <v>3404</v>
      </c>
      <c r="L2324" s="7" t="s">
        <v>251</v>
      </c>
      <c r="M2324" s="31">
        <v>45659</v>
      </c>
      <c r="N2324" s="7" t="s">
        <v>4546</v>
      </c>
      <c r="O2324" s="8">
        <v>166</v>
      </c>
      <c r="P2324" s="24">
        <v>8693</v>
      </c>
      <c r="Q2324" s="22">
        <f>IF(COUNTIFS(A$2:A2324,A2324,I$2:I2324,I2324)=1,1,0)</f>
        <v>0</v>
      </c>
      <c r="R2324" s="22">
        <f t="shared" si="36"/>
        <v>1</v>
      </c>
      <c r="S2324" s="33">
        <f>IF(COUNTIF(O$2:O2324,O2324)=1,R2324,0)/2.5</f>
        <v>0.4</v>
      </c>
    </row>
    <row r="2325" spans="1:19" ht="18" customHeight="1" x14ac:dyDescent="0.25">
      <c r="A2325" s="7" t="s">
        <v>37</v>
      </c>
      <c r="B2325" s="8">
        <v>1</v>
      </c>
      <c r="C2325" s="9">
        <v>613.44000000000005</v>
      </c>
      <c r="D2325" s="29">
        <f>C2325+IF(INDEX('Справочник по %'!B:B,(MATCH(A2325,'Справочник по %'!A:A,0)))="кол-во",B2325*INDEX('Справочник по %'!C:C,(MATCH(A2325,'Справочник по %'!A:A,0))),ОТЧЕТ!C2325*INDEX('Справочник по %'!C:C,(MATCH(A2325,'Справочник по %'!A:A,0))))/100</f>
        <v>613.6400000000001</v>
      </c>
      <c r="E2325" s="29">
        <f>IF(ОТЧЕТ!A2325="SKU3",C2325+ОТЧЕТ!C2325*0.2,C2325+ОТЧЕТ!C2325*0.15)</f>
        <v>705.45600000000002</v>
      </c>
      <c r="F2325" s="7" t="s">
        <v>4540</v>
      </c>
      <c r="G2325" s="7">
        <v>550704589807</v>
      </c>
      <c r="H2325" s="20" t="s">
        <v>50</v>
      </c>
      <c r="I2325" s="22" t="str">
        <f>INDEX('Справочник Сети'!B:B,(MATCH(G2325,'Справочник Сети'!C:C,0)))</f>
        <v>Столички</v>
      </c>
      <c r="J2325" s="7" t="s">
        <v>251</v>
      </c>
      <c r="K2325" s="7" t="s">
        <v>1503</v>
      </c>
      <c r="L2325" s="7" t="s">
        <v>251</v>
      </c>
      <c r="M2325" s="31">
        <v>45659</v>
      </c>
      <c r="N2325" s="7" t="s">
        <v>4547</v>
      </c>
      <c r="O2325" s="8">
        <v>943</v>
      </c>
      <c r="P2325" s="24">
        <v>8697</v>
      </c>
      <c r="Q2325" s="22">
        <f>IF(COUNTIFS(A$2:A2325,A2325,I$2:I2325,I2325)=1,1,0)</f>
        <v>0</v>
      </c>
      <c r="R2325" s="22">
        <f t="shared" si="36"/>
        <v>1</v>
      </c>
      <c r="S2325" s="33">
        <f>IF(COUNTIF(O$2:O2325,O2325)=1,R2325,0)/2.5</f>
        <v>0.4</v>
      </c>
    </row>
    <row r="2326" spans="1:19" ht="18" customHeight="1" x14ac:dyDescent="0.25">
      <c r="A2326" s="7" t="s">
        <v>37</v>
      </c>
      <c r="B2326" s="8">
        <v>1</v>
      </c>
      <c r="C2326" s="9">
        <v>593</v>
      </c>
      <c r="D2326" s="29">
        <f>C2326+IF(INDEX('Справочник по %'!B:B,(MATCH(A2326,'Справочник по %'!A:A,0)))="кол-во",B2326*INDEX('Справочник по %'!C:C,(MATCH(A2326,'Справочник по %'!A:A,0))),ОТЧЕТ!C2326*INDEX('Справочник по %'!C:C,(MATCH(A2326,'Справочник по %'!A:A,0))))/100</f>
        <v>593.20000000000005</v>
      </c>
      <c r="E2326" s="29">
        <f>IF(ОТЧЕТ!A2326="SKU3",C2326+ОТЧЕТ!C2326*0.2,C2326+ОТЧЕТ!C2326*0.15)</f>
        <v>681.95</v>
      </c>
      <c r="F2326" s="7" t="s">
        <v>4548</v>
      </c>
      <c r="G2326" s="7">
        <v>7706795062</v>
      </c>
      <c r="H2326" s="20" t="s">
        <v>114</v>
      </c>
      <c r="I2326" s="22" t="str">
        <f>INDEX('Справочник Сети'!B:B,(MATCH(G2326,'Справочник Сети'!C:C,0)))</f>
        <v>Планета здоровья</v>
      </c>
      <c r="J2326" s="7" t="s">
        <v>87</v>
      </c>
      <c r="K2326" s="7" t="s">
        <v>4504</v>
      </c>
      <c r="L2326" s="7" t="s">
        <v>116</v>
      </c>
      <c r="M2326" s="31">
        <v>45692</v>
      </c>
      <c r="N2326" s="7" t="s">
        <v>4549</v>
      </c>
      <c r="O2326" s="8">
        <v>1120</v>
      </c>
      <c r="P2326" s="24">
        <v>8698</v>
      </c>
      <c r="Q2326" s="22">
        <f>IF(COUNTIFS(A$2:A2326,A2326,I$2:I2326,I2326)=1,1,0)</f>
        <v>0</v>
      </c>
      <c r="R2326" s="22">
        <f t="shared" si="36"/>
        <v>5</v>
      </c>
      <c r="S2326" s="33">
        <f>IF(COUNTIF(O$2:O2326,O2326)=1,R2326,0)/2.5</f>
        <v>0</v>
      </c>
    </row>
    <row r="2327" spans="1:19" ht="18" customHeight="1" x14ac:dyDescent="0.25">
      <c r="A2327" s="7" t="s">
        <v>37</v>
      </c>
      <c r="B2327" s="8">
        <v>1</v>
      </c>
      <c r="C2327" s="9">
        <v>695</v>
      </c>
      <c r="D2327" s="29">
        <f>C2327+IF(INDEX('Справочник по %'!B:B,(MATCH(A2327,'Справочник по %'!A:A,0)))="кол-во",B2327*INDEX('Справочник по %'!C:C,(MATCH(A2327,'Справочник по %'!A:A,0))),ОТЧЕТ!C2327*INDEX('Справочник по %'!C:C,(MATCH(A2327,'Справочник по %'!A:A,0))))/100</f>
        <v>695.2</v>
      </c>
      <c r="E2327" s="29">
        <f>IF(ОТЧЕТ!A2327="SKU3",C2327+ОТЧЕТ!C2327*0.2,C2327+ОТЧЕТ!C2327*0.15)</f>
        <v>799.25</v>
      </c>
      <c r="F2327" s="7" t="s">
        <v>4550</v>
      </c>
      <c r="G2327" s="7">
        <v>6000009727</v>
      </c>
      <c r="H2327" s="20" t="s">
        <v>519</v>
      </c>
      <c r="I2327" s="22">
        <f>INDEX('Справочник Сети'!B:B,(MATCH(G2327,'Справочник Сети'!C:C,0)))</f>
        <v>0</v>
      </c>
      <c r="J2327" s="7" t="s">
        <v>520</v>
      </c>
      <c r="K2327" s="7" t="s">
        <v>4551</v>
      </c>
      <c r="L2327" s="7" t="s">
        <v>520</v>
      </c>
      <c r="M2327" s="31">
        <v>45697</v>
      </c>
      <c r="N2327" s="7" t="s">
        <v>4552</v>
      </c>
      <c r="O2327" s="8">
        <v>3641</v>
      </c>
      <c r="P2327" s="24">
        <v>8700</v>
      </c>
      <c r="Q2327" s="22">
        <f>IF(COUNTIFS(A$2:A2327,A2327,I$2:I2327,I2327)=1,1,0)</f>
        <v>0</v>
      </c>
      <c r="R2327" s="22">
        <f t="shared" si="36"/>
        <v>1</v>
      </c>
      <c r="S2327" s="33">
        <f>IF(COUNTIF(O$2:O2327,O2327)=1,R2327,0)/2.5</f>
        <v>0.4</v>
      </c>
    </row>
    <row r="2328" spans="1:19" ht="18" customHeight="1" x14ac:dyDescent="0.25">
      <c r="A2328" s="7" t="s">
        <v>43</v>
      </c>
      <c r="B2328" s="8">
        <v>1</v>
      </c>
      <c r="C2328" s="9">
        <v>385.9</v>
      </c>
      <c r="D2328" s="29">
        <f>C2328+IF(INDEX('Справочник по %'!B:B,(MATCH(A2328,'Справочник по %'!A:A,0)))="кол-во",B2328*INDEX('Справочник по %'!C:C,(MATCH(A2328,'Справочник по %'!A:A,0))),ОТЧЕТ!C2328*INDEX('Справочник по %'!C:C,(MATCH(A2328,'Справочник по %'!A:A,0))))/100</f>
        <v>424.49</v>
      </c>
      <c r="E2328" s="29">
        <f>IF(ОТЧЕТ!A2328="SKU3",C2328+ОТЧЕТ!C2328*0.2,C2328+ОТЧЕТ!C2328*0.15)</f>
        <v>443.78499999999997</v>
      </c>
      <c r="F2328" s="7" t="s">
        <v>4553</v>
      </c>
      <c r="G2328" s="7">
        <v>3801042576</v>
      </c>
      <c r="H2328" s="20" t="s">
        <v>50</v>
      </c>
      <c r="I2328" s="22" t="str">
        <f>INDEX('Справочник Сети'!B:B,(MATCH(G2328,'Справочник Сети'!C:C,0)))</f>
        <v>Планета здоровья</v>
      </c>
      <c r="J2328" s="7" t="s">
        <v>65</v>
      </c>
      <c r="K2328" s="7" t="s">
        <v>4019</v>
      </c>
      <c r="L2328" s="7" t="s">
        <v>65</v>
      </c>
      <c r="M2328" s="31">
        <v>45717</v>
      </c>
      <c r="N2328" s="7" t="s">
        <v>4554</v>
      </c>
      <c r="O2328" s="8">
        <v>581</v>
      </c>
      <c r="P2328" s="24">
        <v>8704</v>
      </c>
      <c r="Q2328" s="22">
        <f>IF(COUNTIFS(A$2:A2328,A2328,I$2:I2328,I2328)=1,1,0)</f>
        <v>0</v>
      </c>
      <c r="R2328" s="22">
        <f t="shared" si="36"/>
        <v>2</v>
      </c>
      <c r="S2328" s="33">
        <f>IF(COUNTIF(O$2:O2328,O2328)=1,R2328,0)/2.5</f>
        <v>0</v>
      </c>
    </row>
    <row r="2329" spans="1:19" ht="18" customHeight="1" x14ac:dyDescent="0.25">
      <c r="A2329" s="7" t="s">
        <v>43</v>
      </c>
      <c r="B2329" s="8">
        <v>1</v>
      </c>
      <c r="C2329" s="9">
        <v>436.92</v>
      </c>
      <c r="D2329" s="29">
        <f>C2329+IF(INDEX('Справочник по %'!B:B,(MATCH(A2329,'Справочник по %'!A:A,0)))="кол-во",B2329*INDEX('Справочник по %'!C:C,(MATCH(A2329,'Справочник по %'!A:A,0))),ОТЧЕТ!C2329*INDEX('Справочник по %'!C:C,(MATCH(A2329,'Справочник по %'!A:A,0))))/100</f>
        <v>480.61200000000002</v>
      </c>
      <c r="E2329" s="29">
        <f>IF(ОТЧЕТ!A2329="SKU3",C2329+ОТЧЕТ!C2329*0.2,C2329+ОТЧЕТ!C2329*0.15)</f>
        <v>502.45800000000003</v>
      </c>
      <c r="F2329" s="7" t="s">
        <v>4555</v>
      </c>
      <c r="G2329" s="7">
        <v>7604398637</v>
      </c>
      <c r="H2329" s="20" t="s">
        <v>4556</v>
      </c>
      <c r="I2329" s="22">
        <f>INDEX('Справочник Сети'!B:B,(MATCH(G2329,'Справочник Сети'!C:C,0)))</f>
        <v>0</v>
      </c>
      <c r="J2329" s="7" t="s">
        <v>104</v>
      </c>
      <c r="K2329" s="7" t="s">
        <v>4557</v>
      </c>
      <c r="L2329" s="7" t="s">
        <v>104</v>
      </c>
      <c r="M2329" s="31">
        <v>45693</v>
      </c>
      <c r="N2329" s="7" t="s">
        <v>4558</v>
      </c>
      <c r="O2329" s="8">
        <v>99</v>
      </c>
      <c r="P2329" s="24">
        <v>8712</v>
      </c>
      <c r="Q2329" s="22">
        <f>IF(COUNTIFS(A$2:A2329,A2329,I$2:I2329,I2329)=1,1,0)</f>
        <v>0</v>
      </c>
      <c r="R2329" s="22">
        <f t="shared" si="36"/>
        <v>2</v>
      </c>
      <c r="S2329" s="33">
        <f>IF(COUNTIF(O$2:O2329,O2329)=1,R2329,0)/2.5</f>
        <v>0.8</v>
      </c>
    </row>
    <row r="2330" spans="1:19" ht="18" customHeight="1" x14ac:dyDescent="0.25">
      <c r="A2330" s="7" t="s">
        <v>43</v>
      </c>
      <c r="B2330" s="8">
        <v>1</v>
      </c>
      <c r="C2330" s="9">
        <v>405.08</v>
      </c>
      <c r="D2330" s="29">
        <f>C2330+IF(INDEX('Справочник по %'!B:B,(MATCH(A2330,'Справочник по %'!A:A,0)))="кол-во",B2330*INDEX('Справочник по %'!C:C,(MATCH(A2330,'Справочник по %'!A:A,0))),ОТЧЕТ!C2330*INDEX('Справочник по %'!C:C,(MATCH(A2330,'Справочник по %'!A:A,0))))/100</f>
        <v>445.58799999999997</v>
      </c>
      <c r="E2330" s="29">
        <f>IF(ОТЧЕТ!A2330="SKU3",C2330+ОТЧЕТ!C2330*0.2,C2330+ОТЧЕТ!C2330*0.15)</f>
        <v>465.84199999999998</v>
      </c>
      <c r="F2330" s="7" t="s">
        <v>4559</v>
      </c>
      <c r="G2330" s="7">
        <v>550704589807</v>
      </c>
      <c r="H2330" s="20" t="s">
        <v>50</v>
      </c>
      <c r="I2330" s="22" t="str">
        <f>INDEX('Справочник Сети'!B:B,(MATCH(G2330,'Справочник Сети'!C:C,0)))</f>
        <v>Столички</v>
      </c>
      <c r="J2330" s="7" t="s">
        <v>251</v>
      </c>
      <c r="K2330" s="7" t="s">
        <v>2176</v>
      </c>
      <c r="L2330" s="7" t="s">
        <v>251</v>
      </c>
      <c r="M2330" s="31">
        <v>45659</v>
      </c>
      <c r="N2330" s="7" t="s">
        <v>4560</v>
      </c>
      <c r="O2330" s="8">
        <v>3238</v>
      </c>
      <c r="P2330" s="24">
        <v>8717</v>
      </c>
      <c r="Q2330" s="22">
        <f>IF(COUNTIFS(A$2:A2330,A2330,I$2:I2330,I2330)=1,1,0)</f>
        <v>0</v>
      </c>
      <c r="R2330" s="22">
        <f t="shared" si="36"/>
        <v>1</v>
      </c>
      <c r="S2330" s="33">
        <f>IF(COUNTIF(O$2:O2330,O2330)=1,R2330,0)/2.5</f>
        <v>0.4</v>
      </c>
    </row>
    <row r="2331" spans="1:19" ht="18" customHeight="1" x14ac:dyDescent="0.25">
      <c r="A2331" s="7" t="s">
        <v>43</v>
      </c>
      <c r="B2331" s="8">
        <v>1</v>
      </c>
      <c r="C2331" s="9">
        <v>465</v>
      </c>
      <c r="D2331" s="29">
        <f>C2331+IF(INDEX('Справочник по %'!B:B,(MATCH(A2331,'Справочник по %'!A:A,0)))="кол-во",B2331*INDEX('Справочник по %'!C:C,(MATCH(A2331,'Справочник по %'!A:A,0))),ОТЧЕТ!C2331*INDEX('Справочник по %'!C:C,(MATCH(A2331,'Справочник по %'!A:A,0))))/100</f>
        <v>511.5</v>
      </c>
      <c r="E2331" s="29">
        <f>IF(ОТЧЕТ!A2331="SKU3",C2331+ОТЧЕТ!C2331*0.2,C2331+ОТЧЕТ!C2331*0.15)</f>
        <v>534.75</v>
      </c>
      <c r="F2331" s="7" t="s">
        <v>4559</v>
      </c>
      <c r="G2331" s="7">
        <v>4205407651</v>
      </c>
      <c r="H2331" s="20" t="s">
        <v>820</v>
      </c>
      <c r="I2331" s="22">
        <f>INDEX('Справочник Сети'!B:B,(MATCH(G2331,'Справочник Сети'!C:C,0)))</f>
        <v>0</v>
      </c>
      <c r="J2331" s="7" t="s">
        <v>155</v>
      </c>
      <c r="K2331" s="7" t="s">
        <v>1103</v>
      </c>
      <c r="L2331" s="7" t="s">
        <v>155</v>
      </c>
      <c r="M2331" s="31">
        <v>45716</v>
      </c>
      <c r="N2331" s="7" t="s">
        <v>4561</v>
      </c>
      <c r="O2331" s="8">
        <v>500</v>
      </c>
      <c r="P2331" s="24">
        <v>8719</v>
      </c>
      <c r="Q2331" s="22">
        <f>IF(COUNTIFS(A$2:A2331,A2331,I$2:I2331,I2331)=1,1,0)</f>
        <v>0</v>
      </c>
      <c r="R2331" s="22">
        <f t="shared" si="36"/>
        <v>1</v>
      </c>
      <c r="S2331" s="33">
        <f>IF(COUNTIF(O$2:O2331,O2331)=1,R2331,0)/2.5</f>
        <v>0.4</v>
      </c>
    </row>
    <row r="2332" spans="1:19" ht="18" customHeight="1" x14ac:dyDescent="0.25">
      <c r="A2332" s="7" t="s">
        <v>43</v>
      </c>
      <c r="B2332" s="8">
        <v>1</v>
      </c>
      <c r="C2332" s="9">
        <v>411.35</v>
      </c>
      <c r="D2332" s="29">
        <f>C2332+IF(INDEX('Справочник по %'!B:B,(MATCH(A2332,'Справочник по %'!A:A,0)))="кол-во",B2332*INDEX('Справочник по %'!C:C,(MATCH(A2332,'Справочник по %'!A:A,0))),ОТЧЕТ!C2332*INDEX('Справочник по %'!C:C,(MATCH(A2332,'Справочник по %'!A:A,0))))/100</f>
        <v>452.48500000000001</v>
      </c>
      <c r="E2332" s="29">
        <f>IF(ОТЧЕТ!A2332="SKU3",C2332+ОТЧЕТ!C2332*0.2,C2332+ОТЧЕТ!C2332*0.15)</f>
        <v>473.05250000000001</v>
      </c>
      <c r="F2332" s="7" t="s">
        <v>4559</v>
      </c>
      <c r="G2332" s="7">
        <v>7732121736</v>
      </c>
      <c r="H2332" s="20" t="s">
        <v>2516</v>
      </c>
      <c r="I2332" s="22" t="str">
        <f>INDEX('Справочник Сети'!B:B,(MATCH(G2332,'Справочник Сети'!C:C,0)))</f>
        <v>Планета здоровья</v>
      </c>
      <c r="J2332" s="7" t="s">
        <v>149</v>
      </c>
      <c r="K2332" s="7" t="s">
        <v>4562</v>
      </c>
      <c r="L2332" s="7" t="s">
        <v>142</v>
      </c>
      <c r="M2332" s="31">
        <v>45674</v>
      </c>
      <c r="N2332" s="7" t="s">
        <v>4563</v>
      </c>
      <c r="O2332" s="8">
        <v>741</v>
      </c>
      <c r="P2332" s="24">
        <v>8721</v>
      </c>
      <c r="Q2332" s="22">
        <f>IF(COUNTIFS(A$2:A2332,A2332,I$2:I2332,I2332)=1,1,0)</f>
        <v>0</v>
      </c>
      <c r="R2332" s="22">
        <f t="shared" si="36"/>
        <v>3</v>
      </c>
      <c r="S2332" s="33">
        <f>IF(COUNTIF(O$2:O2332,O2332)=1,R2332,0)/2.5</f>
        <v>0</v>
      </c>
    </row>
    <row r="2333" spans="1:19" ht="18" customHeight="1" x14ac:dyDescent="0.25">
      <c r="A2333" s="7" t="s">
        <v>37</v>
      </c>
      <c r="B2333" s="8">
        <v>1</v>
      </c>
      <c r="C2333" s="9">
        <v>640</v>
      </c>
      <c r="D2333" s="29">
        <f>C2333+IF(INDEX('Справочник по %'!B:B,(MATCH(A2333,'Справочник по %'!A:A,0)))="кол-во",B2333*INDEX('Справочник по %'!C:C,(MATCH(A2333,'Справочник по %'!A:A,0))),ОТЧЕТ!C2333*INDEX('Справочник по %'!C:C,(MATCH(A2333,'Справочник по %'!A:A,0))))/100</f>
        <v>640.20000000000005</v>
      </c>
      <c r="E2333" s="29">
        <f>IF(ОТЧЕТ!A2333="SKU3",C2333+ОТЧЕТ!C2333*0.2,C2333+ОТЧЕТ!C2333*0.15)</f>
        <v>736</v>
      </c>
      <c r="F2333" s="7" t="s">
        <v>4564</v>
      </c>
      <c r="G2333" s="7">
        <v>6673189417</v>
      </c>
      <c r="H2333" s="20" t="s">
        <v>132</v>
      </c>
      <c r="I2333" s="22">
        <f>INDEX('Справочник Сети'!B:B,(MATCH(G2333,'Справочник Сети'!C:C,0)))</f>
        <v>0</v>
      </c>
      <c r="J2333" s="7" t="s">
        <v>133</v>
      </c>
      <c r="K2333" s="7" t="s">
        <v>290</v>
      </c>
      <c r="L2333" s="7" t="s">
        <v>133</v>
      </c>
      <c r="M2333" s="31">
        <v>45695</v>
      </c>
      <c r="N2333" s="7" t="s">
        <v>4565</v>
      </c>
      <c r="O2333" s="8">
        <v>3297</v>
      </c>
      <c r="P2333" s="24">
        <v>8724</v>
      </c>
      <c r="Q2333" s="22">
        <f>IF(COUNTIFS(A$2:A2333,A2333,I$2:I2333,I2333)=1,1,0)</f>
        <v>0</v>
      </c>
      <c r="R2333" s="22">
        <f t="shared" si="36"/>
        <v>1</v>
      </c>
      <c r="S2333" s="33">
        <f>IF(COUNTIF(O$2:O2333,O2333)=1,R2333,0)/2.5</f>
        <v>0.4</v>
      </c>
    </row>
    <row r="2334" spans="1:19" ht="18" customHeight="1" x14ac:dyDescent="0.25">
      <c r="A2334" s="7" t="s">
        <v>43</v>
      </c>
      <c r="B2334" s="8">
        <v>1</v>
      </c>
      <c r="C2334" s="9">
        <v>346</v>
      </c>
      <c r="D2334" s="29">
        <f>C2334+IF(INDEX('Справочник по %'!B:B,(MATCH(A2334,'Справочник по %'!A:A,0)))="кол-во",B2334*INDEX('Справочник по %'!C:C,(MATCH(A2334,'Справочник по %'!A:A,0))),ОТЧЕТ!C2334*INDEX('Справочник по %'!C:C,(MATCH(A2334,'Справочник по %'!A:A,0))))/100</f>
        <v>380.6</v>
      </c>
      <c r="E2334" s="29">
        <f>IF(ОТЧЕТ!A2334="SKU3",C2334+ОТЧЕТ!C2334*0.2,C2334+ОТЧЕТ!C2334*0.15)</f>
        <v>397.9</v>
      </c>
      <c r="F2334" s="7" t="s">
        <v>4564</v>
      </c>
      <c r="G2334" s="7">
        <v>2311169959</v>
      </c>
      <c r="H2334" s="20" t="s">
        <v>50</v>
      </c>
      <c r="I2334" s="22">
        <f>INDEX('Справочник Сети'!B:B,(MATCH(G2334,'Справочник Сети'!C:C,0)))</f>
        <v>0</v>
      </c>
      <c r="J2334" s="7" t="s">
        <v>70</v>
      </c>
      <c r="K2334" s="7" t="s">
        <v>4566</v>
      </c>
      <c r="L2334" s="7" t="s">
        <v>70</v>
      </c>
      <c r="M2334" s="31">
        <v>45728</v>
      </c>
      <c r="N2334" s="7" t="s">
        <v>4567</v>
      </c>
      <c r="O2334" s="8">
        <v>832</v>
      </c>
      <c r="P2334" s="24">
        <v>8726</v>
      </c>
      <c r="Q2334" s="22">
        <f>IF(COUNTIFS(A$2:A2334,A2334,I$2:I2334,I2334)=1,1,0)</f>
        <v>0</v>
      </c>
      <c r="R2334" s="22">
        <f t="shared" si="36"/>
        <v>1</v>
      </c>
      <c r="S2334" s="33">
        <f>IF(COUNTIF(O$2:O2334,O2334)=1,R2334,0)/2.5</f>
        <v>0.4</v>
      </c>
    </row>
    <row r="2335" spans="1:19" ht="18" customHeight="1" x14ac:dyDescent="0.25">
      <c r="A2335" s="7" t="s">
        <v>43</v>
      </c>
      <c r="B2335" s="8">
        <v>1</v>
      </c>
      <c r="C2335" s="9">
        <v>427.6</v>
      </c>
      <c r="D2335" s="29">
        <f>C2335+IF(INDEX('Справочник по %'!B:B,(MATCH(A2335,'Справочник по %'!A:A,0)))="кол-во",B2335*INDEX('Справочник по %'!C:C,(MATCH(A2335,'Справочник по %'!A:A,0))),ОТЧЕТ!C2335*INDEX('Справочник по %'!C:C,(MATCH(A2335,'Справочник по %'!A:A,0))))/100</f>
        <v>470.36</v>
      </c>
      <c r="E2335" s="29">
        <f>IF(ОТЧЕТ!A2335="SKU3",C2335+ОТЧЕТ!C2335*0.2,C2335+ОТЧЕТ!C2335*0.15)</f>
        <v>491.74</v>
      </c>
      <c r="F2335" s="7" t="s">
        <v>4564</v>
      </c>
      <c r="G2335" s="7">
        <v>5507078814</v>
      </c>
      <c r="H2335" s="20" t="s">
        <v>4568</v>
      </c>
      <c r="I2335" s="22">
        <f>INDEX('Справочник Сети'!B:B,(MATCH(G2335,'Справочник Сети'!C:C,0)))</f>
        <v>0</v>
      </c>
      <c r="J2335" s="7" t="s">
        <v>255</v>
      </c>
      <c r="K2335" s="7" t="s">
        <v>3033</v>
      </c>
      <c r="L2335" s="7" t="s">
        <v>255</v>
      </c>
      <c r="M2335" s="31">
        <v>45713</v>
      </c>
      <c r="N2335" s="7" t="s">
        <v>4569</v>
      </c>
      <c r="O2335" s="8">
        <v>1929</v>
      </c>
      <c r="P2335" s="24">
        <v>8727</v>
      </c>
      <c r="Q2335" s="22">
        <f>IF(COUNTIFS(A$2:A2335,A2335,I$2:I2335,I2335)=1,1,0)</f>
        <v>0</v>
      </c>
      <c r="R2335" s="22">
        <f t="shared" si="36"/>
        <v>1</v>
      </c>
      <c r="S2335" s="33">
        <f>IF(COUNTIF(O$2:O2335,O2335)=1,R2335,0)/2.5</f>
        <v>0.4</v>
      </c>
    </row>
    <row r="2336" spans="1:19" ht="18" customHeight="1" x14ac:dyDescent="0.25">
      <c r="A2336" s="7" t="s">
        <v>43</v>
      </c>
      <c r="B2336" s="8">
        <v>1</v>
      </c>
      <c r="C2336" s="9">
        <v>306</v>
      </c>
      <c r="D2336" s="29">
        <f>C2336+IF(INDEX('Справочник по %'!B:B,(MATCH(A2336,'Справочник по %'!A:A,0)))="кол-во",B2336*INDEX('Справочник по %'!C:C,(MATCH(A2336,'Справочник по %'!A:A,0))),ОТЧЕТ!C2336*INDEX('Справочник по %'!C:C,(MATCH(A2336,'Справочник по %'!A:A,0))))/100</f>
        <v>336.6</v>
      </c>
      <c r="E2336" s="29">
        <f>IF(ОТЧЕТ!A2336="SKU3",C2336+ОТЧЕТ!C2336*0.2,C2336+ОТЧЕТ!C2336*0.15)</f>
        <v>351.9</v>
      </c>
      <c r="F2336" s="7" t="s">
        <v>4564</v>
      </c>
      <c r="G2336" s="7">
        <v>2311242373</v>
      </c>
      <c r="H2336" s="20" t="s">
        <v>50</v>
      </c>
      <c r="I2336" s="22">
        <f>INDEX('Справочник Сети'!B:B,(MATCH(G2336,'Справочник Сети'!C:C,0)))</f>
        <v>0</v>
      </c>
      <c r="J2336" s="7" t="s">
        <v>70</v>
      </c>
      <c r="K2336" s="7" t="s">
        <v>1808</v>
      </c>
      <c r="L2336" s="7" t="s">
        <v>70</v>
      </c>
      <c r="M2336" s="31">
        <v>45728</v>
      </c>
      <c r="N2336" s="7" t="s">
        <v>4570</v>
      </c>
      <c r="O2336" s="8">
        <v>28</v>
      </c>
      <c r="P2336" s="24">
        <v>8729</v>
      </c>
      <c r="Q2336" s="22">
        <f>IF(COUNTIFS(A$2:A2336,A2336,I$2:I2336,I2336)=1,1,0)</f>
        <v>0</v>
      </c>
      <c r="R2336" s="22">
        <f t="shared" si="36"/>
        <v>2</v>
      </c>
      <c r="S2336" s="33">
        <f>IF(COUNTIF(O$2:O2336,O2336)=1,R2336,0)/2.5</f>
        <v>0.8</v>
      </c>
    </row>
    <row r="2337" spans="1:19" ht="18" customHeight="1" x14ac:dyDescent="0.25">
      <c r="A2337" s="7" t="s">
        <v>43</v>
      </c>
      <c r="B2337" s="8">
        <v>1</v>
      </c>
      <c r="C2337" s="9">
        <v>333</v>
      </c>
      <c r="D2337" s="29">
        <f>C2337+IF(INDEX('Справочник по %'!B:B,(MATCH(A2337,'Справочник по %'!A:A,0)))="кол-во",B2337*INDEX('Справочник по %'!C:C,(MATCH(A2337,'Справочник по %'!A:A,0))),ОТЧЕТ!C2337*INDEX('Справочник по %'!C:C,(MATCH(A2337,'Справочник по %'!A:A,0))))/100</f>
        <v>366.3</v>
      </c>
      <c r="E2337" s="29">
        <f>IF(ОТЧЕТ!A2337="SKU3",C2337+ОТЧЕТ!C2337*0.2,C2337+ОТЧЕТ!C2337*0.15)</f>
        <v>382.95</v>
      </c>
      <c r="F2337" s="7" t="s">
        <v>4564</v>
      </c>
      <c r="G2337" s="7">
        <v>7814443325</v>
      </c>
      <c r="H2337" s="20" t="s">
        <v>50</v>
      </c>
      <c r="I2337" s="22" t="str">
        <f>INDEX('Справочник Сети'!B:B,(MATCH(G2337,'Справочник Сети'!C:C,0)))</f>
        <v>Планета здоровья</v>
      </c>
      <c r="J2337" s="7" t="s">
        <v>121</v>
      </c>
      <c r="K2337" s="7" t="s">
        <v>3348</v>
      </c>
      <c r="L2337" s="7" t="s">
        <v>121</v>
      </c>
      <c r="M2337" s="31">
        <v>45671</v>
      </c>
      <c r="N2337" s="7" t="s">
        <v>4571</v>
      </c>
      <c r="O2337" s="8">
        <v>2049</v>
      </c>
      <c r="P2337" s="24">
        <v>8731</v>
      </c>
      <c r="Q2337" s="22">
        <f>IF(COUNTIFS(A$2:A2337,A2337,I$2:I2337,I2337)=1,1,0)</f>
        <v>0</v>
      </c>
      <c r="R2337" s="22">
        <f t="shared" si="36"/>
        <v>5</v>
      </c>
      <c r="S2337" s="33">
        <f>IF(COUNTIF(O$2:O2337,O2337)=1,R2337,0)/2.5</f>
        <v>0</v>
      </c>
    </row>
    <row r="2338" spans="1:19" ht="18" customHeight="1" x14ac:dyDescent="0.25">
      <c r="A2338" s="7" t="s">
        <v>43</v>
      </c>
      <c r="B2338" s="8">
        <v>1</v>
      </c>
      <c r="C2338" s="9">
        <v>364</v>
      </c>
      <c r="D2338" s="29">
        <f>C2338+IF(INDEX('Справочник по %'!B:B,(MATCH(A2338,'Справочник по %'!A:A,0)))="кол-во",B2338*INDEX('Справочник по %'!C:C,(MATCH(A2338,'Справочник по %'!A:A,0))),ОТЧЕТ!C2338*INDEX('Справочник по %'!C:C,(MATCH(A2338,'Справочник по %'!A:A,0))))/100</f>
        <v>400.4</v>
      </c>
      <c r="E2338" s="29">
        <f>IF(ОТЧЕТ!A2338="SKU3",C2338+ОТЧЕТ!C2338*0.2,C2338+ОТЧЕТ!C2338*0.15)</f>
        <v>418.6</v>
      </c>
      <c r="F2338" s="7" t="s">
        <v>4564</v>
      </c>
      <c r="G2338" s="7">
        <v>7814443325</v>
      </c>
      <c r="H2338" s="20" t="s">
        <v>50</v>
      </c>
      <c r="I2338" s="22" t="str">
        <f>INDEX('Справочник Сети'!B:B,(MATCH(G2338,'Справочник Сети'!C:C,0)))</f>
        <v>Планета здоровья</v>
      </c>
      <c r="J2338" s="7" t="s">
        <v>121</v>
      </c>
      <c r="K2338" s="7" t="s">
        <v>3959</v>
      </c>
      <c r="L2338" s="7" t="s">
        <v>121</v>
      </c>
      <c r="M2338" s="31">
        <v>45671</v>
      </c>
      <c r="N2338" s="7" t="s">
        <v>4572</v>
      </c>
      <c r="O2338" s="8">
        <v>2049</v>
      </c>
      <c r="P2338" s="24">
        <v>8732</v>
      </c>
      <c r="Q2338" s="22">
        <f>IF(COUNTIFS(A$2:A2338,A2338,I$2:I2338,I2338)=1,1,0)</f>
        <v>0</v>
      </c>
      <c r="R2338" s="22">
        <f t="shared" si="36"/>
        <v>5</v>
      </c>
      <c r="S2338" s="33">
        <f>IF(COUNTIF(O$2:O2338,O2338)=1,R2338,0)/2.5</f>
        <v>0</v>
      </c>
    </row>
    <row r="2339" spans="1:19" ht="18" customHeight="1" x14ac:dyDescent="0.25">
      <c r="A2339" s="7" t="s">
        <v>43</v>
      </c>
      <c r="B2339" s="8">
        <v>1</v>
      </c>
      <c r="C2339" s="9">
        <v>450.5</v>
      </c>
      <c r="D2339" s="29">
        <f>C2339+IF(INDEX('Справочник по %'!B:B,(MATCH(A2339,'Справочник по %'!A:A,0)))="кол-во",B2339*INDEX('Справочник по %'!C:C,(MATCH(A2339,'Справочник по %'!A:A,0))),ОТЧЕТ!C2339*INDEX('Справочник по %'!C:C,(MATCH(A2339,'Справочник по %'!A:A,0))))/100</f>
        <v>495.55</v>
      </c>
      <c r="E2339" s="29">
        <f>IF(ОТЧЕТ!A2339="SKU3",C2339+ОТЧЕТ!C2339*0.2,C2339+ОТЧЕТ!C2339*0.15)</f>
        <v>518.07500000000005</v>
      </c>
      <c r="F2339" s="7" t="s">
        <v>4564</v>
      </c>
      <c r="G2339" s="7">
        <v>6162056128</v>
      </c>
      <c r="H2339" s="20" t="s">
        <v>852</v>
      </c>
      <c r="I2339" s="22">
        <f>INDEX('Справочник Сети'!B:B,(MATCH(G2339,'Справочник Сети'!C:C,0)))</f>
        <v>0</v>
      </c>
      <c r="J2339" s="7" t="s">
        <v>520</v>
      </c>
      <c r="K2339" s="7" t="s">
        <v>905</v>
      </c>
      <c r="L2339" s="7" t="s">
        <v>520</v>
      </c>
      <c r="M2339" s="31">
        <v>45697</v>
      </c>
      <c r="N2339" s="7" t="s">
        <v>4573</v>
      </c>
      <c r="O2339" s="8">
        <v>1976</v>
      </c>
      <c r="P2339" s="24">
        <v>8733</v>
      </c>
      <c r="Q2339" s="22">
        <f>IF(COUNTIFS(A$2:A2339,A2339,I$2:I2339,I2339)=1,1,0)</f>
        <v>0</v>
      </c>
      <c r="R2339" s="22">
        <f t="shared" si="36"/>
        <v>4</v>
      </c>
      <c r="S2339" s="33">
        <f>IF(COUNTIF(O$2:O2339,O2339)=1,R2339,0)/2.5</f>
        <v>0</v>
      </c>
    </row>
    <row r="2340" spans="1:19" ht="18" customHeight="1" x14ac:dyDescent="0.25">
      <c r="A2340" s="7" t="s">
        <v>43</v>
      </c>
      <c r="B2340" s="8">
        <v>1</v>
      </c>
      <c r="C2340" s="9">
        <v>430</v>
      </c>
      <c r="D2340" s="29">
        <f>C2340+IF(INDEX('Справочник по %'!B:B,(MATCH(A2340,'Справочник по %'!A:A,0)))="кол-во",B2340*INDEX('Справочник по %'!C:C,(MATCH(A2340,'Справочник по %'!A:A,0))),ОТЧЕТ!C2340*INDEX('Справочник по %'!C:C,(MATCH(A2340,'Справочник по %'!A:A,0))))/100</f>
        <v>473</v>
      </c>
      <c r="E2340" s="29">
        <f>IF(ОТЧЕТ!A2340="SKU3",C2340+ОТЧЕТ!C2340*0.2,C2340+ОТЧЕТ!C2340*0.15)</f>
        <v>494.5</v>
      </c>
      <c r="F2340" s="7" t="s">
        <v>4564</v>
      </c>
      <c r="G2340" s="7">
        <v>7017210094</v>
      </c>
      <c r="H2340" s="20" t="s">
        <v>50</v>
      </c>
      <c r="I2340" s="22">
        <f>INDEX('Справочник Сети'!B:B,(MATCH(G2340,'Справочник Сети'!C:C,0)))</f>
        <v>0</v>
      </c>
      <c r="J2340" s="7" t="s">
        <v>106</v>
      </c>
      <c r="K2340" s="7" t="s">
        <v>105</v>
      </c>
      <c r="L2340" s="7" t="s">
        <v>106</v>
      </c>
      <c r="M2340" s="31">
        <v>45694</v>
      </c>
      <c r="N2340" s="7" t="s">
        <v>4574</v>
      </c>
      <c r="O2340" s="8">
        <v>617</v>
      </c>
      <c r="P2340" s="24">
        <v>8736</v>
      </c>
      <c r="Q2340" s="22">
        <f>IF(COUNTIFS(A$2:A2340,A2340,I$2:I2340,I2340)=1,1,0)</f>
        <v>0</v>
      </c>
      <c r="R2340" s="22">
        <f t="shared" si="36"/>
        <v>2</v>
      </c>
      <c r="S2340" s="33">
        <f>IF(COUNTIF(O$2:O2340,O2340)=1,R2340,0)/2.5</f>
        <v>0.8</v>
      </c>
    </row>
    <row r="2341" spans="1:19" ht="18" customHeight="1" x14ac:dyDescent="0.25">
      <c r="A2341" s="7" t="s">
        <v>43</v>
      </c>
      <c r="B2341" s="8">
        <v>1</v>
      </c>
      <c r="C2341" s="9">
        <v>390</v>
      </c>
      <c r="D2341" s="29">
        <f>C2341+IF(INDEX('Справочник по %'!B:B,(MATCH(A2341,'Справочник по %'!A:A,0)))="кол-во",B2341*INDEX('Справочник по %'!C:C,(MATCH(A2341,'Справочник по %'!A:A,0))),ОТЧЕТ!C2341*INDEX('Справочник по %'!C:C,(MATCH(A2341,'Справочник по %'!A:A,0))))/100</f>
        <v>429</v>
      </c>
      <c r="E2341" s="29">
        <f>IF(ОТЧЕТ!A2341="SKU3",C2341+ОТЧЕТ!C2341*0.2,C2341+ОТЧЕТ!C2341*0.15)</f>
        <v>448.5</v>
      </c>
      <c r="F2341" s="7" t="s">
        <v>4564</v>
      </c>
      <c r="G2341" s="7">
        <v>702405465818</v>
      </c>
      <c r="H2341" s="20" t="s">
        <v>91</v>
      </c>
      <c r="I2341" s="22" t="str">
        <f>INDEX('Справочник Сети'!B:B,(MATCH(G2341,'Справочник Сети'!C:C,0)))</f>
        <v>Ригла</v>
      </c>
      <c r="J2341" s="7" t="s">
        <v>322</v>
      </c>
      <c r="K2341" s="7" t="s">
        <v>1259</v>
      </c>
      <c r="L2341" s="7" t="s">
        <v>251</v>
      </c>
      <c r="M2341" s="31">
        <v>45659</v>
      </c>
      <c r="N2341" s="7" t="s">
        <v>4575</v>
      </c>
      <c r="O2341" s="8">
        <v>344</v>
      </c>
      <c r="P2341" s="24">
        <v>8738</v>
      </c>
      <c r="Q2341" s="22">
        <f>IF(COUNTIFS(A$2:A2341,A2341,I$2:I2341,I2341)=1,1,0)</f>
        <v>0</v>
      </c>
      <c r="R2341" s="22">
        <f t="shared" si="36"/>
        <v>1</v>
      </c>
      <c r="S2341" s="33">
        <f>IF(COUNTIF(O$2:O2341,O2341)=1,R2341,0)/2.5</f>
        <v>0.4</v>
      </c>
    </row>
    <row r="2342" spans="1:19" ht="18" customHeight="1" x14ac:dyDescent="0.25">
      <c r="A2342" s="7" t="s">
        <v>43</v>
      </c>
      <c r="B2342" s="8">
        <v>1</v>
      </c>
      <c r="C2342" s="9">
        <v>496.5</v>
      </c>
      <c r="D2342" s="29">
        <f>C2342+IF(INDEX('Справочник по %'!B:B,(MATCH(A2342,'Справочник по %'!A:A,0)))="кол-во",B2342*INDEX('Справочник по %'!C:C,(MATCH(A2342,'Справочник по %'!A:A,0))),ОТЧЕТ!C2342*INDEX('Справочник по %'!C:C,(MATCH(A2342,'Справочник по %'!A:A,0))))/100</f>
        <v>546.15</v>
      </c>
      <c r="E2342" s="29">
        <f>IF(ОТЧЕТ!A2342="SKU3",C2342+ОТЧЕТ!C2342*0.2,C2342+ОТЧЕТ!C2342*0.15)</f>
        <v>570.97500000000002</v>
      </c>
      <c r="F2342" s="7" t="s">
        <v>4564</v>
      </c>
      <c r="G2342" s="7">
        <v>7802194843</v>
      </c>
      <c r="H2342" s="20" t="s">
        <v>50</v>
      </c>
      <c r="I2342" s="22" t="str">
        <f>INDEX('Справочник Сети'!B:B,(MATCH(G2342,'Справочник Сети'!C:C,0)))</f>
        <v>Столички</v>
      </c>
      <c r="J2342" s="7" t="s">
        <v>353</v>
      </c>
      <c r="K2342" s="7" t="s">
        <v>4574</v>
      </c>
      <c r="L2342" s="7" t="s">
        <v>353</v>
      </c>
      <c r="M2342" s="31">
        <v>45672</v>
      </c>
      <c r="N2342" s="7" t="s">
        <v>4576</v>
      </c>
      <c r="O2342" s="8">
        <v>2441</v>
      </c>
      <c r="P2342" s="24">
        <v>8739</v>
      </c>
      <c r="Q2342" s="22">
        <f>IF(COUNTIFS(A$2:A2342,A2342,I$2:I2342,I2342)=1,1,0)</f>
        <v>0</v>
      </c>
      <c r="R2342" s="22">
        <f t="shared" si="36"/>
        <v>5</v>
      </c>
      <c r="S2342" s="33">
        <f>IF(COUNTIF(O$2:O2342,O2342)=1,R2342,0)/2.5</f>
        <v>0</v>
      </c>
    </row>
    <row r="2343" spans="1:19" ht="18" customHeight="1" x14ac:dyDescent="0.25">
      <c r="A2343" s="7" t="s">
        <v>37</v>
      </c>
      <c r="B2343" s="8">
        <v>1</v>
      </c>
      <c r="C2343" s="9">
        <v>429.9</v>
      </c>
      <c r="D2343" s="29">
        <f>C2343+IF(INDEX('Справочник по %'!B:B,(MATCH(A2343,'Справочник по %'!A:A,0)))="кол-во",B2343*INDEX('Справочник по %'!C:C,(MATCH(A2343,'Справочник по %'!A:A,0))),ОТЧЕТ!C2343*INDEX('Справочник по %'!C:C,(MATCH(A2343,'Справочник по %'!A:A,0))))/100</f>
        <v>430.09999999999997</v>
      </c>
      <c r="E2343" s="29">
        <f>IF(ОТЧЕТ!A2343="SKU3",C2343+ОТЧЕТ!C2343*0.2,C2343+ОТЧЕТ!C2343*0.15)</f>
        <v>494.38499999999999</v>
      </c>
      <c r="F2343" s="7" t="s">
        <v>4577</v>
      </c>
      <c r="G2343" s="7">
        <v>7204146152</v>
      </c>
      <c r="H2343" s="20" t="s">
        <v>2033</v>
      </c>
      <c r="I2343" s="22" t="str">
        <f>INDEX('Справочник Сети'!B:B,(MATCH(G2343,'Справочник Сети'!C:C,0)))</f>
        <v>36,6</v>
      </c>
      <c r="J2343" s="7" t="s">
        <v>104</v>
      </c>
      <c r="K2343" s="7" t="s">
        <v>1206</v>
      </c>
      <c r="L2343" s="7" t="s">
        <v>106</v>
      </c>
      <c r="M2343" s="31">
        <v>45694</v>
      </c>
      <c r="N2343" s="7" t="s">
        <v>4578</v>
      </c>
      <c r="O2343" s="8">
        <v>871</v>
      </c>
      <c r="P2343" s="24">
        <v>8740</v>
      </c>
      <c r="Q2343" s="22">
        <f>IF(COUNTIFS(A$2:A2343,A2343,I$2:I2343,I2343)=1,1,0)</f>
        <v>0</v>
      </c>
      <c r="R2343" s="22">
        <f t="shared" si="36"/>
        <v>4</v>
      </c>
      <c r="S2343" s="33">
        <f>IF(COUNTIF(O$2:O2343,O2343)=1,R2343,0)/2.5</f>
        <v>0</v>
      </c>
    </row>
    <row r="2344" spans="1:19" ht="18" customHeight="1" x14ac:dyDescent="0.25">
      <c r="A2344" s="7" t="s">
        <v>43</v>
      </c>
      <c r="B2344" s="8">
        <v>1</v>
      </c>
      <c r="C2344" s="9">
        <v>399.9</v>
      </c>
      <c r="D2344" s="29">
        <f>C2344+IF(INDEX('Справочник по %'!B:B,(MATCH(A2344,'Справочник по %'!A:A,0)))="кол-во",B2344*INDEX('Справочник по %'!C:C,(MATCH(A2344,'Справочник по %'!A:A,0))),ОТЧЕТ!C2344*INDEX('Справочник по %'!C:C,(MATCH(A2344,'Справочник по %'!A:A,0))))/100</f>
        <v>439.89</v>
      </c>
      <c r="E2344" s="29">
        <f>IF(ОТЧЕТ!A2344="SKU3",C2344+ОТЧЕТ!C2344*0.2,C2344+ОТЧЕТ!C2344*0.15)</f>
        <v>459.88499999999999</v>
      </c>
      <c r="F2344" s="7" t="s">
        <v>4579</v>
      </c>
      <c r="G2344" s="7">
        <v>275912643</v>
      </c>
      <c r="H2344" s="20" t="s">
        <v>2297</v>
      </c>
      <c r="I2344" s="22">
        <f>INDEX('Справочник Сети'!B:B,(MATCH(G2344,'Справочник Сети'!C:C,0)))</f>
        <v>0</v>
      </c>
      <c r="J2344" s="7" t="s">
        <v>362</v>
      </c>
      <c r="K2344" s="7" t="s">
        <v>515</v>
      </c>
      <c r="L2344" s="7" t="s">
        <v>362</v>
      </c>
      <c r="M2344" s="31">
        <v>45732</v>
      </c>
      <c r="N2344" s="7" t="s">
        <v>4580</v>
      </c>
      <c r="O2344" s="8">
        <v>2778</v>
      </c>
      <c r="P2344" s="24">
        <v>8742</v>
      </c>
      <c r="Q2344" s="22">
        <f>IF(COUNTIFS(A$2:A2344,A2344,I$2:I2344,I2344)=1,1,0)</f>
        <v>0</v>
      </c>
      <c r="R2344" s="22">
        <f t="shared" si="36"/>
        <v>3</v>
      </c>
      <c r="S2344" s="33">
        <f>IF(COUNTIF(O$2:O2344,O2344)=1,R2344,0)/2.5</f>
        <v>0</v>
      </c>
    </row>
    <row r="2345" spans="1:19" ht="18" customHeight="1" x14ac:dyDescent="0.25">
      <c r="A2345" s="7" t="s">
        <v>43</v>
      </c>
      <c r="B2345" s="8">
        <v>1</v>
      </c>
      <c r="C2345" s="9">
        <v>425</v>
      </c>
      <c r="D2345" s="29">
        <f>C2345+IF(INDEX('Справочник по %'!B:B,(MATCH(A2345,'Справочник по %'!A:A,0)))="кол-во",B2345*INDEX('Справочник по %'!C:C,(MATCH(A2345,'Справочник по %'!A:A,0))),ОТЧЕТ!C2345*INDEX('Справочник по %'!C:C,(MATCH(A2345,'Справочник по %'!A:A,0))))/100</f>
        <v>467.5</v>
      </c>
      <c r="E2345" s="29">
        <f>IF(ОТЧЕТ!A2345="SKU3",C2345+ОТЧЕТ!C2345*0.2,C2345+ОТЧЕТ!C2345*0.15)</f>
        <v>488.75</v>
      </c>
      <c r="F2345" s="7" t="s">
        <v>4579</v>
      </c>
      <c r="G2345" s="7">
        <v>5258151839</v>
      </c>
      <c r="H2345" s="20" t="s">
        <v>50</v>
      </c>
      <c r="I2345" s="22">
        <f>INDEX('Справочник Сети'!B:B,(MATCH(G2345,'Справочник Сети'!C:C,0)))</f>
        <v>0</v>
      </c>
      <c r="J2345" s="7" t="s">
        <v>92</v>
      </c>
      <c r="K2345" s="7" t="s">
        <v>4581</v>
      </c>
      <c r="L2345" s="7" t="s">
        <v>92</v>
      </c>
      <c r="M2345" s="31">
        <v>45714</v>
      </c>
      <c r="N2345" s="7" t="s">
        <v>4580</v>
      </c>
      <c r="O2345" s="8">
        <v>3352</v>
      </c>
      <c r="P2345" s="24">
        <v>8743</v>
      </c>
      <c r="Q2345" s="22">
        <f>IF(COUNTIFS(A$2:A2345,A2345,I$2:I2345,I2345)=1,1,0)</f>
        <v>0</v>
      </c>
      <c r="R2345" s="22">
        <f t="shared" si="36"/>
        <v>1</v>
      </c>
      <c r="S2345" s="33">
        <f>IF(COUNTIF(O$2:O2345,O2345)=1,R2345,0)/2.5</f>
        <v>0.4</v>
      </c>
    </row>
    <row r="2346" spans="1:19" ht="18" customHeight="1" x14ac:dyDescent="0.25">
      <c r="A2346" s="7" t="s">
        <v>43</v>
      </c>
      <c r="B2346" s="8">
        <v>1</v>
      </c>
      <c r="C2346" s="9">
        <v>430</v>
      </c>
      <c r="D2346" s="29">
        <f>C2346+IF(INDEX('Справочник по %'!B:B,(MATCH(A2346,'Справочник по %'!A:A,0)))="кол-во",B2346*INDEX('Справочник по %'!C:C,(MATCH(A2346,'Справочник по %'!A:A,0))),ОТЧЕТ!C2346*INDEX('Справочник по %'!C:C,(MATCH(A2346,'Справочник по %'!A:A,0))))/100</f>
        <v>473</v>
      </c>
      <c r="E2346" s="29">
        <f>IF(ОТЧЕТ!A2346="SKU3",C2346+ОТЧЕТ!C2346*0.2,C2346+ОТЧЕТ!C2346*0.15)</f>
        <v>494.5</v>
      </c>
      <c r="F2346" s="7" t="s">
        <v>4579</v>
      </c>
      <c r="G2346" s="7">
        <v>222200320754</v>
      </c>
      <c r="H2346" s="20" t="s">
        <v>4582</v>
      </c>
      <c r="I2346" s="22">
        <f>INDEX('Справочник Сети'!B:B,(MATCH(G2346,'Справочник Сети'!C:C,0)))</f>
        <v>0</v>
      </c>
      <c r="J2346" s="7" t="s">
        <v>74</v>
      </c>
      <c r="K2346" s="7" t="s">
        <v>236</v>
      </c>
      <c r="L2346" s="7" t="s">
        <v>74</v>
      </c>
      <c r="M2346" s="31">
        <v>45661</v>
      </c>
      <c r="N2346" s="7" t="s">
        <v>4583</v>
      </c>
      <c r="O2346" s="8">
        <v>1989</v>
      </c>
      <c r="P2346" s="24">
        <v>8744</v>
      </c>
      <c r="Q2346" s="22">
        <f>IF(COUNTIFS(A$2:A2346,A2346,I$2:I2346,I2346)=1,1,0)</f>
        <v>0</v>
      </c>
      <c r="R2346" s="22">
        <f t="shared" si="36"/>
        <v>1</v>
      </c>
      <c r="S2346" s="33">
        <f>IF(COUNTIF(O$2:O2346,O2346)=1,R2346,0)/2.5</f>
        <v>0.4</v>
      </c>
    </row>
    <row r="2347" spans="1:19" ht="18" customHeight="1" x14ac:dyDescent="0.25">
      <c r="A2347" s="7" t="s">
        <v>37</v>
      </c>
      <c r="B2347" s="8">
        <v>1</v>
      </c>
      <c r="C2347" s="9">
        <v>690</v>
      </c>
      <c r="D2347" s="29">
        <f>C2347+IF(INDEX('Справочник по %'!B:B,(MATCH(A2347,'Справочник по %'!A:A,0)))="кол-во",B2347*INDEX('Справочник по %'!C:C,(MATCH(A2347,'Справочник по %'!A:A,0))),ОТЧЕТ!C2347*INDEX('Справочник по %'!C:C,(MATCH(A2347,'Справочник по %'!A:A,0))))/100</f>
        <v>690.2</v>
      </c>
      <c r="E2347" s="29">
        <f>IF(ОТЧЕТ!A2347="SKU3",C2347+ОТЧЕТ!C2347*0.2,C2347+ОТЧЕТ!C2347*0.15)</f>
        <v>793.5</v>
      </c>
      <c r="F2347" s="7" t="s">
        <v>4579</v>
      </c>
      <c r="G2347" s="7">
        <v>6000009727</v>
      </c>
      <c r="H2347" s="20" t="s">
        <v>519</v>
      </c>
      <c r="I2347" s="22">
        <f>INDEX('Справочник Сети'!B:B,(MATCH(G2347,'Справочник Сети'!C:C,0)))</f>
        <v>0</v>
      </c>
      <c r="J2347" s="7" t="s">
        <v>520</v>
      </c>
      <c r="K2347" s="7" t="s">
        <v>1262</v>
      </c>
      <c r="L2347" s="7" t="s">
        <v>520</v>
      </c>
      <c r="M2347" s="31">
        <v>45697</v>
      </c>
      <c r="N2347" s="7" t="s">
        <v>4584</v>
      </c>
      <c r="O2347" s="8">
        <v>36</v>
      </c>
      <c r="P2347" s="24">
        <v>8745</v>
      </c>
      <c r="Q2347" s="22">
        <f>IF(COUNTIFS(A$2:A2347,A2347,I$2:I2347,I2347)=1,1,0)</f>
        <v>0</v>
      </c>
      <c r="R2347" s="22">
        <f t="shared" si="36"/>
        <v>2</v>
      </c>
      <c r="S2347" s="33">
        <f>IF(COUNTIF(O$2:O2347,O2347)=1,R2347,0)/2.5</f>
        <v>0</v>
      </c>
    </row>
    <row r="2348" spans="1:19" ht="18" customHeight="1" x14ac:dyDescent="0.25">
      <c r="A2348" s="7" t="s">
        <v>43</v>
      </c>
      <c r="B2348" s="8">
        <v>1</v>
      </c>
      <c r="C2348" s="9">
        <v>354</v>
      </c>
      <c r="D2348" s="29">
        <f>C2348+IF(INDEX('Справочник по %'!B:B,(MATCH(A2348,'Справочник по %'!A:A,0)))="кол-во",B2348*INDEX('Справочник по %'!C:C,(MATCH(A2348,'Справочник по %'!A:A,0))),ОТЧЕТ!C2348*INDEX('Справочник по %'!C:C,(MATCH(A2348,'Справочник по %'!A:A,0))))/100</f>
        <v>389.4</v>
      </c>
      <c r="E2348" s="29">
        <f>IF(ОТЧЕТ!A2348="SKU3",C2348+ОТЧЕТ!C2348*0.2,C2348+ОТЧЕТ!C2348*0.15)</f>
        <v>407.1</v>
      </c>
      <c r="F2348" s="7" t="s">
        <v>4585</v>
      </c>
      <c r="G2348" s="7">
        <v>2308209746</v>
      </c>
      <c r="H2348" s="20" t="s">
        <v>50</v>
      </c>
      <c r="I2348" s="22">
        <f>INDEX('Справочник Сети'!B:B,(MATCH(G2348,'Справочник Сети'!C:C,0)))</f>
        <v>0</v>
      </c>
      <c r="J2348" s="7" t="s">
        <v>57</v>
      </c>
      <c r="K2348" s="7" t="s">
        <v>4586</v>
      </c>
      <c r="L2348" s="7" t="s">
        <v>57</v>
      </c>
      <c r="M2348" s="31">
        <v>45729</v>
      </c>
      <c r="N2348" s="7" t="s">
        <v>4587</v>
      </c>
      <c r="O2348" s="8">
        <v>3193</v>
      </c>
      <c r="P2348" s="24">
        <v>8748</v>
      </c>
      <c r="Q2348" s="22">
        <f>IF(COUNTIFS(A$2:A2348,A2348,I$2:I2348,I2348)=1,1,0)</f>
        <v>0</v>
      </c>
      <c r="R2348" s="22">
        <f t="shared" si="36"/>
        <v>1</v>
      </c>
      <c r="S2348" s="33">
        <f>IF(COUNTIF(O$2:O2348,O2348)=1,R2348,0)/2.5</f>
        <v>0.4</v>
      </c>
    </row>
    <row r="2349" spans="1:19" ht="18" customHeight="1" x14ac:dyDescent="0.25">
      <c r="A2349" s="7" t="s">
        <v>43</v>
      </c>
      <c r="B2349" s="8">
        <v>1</v>
      </c>
      <c r="C2349" s="9">
        <v>364</v>
      </c>
      <c r="D2349" s="29">
        <f>C2349+IF(INDEX('Справочник по %'!B:B,(MATCH(A2349,'Справочник по %'!A:A,0)))="кол-во",B2349*INDEX('Справочник по %'!C:C,(MATCH(A2349,'Справочник по %'!A:A,0))),ОТЧЕТ!C2349*INDEX('Справочник по %'!C:C,(MATCH(A2349,'Справочник по %'!A:A,0))))/100</f>
        <v>400.4</v>
      </c>
      <c r="E2349" s="29">
        <f>IF(ОТЧЕТ!A2349="SKU3",C2349+ОТЧЕТ!C2349*0.2,C2349+ОТЧЕТ!C2349*0.15)</f>
        <v>418.6</v>
      </c>
      <c r="F2349" s="7" t="s">
        <v>4585</v>
      </c>
      <c r="G2349" s="7">
        <v>7814443325</v>
      </c>
      <c r="H2349" s="20" t="s">
        <v>50</v>
      </c>
      <c r="I2349" s="22" t="str">
        <f>INDEX('Справочник Сети'!B:B,(MATCH(G2349,'Справочник Сети'!C:C,0)))</f>
        <v>Планета здоровья</v>
      </c>
      <c r="J2349" s="7" t="s">
        <v>121</v>
      </c>
      <c r="K2349" s="7" t="s">
        <v>4588</v>
      </c>
      <c r="L2349" s="7" t="s">
        <v>121</v>
      </c>
      <c r="M2349" s="31">
        <v>45671</v>
      </c>
      <c r="N2349" s="7" t="s">
        <v>4589</v>
      </c>
      <c r="O2349" s="8">
        <v>2049</v>
      </c>
      <c r="P2349" s="24">
        <v>8749</v>
      </c>
      <c r="Q2349" s="22">
        <f>IF(COUNTIFS(A$2:A2349,A2349,I$2:I2349,I2349)=1,1,0)</f>
        <v>0</v>
      </c>
      <c r="R2349" s="22">
        <f t="shared" si="36"/>
        <v>5</v>
      </c>
      <c r="S2349" s="33">
        <f>IF(COUNTIF(O$2:O2349,O2349)=1,R2349,0)/2.5</f>
        <v>0</v>
      </c>
    </row>
    <row r="2350" spans="1:19" ht="18" customHeight="1" x14ac:dyDescent="0.25">
      <c r="A2350" s="7" t="s">
        <v>37</v>
      </c>
      <c r="B2350" s="8">
        <v>1</v>
      </c>
      <c r="C2350" s="9">
        <v>605.9</v>
      </c>
      <c r="D2350" s="29">
        <f>C2350+IF(INDEX('Справочник по %'!B:B,(MATCH(A2350,'Справочник по %'!A:A,0)))="кол-во",B2350*INDEX('Справочник по %'!C:C,(MATCH(A2350,'Справочник по %'!A:A,0))),ОТЧЕТ!C2350*INDEX('Справочник по %'!C:C,(MATCH(A2350,'Справочник по %'!A:A,0))))/100</f>
        <v>606.1</v>
      </c>
      <c r="E2350" s="29">
        <f>IF(ОТЧЕТ!A2350="SKU3",C2350+ОТЧЕТ!C2350*0.2,C2350+ОТЧЕТ!C2350*0.15)</f>
        <v>696.78499999999997</v>
      </c>
      <c r="F2350" s="7" t="s">
        <v>4590</v>
      </c>
      <c r="G2350" s="7">
        <v>7204146152</v>
      </c>
      <c r="H2350" s="20" t="s">
        <v>3994</v>
      </c>
      <c r="I2350" s="22" t="str">
        <f>INDEX('Справочник Сети'!B:B,(MATCH(G2350,'Справочник Сети'!C:C,0)))</f>
        <v>36,6</v>
      </c>
      <c r="J2350" s="7" t="s">
        <v>104</v>
      </c>
      <c r="K2350" s="7" t="s">
        <v>488</v>
      </c>
      <c r="L2350" s="7" t="s">
        <v>106</v>
      </c>
      <c r="M2350" s="31">
        <v>45694</v>
      </c>
      <c r="N2350" s="7" t="s">
        <v>4591</v>
      </c>
      <c r="O2350" s="8">
        <v>836</v>
      </c>
      <c r="P2350" s="24">
        <v>8751</v>
      </c>
      <c r="Q2350" s="22">
        <f>IF(COUNTIFS(A$2:A2350,A2350,I$2:I2350,I2350)=1,1,0)</f>
        <v>0</v>
      </c>
      <c r="R2350" s="22">
        <f t="shared" si="36"/>
        <v>11</v>
      </c>
      <c r="S2350" s="33">
        <f>IF(COUNTIF(O$2:O2350,O2350)=1,R2350,0)/2.5</f>
        <v>0</v>
      </c>
    </row>
    <row r="2351" spans="1:19" ht="18" customHeight="1" x14ac:dyDescent="0.25">
      <c r="A2351" s="7" t="s">
        <v>37</v>
      </c>
      <c r="B2351" s="8">
        <v>1</v>
      </c>
      <c r="C2351" s="9">
        <v>567.5</v>
      </c>
      <c r="D2351" s="29">
        <f>C2351+IF(INDEX('Справочник по %'!B:B,(MATCH(A2351,'Справочник по %'!A:A,0)))="кол-во",B2351*INDEX('Справочник по %'!C:C,(MATCH(A2351,'Справочник по %'!A:A,0))),ОТЧЕТ!C2351*INDEX('Справочник по %'!C:C,(MATCH(A2351,'Справочник по %'!A:A,0))))/100</f>
        <v>567.70000000000005</v>
      </c>
      <c r="E2351" s="29">
        <f>IF(ОТЧЕТ!A2351="SKU3",C2351+ОТЧЕТ!C2351*0.2,C2351+ОТЧЕТ!C2351*0.15)</f>
        <v>652.625</v>
      </c>
      <c r="F2351" s="7" t="s">
        <v>4590</v>
      </c>
      <c r="G2351" s="7">
        <v>2227005590</v>
      </c>
      <c r="H2351" s="20" t="s">
        <v>1483</v>
      </c>
      <c r="I2351" s="22" t="str">
        <f>INDEX('Справочник Сети'!B:B,(MATCH(G2351,'Справочник Сети'!C:C,0)))</f>
        <v>Нео-фарм</v>
      </c>
      <c r="J2351" s="7" t="s">
        <v>372</v>
      </c>
      <c r="K2351" s="7" t="s">
        <v>3452</v>
      </c>
      <c r="L2351" s="7" t="s">
        <v>372</v>
      </c>
      <c r="M2351" s="31">
        <v>45730</v>
      </c>
      <c r="N2351" s="7" t="s">
        <v>4592</v>
      </c>
      <c r="O2351" s="8">
        <v>2314</v>
      </c>
      <c r="P2351" s="24">
        <v>8754</v>
      </c>
      <c r="Q2351" s="22">
        <f>IF(COUNTIFS(A$2:A2351,A2351,I$2:I2351,I2351)=1,1,0)</f>
        <v>0</v>
      </c>
      <c r="R2351" s="22">
        <f t="shared" si="36"/>
        <v>2</v>
      </c>
      <c r="S2351" s="33">
        <f>IF(COUNTIF(O$2:O2351,O2351)=1,R2351,0)/2.5</f>
        <v>0.8</v>
      </c>
    </row>
    <row r="2352" spans="1:19" ht="18" customHeight="1" x14ac:dyDescent="0.25">
      <c r="A2352" s="7" t="s">
        <v>37</v>
      </c>
      <c r="B2352" s="8">
        <v>1</v>
      </c>
      <c r="C2352" s="9">
        <v>530.54999999999995</v>
      </c>
      <c r="D2352" s="29">
        <f>C2352+IF(INDEX('Справочник по %'!B:B,(MATCH(A2352,'Справочник по %'!A:A,0)))="кол-во",B2352*INDEX('Справочник по %'!C:C,(MATCH(A2352,'Справочник по %'!A:A,0))),ОТЧЕТ!C2352*INDEX('Справочник по %'!C:C,(MATCH(A2352,'Справочник по %'!A:A,0))))/100</f>
        <v>530.75</v>
      </c>
      <c r="E2352" s="29">
        <f>IF(ОТЧЕТ!A2352="SKU3",C2352+ОТЧЕТ!C2352*0.2,C2352+ОТЧЕТ!C2352*0.15)</f>
        <v>610.13249999999994</v>
      </c>
      <c r="F2352" s="7" t="s">
        <v>4590</v>
      </c>
      <c r="G2352" s="7">
        <v>7732121736</v>
      </c>
      <c r="H2352" s="20" t="s">
        <v>4593</v>
      </c>
      <c r="I2352" s="22" t="str">
        <f>INDEX('Справочник Сети'!B:B,(MATCH(G2352,'Справочник Сети'!C:C,0)))</f>
        <v>Планета здоровья</v>
      </c>
      <c r="J2352" s="7" t="s">
        <v>149</v>
      </c>
      <c r="K2352" s="7" t="s">
        <v>2997</v>
      </c>
      <c r="L2352" s="7" t="s">
        <v>149</v>
      </c>
      <c r="M2352" s="31">
        <v>45673</v>
      </c>
      <c r="N2352" s="7" t="s">
        <v>4594</v>
      </c>
      <c r="O2352" s="8">
        <v>2819</v>
      </c>
      <c r="P2352" s="24">
        <v>8757</v>
      </c>
      <c r="Q2352" s="22">
        <f>IF(COUNTIFS(A$2:A2352,A2352,I$2:I2352,I2352)=1,1,0)</f>
        <v>0</v>
      </c>
      <c r="R2352" s="22">
        <f t="shared" si="36"/>
        <v>1</v>
      </c>
      <c r="S2352" s="33">
        <f>IF(COUNTIF(O$2:O2352,O2352)=1,R2352,0)/2.5</f>
        <v>0.4</v>
      </c>
    </row>
    <row r="2353" spans="1:19" ht="18" customHeight="1" x14ac:dyDescent="0.25">
      <c r="A2353" s="7" t="s">
        <v>43</v>
      </c>
      <c r="B2353" s="8">
        <v>1</v>
      </c>
      <c r="C2353" s="9">
        <v>481</v>
      </c>
      <c r="D2353" s="29">
        <f>C2353+IF(INDEX('Справочник по %'!B:B,(MATCH(A2353,'Справочник по %'!A:A,0)))="кол-во",B2353*INDEX('Справочник по %'!C:C,(MATCH(A2353,'Справочник по %'!A:A,0))),ОТЧЕТ!C2353*INDEX('Справочник по %'!C:C,(MATCH(A2353,'Справочник по %'!A:A,0))))/100</f>
        <v>529.1</v>
      </c>
      <c r="E2353" s="29">
        <f>IF(ОТЧЕТ!A2353="SKU3",C2353+ОТЧЕТ!C2353*0.2,C2353+ОТЧЕТ!C2353*0.15)</f>
        <v>553.15</v>
      </c>
      <c r="F2353" s="7" t="s">
        <v>4590</v>
      </c>
      <c r="G2353" s="7">
        <v>2543009225</v>
      </c>
      <c r="H2353" s="20" t="s">
        <v>4156</v>
      </c>
      <c r="I2353" s="22" t="str">
        <f>INDEX('Справочник Сети'!B:B,(MATCH(G2353,'Справочник Сети'!C:C,0)))</f>
        <v>Нео-фарм</v>
      </c>
      <c r="J2353" s="7" t="s">
        <v>46</v>
      </c>
      <c r="K2353" s="7" t="s">
        <v>296</v>
      </c>
      <c r="L2353" s="7" t="s">
        <v>46</v>
      </c>
      <c r="M2353" s="31">
        <v>45726</v>
      </c>
      <c r="N2353" s="7" t="s">
        <v>4595</v>
      </c>
      <c r="O2353" s="8">
        <v>1718</v>
      </c>
      <c r="P2353" s="24">
        <v>8758</v>
      </c>
      <c r="Q2353" s="22">
        <f>IF(COUNTIFS(A$2:A2353,A2353,I$2:I2353,I2353)=1,1,0)</f>
        <v>0</v>
      </c>
      <c r="R2353" s="22">
        <f t="shared" si="36"/>
        <v>2</v>
      </c>
      <c r="S2353" s="33">
        <f>IF(COUNTIF(O$2:O2353,O2353)=1,R2353,0)/2.5</f>
        <v>0.8</v>
      </c>
    </row>
    <row r="2354" spans="1:19" ht="18" customHeight="1" x14ac:dyDescent="0.25">
      <c r="A2354" s="7" t="s">
        <v>43</v>
      </c>
      <c r="B2354" s="8">
        <v>1</v>
      </c>
      <c r="C2354" s="9">
        <v>422.55</v>
      </c>
      <c r="D2354" s="29">
        <f>C2354+IF(INDEX('Справочник по %'!B:B,(MATCH(A2354,'Справочник по %'!A:A,0)))="кол-во",B2354*INDEX('Справочник по %'!C:C,(MATCH(A2354,'Справочник по %'!A:A,0))),ОТЧЕТ!C2354*INDEX('Справочник по %'!C:C,(MATCH(A2354,'Справочник по %'!A:A,0))))/100</f>
        <v>464.80500000000001</v>
      </c>
      <c r="E2354" s="29">
        <f>IF(ОТЧЕТ!A2354="SKU3",C2354+ОТЧЕТ!C2354*0.2,C2354+ОТЧЕТ!C2354*0.15)</f>
        <v>485.9325</v>
      </c>
      <c r="F2354" s="7" t="s">
        <v>4596</v>
      </c>
      <c r="G2354" s="7">
        <v>235100187194</v>
      </c>
      <c r="H2354" s="20" t="s">
        <v>91</v>
      </c>
      <c r="I2354" s="22" t="str">
        <f>INDEX('Справочник Сети'!B:B,(MATCH(G2354,'Справочник Сети'!C:C,0)))</f>
        <v>Нео-фарм</v>
      </c>
      <c r="J2354" s="7" t="s">
        <v>74</v>
      </c>
      <c r="K2354" s="7" t="s">
        <v>2098</v>
      </c>
      <c r="L2354" s="7" t="s">
        <v>74</v>
      </c>
      <c r="M2354" s="31">
        <v>45661</v>
      </c>
      <c r="N2354" s="7" t="s">
        <v>4597</v>
      </c>
      <c r="O2354" s="8">
        <v>1092</v>
      </c>
      <c r="P2354" s="24">
        <v>8761</v>
      </c>
      <c r="Q2354" s="22">
        <f>IF(COUNTIFS(A$2:A2354,A2354,I$2:I2354,I2354)=1,1,0)</f>
        <v>0</v>
      </c>
      <c r="R2354" s="22">
        <f t="shared" si="36"/>
        <v>5</v>
      </c>
      <c r="S2354" s="33">
        <f>IF(COUNTIF(O$2:O2354,O2354)=1,R2354,0)/2.5</f>
        <v>0</v>
      </c>
    </row>
    <row r="2355" spans="1:19" ht="18" customHeight="1" x14ac:dyDescent="0.25">
      <c r="A2355" s="7" t="s">
        <v>43</v>
      </c>
      <c r="B2355" s="8">
        <v>1</v>
      </c>
      <c r="C2355" s="9">
        <v>359</v>
      </c>
      <c r="D2355" s="29">
        <f>C2355+IF(INDEX('Справочник по %'!B:B,(MATCH(A2355,'Справочник по %'!A:A,0)))="кол-во",B2355*INDEX('Справочник по %'!C:C,(MATCH(A2355,'Справочник по %'!A:A,0))),ОТЧЕТ!C2355*INDEX('Справочник по %'!C:C,(MATCH(A2355,'Справочник по %'!A:A,0))))/100</f>
        <v>394.9</v>
      </c>
      <c r="E2355" s="29">
        <f>IF(ОТЧЕТ!A2355="SKU3",C2355+ОТЧЕТ!C2355*0.2,C2355+ОТЧЕТ!C2355*0.15)</f>
        <v>412.85</v>
      </c>
      <c r="F2355" s="7" t="s">
        <v>4596</v>
      </c>
      <c r="G2355" s="7">
        <v>7805286404</v>
      </c>
      <c r="H2355" s="20" t="s">
        <v>50</v>
      </c>
      <c r="I2355" s="22">
        <f>INDEX('Справочник Сети'!B:B,(MATCH(G2355,'Справочник Сети'!C:C,0)))</f>
        <v>0</v>
      </c>
      <c r="J2355" s="7" t="s">
        <v>353</v>
      </c>
      <c r="K2355" s="7" t="s">
        <v>3238</v>
      </c>
      <c r="L2355" s="7" t="s">
        <v>353</v>
      </c>
      <c r="M2355" s="31">
        <v>45672</v>
      </c>
      <c r="N2355" s="7" t="s">
        <v>4598</v>
      </c>
      <c r="O2355" s="8">
        <v>44</v>
      </c>
      <c r="P2355" s="24">
        <v>8762</v>
      </c>
      <c r="Q2355" s="22">
        <f>IF(COUNTIFS(A$2:A2355,A2355,I$2:I2355,I2355)=1,1,0)</f>
        <v>0</v>
      </c>
      <c r="R2355" s="22">
        <f t="shared" si="36"/>
        <v>1</v>
      </c>
      <c r="S2355" s="33">
        <f>IF(COUNTIF(O$2:O2355,O2355)=1,R2355,0)/2.5</f>
        <v>0.4</v>
      </c>
    </row>
    <row r="2356" spans="1:19" ht="18" customHeight="1" x14ac:dyDescent="0.25">
      <c r="A2356" s="7" t="s">
        <v>37</v>
      </c>
      <c r="B2356" s="8">
        <v>1</v>
      </c>
      <c r="C2356" s="9">
        <v>608.20000000000005</v>
      </c>
      <c r="D2356" s="29">
        <f>C2356+IF(INDEX('Справочник по %'!B:B,(MATCH(A2356,'Справочник по %'!A:A,0)))="кол-во",B2356*INDEX('Справочник по %'!C:C,(MATCH(A2356,'Справочник по %'!A:A,0))),ОТЧЕТ!C2356*INDEX('Справочник по %'!C:C,(MATCH(A2356,'Справочник по %'!A:A,0))))/100</f>
        <v>608.40000000000009</v>
      </c>
      <c r="E2356" s="29">
        <f>IF(ОТЧЕТ!A2356="SKU3",C2356+ОТЧЕТ!C2356*0.2,C2356+ОТЧЕТ!C2356*0.15)</f>
        <v>699.43000000000006</v>
      </c>
      <c r="F2356" s="7" t="s">
        <v>4596</v>
      </c>
      <c r="G2356" s="7">
        <v>6630006059</v>
      </c>
      <c r="H2356" s="20" t="s">
        <v>132</v>
      </c>
      <c r="I2356" s="22" t="str">
        <f>INDEX('Справочник Сети'!B:B,(MATCH(G2356,'Справочник Сети'!C:C,0)))</f>
        <v>Планета здоровья</v>
      </c>
      <c r="J2356" s="7" t="s">
        <v>133</v>
      </c>
      <c r="K2356" s="7" t="s">
        <v>1598</v>
      </c>
      <c r="L2356" s="7" t="s">
        <v>133</v>
      </c>
      <c r="M2356" s="31">
        <v>45695</v>
      </c>
      <c r="N2356" s="7" t="s">
        <v>4599</v>
      </c>
      <c r="O2356" s="8">
        <v>2254</v>
      </c>
      <c r="P2356" s="24">
        <v>8763</v>
      </c>
      <c r="Q2356" s="22">
        <f>IF(COUNTIFS(A$2:A2356,A2356,I$2:I2356,I2356)=1,1,0)</f>
        <v>0</v>
      </c>
      <c r="R2356" s="22">
        <f t="shared" si="36"/>
        <v>1</v>
      </c>
      <c r="S2356" s="33">
        <f>IF(COUNTIF(O$2:O2356,O2356)=1,R2356,0)/2.5</f>
        <v>0.4</v>
      </c>
    </row>
    <row r="2357" spans="1:19" ht="18" customHeight="1" x14ac:dyDescent="0.25">
      <c r="A2357" s="7" t="s">
        <v>43</v>
      </c>
      <c r="B2357" s="8">
        <v>1</v>
      </c>
      <c r="C2357" s="9">
        <v>406.16</v>
      </c>
      <c r="D2357" s="29">
        <f>C2357+IF(INDEX('Справочник по %'!B:B,(MATCH(A2357,'Справочник по %'!A:A,0)))="кол-во",B2357*INDEX('Справочник по %'!C:C,(MATCH(A2357,'Справочник по %'!A:A,0))),ОТЧЕТ!C2357*INDEX('Справочник по %'!C:C,(MATCH(A2357,'Справочник по %'!A:A,0))))/100</f>
        <v>446.77600000000001</v>
      </c>
      <c r="E2357" s="29">
        <f>IF(ОТЧЕТ!A2357="SKU3",C2357+ОТЧЕТ!C2357*0.2,C2357+ОТЧЕТ!C2357*0.15)</f>
        <v>467.084</v>
      </c>
      <c r="F2357" s="7" t="s">
        <v>4600</v>
      </c>
      <c r="G2357" s="7">
        <v>7806510994</v>
      </c>
      <c r="H2357" s="20" t="s">
        <v>50</v>
      </c>
      <c r="I2357" s="22" t="str">
        <f>INDEX('Справочник Сети'!B:B,(MATCH(G2357,'Справочник Сети'!C:C,0)))</f>
        <v>Ригла</v>
      </c>
      <c r="J2357" s="7" t="s">
        <v>353</v>
      </c>
      <c r="K2357" s="7" t="s">
        <v>1358</v>
      </c>
      <c r="L2357" s="7" t="s">
        <v>353</v>
      </c>
      <c r="M2357" s="31">
        <v>45672</v>
      </c>
      <c r="N2357" s="7" t="s">
        <v>4601</v>
      </c>
      <c r="O2357" s="8">
        <v>2360</v>
      </c>
      <c r="P2357" s="24">
        <v>8767</v>
      </c>
      <c r="Q2357" s="22">
        <f>IF(COUNTIFS(A$2:A2357,A2357,I$2:I2357,I2357)=1,1,0)</f>
        <v>0</v>
      </c>
      <c r="R2357" s="22">
        <f t="shared" si="36"/>
        <v>2</v>
      </c>
      <c r="S2357" s="33">
        <f>IF(COUNTIF(O$2:O2357,O2357)=1,R2357,0)/2.5</f>
        <v>0</v>
      </c>
    </row>
    <row r="2358" spans="1:19" ht="18" customHeight="1" x14ac:dyDescent="0.25">
      <c r="A2358" s="7" t="s">
        <v>37</v>
      </c>
      <c r="B2358" s="8">
        <v>1</v>
      </c>
      <c r="C2358" s="9">
        <v>704</v>
      </c>
      <c r="D2358" s="29">
        <f>C2358+IF(INDEX('Справочник по %'!B:B,(MATCH(A2358,'Справочник по %'!A:A,0)))="кол-во",B2358*INDEX('Справочник по %'!C:C,(MATCH(A2358,'Справочник по %'!A:A,0))),ОТЧЕТ!C2358*INDEX('Справочник по %'!C:C,(MATCH(A2358,'Справочник по %'!A:A,0))))/100</f>
        <v>704.2</v>
      </c>
      <c r="E2358" s="29">
        <f>IF(ОТЧЕТ!A2358="SKU3",C2358+ОТЧЕТ!C2358*0.2,C2358+ОТЧЕТ!C2358*0.15)</f>
        <v>809.6</v>
      </c>
      <c r="F2358" s="7" t="s">
        <v>4600</v>
      </c>
      <c r="G2358" s="7">
        <v>7802194843</v>
      </c>
      <c r="H2358" s="20" t="s">
        <v>50</v>
      </c>
      <c r="I2358" s="22" t="str">
        <f>INDEX('Справочник Сети'!B:B,(MATCH(G2358,'Справочник Сети'!C:C,0)))</f>
        <v>Столички</v>
      </c>
      <c r="J2358" s="7" t="s">
        <v>353</v>
      </c>
      <c r="K2358" s="7" t="s">
        <v>1531</v>
      </c>
      <c r="L2358" s="7" t="s">
        <v>353</v>
      </c>
      <c r="M2358" s="31">
        <v>45672</v>
      </c>
      <c r="N2358" s="7" t="s">
        <v>4602</v>
      </c>
      <c r="O2358" s="8">
        <v>3086</v>
      </c>
      <c r="P2358" s="24">
        <v>8768</v>
      </c>
      <c r="Q2358" s="22">
        <f>IF(COUNTIFS(A$2:A2358,A2358,I$2:I2358,I2358)=1,1,0)</f>
        <v>0</v>
      </c>
      <c r="R2358" s="22">
        <f t="shared" si="36"/>
        <v>2</v>
      </c>
      <c r="S2358" s="33">
        <f>IF(COUNTIF(O$2:O2358,O2358)=1,R2358,0)/2.5</f>
        <v>0.8</v>
      </c>
    </row>
    <row r="2359" spans="1:19" ht="18" customHeight="1" x14ac:dyDescent="0.25">
      <c r="A2359" s="7" t="s">
        <v>37</v>
      </c>
      <c r="B2359" s="8">
        <v>1</v>
      </c>
      <c r="C2359" s="9">
        <v>704</v>
      </c>
      <c r="D2359" s="29">
        <f>C2359+IF(INDEX('Справочник по %'!B:B,(MATCH(A2359,'Справочник по %'!A:A,0)))="кол-во",B2359*INDEX('Справочник по %'!C:C,(MATCH(A2359,'Справочник по %'!A:A,0))),ОТЧЕТ!C2359*INDEX('Справочник по %'!C:C,(MATCH(A2359,'Справочник по %'!A:A,0))))/100</f>
        <v>704.2</v>
      </c>
      <c r="E2359" s="29">
        <f>IF(ОТЧЕТ!A2359="SKU3",C2359+ОТЧЕТ!C2359*0.2,C2359+ОТЧЕТ!C2359*0.15)</f>
        <v>809.6</v>
      </c>
      <c r="F2359" s="7" t="s">
        <v>4603</v>
      </c>
      <c r="G2359" s="7">
        <v>7802194843</v>
      </c>
      <c r="H2359" s="20" t="s">
        <v>50</v>
      </c>
      <c r="I2359" s="22" t="str">
        <f>INDEX('Справочник Сети'!B:B,(MATCH(G2359,'Справочник Сети'!C:C,0)))</f>
        <v>Столички</v>
      </c>
      <c r="J2359" s="7" t="s">
        <v>353</v>
      </c>
      <c r="K2359" s="7" t="s">
        <v>1595</v>
      </c>
      <c r="L2359" s="7" t="s">
        <v>353</v>
      </c>
      <c r="M2359" s="31">
        <v>45672</v>
      </c>
      <c r="N2359" s="7" t="s">
        <v>4604</v>
      </c>
      <c r="O2359" s="8">
        <v>3086</v>
      </c>
      <c r="P2359" s="24">
        <v>8774</v>
      </c>
      <c r="Q2359" s="22">
        <f>IF(COUNTIFS(A$2:A2359,A2359,I$2:I2359,I2359)=1,1,0)</f>
        <v>0</v>
      </c>
      <c r="R2359" s="22">
        <f t="shared" si="36"/>
        <v>2</v>
      </c>
      <c r="S2359" s="33">
        <f>IF(COUNTIF(O$2:O2359,O2359)=1,R2359,0)/2.5</f>
        <v>0</v>
      </c>
    </row>
    <row r="2360" spans="1:19" ht="18" customHeight="1" x14ac:dyDescent="0.25">
      <c r="A2360" s="7" t="s">
        <v>43</v>
      </c>
      <c r="B2360" s="8">
        <v>1</v>
      </c>
      <c r="C2360" s="9">
        <v>471</v>
      </c>
      <c r="D2360" s="29">
        <f>C2360+IF(INDEX('Справочник по %'!B:B,(MATCH(A2360,'Справочник по %'!A:A,0)))="кол-во",B2360*INDEX('Справочник по %'!C:C,(MATCH(A2360,'Справочник по %'!A:A,0))),ОТЧЕТ!C2360*INDEX('Справочник по %'!C:C,(MATCH(A2360,'Справочник по %'!A:A,0))))/100</f>
        <v>518.1</v>
      </c>
      <c r="E2360" s="29">
        <f>IF(ОТЧЕТ!A2360="SKU3",C2360+ОТЧЕТ!C2360*0.2,C2360+ОТЧЕТ!C2360*0.15)</f>
        <v>541.65</v>
      </c>
      <c r="F2360" s="7" t="s">
        <v>4603</v>
      </c>
      <c r="G2360" s="7">
        <v>9705147513</v>
      </c>
      <c r="H2360" s="20" t="s">
        <v>50</v>
      </c>
      <c r="I2360" s="22" t="str">
        <f>INDEX('Справочник Сети'!B:B,(MATCH(G2360,'Справочник Сети'!C:C,0)))</f>
        <v>Столички</v>
      </c>
      <c r="J2360" s="7" t="s">
        <v>239</v>
      </c>
      <c r="K2360" s="7" t="s">
        <v>1678</v>
      </c>
      <c r="L2360" s="7" t="s">
        <v>239</v>
      </c>
      <c r="M2360" s="31">
        <v>45662</v>
      </c>
      <c r="N2360" s="7" t="s">
        <v>2447</v>
      </c>
      <c r="O2360" s="8">
        <v>3104</v>
      </c>
      <c r="P2360" s="24">
        <v>8775</v>
      </c>
      <c r="Q2360" s="22">
        <f>IF(COUNTIFS(A$2:A2360,A2360,I$2:I2360,I2360)=1,1,0)</f>
        <v>0</v>
      </c>
      <c r="R2360" s="22">
        <f t="shared" si="36"/>
        <v>6</v>
      </c>
      <c r="S2360" s="33">
        <f>IF(COUNTIF(O$2:O2360,O2360)=1,R2360,0)/2.5</f>
        <v>0</v>
      </c>
    </row>
    <row r="2361" spans="1:19" ht="18" customHeight="1" x14ac:dyDescent="0.25">
      <c r="A2361" s="7" t="s">
        <v>37</v>
      </c>
      <c r="B2361" s="8">
        <v>1</v>
      </c>
      <c r="C2361" s="9">
        <v>585</v>
      </c>
      <c r="D2361" s="29">
        <f>C2361+IF(INDEX('Справочник по %'!B:B,(MATCH(A2361,'Справочник по %'!A:A,0)))="кол-во",B2361*INDEX('Справочник по %'!C:C,(MATCH(A2361,'Справочник по %'!A:A,0))),ОТЧЕТ!C2361*INDEX('Справочник по %'!C:C,(MATCH(A2361,'Справочник по %'!A:A,0))))/100</f>
        <v>585.20000000000005</v>
      </c>
      <c r="E2361" s="29">
        <f>IF(ОТЧЕТ!A2361="SKU3",C2361+ОТЧЕТ!C2361*0.2,C2361+ОТЧЕТ!C2361*0.15)</f>
        <v>672.75</v>
      </c>
      <c r="F2361" s="7" t="s">
        <v>4603</v>
      </c>
      <c r="G2361" s="7">
        <v>2310212231</v>
      </c>
      <c r="H2361" s="20" t="s">
        <v>69</v>
      </c>
      <c r="I2361" s="22" t="str">
        <f>INDEX('Справочник Сети'!B:B,(MATCH(G2361,'Справочник Сети'!C:C,0)))</f>
        <v>Нео-фарм</v>
      </c>
      <c r="J2361" s="7" t="s">
        <v>70</v>
      </c>
      <c r="K2361" s="7" t="s">
        <v>2675</v>
      </c>
      <c r="L2361" s="7" t="s">
        <v>70</v>
      </c>
      <c r="M2361" s="31">
        <v>45728</v>
      </c>
      <c r="N2361" s="7" t="s">
        <v>4605</v>
      </c>
      <c r="O2361" s="8">
        <v>3189</v>
      </c>
      <c r="P2361" s="24">
        <v>8777</v>
      </c>
      <c r="Q2361" s="22">
        <f>IF(COUNTIFS(A$2:A2361,A2361,I$2:I2361,I2361)=1,1,0)</f>
        <v>0</v>
      </c>
      <c r="R2361" s="22">
        <f t="shared" si="36"/>
        <v>2</v>
      </c>
      <c r="S2361" s="33">
        <f>IF(COUNTIF(O$2:O2361,O2361)=1,R2361,0)/2.5</f>
        <v>0</v>
      </c>
    </row>
    <row r="2362" spans="1:19" ht="18" customHeight="1" x14ac:dyDescent="0.25">
      <c r="A2362" s="7" t="s">
        <v>43</v>
      </c>
      <c r="B2362" s="8">
        <v>1</v>
      </c>
      <c r="C2362" s="9">
        <v>445.57</v>
      </c>
      <c r="D2362" s="29">
        <f>C2362+IF(INDEX('Справочник по %'!B:B,(MATCH(A2362,'Справочник по %'!A:A,0)))="кол-во",B2362*INDEX('Справочник по %'!C:C,(MATCH(A2362,'Справочник по %'!A:A,0))),ОТЧЕТ!C2362*INDEX('Справочник по %'!C:C,(MATCH(A2362,'Справочник по %'!A:A,0))))/100</f>
        <v>490.12700000000001</v>
      </c>
      <c r="E2362" s="29">
        <f>IF(ОТЧЕТ!A2362="SKU3",C2362+ОТЧЕТ!C2362*0.2,C2362+ОТЧЕТ!C2362*0.15)</f>
        <v>512.40549999999996</v>
      </c>
      <c r="F2362" s="7" t="s">
        <v>4606</v>
      </c>
      <c r="G2362" s="7">
        <v>7704729709</v>
      </c>
      <c r="H2362" s="20" t="s">
        <v>64</v>
      </c>
      <c r="I2362" s="22">
        <f>INDEX('Справочник Сети'!B:B,(MATCH(G2362,'Справочник Сети'!C:C,0)))</f>
        <v>0</v>
      </c>
      <c r="J2362" s="7" t="s">
        <v>104</v>
      </c>
      <c r="K2362" s="7" t="s">
        <v>2113</v>
      </c>
      <c r="L2362" s="7" t="s">
        <v>104</v>
      </c>
      <c r="M2362" s="31">
        <v>45693</v>
      </c>
      <c r="N2362" s="7" t="s">
        <v>4607</v>
      </c>
      <c r="O2362" s="8">
        <v>833</v>
      </c>
      <c r="P2362" s="24">
        <v>8778</v>
      </c>
      <c r="Q2362" s="22">
        <f>IF(COUNTIFS(A$2:A2362,A2362,I$2:I2362,I2362)=1,1,0)</f>
        <v>0</v>
      </c>
      <c r="R2362" s="22">
        <f t="shared" si="36"/>
        <v>6</v>
      </c>
      <c r="S2362" s="33">
        <f>IF(COUNTIF(O$2:O2362,O2362)=1,R2362,0)/2.5</f>
        <v>0</v>
      </c>
    </row>
    <row r="2363" spans="1:19" ht="18" customHeight="1" x14ac:dyDescent="0.25">
      <c r="A2363" s="7" t="s">
        <v>43</v>
      </c>
      <c r="B2363" s="8">
        <v>1</v>
      </c>
      <c r="C2363" s="9">
        <v>452</v>
      </c>
      <c r="D2363" s="29">
        <f>C2363+IF(INDEX('Справочник по %'!B:B,(MATCH(A2363,'Справочник по %'!A:A,0)))="кол-во",B2363*INDEX('Справочник по %'!C:C,(MATCH(A2363,'Справочник по %'!A:A,0))),ОТЧЕТ!C2363*INDEX('Справочник по %'!C:C,(MATCH(A2363,'Справочник по %'!A:A,0))))/100</f>
        <v>497.2</v>
      </c>
      <c r="E2363" s="29">
        <f>IF(ОТЧЕТ!A2363="SKU3",C2363+ОТЧЕТ!C2363*0.2,C2363+ОТЧЕТ!C2363*0.15)</f>
        <v>519.79999999999995</v>
      </c>
      <c r="F2363" s="7" t="s">
        <v>4606</v>
      </c>
      <c r="G2363" s="7">
        <v>7704729709</v>
      </c>
      <c r="H2363" s="20" t="s">
        <v>64</v>
      </c>
      <c r="I2363" s="22">
        <f>INDEX('Справочник Сети'!B:B,(MATCH(G2363,'Справочник Сети'!C:C,0)))</f>
        <v>0</v>
      </c>
      <c r="J2363" s="7" t="s">
        <v>104</v>
      </c>
      <c r="K2363" s="7" t="s">
        <v>4608</v>
      </c>
      <c r="L2363" s="7" t="s">
        <v>104</v>
      </c>
      <c r="M2363" s="31">
        <v>45693</v>
      </c>
      <c r="N2363" s="7" t="s">
        <v>4609</v>
      </c>
      <c r="O2363" s="8">
        <v>833</v>
      </c>
      <c r="P2363" s="24">
        <v>8779</v>
      </c>
      <c r="Q2363" s="22">
        <f>IF(COUNTIFS(A$2:A2363,A2363,I$2:I2363,I2363)=1,1,0)</f>
        <v>0</v>
      </c>
      <c r="R2363" s="22">
        <f t="shared" si="36"/>
        <v>6</v>
      </c>
      <c r="S2363" s="33">
        <f>IF(COUNTIF(O$2:O2363,O2363)=1,R2363,0)/2.5</f>
        <v>0</v>
      </c>
    </row>
    <row r="2364" spans="1:19" ht="18" customHeight="1" x14ac:dyDescent="0.25">
      <c r="A2364" s="7" t="s">
        <v>43</v>
      </c>
      <c r="B2364" s="8">
        <v>1</v>
      </c>
      <c r="C2364" s="9">
        <v>400.83</v>
      </c>
      <c r="D2364" s="29">
        <f>C2364+IF(INDEX('Справочник по %'!B:B,(MATCH(A2364,'Справочник по %'!A:A,0)))="кол-во",B2364*INDEX('Справочник по %'!C:C,(MATCH(A2364,'Справочник по %'!A:A,0))),ОТЧЕТ!C2364*INDEX('Справочник по %'!C:C,(MATCH(A2364,'Справочник по %'!A:A,0))))/100</f>
        <v>440.91300000000001</v>
      </c>
      <c r="E2364" s="29">
        <f>IF(ОТЧЕТ!A2364="SKU3",C2364+ОТЧЕТ!C2364*0.2,C2364+ОТЧЕТ!C2364*0.15)</f>
        <v>460.9545</v>
      </c>
      <c r="F2364" s="7" t="s">
        <v>4606</v>
      </c>
      <c r="G2364" s="7">
        <v>5506232453</v>
      </c>
      <c r="H2364" s="20" t="s">
        <v>50</v>
      </c>
      <c r="I2364" s="22">
        <f>INDEX('Справочник Сети'!B:B,(MATCH(G2364,'Справочник Сети'!C:C,0)))</f>
        <v>0</v>
      </c>
      <c r="J2364" s="7" t="s">
        <v>255</v>
      </c>
      <c r="K2364" s="7" t="s">
        <v>2689</v>
      </c>
      <c r="L2364" s="7" t="s">
        <v>255</v>
      </c>
      <c r="M2364" s="31">
        <v>45713</v>
      </c>
      <c r="N2364" s="7" t="s">
        <v>4610</v>
      </c>
      <c r="O2364" s="8">
        <v>1363</v>
      </c>
      <c r="P2364" s="24">
        <v>8781</v>
      </c>
      <c r="Q2364" s="22">
        <f>IF(COUNTIFS(A$2:A2364,A2364,I$2:I2364,I2364)=1,1,0)</f>
        <v>0</v>
      </c>
      <c r="R2364" s="22">
        <f t="shared" si="36"/>
        <v>3</v>
      </c>
      <c r="S2364" s="33">
        <f>IF(COUNTIF(O$2:O2364,O2364)=1,R2364,0)/2.5</f>
        <v>0</v>
      </c>
    </row>
    <row r="2365" spans="1:19" ht="18" customHeight="1" x14ac:dyDescent="0.25">
      <c r="A2365" s="7" t="s">
        <v>43</v>
      </c>
      <c r="B2365" s="8">
        <v>1</v>
      </c>
      <c r="C2365" s="9">
        <v>434</v>
      </c>
      <c r="D2365" s="29">
        <f>C2365+IF(INDEX('Справочник по %'!B:B,(MATCH(A2365,'Справочник по %'!A:A,0)))="кол-во",B2365*INDEX('Справочник по %'!C:C,(MATCH(A2365,'Справочник по %'!A:A,0))),ОТЧЕТ!C2365*INDEX('Справочник по %'!C:C,(MATCH(A2365,'Справочник по %'!A:A,0))))/100</f>
        <v>477.4</v>
      </c>
      <c r="E2365" s="29">
        <f>IF(ОТЧЕТ!A2365="SKU3",C2365+ОТЧЕТ!C2365*0.2,C2365+ОТЧЕТ!C2365*0.15)</f>
        <v>499.1</v>
      </c>
      <c r="F2365" s="7" t="s">
        <v>4606</v>
      </c>
      <c r="G2365" s="7">
        <v>7704865540</v>
      </c>
      <c r="H2365" s="20" t="s">
        <v>91</v>
      </c>
      <c r="I2365" s="22" t="str">
        <f>INDEX('Справочник Сети'!B:B,(MATCH(G2365,'Справочник Сети'!C:C,0)))</f>
        <v>Столички</v>
      </c>
      <c r="J2365" s="7" t="s">
        <v>104</v>
      </c>
      <c r="K2365" s="7" t="s">
        <v>1459</v>
      </c>
      <c r="L2365" s="7" t="s">
        <v>104</v>
      </c>
      <c r="M2365" s="31">
        <v>45693</v>
      </c>
      <c r="N2365" s="7" t="s">
        <v>4611</v>
      </c>
      <c r="O2365" s="8">
        <v>127</v>
      </c>
      <c r="P2365" s="24">
        <v>8789</v>
      </c>
      <c r="Q2365" s="22">
        <f>IF(COUNTIFS(A$2:A2365,A2365,I$2:I2365,I2365)=1,1,0)</f>
        <v>0</v>
      </c>
      <c r="R2365" s="22">
        <f t="shared" si="36"/>
        <v>1</v>
      </c>
      <c r="S2365" s="33">
        <f>IF(COUNTIF(O$2:O2365,O2365)=1,R2365,0)/2.5</f>
        <v>0.4</v>
      </c>
    </row>
    <row r="2366" spans="1:19" ht="18" customHeight="1" x14ac:dyDescent="0.25">
      <c r="A2366" s="7" t="s">
        <v>37</v>
      </c>
      <c r="B2366" s="8">
        <v>1</v>
      </c>
      <c r="C2366" s="9">
        <v>693</v>
      </c>
      <c r="D2366" s="29">
        <f>C2366+IF(INDEX('Справочник по %'!B:B,(MATCH(A2366,'Справочник по %'!A:A,0)))="кол-во",B2366*INDEX('Справочник по %'!C:C,(MATCH(A2366,'Справочник по %'!A:A,0))),ОТЧЕТ!C2366*INDEX('Справочник по %'!C:C,(MATCH(A2366,'Справочник по %'!A:A,0))))/100</f>
        <v>693.2</v>
      </c>
      <c r="E2366" s="29">
        <f>IF(ОТЧЕТ!A2366="SKU3",C2366+ОТЧЕТ!C2366*0.2,C2366+ОТЧЕТ!C2366*0.15)</f>
        <v>796.95</v>
      </c>
      <c r="F2366" s="7" t="s">
        <v>4606</v>
      </c>
      <c r="G2366" s="7">
        <v>7839481347</v>
      </c>
      <c r="H2366" s="20" t="s">
        <v>50</v>
      </c>
      <c r="I2366" s="22" t="str">
        <f>INDEX('Справочник Сети'!B:B,(MATCH(G2366,'Справочник Сети'!C:C,0)))</f>
        <v>Ригла</v>
      </c>
      <c r="J2366" s="7" t="s">
        <v>315</v>
      </c>
      <c r="K2366" s="7" t="s">
        <v>1429</v>
      </c>
      <c r="L2366" s="7" t="s">
        <v>121</v>
      </c>
      <c r="M2366" s="31">
        <v>45671</v>
      </c>
      <c r="N2366" s="7" t="s">
        <v>4612</v>
      </c>
      <c r="O2366" s="8">
        <v>2273</v>
      </c>
      <c r="P2366" s="24">
        <v>8790</v>
      </c>
      <c r="Q2366" s="22">
        <f>IF(COUNTIFS(A$2:A2366,A2366,I$2:I2366,I2366)=1,1,0)</f>
        <v>0</v>
      </c>
      <c r="R2366" s="22">
        <f t="shared" si="36"/>
        <v>3</v>
      </c>
      <c r="S2366" s="33">
        <f>IF(COUNTIF(O$2:O2366,O2366)=1,R2366,0)/2.5</f>
        <v>0</v>
      </c>
    </row>
    <row r="2367" spans="1:19" ht="18" customHeight="1" x14ac:dyDescent="0.25">
      <c r="A2367" s="7" t="s">
        <v>37</v>
      </c>
      <c r="B2367" s="8">
        <v>1</v>
      </c>
      <c r="C2367" s="9">
        <v>693</v>
      </c>
      <c r="D2367" s="29">
        <f>C2367+IF(INDEX('Справочник по %'!B:B,(MATCH(A2367,'Справочник по %'!A:A,0)))="кол-во",B2367*INDEX('Справочник по %'!C:C,(MATCH(A2367,'Справочник по %'!A:A,0))),ОТЧЕТ!C2367*INDEX('Справочник по %'!C:C,(MATCH(A2367,'Справочник по %'!A:A,0))))/100</f>
        <v>693.2</v>
      </c>
      <c r="E2367" s="29">
        <f>IF(ОТЧЕТ!A2367="SKU3",C2367+ОТЧЕТ!C2367*0.2,C2367+ОТЧЕТ!C2367*0.15)</f>
        <v>796.95</v>
      </c>
      <c r="F2367" s="7" t="s">
        <v>4606</v>
      </c>
      <c r="G2367" s="7">
        <v>7839481347</v>
      </c>
      <c r="H2367" s="20" t="s">
        <v>50</v>
      </c>
      <c r="I2367" s="22" t="str">
        <f>INDEX('Справочник Сети'!B:B,(MATCH(G2367,'Справочник Сети'!C:C,0)))</f>
        <v>Ригла</v>
      </c>
      <c r="J2367" s="7" t="s">
        <v>315</v>
      </c>
      <c r="K2367" s="7" t="s">
        <v>1429</v>
      </c>
      <c r="L2367" s="7" t="s">
        <v>121</v>
      </c>
      <c r="M2367" s="31">
        <v>45671</v>
      </c>
      <c r="N2367" s="7" t="s">
        <v>4612</v>
      </c>
      <c r="O2367" s="8">
        <v>2273</v>
      </c>
      <c r="P2367" s="24">
        <v>8790</v>
      </c>
      <c r="Q2367" s="22">
        <f>IF(COUNTIFS(A$2:A2367,A2367,I$2:I2367,I2367)=1,1,0)</f>
        <v>0</v>
      </c>
      <c r="R2367" s="22">
        <f t="shared" si="36"/>
        <v>3</v>
      </c>
      <c r="S2367" s="33">
        <f>IF(COUNTIF(O$2:O2367,O2367)=1,R2367,0)/2.5</f>
        <v>0</v>
      </c>
    </row>
    <row r="2368" spans="1:19" ht="18" customHeight="1" x14ac:dyDescent="0.25">
      <c r="A2368" s="7" t="s">
        <v>43</v>
      </c>
      <c r="B2368" s="8">
        <v>1</v>
      </c>
      <c r="C2368" s="9">
        <v>383.5</v>
      </c>
      <c r="D2368" s="29">
        <f>C2368+IF(INDEX('Справочник по %'!B:B,(MATCH(A2368,'Справочник по %'!A:A,0)))="кол-во",B2368*INDEX('Справочник по %'!C:C,(MATCH(A2368,'Справочник по %'!A:A,0))),ОТЧЕТ!C2368*INDEX('Справочник по %'!C:C,(MATCH(A2368,'Справочник по %'!A:A,0))))/100</f>
        <v>421.85</v>
      </c>
      <c r="E2368" s="29">
        <f>IF(ОТЧЕТ!A2368="SKU3",C2368+ОТЧЕТ!C2368*0.2,C2368+ОТЧЕТ!C2368*0.15)</f>
        <v>441.02499999999998</v>
      </c>
      <c r="F2368" s="7" t="s">
        <v>4606</v>
      </c>
      <c r="G2368" s="7">
        <v>2227026014</v>
      </c>
      <c r="H2368" s="20" t="s">
        <v>4613</v>
      </c>
      <c r="I2368" s="22">
        <f>INDEX('Справочник Сети'!B:B,(MATCH(G2368,'Справочник Сети'!C:C,0)))</f>
        <v>0</v>
      </c>
      <c r="J2368" s="7" t="s">
        <v>372</v>
      </c>
      <c r="K2368" s="7" t="s">
        <v>757</v>
      </c>
      <c r="L2368" s="7" t="s">
        <v>372</v>
      </c>
      <c r="M2368" s="31">
        <v>45730</v>
      </c>
      <c r="N2368" s="7" t="s">
        <v>4614</v>
      </c>
      <c r="O2368" s="8">
        <v>1944</v>
      </c>
      <c r="P2368" s="24">
        <v>8791</v>
      </c>
      <c r="Q2368" s="22">
        <f>IF(COUNTIFS(A$2:A2368,A2368,I$2:I2368,I2368)=1,1,0)</f>
        <v>0</v>
      </c>
      <c r="R2368" s="22">
        <f t="shared" si="36"/>
        <v>1</v>
      </c>
      <c r="S2368" s="33">
        <f>IF(COUNTIF(O$2:O2368,O2368)=1,R2368,0)/2.5</f>
        <v>0.4</v>
      </c>
    </row>
    <row r="2369" spans="1:19" ht="18" customHeight="1" x14ac:dyDescent="0.25">
      <c r="A2369" s="7" t="s">
        <v>43</v>
      </c>
      <c r="B2369" s="8">
        <v>1</v>
      </c>
      <c r="C2369" s="9">
        <v>344</v>
      </c>
      <c r="D2369" s="29">
        <f>C2369+IF(INDEX('Справочник по %'!B:B,(MATCH(A2369,'Справочник по %'!A:A,0)))="кол-во",B2369*INDEX('Справочник по %'!C:C,(MATCH(A2369,'Справочник по %'!A:A,0))),ОТЧЕТ!C2369*INDEX('Справочник по %'!C:C,(MATCH(A2369,'Справочник по %'!A:A,0))))/100</f>
        <v>378.4</v>
      </c>
      <c r="E2369" s="29">
        <f>IF(ОТЧЕТ!A2369="SKU3",C2369+ОТЧЕТ!C2369*0.2,C2369+ОТЧЕТ!C2369*0.15)</f>
        <v>395.6</v>
      </c>
      <c r="F2369" s="7" t="s">
        <v>4615</v>
      </c>
      <c r="G2369" s="7">
        <v>2311169959</v>
      </c>
      <c r="H2369" s="20" t="s">
        <v>50</v>
      </c>
      <c r="I2369" s="22">
        <f>INDEX('Справочник Сети'!B:B,(MATCH(G2369,'Справочник Сети'!C:C,0)))</f>
        <v>0</v>
      </c>
      <c r="J2369" s="7" t="s">
        <v>70</v>
      </c>
      <c r="K2369" s="7" t="s">
        <v>1398</v>
      </c>
      <c r="L2369" s="7" t="s">
        <v>70</v>
      </c>
      <c r="M2369" s="31">
        <v>45728</v>
      </c>
      <c r="N2369" s="7" t="s">
        <v>4616</v>
      </c>
      <c r="O2369" s="8">
        <v>1438</v>
      </c>
      <c r="P2369" s="24">
        <v>8796</v>
      </c>
      <c r="Q2369" s="22">
        <f>IF(COUNTIFS(A$2:A2369,A2369,I$2:I2369,I2369)=1,1,0)</f>
        <v>0</v>
      </c>
      <c r="R2369" s="22">
        <f t="shared" si="36"/>
        <v>1</v>
      </c>
      <c r="S2369" s="33">
        <f>IF(COUNTIF(O$2:O2369,O2369)=1,R2369,0)/2.5</f>
        <v>0.4</v>
      </c>
    </row>
    <row r="2370" spans="1:19" ht="18" customHeight="1" x14ac:dyDescent="0.25">
      <c r="A2370" s="7" t="s">
        <v>43</v>
      </c>
      <c r="B2370" s="8">
        <v>1</v>
      </c>
      <c r="C2370" s="9">
        <v>375</v>
      </c>
      <c r="D2370" s="29">
        <f>C2370+IF(INDEX('Справочник по %'!B:B,(MATCH(A2370,'Справочник по %'!A:A,0)))="кол-во",B2370*INDEX('Справочник по %'!C:C,(MATCH(A2370,'Справочник по %'!A:A,0))),ОТЧЕТ!C2370*INDEX('Справочник по %'!C:C,(MATCH(A2370,'Справочник по %'!A:A,0))))/100</f>
        <v>412.5</v>
      </c>
      <c r="E2370" s="29">
        <f>IF(ОТЧЕТ!A2370="SKU3",C2370+ОТЧЕТ!C2370*0.2,C2370+ОТЧЕТ!C2370*0.15)</f>
        <v>431.25</v>
      </c>
      <c r="F2370" s="7" t="s">
        <v>4617</v>
      </c>
      <c r="G2370" s="7">
        <v>6454125393</v>
      </c>
      <c r="H2370" s="20" t="s">
        <v>50</v>
      </c>
      <c r="I2370" s="22">
        <f>INDEX('Справочник Сети'!B:B,(MATCH(G2370,'Справочник Сети'!C:C,0)))</f>
        <v>0</v>
      </c>
      <c r="J2370" s="7" t="s">
        <v>133</v>
      </c>
      <c r="K2370" s="7" t="s">
        <v>3313</v>
      </c>
      <c r="L2370" s="7" t="s">
        <v>133</v>
      </c>
      <c r="M2370" s="31">
        <v>45695</v>
      </c>
      <c r="N2370" s="7" t="s">
        <v>4618</v>
      </c>
      <c r="O2370" s="8">
        <v>3345</v>
      </c>
      <c r="P2370" s="24">
        <v>8797</v>
      </c>
      <c r="Q2370" s="22">
        <f>IF(COUNTIFS(A$2:A2370,A2370,I$2:I2370,I2370)=1,1,0)</f>
        <v>0</v>
      </c>
      <c r="R2370" s="22">
        <f t="shared" si="36"/>
        <v>1</v>
      </c>
      <c r="S2370" s="33">
        <f>IF(COUNTIF(O$2:O2370,O2370)=1,R2370,0)/2.5</f>
        <v>0.4</v>
      </c>
    </row>
    <row r="2371" spans="1:19" ht="18" customHeight="1" x14ac:dyDescent="0.25">
      <c r="A2371" s="7" t="s">
        <v>43</v>
      </c>
      <c r="B2371" s="8">
        <v>1</v>
      </c>
      <c r="C2371" s="9">
        <v>422.55</v>
      </c>
      <c r="D2371" s="29">
        <f>C2371+IF(INDEX('Справочник по %'!B:B,(MATCH(A2371,'Справочник по %'!A:A,0)))="кол-во",B2371*INDEX('Справочник по %'!C:C,(MATCH(A2371,'Справочник по %'!A:A,0))),ОТЧЕТ!C2371*INDEX('Справочник по %'!C:C,(MATCH(A2371,'Справочник по %'!A:A,0))))/100</f>
        <v>464.80500000000001</v>
      </c>
      <c r="E2371" s="29">
        <f>IF(ОТЧЕТ!A2371="SKU3",C2371+ОТЧЕТ!C2371*0.2,C2371+ОТЧЕТ!C2371*0.15)</f>
        <v>485.9325</v>
      </c>
      <c r="F2371" s="7" t="s">
        <v>4617</v>
      </c>
      <c r="G2371" s="7">
        <v>235100187194</v>
      </c>
      <c r="H2371" s="20" t="s">
        <v>91</v>
      </c>
      <c r="I2371" s="22" t="str">
        <f>INDEX('Справочник Сети'!B:B,(MATCH(G2371,'Справочник Сети'!C:C,0)))</f>
        <v>Нео-фарм</v>
      </c>
      <c r="J2371" s="7" t="s">
        <v>74</v>
      </c>
      <c r="K2371" s="7" t="s">
        <v>3388</v>
      </c>
      <c r="L2371" s="7" t="s">
        <v>74</v>
      </c>
      <c r="M2371" s="31">
        <v>45661</v>
      </c>
      <c r="N2371" s="7" t="s">
        <v>4619</v>
      </c>
      <c r="O2371" s="8">
        <v>1092</v>
      </c>
      <c r="P2371" s="24">
        <v>8798</v>
      </c>
      <c r="Q2371" s="22">
        <f>IF(COUNTIFS(A$2:A2371,A2371,I$2:I2371,I2371)=1,1,0)</f>
        <v>0</v>
      </c>
      <c r="R2371" s="22">
        <f t="shared" ref="R2371:R2434" si="37">COUNTIF(O:O,O2371)</f>
        <v>5</v>
      </c>
      <c r="S2371" s="33">
        <f>IF(COUNTIF(O$2:O2371,O2371)=1,R2371,0)/2.5</f>
        <v>0</v>
      </c>
    </row>
    <row r="2372" spans="1:19" ht="18" customHeight="1" x14ac:dyDescent="0.25">
      <c r="A2372" s="7" t="s">
        <v>37</v>
      </c>
      <c r="B2372" s="8">
        <v>1</v>
      </c>
      <c r="C2372" s="9">
        <v>605</v>
      </c>
      <c r="D2372" s="29">
        <f>C2372+IF(INDEX('Справочник по %'!B:B,(MATCH(A2372,'Справочник по %'!A:A,0)))="кол-во",B2372*INDEX('Справочник по %'!C:C,(MATCH(A2372,'Справочник по %'!A:A,0))),ОТЧЕТ!C2372*INDEX('Справочник по %'!C:C,(MATCH(A2372,'Справочник по %'!A:A,0))))/100</f>
        <v>605.20000000000005</v>
      </c>
      <c r="E2372" s="29">
        <f>IF(ОТЧЕТ!A2372="SKU3",C2372+ОТЧЕТ!C2372*0.2,C2372+ОТЧЕТ!C2372*0.15)</f>
        <v>695.75</v>
      </c>
      <c r="F2372" s="7" t="s">
        <v>4620</v>
      </c>
      <c r="G2372" s="7">
        <v>5906146600</v>
      </c>
      <c r="H2372" s="20" t="s">
        <v>39</v>
      </c>
      <c r="I2372" s="22">
        <f>INDEX('Справочник Сети'!B:B,(MATCH(G2372,'Справочник Сети'!C:C,0)))</f>
        <v>0</v>
      </c>
      <c r="J2372" s="7" t="s">
        <v>1344</v>
      </c>
      <c r="K2372" s="7" t="s">
        <v>3388</v>
      </c>
      <c r="L2372" s="7" t="s">
        <v>1346</v>
      </c>
      <c r="M2372" s="31">
        <v>45706</v>
      </c>
      <c r="N2372" s="7" t="s">
        <v>4621</v>
      </c>
      <c r="O2372" s="8">
        <v>1806</v>
      </c>
      <c r="P2372" s="24">
        <v>8804</v>
      </c>
      <c r="Q2372" s="22">
        <f>IF(COUNTIFS(A$2:A2372,A2372,I$2:I2372,I2372)=1,1,0)</f>
        <v>0</v>
      </c>
      <c r="R2372" s="22">
        <f t="shared" si="37"/>
        <v>1</v>
      </c>
      <c r="S2372" s="33">
        <f>IF(COUNTIF(O$2:O2372,O2372)=1,R2372,0)/2.5</f>
        <v>0.4</v>
      </c>
    </row>
    <row r="2373" spans="1:19" ht="18" customHeight="1" x14ac:dyDescent="0.25">
      <c r="A2373" s="7" t="s">
        <v>43</v>
      </c>
      <c r="B2373" s="8">
        <v>1</v>
      </c>
      <c r="C2373" s="9">
        <v>377</v>
      </c>
      <c r="D2373" s="29">
        <f>C2373+IF(INDEX('Справочник по %'!B:B,(MATCH(A2373,'Справочник по %'!A:A,0)))="кол-во",B2373*INDEX('Справочник по %'!C:C,(MATCH(A2373,'Справочник по %'!A:A,0))),ОТЧЕТ!C2373*INDEX('Справочник по %'!C:C,(MATCH(A2373,'Справочник по %'!A:A,0))))/100</f>
        <v>414.7</v>
      </c>
      <c r="E2373" s="29">
        <f>IF(ОТЧЕТ!A2373="SKU3",C2373+ОТЧЕТ!C2373*0.2,C2373+ОТЧЕТ!C2373*0.15)</f>
        <v>433.55</v>
      </c>
      <c r="F2373" s="7" t="s">
        <v>4622</v>
      </c>
      <c r="G2373" s="7">
        <v>7706795062</v>
      </c>
      <c r="H2373" s="20" t="s">
        <v>327</v>
      </c>
      <c r="I2373" s="22" t="str">
        <f>INDEX('Справочник Сети'!B:B,(MATCH(G2373,'Справочник Сети'!C:C,0)))</f>
        <v>Планета здоровья</v>
      </c>
      <c r="J2373" s="7" t="s">
        <v>87</v>
      </c>
      <c r="K2373" s="7" t="s">
        <v>1849</v>
      </c>
      <c r="L2373" s="7" t="s">
        <v>87</v>
      </c>
      <c r="M2373" s="31">
        <v>45691</v>
      </c>
      <c r="N2373" s="7" t="s">
        <v>4623</v>
      </c>
      <c r="O2373" s="8">
        <v>1689</v>
      </c>
      <c r="P2373" s="24">
        <v>8807</v>
      </c>
      <c r="Q2373" s="22">
        <f>IF(COUNTIFS(A$2:A2373,A2373,I$2:I2373,I2373)=1,1,0)</f>
        <v>0</v>
      </c>
      <c r="R2373" s="22">
        <f t="shared" si="37"/>
        <v>6</v>
      </c>
      <c r="S2373" s="33">
        <f>IF(COUNTIF(O$2:O2373,O2373)=1,R2373,0)/2.5</f>
        <v>0</v>
      </c>
    </row>
    <row r="2374" spans="1:19" ht="18" customHeight="1" x14ac:dyDescent="0.25">
      <c r="A2374" s="7" t="s">
        <v>37</v>
      </c>
      <c r="B2374" s="8">
        <v>1</v>
      </c>
      <c r="C2374" s="9">
        <v>517</v>
      </c>
      <c r="D2374" s="29">
        <f>C2374+IF(INDEX('Справочник по %'!B:B,(MATCH(A2374,'Справочник по %'!A:A,0)))="кол-во",B2374*INDEX('Справочник по %'!C:C,(MATCH(A2374,'Справочник по %'!A:A,0))),ОТЧЕТ!C2374*INDEX('Справочник по %'!C:C,(MATCH(A2374,'Справочник по %'!A:A,0))))/100</f>
        <v>517.20000000000005</v>
      </c>
      <c r="E2374" s="29">
        <f>IF(ОТЧЕТ!A2374="SKU3",C2374+ОТЧЕТ!C2374*0.2,C2374+ОТЧЕТ!C2374*0.15)</f>
        <v>594.54999999999995</v>
      </c>
      <c r="F2374" s="7" t="s">
        <v>4622</v>
      </c>
      <c r="G2374" s="7">
        <v>5907998615</v>
      </c>
      <c r="H2374" s="20" t="s">
        <v>39</v>
      </c>
      <c r="I2374" s="22">
        <f>INDEX('Справочник Сети'!B:B,(MATCH(G2374,'Справочник Сети'!C:C,0)))</f>
        <v>0</v>
      </c>
      <c r="J2374" s="7" t="s">
        <v>520</v>
      </c>
      <c r="K2374" s="7" t="s">
        <v>431</v>
      </c>
      <c r="L2374" s="7" t="s">
        <v>520</v>
      </c>
      <c r="M2374" s="31">
        <v>45697</v>
      </c>
      <c r="N2374" s="7" t="s">
        <v>4624</v>
      </c>
      <c r="O2374" s="8">
        <v>3165</v>
      </c>
      <c r="P2374" s="24">
        <v>8808</v>
      </c>
      <c r="Q2374" s="22">
        <f>IF(COUNTIFS(A$2:A2374,A2374,I$2:I2374,I2374)=1,1,0)</f>
        <v>0</v>
      </c>
      <c r="R2374" s="22">
        <f t="shared" si="37"/>
        <v>1</v>
      </c>
      <c r="S2374" s="33">
        <f>IF(COUNTIF(O$2:O2374,O2374)=1,R2374,0)/2.5</f>
        <v>0.4</v>
      </c>
    </row>
    <row r="2375" spans="1:19" ht="18" customHeight="1" x14ac:dyDescent="0.25">
      <c r="A2375" s="7" t="s">
        <v>43</v>
      </c>
      <c r="B2375" s="8">
        <v>1</v>
      </c>
      <c r="C2375" s="9">
        <v>486.4</v>
      </c>
      <c r="D2375" s="29">
        <f>C2375+IF(INDEX('Справочник по %'!B:B,(MATCH(A2375,'Справочник по %'!A:A,0)))="кол-во",B2375*INDEX('Справочник по %'!C:C,(MATCH(A2375,'Справочник по %'!A:A,0))),ОТЧЕТ!C2375*INDEX('Справочник по %'!C:C,(MATCH(A2375,'Справочник по %'!A:A,0))))/100</f>
        <v>535.04</v>
      </c>
      <c r="E2375" s="29">
        <f>IF(ОТЧЕТ!A2375="SKU3",C2375+ОТЧЕТ!C2375*0.2,C2375+ОТЧЕТ!C2375*0.15)</f>
        <v>559.36</v>
      </c>
      <c r="F2375" s="7" t="s">
        <v>4625</v>
      </c>
      <c r="G2375" s="7">
        <v>550310361355</v>
      </c>
      <c r="H2375" s="20" t="s">
        <v>50</v>
      </c>
      <c r="I2375" s="22" t="str">
        <f>INDEX('Справочник Сети'!B:B,(MATCH(G2375,'Справочник Сети'!C:C,0)))</f>
        <v>Столички</v>
      </c>
      <c r="J2375" s="7" t="s">
        <v>251</v>
      </c>
      <c r="K2375" s="7" t="s">
        <v>4626</v>
      </c>
      <c r="L2375" s="7" t="s">
        <v>110</v>
      </c>
      <c r="M2375" s="31">
        <v>45660</v>
      </c>
      <c r="N2375" s="7" t="s">
        <v>4627</v>
      </c>
      <c r="O2375" s="8">
        <v>554</v>
      </c>
      <c r="P2375" s="24">
        <v>8810</v>
      </c>
      <c r="Q2375" s="22">
        <f>IF(COUNTIFS(A$2:A2375,A2375,I$2:I2375,I2375)=1,1,0)</f>
        <v>0</v>
      </c>
      <c r="R2375" s="22">
        <f t="shared" si="37"/>
        <v>5</v>
      </c>
      <c r="S2375" s="33">
        <f>IF(COUNTIF(O$2:O2375,O2375)=1,R2375,0)/2.5</f>
        <v>0</v>
      </c>
    </row>
    <row r="2376" spans="1:19" ht="18" customHeight="1" x14ac:dyDescent="0.25">
      <c r="A2376" s="7" t="s">
        <v>146</v>
      </c>
      <c r="B2376" s="8">
        <v>1</v>
      </c>
      <c r="C2376" s="9">
        <v>810</v>
      </c>
      <c r="D2376" s="29">
        <f>C2376+IF(INDEX('Справочник по %'!B:B,(MATCH(A2376,'Справочник по %'!A:A,0)))="кол-во",B2376*INDEX('Справочник по %'!C:C,(MATCH(A2376,'Справочник по %'!A:A,0))),ОТЧЕТ!C2376*INDEX('Справочник по %'!C:C,(MATCH(A2376,'Справочник по %'!A:A,0))))/100</f>
        <v>931.5</v>
      </c>
      <c r="E2376" s="29">
        <f>IF(ОТЧЕТ!A2376="SKU3",C2376+ОТЧЕТ!C2376*0.2,C2376+ОТЧЕТ!C2376*0.15)</f>
        <v>972</v>
      </c>
      <c r="F2376" s="7" t="s">
        <v>4628</v>
      </c>
      <c r="G2376" s="7">
        <v>7714844316</v>
      </c>
      <c r="H2376" s="20" t="s">
        <v>50</v>
      </c>
      <c r="I2376" s="22" t="str">
        <f>INDEX('Справочник Сети'!B:B,(MATCH(G2376,'Справочник Сети'!C:C,0)))</f>
        <v>Планета здоровья</v>
      </c>
      <c r="J2376" s="7" t="s">
        <v>504</v>
      </c>
      <c r="K2376" s="7" t="s">
        <v>3930</v>
      </c>
      <c r="L2376" s="7" t="s">
        <v>504</v>
      </c>
      <c r="M2376" s="31">
        <v>45690</v>
      </c>
      <c r="N2376" s="7" t="s">
        <v>4629</v>
      </c>
      <c r="O2376" s="8">
        <v>2706</v>
      </c>
      <c r="P2376" s="24">
        <v>8818</v>
      </c>
      <c r="Q2376" s="22">
        <f>IF(COUNTIFS(A$2:A2376,A2376,I$2:I2376,I2376)=1,1,0)</f>
        <v>0</v>
      </c>
      <c r="R2376" s="22">
        <f t="shared" si="37"/>
        <v>5</v>
      </c>
      <c r="S2376" s="33">
        <f>IF(COUNTIF(O$2:O2376,O2376)=1,R2376,0)/2.5</f>
        <v>0</v>
      </c>
    </row>
    <row r="2377" spans="1:19" ht="18" customHeight="1" x14ac:dyDescent="0.25">
      <c r="A2377" s="7" t="s">
        <v>43</v>
      </c>
      <c r="B2377" s="8">
        <v>1</v>
      </c>
      <c r="C2377" s="9">
        <v>370</v>
      </c>
      <c r="D2377" s="29">
        <f>C2377+IF(INDEX('Справочник по %'!B:B,(MATCH(A2377,'Справочник по %'!A:A,0)))="кол-во",B2377*INDEX('Справочник по %'!C:C,(MATCH(A2377,'Справочник по %'!A:A,0))),ОТЧЕТ!C2377*INDEX('Справочник по %'!C:C,(MATCH(A2377,'Справочник по %'!A:A,0))))/100</f>
        <v>407</v>
      </c>
      <c r="E2377" s="29">
        <f>IF(ОТЧЕТ!A2377="SKU3",C2377+ОТЧЕТ!C2377*0.2,C2377+ОТЧЕТ!C2377*0.15)</f>
        <v>425.5</v>
      </c>
      <c r="F2377" s="7" t="s">
        <v>4630</v>
      </c>
      <c r="G2377" s="7">
        <v>2225105670</v>
      </c>
      <c r="H2377" s="20" t="s">
        <v>69</v>
      </c>
      <c r="I2377" s="22" t="str">
        <f>INDEX('Справочник Сети'!B:B,(MATCH(G2377,'Справочник Сети'!C:C,0)))</f>
        <v>Столички</v>
      </c>
      <c r="J2377" s="7" t="s">
        <v>372</v>
      </c>
      <c r="K2377" s="7" t="s">
        <v>742</v>
      </c>
      <c r="L2377" s="7" t="s">
        <v>372</v>
      </c>
      <c r="M2377" s="31">
        <v>45730</v>
      </c>
      <c r="N2377" s="7" t="s">
        <v>4631</v>
      </c>
      <c r="O2377" s="8">
        <v>2919</v>
      </c>
      <c r="P2377" s="24">
        <v>8820</v>
      </c>
      <c r="Q2377" s="22">
        <f>IF(COUNTIFS(A$2:A2377,A2377,I$2:I2377,I2377)=1,1,0)</f>
        <v>0</v>
      </c>
      <c r="R2377" s="22">
        <f t="shared" si="37"/>
        <v>8</v>
      </c>
      <c r="S2377" s="33">
        <f>IF(COUNTIF(O$2:O2377,O2377)=1,R2377,0)/2.5</f>
        <v>0</v>
      </c>
    </row>
    <row r="2378" spans="1:19" ht="18" customHeight="1" x14ac:dyDescent="0.25">
      <c r="A2378" s="7" t="s">
        <v>43</v>
      </c>
      <c r="B2378" s="8">
        <v>1</v>
      </c>
      <c r="C2378" s="9">
        <v>370</v>
      </c>
      <c r="D2378" s="29">
        <f>C2378+IF(INDEX('Справочник по %'!B:B,(MATCH(A2378,'Справочник по %'!A:A,0)))="кол-во",B2378*INDEX('Справочник по %'!C:C,(MATCH(A2378,'Справочник по %'!A:A,0))),ОТЧЕТ!C2378*INDEX('Справочник по %'!C:C,(MATCH(A2378,'Справочник по %'!A:A,0))))/100</f>
        <v>407</v>
      </c>
      <c r="E2378" s="29">
        <f>IF(ОТЧЕТ!A2378="SKU3",C2378+ОТЧЕТ!C2378*0.2,C2378+ОТЧЕТ!C2378*0.15)</f>
        <v>425.5</v>
      </c>
      <c r="F2378" s="7" t="s">
        <v>4632</v>
      </c>
      <c r="G2378" s="7">
        <v>2225105670</v>
      </c>
      <c r="H2378" s="20" t="s">
        <v>69</v>
      </c>
      <c r="I2378" s="22" t="str">
        <f>INDEX('Справочник Сети'!B:B,(MATCH(G2378,'Справочник Сети'!C:C,0)))</f>
        <v>Столички</v>
      </c>
      <c r="J2378" s="7" t="s">
        <v>372</v>
      </c>
      <c r="K2378" s="7" t="s">
        <v>754</v>
      </c>
      <c r="L2378" s="7" t="s">
        <v>372</v>
      </c>
      <c r="M2378" s="31">
        <v>45730</v>
      </c>
      <c r="N2378" s="7" t="s">
        <v>4633</v>
      </c>
      <c r="O2378" s="8">
        <v>2919</v>
      </c>
      <c r="P2378" s="24">
        <v>8822</v>
      </c>
      <c r="Q2378" s="22">
        <f>IF(COUNTIFS(A$2:A2378,A2378,I$2:I2378,I2378)=1,1,0)</f>
        <v>0</v>
      </c>
      <c r="R2378" s="22">
        <f t="shared" si="37"/>
        <v>8</v>
      </c>
      <c r="S2378" s="33">
        <f>IF(COUNTIF(O$2:O2378,O2378)=1,R2378,0)/2.5</f>
        <v>0</v>
      </c>
    </row>
    <row r="2379" spans="1:19" ht="18" customHeight="1" x14ac:dyDescent="0.25">
      <c r="A2379" s="7" t="s">
        <v>43</v>
      </c>
      <c r="B2379" s="8">
        <v>1</v>
      </c>
      <c r="C2379" s="9">
        <v>471</v>
      </c>
      <c r="D2379" s="29">
        <f>C2379+IF(INDEX('Справочник по %'!B:B,(MATCH(A2379,'Справочник по %'!A:A,0)))="кол-во",B2379*INDEX('Справочник по %'!C:C,(MATCH(A2379,'Справочник по %'!A:A,0))),ОТЧЕТ!C2379*INDEX('Справочник по %'!C:C,(MATCH(A2379,'Справочник по %'!A:A,0))))/100</f>
        <v>518.1</v>
      </c>
      <c r="E2379" s="29">
        <f>IF(ОТЧЕТ!A2379="SKU3",C2379+ОТЧЕТ!C2379*0.2,C2379+ОТЧЕТ!C2379*0.15)</f>
        <v>541.65</v>
      </c>
      <c r="F2379" s="7" t="s">
        <v>4634</v>
      </c>
      <c r="G2379" s="7">
        <v>9705147513</v>
      </c>
      <c r="H2379" s="20" t="s">
        <v>50</v>
      </c>
      <c r="I2379" s="22" t="str">
        <f>INDEX('Справочник Сети'!B:B,(MATCH(G2379,'Справочник Сети'!C:C,0)))</f>
        <v>Столички</v>
      </c>
      <c r="J2379" s="7" t="s">
        <v>239</v>
      </c>
      <c r="K2379" s="7" t="s">
        <v>1584</v>
      </c>
      <c r="L2379" s="7" t="s">
        <v>239</v>
      </c>
      <c r="M2379" s="31">
        <v>45662</v>
      </c>
      <c r="N2379" s="7" t="s">
        <v>1501</v>
      </c>
      <c r="O2379" s="8">
        <v>3104</v>
      </c>
      <c r="P2379" s="24">
        <v>8823</v>
      </c>
      <c r="Q2379" s="22">
        <f>IF(COUNTIFS(A$2:A2379,A2379,I$2:I2379,I2379)=1,1,0)</f>
        <v>0</v>
      </c>
      <c r="R2379" s="22">
        <f t="shared" si="37"/>
        <v>6</v>
      </c>
      <c r="S2379" s="33">
        <f>IF(COUNTIF(O$2:O2379,O2379)=1,R2379,0)/2.5</f>
        <v>0</v>
      </c>
    </row>
    <row r="2380" spans="1:19" ht="18" customHeight="1" x14ac:dyDescent="0.25">
      <c r="A2380" s="7" t="s">
        <v>37</v>
      </c>
      <c r="B2380" s="8">
        <v>1</v>
      </c>
      <c r="C2380" s="9">
        <v>589</v>
      </c>
      <c r="D2380" s="29">
        <f>C2380+IF(INDEX('Справочник по %'!B:B,(MATCH(A2380,'Справочник по %'!A:A,0)))="кол-во",B2380*INDEX('Справочник по %'!C:C,(MATCH(A2380,'Справочник по %'!A:A,0))),ОТЧЕТ!C2380*INDEX('Справочник по %'!C:C,(MATCH(A2380,'Справочник по %'!A:A,0))))/100</f>
        <v>589.20000000000005</v>
      </c>
      <c r="E2380" s="29">
        <f>IF(ОТЧЕТ!A2380="SKU3",C2380+ОТЧЕТ!C2380*0.2,C2380+ОТЧЕТ!C2380*0.15)</f>
        <v>677.35</v>
      </c>
      <c r="F2380" s="7" t="s">
        <v>4634</v>
      </c>
      <c r="G2380" s="7">
        <v>6166125005</v>
      </c>
      <c r="H2380" s="20" t="s">
        <v>4635</v>
      </c>
      <c r="I2380" s="22" t="str">
        <f>INDEX('Справочник Сети'!B:B,(MATCH(G2380,'Справочник Сети'!C:C,0)))</f>
        <v>Столички</v>
      </c>
      <c r="J2380" s="7" t="s">
        <v>203</v>
      </c>
      <c r="K2380" s="7" t="s">
        <v>4557</v>
      </c>
      <c r="L2380" s="7" t="s">
        <v>203</v>
      </c>
      <c r="M2380" s="31">
        <v>45696</v>
      </c>
      <c r="N2380" s="7" t="s">
        <v>4636</v>
      </c>
      <c r="O2380" s="8">
        <v>3016</v>
      </c>
      <c r="P2380" s="24">
        <v>8825</v>
      </c>
      <c r="Q2380" s="22">
        <f>IF(COUNTIFS(A$2:A2380,A2380,I$2:I2380,I2380)=1,1,0)</f>
        <v>0</v>
      </c>
      <c r="R2380" s="22">
        <f t="shared" si="37"/>
        <v>2</v>
      </c>
      <c r="S2380" s="33">
        <f>IF(COUNTIF(O$2:O2380,O2380)=1,R2380,0)/2.5</f>
        <v>0</v>
      </c>
    </row>
    <row r="2381" spans="1:19" ht="18" customHeight="1" x14ac:dyDescent="0.25">
      <c r="A2381" s="7" t="s">
        <v>43</v>
      </c>
      <c r="B2381" s="8">
        <v>1</v>
      </c>
      <c r="C2381" s="9">
        <v>508</v>
      </c>
      <c r="D2381" s="29">
        <f>C2381+IF(INDEX('Справочник по %'!B:B,(MATCH(A2381,'Справочник по %'!A:A,0)))="кол-во",B2381*INDEX('Справочник по %'!C:C,(MATCH(A2381,'Справочник по %'!A:A,0))),ОТЧЕТ!C2381*INDEX('Справочник по %'!C:C,(MATCH(A2381,'Справочник по %'!A:A,0))))/100</f>
        <v>558.79999999999995</v>
      </c>
      <c r="E2381" s="29">
        <f>IF(ОТЧЕТ!A2381="SKU3",C2381+ОТЧЕТ!C2381*0.2,C2381+ОТЧЕТ!C2381*0.15)</f>
        <v>584.20000000000005</v>
      </c>
      <c r="F2381" s="7" t="s">
        <v>4637</v>
      </c>
      <c r="G2381" s="7">
        <v>2311242609</v>
      </c>
      <c r="H2381" s="20" t="s">
        <v>50</v>
      </c>
      <c r="I2381" s="22">
        <f>INDEX('Справочник Сети'!B:B,(MATCH(G2381,'Справочник Сети'!C:C,0)))</f>
        <v>0</v>
      </c>
      <c r="J2381" s="7" t="s">
        <v>70</v>
      </c>
      <c r="K2381" s="7" t="s">
        <v>1228</v>
      </c>
      <c r="L2381" s="7" t="s">
        <v>70</v>
      </c>
      <c r="M2381" s="31">
        <v>45728</v>
      </c>
      <c r="N2381" s="7" t="s">
        <v>4638</v>
      </c>
      <c r="O2381" s="8">
        <v>3045</v>
      </c>
      <c r="P2381" s="24">
        <v>8828</v>
      </c>
      <c r="Q2381" s="22">
        <f>IF(COUNTIFS(A$2:A2381,A2381,I$2:I2381,I2381)=1,1,0)</f>
        <v>0</v>
      </c>
      <c r="R2381" s="22">
        <f t="shared" si="37"/>
        <v>3</v>
      </c>
      <c r="S2381" s="33">
        <f>IF(COUNTIF(O$2:O2381,O2381)=1,R2381,0)/2.5</f>
        <v>0</v>
      </c>
    </row>
    <row r="2382" spans="1:19" ht="18" customHeight="1" x14ac:dyDescent="0.25">
      <c r="A2382" s="7" t="s">
        <v>43</v>
      </c>
      <c r="B2382" s="8">
        <v>1</v>
      </c>
      <c r="C2382" s="9">
        <v>618</v>
      </c>
      <c r="D2382" s="29">
        <f>C2382+IF(INDEX('Справочник по %'!B:B,(MATCH(A2382,'Справочник по %'!A:A,0)))="кол-во",B2382*INDEX('Справочник по %'!C:C,(MATCH(A2382,'Справочник по %'!A:A,0))),ОТЧЕТ!C2382*INDEX('Справочник по %'!C:C,(MATCH(A2382,'Справочник по %'!A:A,0))))/100</f>
        <v>679.8</v>
      </c>
      <c r="E2382" s="29">
        <f>IF(ОТЧЕТ!A2382="SKU3",C2382+ОТЧЕТ!C2382*0.2,C2382+ОТЧЕТ!C2382*0.15)</f>
        <v>710.7</v>
      </c>
      <c r="F2382" s="7" t="s">
        <v>4639</v>
      </c>
      <c r="G2382" s="7">
        <v>7714844316</v>
      </c>
      <c r="H2382" s="20" t="s">
        <v>50</v>
      </c>
      <c r="I2382" s="22" t="str">
        <f>INDEX('Справочник Сети'!B:B,(MATCH(G2382,'Справочник Сети'!C:C,0)))</f>
        <v>Планета здоровья</v>
      </c>
      <c r="J2382" s="7" t="s">
        <v>504</v>
      </c>
      <c r="K2382" s="7" t="s">
        <v>2188</v>
      </c>
      <c r="L2382" s="7" t="s">
        <v>504</v>
      </c>
      <c r="M2382" s="31">
        <v>45690</v>
      </c>
      <c r="N2382" s="7" t="s">
        <v>4640</v>
      </c>
      <c r="O2382" s="8">
        <v>2297</v>
      </c>
      <c r="P2382" s="24">
        <v>8830</v>
      </c>
      <c r="Q2382" s="22">
        <f>IF(COUNTIFS(A$2:A2382,A2382,I$2:I2382,I2382)=1,1,0)</f>
        <v>0</v>
      </c>
      <c r="R2382" s="22">
        <f t="shared" si="37"/>
        <v>6</v>
      </c>
      <c r="S2382" s="33">
        <f>IF(COUNTIF(O$2:O2382,O2382)=1,R2382,0)/2.5</f>
        <v>0</v>
      </c>
    </row>
    <row r="2383" spans="1:19" ht="18" customHeight="1" x14ac:dyDescent="0.25">
      <c r="A2383" s="7" t="s">
        <v>43</v>
      </c>
      <c r="B2383" s="8">
        <v>1</v>
      </c>
      <c r="C2383" s="9">
        <v>495</v>
      </c>
      <c r="D2383" s="29">
        <f>C2383+IF(INDEX('Справочник по %'!B:B,(MATCH(A2383,'Справочник по %'!A:A,0)))="кол-во",B2383*INDEX('Справочник по %'!C:C,(MATCH(A2383,'Справочник по %'!A:A,0))),ОТЧЕТ!C2383*INDEX('Справочник по %'!C:C,(MATCH(A2383,'Справочник по %'!A:A,0))))/100</f>
        <v>544.5</v>
      </c>
      <c r="E2383" s="29">
        <f>IF(ОТЧЕТ!A2383="SKU3",C2383+ОТЧЕТ!C2383*0.2,C2383+ОТЧЕТ!C2383*0.15)</f>
        <v>569.25</v>
      </c>
      <c r="F2383" s="7" t="s">
        <v>4639</v>
      </c>
      <c r="G2383" s="7">
        <v>3665820714</v>
      </c>
      <c r="H2383" s="20" t="s">
        <v>91</v>
      </c>
      <c r="I2383" s="22" t="str">
        <f>INDEX('Справочник Сети'!B:B,(MATCH(G2383,'Справочник Сети'!C:C,0)))</f>
        <v>Нео-фарм</v>
      </c>
      <c r="J2383" s="7" t="s">
        <v>65</v>
      </c>
      <c r="K2383" s="7" t="s">
        <v>1457</v>
      </c>
      <c r="L2383" s="7" t="s">
        <v>65</v>
      </c>
      <c r="M2383" s="31">
        <v>45717</v>
      </c>
      <c r="N2383" s="7" t="s">
        <v>4641</v>
      </c>
      <c r="O2383" s="8">
        <v>2165</v>
      </c>
      <c r="P2383" s="24">
        <v>8832</v>
      </c>
      <c r="Q2383" s="22">
        <f>IF(COUNTIFS(A$2:A2383,A2383,I$2:I2383,I2383)=1,1,0)</f>
        <v>0</v>
      </c>
      <c r="R2383" s="22">
        <f t="shared" si="37"/>
        <v>4</v>
      </c>
      <c r="S2383" s="33">
        <f>IF(COUNTIF(O$2:O2383,O2383)=1,R2383,0)/2.5</f>
        <v>0</v>
      </c>
    </row>
    <row r="2384" spans="1:19" ht="18" customHeight="1" x14ac:dyDescent="0.25">
      <c r="A2384" s="7" t="s">
        <v>43</v>
      </c>
      <c r="B2384" s="8">
        <v>1</v>
      </c>
      <c r="C2384" s="9">
        <v>454</v>
      </c>
      <c r="D2384" s="29">
        <f>C2384+IF(INDEX('Справочник по %'!B:B,(MATCH(A2384,'Справочник по %'!A:A,0)))="кол-во",B2384*INDEX('Справочник по %'!C:C,(MATCH(A2384,'Справочник по %'!A:A,0))),ОТЧЕТ!C2384*INDEX('Справочник по %'!C:C,(MATCH(A2384,'Справочник по %'!A:A,0))))/100</f>
        <v>499.4</v>
      </c>
      <c r="E2384" s="29">
        <f>IF(ОТЧЕТ!A2384="SKU3",C2384+ОТЧЕТ!C2384*0.2,C2384+ОТЧЕТ!C2384*0.15)</f>
        <v>522.1</v>
      </c>
      <c r="F2384" s="7" t="s">
        <v>4639</v>
      </c>
      <c r="G2384" s="7">
        <v>5073005507</v>
      </c>
      <c r="H2384" s="20" t="s">
        <v>50</v>
      </c>
      <c r="I2384" s="22">
        <f>INDEX('Справочник Сети'!B:B,(MATCH(G2384,'Справочник Сети'!C:C,0)))</f>
        <v>0</v>
      </c>
      <c r="J2384" s="7" t="s">
        <v>92</v>
      </c>
      <c r="K2384" s="7" t="s">
        <v>2085</v>
      </c>
      <c r="L2384" s="7" t="s">
        <v>92</v>
      </c>
      <c r="M2384" s="31">
        <v>45714</v>
      </c>
      <c r="N2384" s="7" t="s">
        <v>4642</v>
      </c>
      <c r="O2384" s="8">
        <v>2185</v>
      </c>
      <c r="P2384" s="24">
        <v>8834</v>
      </c>
      <c r="Q2384" s="22">
        <f>IF(COUNTIFS(A$2:A2384,A2384,I$2:I2384,I2384)=1,1,0)</f>
        <v>0</v>
      </c>
      <c r="R2384" s="22">
        <f t="shared" si="37"/>
        <v>1</v>
      </c>
      <c r="S2384" s="33">
        <f>IF(COUNTIF(O$2:O2384,O2384)=1,R2384,0)/2.5</f>
        <v>0.4</v>
      </c>
    </row>
    <row r="2385" spans="1:19" ht="18" customHeight="1" x14ac:dyDescent="0.25">
      <c r="A2385" s="7" t="s">
        <v>37</v>
      </c>
      <c r="B2385" s="8">
        <v>1</v>
      </c>
      <c r="C2385" s="9">
        <v>682.6</v>
      </c>
      <c r="D2385" s="29">
        <f>C2385+IF(INDEX('Справочник по %'!B:B,(MATCH(A2385,'Справочник по %'!A:A,0)))="кол-во",B2385*INDEX('Справочник по %'!C:C,(MATCH(A2385,'Справочник по %'!A:A,0))),ОТЧЕТ!C2385*INDEX('Справочник по %'!C:C,(MATCH(A2385,'Справочник по %'!A:A,0))))/100</f>
        <v>682.80000000000007</v>
      </c>
      <c r="E2385" s="29">
        <f>IF(ОТЧЕТ!A2385="SKU3",C2385+ОТЧЕТ!C2385*0.2,C2385+ОТЧЕТ!C2385*0.15)</f>
        <v>784.99</v>
      </c>
      <c r="F2385" s="7" t="s">
        <v>4639</v>
      </c>
      <c r="G2385" s="7">
        <v>5050136454</v>
      </c>
      <c r="H2385" s="20" t="s">
        <v>50</v>
      </c>
      <c r="I2385" s="22" t="str">
        <f>INDEX('Справочник Сети'!B:B,(MATCH(G2385,'Справочник Сети'!C:C,0)))</f>
        <v>Нео-фарм</v>
      </c>
      <c r="J2385" s="7" t="s">
        <v>92</v>
      </c>
      <c r="K2385" s="7" t="s">
        <v>1218</v>
      </c>
      <c r="L2385" s="7" t="s">
        <v>92</v>
      </c>
      <c r="M2385" s="31">
        <v>45714</v>
      </c>
      <c r="N2385" s="7" t="s">
        <v>4643</v>
      </c>
      <c r="O2385" s="8">
        <v>1499</v>
      </c>
      <c r="P2385" s="24">
        <v>8836</v>
      </c>
      <c r="Q2385" s="22">
        <f>IF(COUNTIFS(A$2:A2385,A2385,I$2:I2385,I2385)=1,1,0)</f>
        <v>0</v>
      </c>
      <c r="R2385" s="22">
        <f t="shared" si="37"/>
        <v>14</v>
      </c>
      <c r="S2385" s="33">
        <f>IF(COUNTIF(O$2:O2385,O2385)=1,R2385,0)/2.5</f>
        <v>0</v>
      </c>
    </row>
    <row r="2386" spans="1:19" ht="18" customHeight="1" x14ac:dyDescent="0.25">
      <c r="A2386" s="7" t="s">
        <v>43</v>
      </c>
      <c r="B2386" s="8">
        <v>1</v>
      </c>
      <c r="C2386" s="9">
        <v>399</v>
      </c>
      <c r="D2386" s="29">
        <f>C2386+IF(INDEX('Справочник по %'!B:B,(MATCH(A2386,'Справочник по %'!A:A,0)))="кол-во",B2386*INDEX('Справочник по %'!C:C,(MATCH(A2386,'Справочник по %'!A:A,0))),ОТЧЕТ!C2386*INDEX('Справочник по %'!C:C,(MATCH(A2386,'Справочник по %'!A:A,0))))/100</f>
        <v>438.9</v>
      </c>
      <c r="E2386" s="29">
        <f>IF(ОТЧЕТ!A2386="SKU3",C2386+ОТЧЕТ!C2386*0.2,C2386+ОТЧЕТ!C2386*0.15)</f>
        <v>458.85</v>
      </c>
      <c r="F2386" s="7" t="s">
        <v>4639</v>
      </c>
      <c r="G2386" s="7">
        <v>7716997445</v>
      </c>
      <c r="H2386" s="20" t="s">
        <v>167</v>
      </c>
      <c r="I2386" s="22" t="str">
        <f>INDEX('Справочник Сети'!B:B,(MATCH(G2386,'Справочник Сети'!C:C,0)))</f>
        <v>Столички</v>
      </c>
      <c r="J2386" s="7" t="s">
        <v>168</v>
      </c>
      <c r="K2386" s="7" t="s">
        <v>2710</v>
      </c>
      <c r="L2386" s="7" t="s">
        <v>168</v>
      </c>
      <c r="M2386" s="31">
        <v>45676</v>
      </c>
      <c r="N2386" s="7" t="s">
        <v>4644</v>
      </c>
      <c r="O2386" s="8">
        <v>133</v>
      </c>
      <c r="P2386" s="24">
        <v>8837</v>
      </c>
      <c r="Q2386" s="22">
        <f>IF(COUNTIFS(A$2:A2386,A2386,I$2:I2386,I2386)=1,1,0)</f>
        <v>0</v>
      </c>
      <c r="R2386" s="22">
        <f t="shared" si="37"/>
        <v>14</v>
      </c>
      <c r="S2386" s="33">
        <f>IF(COUNTIF(O$2:O2386,O2386)=1,R2386,0)/2.5</f>
        <v>0</v>
      </c>
    </row>
    <row r="2387" spans="1:19" ht="18" customHeight="1" x14ac:dyDescent="0.25">
      <c r="A2387" s="7" t="s">
        <v>43</v>
      </c>
      <c r="B2387" s="8">
        <v>1</v>
      </c>
      <c r="C2387" s="9">
        <v>323</v>
      </c>
      <c r="D2387" s="29">
        <f>C2387+IF(INDEX('Справочник по %'!B:B,(MATCH(A2387,'Справочник по %'!A:A,0)))="кол-во",B2387*INDEX('Справочник по %'!C:C,(MATCH(A2387,'Справочник по %'!A:A,0))),ОТЧЕТ!C2387*INDEX('Справочник по %'!C:C,(MATCH(A2387,'Справочник по %'!A:A,0))))/100</f>
        <v>355.3</v>
      </c>
      <c r="E2387" s="29">
        <f>IF(ОТЧЕТ!A2387="SKU3",C2387+ОТЧЕТ!C2387*0.2,C2387+ОТЧЕТ!C2387*0.15)</f>
        <v>371.45</v>
      </c>
      <c r="F2387" s="7" t="s">
        <v>4639</v>
      </c>
      <c r="G2387" s="7">
        <v>2543023195</v>
      </c>
      <c r="H2387" s="20" t="s">
        <v>69</v>
      </c>
      <c r="I2387" s="22" t="str">
        <f>INDEX('Справочник Сети'!B:B,(MATCH(G2387,'Справочник Сети'!C:C,0)))</f>
        <v>36,6</v>
      </c>
      <c r="J2387" s="7" t="s">
        <v>46</v>
      </c>
      <c r="K2387" s="7" t="s">
        <v>1105</v>
      </c>
      <c r="L2387" s="7" t="s">
        <v>46</v>
      </c>
      <c r="M2387" s="31">
        <v>45726</v>
      </c>
      <c r="N2387" s="7" t="s">
        <v>4645</v>
      </c>
      <c r="O2387" s="8">
        <v>1621</v>
      </c>
      <c r="P2387" s="24">
        <v>8838</v>
      </c>
      <c r="Q2387" s="22">
        <f>IF(COUNTIFS(A$2:A2387,A2387,I$2:I2387,I2387)=1,1,0)</f>
        <v>0</v>
      </c>
      <c r="R2387" s="22">
        <f t="shared" si="37"/>
        <v>4</v>
      </c>
      <c r="S2387" s="33">
        <f>IF(COUNTIF(O$2:O2387,O2387)=1,R2387,0)/2.5</f>
        <v>0</v>
      </c>
    </row>
    <row r="2388" spans="1:19" ht="18" customHeight="1" x14ac:dyDescent="0.25">
      <c r="A2388" s="7" t="s">
        <v>43</v>
      </c>
      <c r="B2388" s="8">
        <v>1</v>
      </c>
      <c r="C2388" s="9">
        <v>400.9</v>
      </c>
      <c r="D2388" s="29">
        <f>C2388+IF(INDEX('Справочник по %'!B:B,(MATCH(A2388,'Справочник по %'!A:A,0)))="кол-во",B2388*INDEX('Справочник по %'!C:C,(MATCH(A2388,'Справочник по %'!A:A,0))),ОТЧЕТ!C2388*INDEX('Справочник по %'!C:C,(MATCH(A2388,'Справочник по %'!A:A,0))))/100</f>
        <v>440.99</v>
      </c>
      <c r="E2388" s="29">
        <f>IF(ОТЧЕТ!A2388="SKU3",C2388+ОТЧЕТ!C2388*0.2,C2388+ОТЧЕТ!C2388*0.15)</f>
        <v>461.03499999999997</v>
      </c>
      <c r="F2388" s="7" t="s">
        <v>4639</v>
      </c>
      <c r="G2388" s="7">
        <v>5506232453</v>
      </c>
      <c r="H2388" s="20" t="s">
        <v>50</v>
      </c>
      <c r="I2388" s="22">
        <f>INDEX('Справочник Сети'!B:B,(MATCH(G2388,'Справочник Сети'!C:C,0)))</f>
        <v>0</v>
      </c>
      <c r="J2388" s="7" t="s">
        <v>255</v>
      </c>
      <c r="K2388" s="7" t="s">
        <v>704</v>
      </c>
      <c r="L2388" s="7" t="s">
        <v>255</v>
      </c>
      <c r="M2388" s="31">
        <v>45713</v>
      </c>
      <c r="N2388" s="7" t="s">
        <v>4646</v>
      </c>
      <c r="O2388" s="8">
        <v>1363</v>
      </c>
      <c r="P2388" s="24">
        <v>8839</v>
      </c>
      <c r="Q2388" s="22">
        <f>IF(COUNTIFS(A$2:A2388,A2388,I$2:I2388,I2388)=1,1,0)</f>
        <v>0</v>
      </c>
      <c r="R2388" s="22">
        <f t="shared" si="37"/>
        <v>3</v>
      </c>
      <c r="S2388" s="33">
        <f>IF(COUNTIF(O$2:O2388,O2388)=1,R2388,0)/2.5</f>
        <v>0</v>
      </c>
    </row>
    <row r="2389" spans="1:19" ht="18" customHeight="1" x14ac:dyDescent="0.25">
      <c r="A2389" s="7" t="s">
        <v>43</v>
      </c>
      <c r="B2389" s="8">
        <v>1</v>
      </c>
      <c r="C2389" s="9">
        <v>672</v>
      </c>
      <c r="D2389" s="29">
        <f>C2389+IF(INDEX('Справочник по %'!B:B,(MATCH(A2389,'Справочник по %'!A:A,0)))="кол-во",B2389*INDEX('Справочник по %'!C:C,(MATCH(A2389,'Справочник по %'!A:A,0))),ОТЧЕТ!C2389*INDEX('Справочник по %'!C:C,(MATCH(A2389,'Справочник по %'!A:A,0))))/100</f>
        <v>739.2</v>
      </c>
      <c r="E2389" s="29">
        <f>IF(ОТЧЕТ!A2389="SKU3",C2389+ОТЧЕТ!C2389*0.2,C2389+ОТЧЕТ!C2389*0.15)</f>
        <v>772.8</v>
      </c>
      <c r="F2389" s="7" t="s">
        <v>4639</v>
      </c>
      <c r="G2389" s="7">
        <v>7705947629</v>
      </c>
      <c r="H2389" s="20" t="s">
        <v>50</v>
      </c>
      <c r="I2389" s="22" t="str">
        <f>INDEX('Справочник Сети'!B:B,(MATCH(G2389,'Справочник Сети'!C:C,0)))</f>
        <v>36,6</v>
      </c>
      <c r="J2389" s="7" t="s">
        <v>104</v>
      </c>
      <c r="K2389" s="7" t="s">
        <v>884</v>
      </c>
      <c r="L2389" s="7" t="s">
        <v>104</v>
      </c>
      <c r="M2389" s="31">
        <v>45693</v>
      </c>
      <c r="N2389" s="7" t="s">
        <v>4647</v>
      </c>
      <c r="O2389" s="8">
        <v>372</v>
      </c>
      <c r="P2389" s="24">
        <v>8840</v>
      </c>
      <c r="Q2389" s="22">
        <f>IF(COUNTIFS(A$2:A2389,A2389,I$2:I2389,I2389)=1,1,0)</f>
        <v>0</v>
      </c>
      <c r="R2389" s="22">
        <f t="shared" si="37"/>
        <v>13</v>
      </c>
      <c r="S2389" s="33">
        <f>IF(COUNTIF(O$2:O2389,O2389)=1,R2389,0)/2.5</f>
        <v>0</v>
      </c>
    </row>
    <row r="2390" spans="1:19" ht="18" customHeight="1" x14ac:dyDescent="0.25">
      <c r="A2390" s="7" t="s">
        <v>43</v>
      </c>
      <c r="B2390" s="8">
        <v>1</v>
      </c>
      <c r="C2390" s="9">
        <v>448</v>
      </c>
      <c r="D2390" s="29">
        <f>C2390+IF(INDEX('Справочник по %'!B:B,(MATCH(A2390,'Справочник по %'!A:A,0)))="кол-во",B2390*INDEX('Справочник по %'!C:C,(MATCH(A2390,'Справочник по %'!A:A,0))),ОТЧЕТ!C2390*INDEX('Справочник по %'!C:C,(MATCH(A2390,'Справочник по %'!A:A,0))))/100</f>
        <v>492.8</v>
      </c>
      <c r="E2390" s="29">
        <f>IF(ОТЧЕТ!A2390="SKU3",C2390+ОТЧЕТ!C2390*0.2,C2390+ОТЧЕТ!C2390*0.15)</f>
        <v>515.20000000000005</v>
      </c>
      <c r="F2390" s="7" t="s">
        <v>4639</v>
      </c>
      <c r="G2390" s="7">
        <v>9203545831</v>
      </c>
      <c r="H2390" s="20" t="s">
        <v>4231</v>
      </c>
      <c r="I2390" s="22">
        <f>INDEX('Справочник Сети'!B:B,(MATCH(G2390,'Справочник Сети'!C:C,0)))</f>
        <v>0</v>
      </c>
      <c r="J2390" s="7" t="s">
        <v>239</v>
      </c>
      <c r="K2390" s="7" t="s">
        <v>675</v>
      </c>
      <c r="L2390" s="7" t="s">
        <v>239</v>
      </c>
      <c r="M2390" s="31">
        <v>45662</v>
      </c>
      <c r="N2390" s="7" t="s">
        <v>4648</v>
      </c>
      <c r="O2390" s="8">
        <v>2424</v>
      </c>
      <c r="P2390" s="24">
        <v>8842</v>
      </c>
      <c r="Q2390" s="22">
        <f>IF(COUNTIFS(A$2:A2390,A2390,I$2:I2390,I2390)=1,1,0)</f>
        <v>0</v>
      </c>
      <c r="R2390" s="22">
        <f t="shared" si="37"/>
        <v>2</v>
      </c>
      <c r="S2390" s="33">
        <f>IF(COUNTIF(O$2:O2390,O2390)=1,R2390,0)/2.5</f>
        <v>0.8</v>
      </c>
    </row>
    <row r="2391" spans="1:19" ht="18" customHeight="1" x14ac:dyDescent="0.25">
      <c r="A2391" s="7" t="s">
        <v>43</v>
      </c>
      <c r="B2391" s="8">
        <v>1</v>
      </c>
      <c r="C2391" s="9">
        <v>488</v>
      </c>
      <c r="D2391" s="29">
        <f>C2391+IF(INDEX('Справочник по %'!B:B,(MATCH(A2391,'Справочник по %'!A:A,0)))="кол-во",B2391*INDEX('Справочник по %'!C:C,(MATCH(A2391,'Справочник по %'!A:A,0))),ОТЧЕТ!C2391*INDEX('Справочник по %'!C:C,(MATCH(A2391,'Справочник по %'!A:A,0))))/100</f>
        <v>536.79999999999995</v>
      </c>
      <c r="E2391" s="29">
        <f>IF(ОТЧЕТ!A2391="SKU3",C2391+ОТЧЕТ!C2391*0.2,C2391+ОТЧЕТ!C2391*0.15)</f>
        <v>561.20000000000005</v>
      </c>
      <c r="F2391" s="7" t="s">
        <v>4639</v>
      </c>
      <c r="G2391" s="7">
        <v>7705947629</v>
      </c>
      <c r="H2391" s="20" t="s">
        <v>64</v>
      </c>
      <c r="I2391" s="22" t="str">
        <f>INDEX('Справочник Сети'!B:B,(MATCH(G2391,'Справочник Сети'!C:C,0)))</f>
        <v>36,6</v>
      </c>
      <c r="J2391" s="7" t="s">
        <v>104</v>
      </c>
      <c r="K2391" s="7" t="s">
        <v>986</v>
      </c>
      <c r="L2391" s="7" t="s">
        <v>104</v>
      </c>
      <c r="M2391" s="31">
        <v>45693</v>
      </c>
      <c r="N2391" s="7" t="s">
        <v>4649</v>
      </c>
      <c r="O2391" s="8">
        <v>609</v>
      </c>
      <c r="P2391" s="24">
        <v>8845</v>
      </c>
      <c r="Q2391" s="22">
        <f>IF(COUNTIFS(A$2:A2391,A2391,I$2:I2391,I2391)=1,1,0)</f>
        <v>0</v>
      </c>
      <c r="R2391" s="22">
        <f t="shared" si="37"/>
        <v>4</v>
      </c>
      <c r="S2391" s="33">
        <f>IF(COUNTIF(O$2:O2391,O2391)=1,R2391,0)/2.5</f>
        <v>0</v>
      </c>
    </row>
    <row r="2392" spans="1:19" ht="18" customHeight="1" x14ac:dyDescent="0.25">
      <c r="A2392" s="7" t="s">
        <v>43</v>
      </c>
      <c r="B2392" s="8">
        <v>1</v>
      </c>
      <c r="C2392" s="9">
        <v>500</v>
      </c>
      <c r="D2392" s="29">
        <f>C2392+IF(INDEX('Справочник по %'!B:B,(MATCH(A2392,'Справочник по %'!A:A,0)))="кол-во",B2392*INDEX('Справочник по %'!C:C,(MATCH(A2392,'Справочник по %'!A:A,0))),ОТЧЕТ!C2392*INDEX('Справочник по %'!C:C,(MATCH(A2392,'Справочник по %'!A:A,0))))/100</f>
        <v>550</v>
      </c>
      <c r="E2392" s="29">
        <f>IF(ОТЧЕТ!A2392="SKU3",C2392+ОТЧЕТ!C2392*0.2,C2392+ОТЧЕТ!C2392*0.15)</f>
        <v>575</v>
      </c>
      <c r="F2392" s="7" t="s">
        <v>4639</v>
      </c>
      <c r="G2392" s="7">
        <v>4632170357</v>
      </c>
      <c r="H2392" s="20" t="s">
        <v>153</v>
      </c>
      <c r="I2392" s="22" t="str">
        <f>INDEX('Справочник Сети'!B:B,(MATCH(G2392,'Справочник Сети'!C:C,0)))</f>
        <v>Столички</v>
      </c>
      <c r="J2392" s="7" t="s">
        <v>83</v>
      </c>
      <c r="K2392" s="7" t="s">
        <v>1218</v>
      </c>
      <c r="L2392" s="7" t="s">
        <v>155</v>
      </c>
      <c r="M2392" s="31">
        <v>45716</v>
      </c>
      <c r="N2392" s="7" t="s">
        <v>4650</v>
      </c>
      <c r="O2392" s="8">
        <v>163</v>
      </c>
      <c r="P2392" s="24">
        <v>8847</v>
      </c>
      <c r="Q2392" s="22">
        <f>IF(COUNTIFS(A$2:A2392,A2392,I$2:I2392,I2392)=1,1,0)</f>
        <v>0</v>
      </c>
      <c r="R2392" s="22">
        <f t="shared" si="37"/>
        <v>5</v>
      </c>
      <c r="S2392" s="33">
        <f>IF(COUNTIF(O$2:O2392,O2392)=1,R2392,0)/2.5</f>
        <v>0</v>
      </c>
    </row>
    <row r="2393" spans="1:19" ht="18" customHeight="1" x14ac:dyDescent="0.25">
      <c r="A2393" s="7" t="s">
        <v>43</v>
      </c>
      <c r="B2393" s="8">
        <v>1</v>
      </c>
      <c r="C2393" s="9">
        <v>459</v>
      </c>
      <c r="D2393" s="29">
        <f>C2393+IF(INDEX('Справочник по %'!B:B,(MATCH(A2393,'Справочник по %'!A:A,0)))="кол-во",B2393*INDEX('Справочник по %'!C:C,(MATCH(A2393,'Справочник по %'!A:A,0))),ОТЧЕТ!C2393*INDEX('Справочник по %'!C:C,(MATCH(A2393,'Справочник по %'!A:A,0))))/100</f>
        <v>504.9</v>
      </c>
      <c r="E2393" s="29">
        <f>IF(ОТЧЕТ!A2393="SKU3",C2393+ОТЧЕТ!C2393*0.2,C2393+ОТЧЕТ!C2393*0.15)</f>
        <v>527.85</v>
      </c>
      <c r="F2393" s="7" t="s">
        <v>4639</v>
      </c>
      <c r="G2393" s="7">
        <v>7751011009</v>
      </c>
      <c r="H2393" s="20" t="s">
        <v>4651</v>
      </c>
      <c r="I2393" s="22">
        <f>INDEX('Справочник Сети'!B:B,(MATCH(G2393,'Справочник Сети'!C:C,0)))</f>
        <v>0</v>
      </c>
      <c r="J2393" s="7" t="s">
        <v>353</v>
      </c>
      <c r="K2393" s="7" t="s">
        <v>1535</v>
      </c>
      <c r="L2393" s="7" t="s">
        <v>353</v>
      </c>
      <c r="M2393" s="31">
        <v>45672</v>
      </c>
      <c r="N2393" s="7" t="s">
        <v>4652</v>
      </c>
      <c r="O2393" s="8">
        <v>2715</v>
      </c>
      <c r="P2393" s="24">
        <v>8854</v>
      </c>
      <c r="Q2393" s="22">
        <f>IF(COUNTIFS(A$2:A2393,A2393,I$2:I2393,I2393)=1,1,0)</f>
        <v>0</v>
      </c>
      <c r="R2393" s="22">
        <f t="shared" si="37"/>
        <v>1</v>
      </c>
      <c r="S2393" s="33">
        <f>IF(COUNTIF(O$2:O2393,O2393)=1,R2393,0)/2.5</f>
        <v>0.4</v>
      </c>
    </row>
    <row r="2394" spans="1:19" ht="18" customHeight="1" x14ac:dyDescent="0.25">
      <c r="A2394" s="7" t="s">
        <v>37</v>
      </c>
      <c r="B2394" s="8">
        <v>1</v>
      </c>
      <c r="C2394" s="9">
        <v>605.9</v>
      </c>
      <c r="D2394" s="29">
        <f>C2394+IF(INDEX('Справочник по %'!B:B,(MATCH(A2394,'Справочник по %'!A:A,0)))="кол-во",B2394*INDEX('Справочник по %'!C:C,(MATCH(A2394,'Справочник по %'!A:A,0))),ОТЧЕТ!C2394*INDEX('Справочник по %'!C:C,(MATCH(A2394,'Справочник по %'!A:A,0))))/100</f>
        <v>606.1</v>
      </c>
      <c r="E2394" s="29">
        <f>IF(ОТЧЕТ!A2394="SKU3",C2394+ОТЧЕТ!C2394*0.2,C2394+ОТЧЕТ!C2394*0.15)</f>
        <v>696.78499999999997</v>
      </c>
      <c r="F2394" s="7" t="s">
        <v>4653</v>
      </c>
      <c r="G2394" s="7">
        <v>7204146152</v>
      </c>
      <c r="H2394" s="20" t="s">
        <v>3994</v>
      </c>
      <c r="I2394" s="22" t="str">
        <f>INDEX('Справочник Сети'!B:B,(MATCH(G2394,'Справочник Сети'!C:C,0)))</f>
        <v>36,6</v>
      </c>
      <c r="J2394" s="7" t="s">
        <v>104</v>
      </c>
      <c r="K2394" s="7" t="s">
        <v>2267</v>
      </c>
      <c r="L2394" s="7" t="s">
        <v>106</v>
      </c>
      <c r="M2394" s="31">
        <v>45694</v>
      </c>
      <c r="N2394" s="7" t="s">
        <v>4654</v>
      </c>
      <c r="O2394" s="8">
        <v>836</v>
      </c>
      <c r="P2394" s="24">
        <v>8867</v>
      </c>
      <c r="Q2394" s="22">
        <f>IF(COUNTIFS(A$2:A2394,A2394,I$2:I2394,I2394)=1,1,0)</f>
        <v>0</v>
      </c>
      <c r="R2394" s="22">
        <f t="shared" si="37"/>
        <v>11</v>
      </c>
      <c r="S2394" s="33">
        <f>IF(COUNTIF(O$2:O2394,O2394)=1,R2394,0)/2.5</f>
        <v>0</v>
      </c>
    </row>
    <row r="2395" spans="1:19" ht="18" customHeight="1" x14ac:dyDescent="0.25">
      <c r="A2395" s="7" t="s">
        <v>43</v>
      </c>
      <c r="B2395" s="8">
        <v>1</v>
      </c>
      <c r="C2395" s="9">
        <v>451</v>
      </c>
      <c r="D2395" s="29">
        <f>C2395+IF(INDEX('Справочник по %'!B:B,(MATCH(A2395,'Справочник по %'!A:A,0)))="кол-во",B2395*INDEX('Справочник по %'!C:C,(MATCH(A2395,'Справочник по %'!A:A,0))),ОТЧЕТ!C2395*INDEX('Справочник по %'!C:C,(MATCH(A2395,'Справочник по %'!A:A,0))))/100</f>
        <v>496.1</v>
      </c>
      <c r="E2395" s="29">
        <f>IF(ОТЧЕТ!A2395="SKU3",C2395+ОТЧЕТ!C2395*0.2,C2395+ОТЧЕТ!C2395*0.15)</f>
        <v>518.65</v>
      </c>
      <c r="F2395" s="7" t="s">
        <v>4653</v>
      </c>
      <c r="G2395" s="7">
        <v>326537584</v>
      </c>
      <c r="H2395" s="20" t="s">
        <v>459</v>
      </c>
      <c r="I2395" s="22" t="str">
        <f>INDEX('Справочник Сети'!B:B,(MATCH(G2395,'Справочник Сети'!C:C,0)))</f>
        <v>Планета здоровья</v>
      </c>
      <c r="J2395" s="7" t="s">
        <v>362</v>
      </c>
      <c r="K2395" s="7" t="s">
        <v>3324</v>
      </c>
      <c r="L2395" s="7" t="s">
        <v>362</v>
      </c>
      <c r="M2395" s="31">
        <v>45732</v>
      </c>
      <c r="N2395" s="7" t="s">
        <v>4655</v>
      </c>
      <c r="O2395" s="8">
        <v>1702</v>
      </c>
      <c r="P2395" s="24">
        <v>8870</v>
      </c>
      <c r="Q2395" s="22">
        <f>IF(COUNTIFS(A$2:A2395,A2395,I$2:I2395,I2395)=1,1,0)</f>
        <v>0</v>
      </c>
      <c r="R2395" s="22">
        <f t="shared" si="37"/>
        <v>9</v>
      </c>
      <c r="S2395" s="33">
        <f>IF(COUNTIF(O$2:O2395,O2395)=1,R2395,0)/2.5</f>
        <v>0</v>
      </c>
    </row>
    <row r="2396" spans="1:19" ht="18" customHeight="1" x14ac:dyDescent="0.25">
      <c r="A2396" s="7" t="s">
        <v>43</v>
      </c>
      <c r="B2396" s="8">
        <v>1</v>
      </c>
      <c r="C2396" s="9">
        <v>456.21</v>
      </c>
      <c r="D2396" s="29">
        <f>C2396+IF(INDEX('Справочник по %'!B:B,(MATCH(A2396,'Справочник по %'!A:A,0)))="кол-во",B2396*INDEX('Справочник по %'!C:C,(MATCH(A2396,'Справочник по %'!A:A,0))),ОТЧЕТ!C2396*INDEX('Справочник по %'!C:C,(MATCH(A2396,'Справочник по %'!A:A,0))))/100</f>
        <v>501.83099999999996</v>
      </c>
      <c r="E2396" s="29">
        <f>IF(ОТЧЕТ!A2396="SKU3",C2396+ОТЧЕТ!C2396*0.2,C2396+ОТЧЕТ!C2396*0.15)</f>
        <v>524.64149999999995</v>
      </c>
      <c r="F2396" s="7" t="s">
        <v>4653</v>
      </c>
      <c r="G2396" s="7">
        <v>5501207372</v>
      </c>
      <c r="H2396" s="20" t="s">
        <v>50</v>
      </c>
      <c r="I2396" s="22" t="str">
        <f>INDEX('Справочник Сети'!B:B,(MATCH(G2396,'Справочник Сети'!C:C,0)))</f>
        <v>Ригла</v>
      </c>
      <c r="J2396" s="7" t="s">
        <v>255</v>
      </c>
      <c r="K2396" s="7" t="s">
        <v>827</v>
      </c>
      <c r="L2396" s="7" t="s">
        <v>255</v>
      </c>
      <c r="M2396" s="31">
        <v>45713</v>
      </c>
      <c r="N2396" s="7" t="s">
        <v>4656</v>
      </c>
      <c r="O2396" s="8">
        <v>324</v>
      </c>
      <c r="P2396" s="24">
        <v>8871</v>
      </c>
      <c r="Q2396" s="22">
        <f>IF(COUNTIFS(A$2:A2396,A2396,I$2:I2396,I2396)=1,1,0)</f>
        <v>0</v>
      </c>
      <c r="R2396" s="22">
        <f t="shared" si="37"/>
        <v>8</v>
      </c>
      <c r="S2396" s="33">
        <f>IF(COUNTIF(O$2:O2396,O2396)=1,R2396,0)/2.5</f>
        <v>0</v>
      </c>
    </row>
    <row r="2397" spans="1:19" ht="18" customHeight="1" x14ac:dyDescent="0.25">
      <c r="A2397" s="7" t="s">
        <v>37</v>
      </c>
      <c r="B2397" s="8">
        <v>1</v>
      </c>
      <c r="C2397" s="9">
        <v>543</v>
      </c>
      <c r="D2397" s="29">
        <f>C2397+IF(INDEX('Справочник по %'!B:B,(MATCH(A2397,'Справочник по %'!A:A,0)))="кол-во",B2397*INDEX('Справочник по %'!C:C,(MATCH(A2397,'Справочник по %'!A:A,0))),ОТЧЕТ!C2397*INDEX('Справочник по %'!C:C,(MATCH(A2397,'Справочник по %'!A:A,0))))/100</f>
        <v>543.20000000000005</v>
      </c>
      <c r="E2397" s="29">
        <f>IF(ОТЧЕТ!A2397="SKU3",C2397+ОТЧЕТ!C2397*0.2,C2397+ОТЧЕТ!C2397*0.15)</f>
        <v>624.45000000000005</v>
      </c>
      <c r="F2397" s="7" t="s">
        <v>4653</v>
      </c>
      <c r="G2397" s="7">
        <v>7706795062</v>
      </c>
      <c r="H2397" s="20" t="s">
        <v>1801</v>
      </c>
      <c r="I2397" s="22" t="str">
        <f>INDEX('Справочник Сети'!B:B,(MATCH(G2397,'Справочник Сети'!C:C,0)))</f>
        <v>Планета здоровья</v>
      </c>
      <c r="J2397" s="7" t="s">
        <v>87</v>
      </c>
      <c r="K2397" s="7" t="s">
        <v>2713</v>
      </c>
      <c r="L2397" s="7" t="s">
        <v>87</v>
      </c>
      <c r="M2397" s="31">
        <v>45691</v>
      </c>
      <c r="N2397" s="7" t="s">
        <v>4657</v>
      </c>
      <c r="O2397" s="8">
        <v>3371</v>
      </c>
      <c r="P2397" s="24">
        <v>8874</v>
      </c>
      <c r="Q2397" s="22">
        <f>IF(COUNTIFS(A$2:A2397,A2397,I$2:I2397,I2397)=1,1,0)</f>
        <v>0</v>
      </c>
      <c r="R2397" s="22">
        <f t="shared" si="37"/>
        <v>5</v>
      </c>
      <c r="S2397" s="33">
        <f>IF(COUNTIF(O$2:O2397,O2397)=1,R2397,0)/2.5</f>
        <v>0</v>
      </c>
    </row>
    <row r="2398" spans="1:19" ht="18" customHeight="1" x14ac:dyDescent="0.25">
      <c r="A2398" s="7" t="s">
        <v>43</v>
      </c>
      <c r="B2398" s="8">
        <v>1</v>
      </c>
      <c r="C2398" s="9">
        <v>485</v>
      </c>
      <c r="D2398" s="29">
        <f>C2398+IF(INDEX('Справочник по %'!B:B,(MATCH(A2398,'Справочник по %'!A:A,0)))="кол-во",B2398*INDEX('Справочник по %'!C:C,(MATCH(A2398,'Справочник по %'!A:A,0))),ОТЧЕТ!C2398*INDEX('Справочник по %'!C:C,(MATCH(A2398,'Справочник по %'!A:A,0))))/100</f>
        <v>533.5</v>
      </c>
      <c r="E2398" s="29">
        <f>IF(ОТЧЕТ!A2398="SKU3",C2398+ОТЧЕТ!C2398*0.2,C2398+ОТЧЕТ!C2398*0.15)</f>
        <v>557.75</v>
      </c>
      <c r="F2398" s="7" t="s">
        <v>4653</v>
      </c>
      <c r="G2398" s="7">
        <v>4632170357</v>
      </c>
      <c r="H2398" s="20" t="s">
        <v>153</v>
      </c>
      <c r="I2398" s="22" t="str">
        <f>INDEX('Справочник Сети'!B:B,(MATCH(G2398,'Справочник Сети'!C:C,0)))</f>
        <v>Столички</v>
      </c>
      <c r="J2398" s="7" t="s">
        <v>83</v>
      </c>
      <c r="K2398" s="7" t="s">
        <v>1955</v>
      </c>
      <c r="L2398" s="7" t="s">
        <v>155</v>
      </c>
      <c r="M2398" s="31">
        <v>45716</v>
      </c>
      <c r="N2398" s="7" t="s">
        <v>4658</v>
      </c>
      <c r="O2398" s="8">
        <v>190</v>
      </c>
      <c r="P2398" s="24">
        <v>8876</v>
      </c>
      <c r="Q2398" s="22">
        <f>IF(COUNTIFS(A$2:A2398,A2398,I$2:I2398,I2398)=1,1,0)</f>
        <v>0</v>
      </c>
      <c r="R2398" s="22">
        <f t="shared" si="37"/>
        <v>4</v>
      </c>
      <c r="S2398" s="33">
        <f>IF(COUNTIF(O$2:O2398,O2398)=1,R2398,0)/2.5</f>
        <v>0</v>
      </c>
    </row>
    <row r="2399" spans="1:19" ht="18" customHeight="1" x14ac:dyDescent="0.25">
      <c r="A2399" s="7" t="s">
        <v>43</v>
      </c>
      <c r="B2399" s="8">
        <v>1</v>
      </c>
      <c r="C2399" s="9">
        <v>388</v>
      </c>
      <c r="D2399" s="29">
        <f>C2399+IF(INDEX('Справочник по %'!B:B,(MATCH(A2399,'Справочник по %'!A:A,0)))="кол-во",B2399*INDEX('Справочник по %'!C:C,(MATCH(A2399,'Справочник по %'!A:A,0))),ОТЧЕТ!C2399*INDEX('Справочник по %'!C:C,(MATCH(A2399,'Справочник по %'!A:A,0))))/100</f>
        <v>426.8</v>
      </c>
      <c r="E2399" s="29">
        <f>IF(ОТЧЕТ!A2399="SKU3",C2399+ОТЧЕТ!C2399*0.2,C2399+ОТЧЕТ!C2399*0.15)</f>
        <v>446.2</v>
      </c>
      <c r="F2399" s="7" t="s">
        <v>4653</v>
      </c>
      <c r="G2399" s="7">
        <v>5902199859</v>
      </c>
      <c r="H2399" s="20" t="s">
        <v>39</v>
      </c>
      <c r="I2399" s="22" t="str">
        <f>INDEX('Справочник Сети'!B:B,(MATCH(G2399,'Справочник Сети'!C:C,0)))</f>
        <v>Столички</v>
      </c>
      <c r="J2399" s="7" t="s">
        <v>40</v>
      </c>
      <c r="K2399" s="7" t="s">
        <v>1823</v>
      </c>
      <c r="L2399" s="7" t="s">
        <v>40</v>
      </c>
      <c r="M2399" s="31">
        <v>45712</v>
      </c>
      <c r="N2399" s="7" t="s">
        <v>4659</v>
      </c>
      <c r="O2399" s="8">
        <v>918</v>
      </c>
      <c r="P2399" s="24">
        <v>8877</v>
      </c>
      <c r="Q2399" s="22">
        <f>IF(COUNTIFS(A$2:A2399,A2399,I$2:I2399,I2399)=1,1,0)</f>
        <v>0</v>
      </c>
      <c r="R2399" s="22">
        <f t="shared" si="37"/>
        <v>1</v>
      </c>
      <c r="S2399" s="33">
        <f>IF(COUNTIF(O$2:O2399,O2399)=1,R2399,0)/2.5</f>
        <v>0.4</v>
      </c>
    </row>
    <row r="2400" spans="1:19" ht="18" customHeight="1" x14ac:dyDescent="0.25">
      <c r="A2400" s="7" t="s">
        <v>43</v>
      </c>
      <c r="B2400" s="8">
        <v>1</v>
      </c>
      <c r="C2400" s="9">
        <v>475</v>
      </c>
      <c r="D2400" s="29">
        <f>C2400+IF(INDEX('Справочник по %'!B:B,(MATCH(A2400,'Справочник по %'!A:A,0)))="кол-во",B2400*INDEX('Справочник по %'!C:C,(MATCH(A2400,'Справочник по %'!A:A,0))),ОТЧЕТ!C2400*INDEX('Справочник по %'!C:C,(MATCH(A2400,'Справочник по %'!A:A,0))))/100</f>
        <v>522.5</v>
      </c>
      <c r="E2400" s="29">
        <f>IF(ОТЧЕТ!A2400="SKU3",C2400+ОТЧЕТ!C2400*0.2,C2400+ОТЧЕТ!C2400*0.15)</f>
        <v>546.25</v>
      </c>
      <c r="F2400" s="7" t="s">
        <v>4653</v>
      </c>
      <c r="G2400" s="7">
        <v>9201013415</v>
      </c>
      <c r="H2400" s="20" t="s">
        <v>4106</v>
      </c>
      <c r="I2400" s="22">
        <f>INDEX('Справочник Сети'!B:B,(MATCH(G2400,'Справочник Сети'!C:C,0)))</f>
        <v>0</v>
      </c>
      <c r="J2400" s="7" t="s">
        <v>239</v>
      </c>
      <c r="K2400" s="7" t="s">
        <v>1549</v>
      </c>
      <c r="L2400" s="7" t="s">
        <v>239</v>
      </c>
      <c r="M2400" s="31">
        <v>45662</v>
      </c>
      <c r="N2400" s="7" t="s">
        <v>4660</v>
      </c>
      <c r="O2400" s="8">
        <v>1006</v>
      </c>
      <c r="P2400" s="24">
        <v>8881</v>
      </c>
      <c r="Q2400" s="22">
        <f>IF(COUNTIFS(A$2:A2400,A2400,I$2:I2400,I2400)=1,1,0)</f>
        <v>0</v>
      </c>
      <c r="R2400" s="22">
        <f t="shared" si="37"/>
        <v>1</v>
      </c>
      <c r="S2400" s="33">
        <f>IF(COUNTIF(O$2:O2400,O2400)=1,R2400,0)/2.5</f>
        <v>0.4</v>
      </c>
    </row>
    <row r="2401" spans="1:19" ht="18" customHeight="1" x14ac:dyDescent="0.25">
      <c r="A2401" s="7" t="s">
        <v>43</v>
      </c>
      <c r="B2401" s="8">
        <v>1</v>
      </c>
      <c r="C2401" s="9">
        <v>481</v>
      </c>
      <c r="D2401" s="29">
        <f>C2401+IF(INDEX('Справочник по %'!B:B,(MATCH(A2401,'Справочник по %'!A:A,0)))="кол-во",B2401*INDEX('Справочник по %'!C:C,(MATCH(A2401,'Справочник по %'!A:A,0))),ОТЧЕТ!C2401*INDEX('Справочник по %'!C:C,(MATCH(A2401,'Справочник по %'!A:A,0))))/100</f>
        <v>529.1</v>
      </c>
      <c r="E2401" s="29">
        <f>IF(ОТЧЕТ!A2401="SKU3",C2401+ОТЧЕТ!C2401*0.2,C2401+ОТЧЕТ!C2401*0.15)</f>
        <v>553.15</v>
      </c>
      <c r="F2401" s="7" t="s">
        <v>4653</v>
      </c>
      <c r="G2401" s="7">
        <v>2543009225</v>
      </c>
      <c r="H2401" s="20" t="s">
        <v>4156</v>
      </c>
      <c r="I2401" s="22" t="str">
        <f>INDEX('Справочник Сети'!B:B,(MATCH(G2401,'Справочник Сети'!C:C,0)))</f>
        <v>Нео-фарм</v>
      </c>
      <c r="J2401" s="7" t="s">
        <v>46</v>
      </c>
      <c r="K2401" s="7" t="s">
        <v>189</v>
      </c>
      <c r="L2401" s="7" t="s">
        <v>46</v>
      </c>
      <c r="M2401" s="31">
        <v>45726</v>
      </c>
      <c r="N2401" s="7" t="s">
        <v>4661</v>
      </c>
      <c r="O2401" s="8">
        <v>1718</v>
      </c>
      <c r="P2401" s="24">
        <v>8882</v>
      </c>
      <c r="Q2401" s="22">
        <f>IF(COUNTIFS(A$2:A2401,A2401,I$2:I2401,I2401)=1,1,0)</f>
        <v>0</v>
      </c>
      <c r="R2401" s="22">
        <f t="shared" si="37"/>
        <v>2</v>
      </c>
      <c r="S2401" s="33">
        <f>IF(COUNTIF(O$2:O2401,O2401)=1,R2401,0)/2.5</f>
        <v>0</v>
      </c>
    </row>
    <row r="2402" spans="1:19" ht="18" customHeight="1" x14ac:dyDescent="0.25">
      <c r="A2402" s="7" t="s">
        <v>43</v>
      </c>
      <c r="B2402" s="8">
        <v>1</v>
      </c>
      <c r="C2402" s="9">
        <v>361</v>
      </c>
      <c r="D2402" s="29">
        <f>C2402+IF(INDEX('Справочник по %'!B:B,(MATCH(A2402,'Справочник по %'!A:A,0)))="кол-во",B2402*INDEX('Справочник по %'!C:C,(MATCH(A2402,'Справочник по %'!A:A,0))),ОТЧЕТ!C2402*INDEX('Справочник по %'!C:C,(MATCH(A2402,'Справочник по %'!A:A,0))))/100</f>
        <v>397.1</v>
      </c>
      <c r="E2402" s="29">
        <f>IF(ОТЧЕТ!A2402="SKU3",C2402+ОТЧЕТ!C2402*0.2,C2402+ОТЧЕТ!C2402*0.15)</f>
        <v>415.15</v>
      </c>
      <c r="F2402" s="7" t="s">
        <v>4662</v>
      </c>
      <c r="G2402" s="7">
        <v>2308241919</v>
      </c>
      <c r="H2402" s="20" t="s">
        <v>50</v>
      </c>
      <c r="I2402" s="22" t="str">
        <f>INDEX('Справочник Сети'!B:B,(MATCH(G2402,'Справочник Сети'!C:C,0)))</f>
        <v>Столички</v>
      </c>
      <c r="J2402" s="7" t="s">
        <v>57</v>
      </c>
      <c r="K2402" s="7" t="s">
        <v>2526</v>
      </c>
      <c r="L2402" s="7" t="s">
        <v>57</v>
      </c>
      <c r="M2402" s="31">
        <v>45729</v>
      </c>
      <c r="N2402" s="7" t="s">
        <v>4663</v>
      </c>
      <c r="O2402" s="8">
        <v>2307</v>
      </c>
      <c r="P2402" s="24">
        <v>8889</v>
      </c>
      <c r="Q2402" s="22">
        <f>IF(COUNTIFS(A$2:A2402,A2402,I$2:I2402,I2402)=1,1,0)</f>
        <v>0</v>
      </c>
      <c r="R2402" s="22">
        <f t="shared" si="37"/>
        <v>1</v>
      </c>
      <c r="S2402" s="33">
        <f>IF(COUNTIF(O$2:O2402,O2402)=1,R2402,0)/2.5</f>
        <v>0.4</v>
      </c>
    </row>
    <row r="2403" spans="1:19" ht="18" customHeight="1" x14ac:dyDescent="0.25">
      <c r="A2403" s="7" t="s">
        <v>37</v>
      </c>
      <c r="B2403" s="8">
        <v>1</v>
      </c>
      <c r="C2403" s="9">
        <v>561</v>
      </c>
      <c r="D2403" s="29">
        <f>C2403+IF(INDEX('Справочник по %'!B:B,(MATCH(A2403,'Справочник по %'!A:A,0)))="кол-во",B2403*INDEX('Справочник по %'!C:C,(MATCH(A2403,'Справочник по %'!A:A,0))),ОТЧЕТ!C2403*INDEX('Справочник по %'!C:C,(MATCH(A2403,'Справочник по %'!A:A,0))))/100</f>
        <v>561.20000000000005</v>
      </c>
      <c r="E2403" s="29">
        <f>IF(ОТЧЕТ!A2403="SKU3",C2403+ОТЧЕТ!C2403*0.2,C2403+ОТЧЕТ!C2403*0.15)</f>
        <v>645.15</v>
      </c>
      <c r="F2403" s="7" t="s">
        <v>4664</v>
      </c>
      <c r="G2403" s="7">
        <v>7706795062</v>
      </c>
      <c r="H2403" s="20" t="s">
        <v>487</v>
      </c>
      <c r="I2403" s="22" t="str">
        <f>INDEX('Справочник Сети'!B:B,(MATCH(G2403,'Справочник Сети'!C:C,0)))</f>
        <v>Планета здоровья</v>
      </c>
      <c r="J2403" s="7" t="s">
        <v>87</v>
      </c>
      <c r="K2403" s="7" t="s">
        <v>1422</v>
      </c>
      <c r="L2403" s="7" t="s">
        <v>87</v>
      </c>
      <c r="M2403" s="31">
        <v>45691</v>
      </c>
      <c r="N2403" s="7" t="s">
        <v>4665</v>
      </c>
      <c r="O2403" s="8">
        <v>1549</v>
      </c>
      <c r="P2403" s="24">
        <v>8896</v>
      </c>
      <c r="Q2403" s="22">
        <f>IF(COUNTIFS(A$2:A2403,A2403,I$2:I2403,I2403)=1,1,0)</f>
        <v>0</v>
      </c>
      <c r="R2403" s="22">
        <f t="shared" si="37"/>
        <v>8</v>
      </c>
      <c r="S2403" s="33">
        <f>IF(COUNTIF(O$2:O2403,O2403)=1,R2403,0)/2.5</f>
        <v>0</v>
      </c>
    </row>
    <row r="2404" spans="1:19" ht="18" customHeight="1" x14ac:dyDescent="0.25">
      <c r="A2404" s="7" t="s">
        <v>146</v>
      </c>
      <c r="B2404" s="8">
        <v>1</v>
      </c>
      <c r="C2404" s="9">
        <v>675.84</v>
      </c>
      <c r="D2404" s="29">
        <f>C2404+IF(INDEX('Справочник по %'!B:B,(MATCH(A2404,'Справочник по %'!A:A,0)))="кол-во",B2404*INDEX('Справочник по %'!C:C,(MATCH(A2404,'Справочник по %'!A:A,0))),ОТЧЕТ!C2404*INDEX('Справочник по %'!C:C,(MATCH(A2404,'Справочник по %'!A:A,0))))/100</f>
        <v>777.21600000000001</v>
      </c>
      <c r="E2404" s="29">
        <f>IF(ОТЧЕТ!A2404="SKU3",C2404+ОТЧЕТ!C2404*0.2,C2404+ОТЧЕТ!C2404*0.15)</f>
        <v>811.00800000000004</v>
      </c>
      <c r="F2404" s="7" t="s">
        <v>4666</v>
      </c>
      <c r="G2404" s="7">
        <v>7716944620</v>
      </c>
      <c r="H2404" s="20" t="s">
        <v>50</v>
      </c>
      <c r="I2404" s="22">
        <f>INDEX('Справочник Сети'!B:B,(MATCH(G2404,'Справочник Сети'!C:C,0)))</f>
        <v>0</v>
      </c>
      <c r="J2404" s="7" t="s">
        <v>168</v>
      </c>
      <c r="K2404" s="7" t="s">
        <v>2031</v>
      </c>
      <c r="L2404" s="7" t="s">
        <v>168</v>
      </c>
      <c r="M2404" s="31">
        <v>45676</v>
      </c>
      <c r="N2404" s="7" t="s">
        <v>4667</v>
      </c>
      <c r="O2404" s="8">
        <v>132</v>
      </c>
      <c r="P2404" s="24">
        <v>8899</v>
      </c>
      <c r="Q2404" s="22">
        <f>IF(COUNTIFS(A$2:A2404,A2404,I$2:I2404,I2404)=1,1,0)</f>
        <v>0</v>
      </c>
      <c r="R2404" s="22">
        <f t="shared" si="37"/>
        <v>4</v>
      </c>
      <c r="S2404" s="33">
        <f>IF(COUNTIF(O$2:O2404,O2404)=1,R2404,0)/2.5</f>
        <v>0</v>
      </c>
    </row>
    <row r="2405" spans="1:19" ht="18" customHeight="1" x14ac:dyDescent="0.25">
      <c r="A2405" s="7" t="s">
        <v>43</v>
      </c>
      <c r="B2405" s="8">
        <v>1</v>
      </c>
      <c r="C2405" s="9">
        <v>546</v>
      </c>
      <c r="D2405" s="29">
        <f>C2405+IF(INDEX('Справочник по %'!B:B,(MATCH(A2405,'Справочник по %'!A:A,0)))="кол-во",B2405*INDEX('Справочник по %'!C:C,(MATCH(A2405,'Справочник по %'!A:A,0))),ОТЧЕТ!C2405*INDEX('Справочник по %'!C:C,(MATCH(A2405,'Справочник по %'!A:A,0))))/100</f>
        <v>600.6</v>
      </c>
      <c r="E2405" s="29">
        <f>IF(ОТЧЕТ!A2405="SKU3",C2405+ОТЧЕТ!C2405*0.2,C2405+ОТЧЕТ!C2405*0.15)</f>
        <v>627.9</v>
      </c>
      <c r="F2405" s="7" t="s">
        <v>4666</v>
      </c>
      <c r="G2405" s="7">
        <v>7716944620</v>
      </c>
      <c r="H2405" s="20" t="s">
        <v>50</v>
      </c>
      <c r="I2405" s="22">
        <f>INDEX('Справочник Сети'!B:B,(MATCH(G2405,'Справочник Сети'!C:C,0)))</f>
        <v>0</v>
      </c>
      <c r="J2405" s="7" t="s">
        <v>168</v>
      </c>
      <c r="K2405" s="7" t="s">
        <v>165</v>
      </c>
      <c r="L2405" s="7" t="s">
        <v>168</v>
      </c>
      <c r="M2405" s="31">
        <v>45676</v>
      </c>
      <c r="N2405" s="7" t="s">
        <v>4668</v>
      </c>
      <c r="O2405" s="8">
        <v>132</v>
      </c>
      <c r="P2405" s="24">
        <v>8900</v>
      </c>
      <c r="Q2405" s="22">
        <f>IF(COUNTIFS(A$2:A2405,A2405,I$2:I2405,I2405)=1,1,0)</f>
        <v>0</v>
      </c>
      <c r="R2405" s="22">
        <f t="shared" si="37"/>
        <v>4</v>
      </c>
      <c r="S2405" s="33">
        <f>IF(COUNTIF(O$2:O2405,O2405)=1,R2405,0)/2.5</f>
        <v>0</v>
      </c>
    </row>
    <row r="2406" spans="1:19" ht="18" customHeight="1" x14ac:dyDescent="0.25">
      <c r="A2406" s="7" t="s">
        <v>43</v>
      </c>
      <c r="B2406" s="8">
        <v>1</v>
      </c>
      <c r="C2406" s="9">
        <v>387</v>
      </c>
      <c r="D2406" s="29">
        <f>C2406+IF(INDEX('Справочник по %'!B:B,(MATCH(A2406,'Справочник по %'!A:A,0)))="кол-во",B2406*INDEX('Справочник по %'!C:C,(MATCH(A2406,'Справочник по %'!A:A,0))),ОТЧЕТ!C2406*INDEX('Справочник по %'!C:C,(MATCH(A2406,'Справочник по %'!A:A,0))))/100</f>
        <v>425.7</v>
      </c>
      <c r="E2406" s="29">
        <f>IF(ОТЧЕТ!A2406="SKU3",C2406+ОТЧЕТ!C2406*0.2,C2406+ОТЧЕТ!C2406*0.15)</f>
        <v>445.05</v>
      </c>
      <c r="F2406" s="7" t="s">
        <v>4666</v>
      </c>
      <c r="G2406" s="7">
        <v>2308110232</v>
      </c>
      <c r="H2406" s="20" t="s">
        <v>69</v>
      </c>
      <c r="I2406" s="22" t="str">
        <f>INDEX('Справочник Сети'!B:B,(MATCH(G2406,'Справочник Сети'!C:C,0)))</f>
        <v>Нео-фарм</v>
      </c>
      <c r="J2406" s="7" t="s">
        <v>372</v>
      </c>
      <c r="K2406" s="7" t="s">
        <v>3452</v>
      </c>
      <c r="L2406" s="7" t="s">
        <v>372</v>
      </c>
      <c r="M2406" s="31">
        <v>45730</v>
      </c>
      <c r="N2406" s="7" t="s">
        <v>4669</v>
      </c>
      <c r="O2406" s="8">
        <v>3605</v>
      </c>
      <c r="P2406" s="24">
        <v>8902</v>
      </c>
      <c r="Q2406" s="22">
        <f>IF(COUNTIFS(A$2:A2406,A2406,I$2:I2406,I2406)=1,1,0)</f>
        <v>0</v>
      </c>
      <c r="R2406" s="22">
        <f t="shared" si="37"/>
        <v>1</v>
      </c>
      <c r="S2406" s="33">
        <f>IF(COUNTIF(O$2:O2406,O2406)=1,R2406,0)/2.5</f>
        <v>0.4</v>
      </c>
    </row>
    <row r="2407" spans="1:19" ht="18" customHeight="1" x14ac:dyDescent="0.25">
      <c r="A2407" s="7" t="s">
        <v>37</v>
      </c>
      <c r="B2407" s="8">
        <v>1</v>
      </c>
      <c r="C2407" s="9">
        <v>692.68</v>
      </c>
      <c r="D2407" s="29">
        <f>C2407+IF(INDEX('Справочник по %'!B:B,(MATCH(A2407,'Справочник по %'!A:A,0)))="кол-во",B2407*INDEX('Справочник по %'!C:C,(MATCH(A2407,'Справочник по %'!A:A,0))),ОТЧЕТ!C2407*INDEX('Справочник по %'!C:C,(MATCH(A2407,'Справочник по %'!A:A,0))))/100</f>
        <v>692.88</v>
      </c>
      <c r="E2407" s="29">
        <f>IF(ОТЧЕТ!A2407="SKU3",C2407+ОТЧЕТ!C2407*0.2,C2407+ОТЧЕТ!C2407*0.15)</f>
        <v>796.58199999999988</v>
      </c>
      <c r="F2407" s="7" t="s">
        <v>4666</v>
      </c>
      <c r="G2407" s="7">
        <v>4702057044</v>
      </c>
      <c r="H2407" s="20" t="s">
        <v>50</v>
      </c>
      <c r="I2407" s="22" t="str">
        <f>INDEX('Справочник Сети'!B:B,(MATCH(G2407,'Справочник Сети'!C:C,0)))</f>
        <v>Ригла</v>
      </c>
      <c r="J2407" s="7" t="s">
        <v>83</v>
      </c>
      <c r="K2407" s="7" t="s">
        <v>1080</v>
      </c>
      <c r="L2407" s="7" t="s">
        <v>83</v>
      </c>
      <c r="M2407" s="31">
        <v>45715</v>
      </c>
      <c r="N2407" s="7" t="s">
        <v>4670</v>
      </c>
      <c r="O2407" s="8">
        <v>2988</v>
      </c>
      <c r="P2407" s="24">
        <v>8903</v>
      </c>
      <c r="Q2407" s="22">
        <f>IF(COUNTIFS(A$2:A2407,A2407,I$2:I2407,I2407)=1,1,0)</f>
        <v>0</v>
      </c>
      <c r="R2407" s="22">
        <f t="shared" si="37"/>
        <v>4</v>
      </c>
      <c r="S2407" s="33">
        <f>IF(COUNTIF(O$2:O2407,O2407)=1,R2407,0)/2.5</f>
        <v>0</v>
      </c>
    </row>
    <row r="2408" spans="1:19" ht="18" customHeight="1" x14ac:dyDescent="0.25">
      <c r="A2408" s="7" t="s">
        <v>43</v>
      </c>
      <c r="B2408" s="8">
        <v>1</v>
      </c>
      <c r="C2408" s="9">
        <v>447</v>
      </c>
      <c r="D2408" s="29">
        <f>C2408+IF(INDEX('Справочник по %'!B:B,(MATCH(A2408,'Справочник по %'!A:A,0)))="кол-во",B2408*INDEX('Справочник по %'!C:C,(MATCH(A2408,'Справочник по %'!A:A,0))),ОТЧЕТ!C2408*INDEX('Справочник по %'!C:C,(MATCH(A2408,'Справочник по %'!A:A,0))))/100</f>
        <v>491.7</v>
      </c>
      <c r="E2408" s="29">
        <f>IF(ОТЧЕТ!A2408="SKU3",C2408+ОТЧЕТ!C2408*0.2,C2408+ОТЧЕТ!C2408*0.15)</f>
        <v>514.04999999999995</v>
      </c>
      <c r="F2408" s="7" t="s">
        <v>4666</v>
      </c>
      <c r="G2408" s="7">
        <v>3907029575</v>
      </c>
      <c r="H2408" s="20" t="s">
        <v>4671</v>
      </c>
      <c r="I2408" s="22" t="str">
        <f>INDEX('Справочник Сети'!B:B,(MATCH(G2408,'Справочник Сети'!C:C,0)))</f>
        <v>Столички</v>
      </c>
      <c r="J2408" s="7" t="s">
        <v>155</v>
      </c>
      <c r="K2408" s="7" t="s">
        <v>1686</v>
      </c>
      <c r="L2408" s="7" t="s">
        <v>155</v>
      </c>
      <c r="M2408" s="31">
        <v>45716</v>
      </c>
      <c r="N2408" s="7" t="s">
        <v>4672</v>
      </c>
      <c r="O2408" s="8">
        <v>1845</v>
      </c>
      <c r="P2408" s="24">
        <v>8908</v>
      </c>
      <c r="Q2408" s="22">
        <f>IF(COUNTIFS(A$2:A2408,A2408,I$2:I2408,I2408)=1,1,0)</f>
        <v>0</v>
      </c>
      <c r="R2408" s="22">
        <f t="shared" si="37"/>
        <v>1</v>
      </c>
      <c r="S2408" s="33">
        <f>IF(COUNTIF(O$2:O2408,O2408)=1,R2408,0)/2.5</f>
        <v>0.4</v>
      </c>
    </row>
    <row r="2409" spans="1:19" ht="18" customHeight="1" x14ac:dyDescent="0.25">
      <c r="A2409" s="7" t="s">
        <v>43</v>
      </c>
      <c r="B2409" s="8">
        <v>1</v>
      </c>
      <c r="C2409" s="9">
        <v>405</v>
      </c>
      <c r="D2409" s="29">
        <f>C2409+IF(INDEX('Справочник по %'!B:B,(MATCH(A2409,'Справочник по %'!A:A,0)))="кол-во",B2409*INDEX('Справочник по %'!C:C,(MATCH(A2409,'Справочник по %'!A:A,0))),ОТЧЕТ!C2409*INDEX('Справочник по %'!C:C,(MATCH(A2409,'Справочник по %'!A:A,0))))/100</f>
        <v>445.5</v>
      </c>
      <c r="E2409" s="29">
        <f>IF(ОТЧЕТ!A2409="SKU3",C2409+ОТЧЕТ!C2409*0.2,C2409+ОТЧЕТ!C2409*0.15)</f>
        <v>465.75</v>
      </c>
      <c r="F2409" s="7" t="s">
        <v>4666</v>
      </c>
      <c r="G2409" s="7">
        <v>910906054486</v>
      </c>
      <c r="H2409" s="20" t="s">
        <v>50</v>
      </c>
      <c r="I2409" s="22" t="str">
        <f>INDEX('Справочник Сети'!B:B,(MATCH(G2409,'Справочник Сети'!C:C,0)))</f>
        <v>Ригла</v>
      </c>
      <c r="J2409" s="7" t="s">
        <v>322</v>
      </c>
      <c r="K2409" s="7" t="s">
        <v>2218</v>
      </c>
      <c r="L2409" s="7" t="s">
        <v>322</v>
      </c>
      <c r="M2409" s="31">
        <v>45658</v>
      </c>
      <c r="N2409" s="7" t="s">
        <v>4673</v>
      </c>
      <c r="O2409" s="8">
        <v>1359</v>
      </c>
      <c r="P2409" s="24">
        <v>8912</v>
      </c>
      <c r="Q2409" s="22">
        <f>IF(COUNTIFS(A$2:A2409,A2409,I$2:I2409,I2409)=1,1,0)</f>
        <v>0</v>
      </c>
      <c r="R2409" s="22">
        <f t="shared" si="37"/>
        <v>5</v>
      </c>
      <c r="S2409" s="33">
        <f>IF(COUNTIF(O$2:O2409,O2409)=1,R2409,0)/2.5</f>
        <v>0</v>
      </c>
    </row>
    <row r="2410" spans="1:19" ht="18" customHeight="1" x14ac:dyDescent="0.25">
      <c r="A2410" s="7" t="s">
        <v>37</v>
      </c>
      <c r="B2410" s="8">
        <v>1</v>
      </c>
      <c r="C2410" s="9">
        <v>582</v>
      </c>
      <c r="D2410" s="29">
        <f>C2410+IF(INDEX('Справочник по %'!B:B,(MATCH(A2410,'Справочник по %'!A:A,0)))="кол-во",B2410*INDEX('Справочник по %'!C:C,(MATCH(A2410,'Справочник по %'!A:A,0))),ОТЧЕТ!C2410*INDEX('Справочник по %'!C:C,(MATCH(A2410,'Справочник по %'!A:A,0))))/100</f>
        <v>582.20000000000005</v>
      </c>
      <c r="E2410" s="29">
        <f>IF(ОТЧЕТ!A2410="SKU3",C2410+ОТЧЕТ!C2410*0.2,C2410+ОТЧЕТ!C2410*0.15)</f>
        <v>669.3</v>
      </c>
      <c r="F2410" s="7" t="s">
        <v>4674</v>
      </c>
      <c r="G2410" s="7">
        <v>2227005590</v>
      </c>
      <c r="H2410" s="20" t="s">
        <v>1483</v>
      </c>
      <c r="I2410" s="22" t="str">
        <f>INDEX('Справочник Сети'!B:B,(MATCH(G2410,'Справочник Сети'!C:C,0)))</f>
        <v>Нео-фарм</v>
      </c>
      <c r="J2410" s="7" t="s">
        <v>372</v>
      </c>
      <c r="K2410" s="7" t="s">
        <v>75</v>
      </c>
      <c r="L2410" s="7" t="s">
        <v>372</v>
      </c>
      <c r="M2410" s="31">
        <v>45730</v>
      </c>
      <c r="N2410" s="7" t="s">
        <v>4675</v>
      </c>
      <c r="O2410" s="8">
        <v>2314</v>
      </c>
      <c r="P2410" s="24">
        <v>8917</v>
      </c>
      <c r="Q2410" s="22">
        <f>IF(COUNTIFS(A$2:A2410,A2410,I$2:I2410,I2410)=1,1,0)</f>
        <v>0</v>
      </c>
      <c r="R2410" s="22">
        <f t="shared" si="37"/>
        <v>2</v>
      </c>
      <c r="S2410" s="33">
        <f>IF(COUNTIF(O$2:O2410,O2410)=1,R2410,0)/2.5</f>
        <v>0</v>
      </c>
    </row>
    <row r="2411" spans="1:19" ht="18" customHeight="1" x14ac:dyDescent="0.25">
      <c r="A2411" s="7" t="s">
        <v>43</v>
      </c>
      <c r="B2411" s="8">
        <v>1</v>
      </c>
      <c r="C2411" s="9">
        <v>441</v>
      </c>
      <c r="D2411" s="29">
        <f>C2411+IF(INDEX('Справочник по %'!B:B,(MATCH(A2411,'Справочник по %'!A:A,0)))="кол-во",B2411*INDEX('Справочник по %'!C:C,(MATCH(A2411,'Справочник по %'!A:A,0))),ОТЧЕТ!C2411*INDEX('Справочник по %'!C:C,(MATCH(A2411,'Справочник по %'!A:A,0))))/100</f>
        <v>485.1</v>
      </c>
      <c r="E2411" s="29">
        <f>IF(ОТЧЕТ!A2411="SKU3",C2411+ОТЧЕТ!C2411*0.2,C2411+ОТЧЕТ!C2411*0.15)</f>
        <v>507.15</v>
      </c>
      <c r="F2411" s="7" t="s">
        <v>4674</v>
      </c>
      <c r="G2411" s="7">
        <v>6673189456</v>
      </c>
      <c r="H2411" s="20" t="s">
        <v>132</v>
      </c>
      <c r="I2411" s="22" t="str">
        <f>INDEX('Справочник Сети'!B:B,(MATCH(G2411,'Справочник Сети'!C:C,0)))</f>
        <v>Столички</v>
      </c>
      <c r="J2411" s="7" t="s">
        <v>133</v>
      </c>
      <c r="K2411" s="7" t="s">
        <v>1063</v>
      </c>
      <c r="L2411" s="7" t="s">
        <v>133</v>
      </c>
      <c r="M2411" s="31">
        <v>45695</v>
      </c>
      <c r="N2411" s="7" t="s">
        <v>4676</v>
      </c>
      <c r="O2411" s="8">
        <v>574</v>
      </c>
      <c r="P2411" s="24">
        <v>8920</v>
      </c>
      <c r="Q2411" s="22">
        <f>IF(COUNTIFS(A$2:A2411,A2411,I$2:I2411,I2411)=1,1,0)</f>
        <v>0</v>
      </c>
      <c r="R2411" s="22">
        <f t="shared" si="37"/>
        <v>1</v>
      </c>
      <c r="S2411" s="33">
        <f>IF(COUNTIF(O$2:O2411,O2411)=1,R2411,0)/2.5</f>
        <v>0.4</v>
      </c>
    </row>
    <row r="2412" spans="1:19" ht="18" customHeight="1" x14ac:dyDescent="0.25">
      <c r="A2412" s="7" t="s">
        <v>37</v>
      </c>
      <c r="B2412" s="8">
        <v>1</v>
      </c>
      <c r="C2412" s="9">
        <v>542</v>
      </c>
      <c r="D2412" s="29">
        <f>C2412+IF(INDEX('Справочник по %'!B:B,(MATCH(A2412,'Справочник по %'!A:A,0)))="кол-во",B2412*INDEX('Справочник по %'!C:C,(MATCH(A2412,'Справочник по %'!A:A,0))),ОТЧЕТ!C2412*INDEX('Справочник по %'!C:C,(MATCH(A2412,'Справочник по %'!A:A,0))))/100</f>
        <v>542.20000000000005</v>
      </c>
      <c r="E2412" s="29">
        <f>IF(ОТЧЕТ!A2412="SKU3",C2412+ОТЧЕТ!C2412*0.2,C2412+ОТЧЕТ!C2412*0.15)</f>
        <v>623.29999999999995</v>
      </c>
      <c r="F2412" s="7" t="s">
        <v>4674</v>
      </c>
      <c r="G2412" s="7">
        <v>7706795062</v>
      </c>
      <c r="H2412" s="20" t="s">
        <v>1801</v>
      </c>
      <c r="I2412" s="22" t="str">
        <f>INDEX('Справочник Сети'!B:B,(MATCH(G2412,'Справочник Сети'!C:C,0)))</f>
        <v>Планета здоровья</v>
      </c>
      <c r="J2412" s="7" t="s">
        <v>87</v>
      </c>
      <c r="K2412" s="7" t="s">
        <v>1077</v>
      </c>
      <c r="L2412" s="7" t="s">
        <v>87</v>
      </c>
      <c r="M2412" s="31">
        <v>45691</v>
      </c>
      <c r="N2412" s="7" t="s">
        <v>4677</v>
      </c>
      <c r="O2412" s="8">
        <v>3371</v>
      </c>
      <c r="P2412" s="24">
        <v>8921</v>
      </c>
      <c r="Q2412" s="22">
        <f>IF(COUNTIFS(A$2:A2412,A2412,I$2:I2412,I2412)=1,1,0)</f>
        <v>0</v>
      </c>
      <c r="R2412" s="22">
        <f t="shared" si="37"/>
        <v>5</v>
      </c>
      <c r="S2412" s="33">
        <f>IF(COUNTIF(O$2:O2412,O2412)=1,R2412,0)/2.5</f>
        <v>0</v>
      </c>
    </row>
    <row r="2413" spans="1:19" ht="18" customHeight="1" x14ac:dyDescent="0.25">
      <c r="A2413" s="7" t="s">
        <v>43</v>
      </c>
      <c r="B2413" s="8">
        <v>1</v>
      </c>
      <c r="C2413" s="9">
        <v>366</v>
      </c>
      <c r="D2413" s="29">
        <f>C2413+IF(INDEX('Справочник по %'!B:B,(MATCH(A2413,'Справочник по %'!A:A,0)))="кол-во",B2413*INDEX('Справочник по %'!C:C,(MATCH(A2413,'Справочник по %'!A:A,0))),ОТЧЕТ!C2413*INDEX('Справочник по %'!C:C,(MATCH(A2413,'Справочник по %'!A:A,0))))/100</f>
        <v>402.6</v>
      </c>
      <c r="E2413" s="29">
        <f>IF(ОТЧЕТ!A2413="SKU3",C2413+ОТЧЕТ!C2413*0.2,C2413+ОТЧЕТ!C2413*0.15)</f>
        <v>420.9</v>
      </c>
      <c r="F2413" s="7" t="s">
        <v>4674</v>
      </c>
      <c r="G2413" s="7">
        <v>7020028423</v>
      </c>
      <c r="H2413" s="20" t="s">
        <v>2972</v>
      </c>
      <c r="I2413" s="22" t="str">
        <f>INDEX('Справочник Сети'!B:B,(MATCH(G2413,'Справочник Сети'!C:C,0)))</f>
        <v>36,6</v>
      </c>
      <c r="J2413" s="7" t="s">
        <v>106</v>
      </c>
      <c r="K2413" s="7" t="s">
        <v>75</v>
      </c>
      <c r="L2413" s="7" t="s">
        <v>106</v>
      </c>
      <c r="M2413" s="31">
        <v>45694</v>
      </c>
      <c r="N2413" s="7" t="s">
        <v>4678</v>
      </c>
      <c r="O2413" s="8">
        <v>1328</v>
      </c>
      <c r="P2413" s="24">
        <v>8922</v>
      </c>
      <c r="Q2413" s="22">
        <f>IF(COUNTIFS(A$2:A2413,A2413,I$2:I2413,I2413)=1,1,0)</f>
        <v>0</v>
      </c>
      <c r="R2413" s="22">
        <f t="shared" si="37"/>
        <v>2</v>
      </c>
      <c r="S2413" s="33">
        <f>IF(COUNTIF(O$2:O2413,O2413)=1,R2413,0)/2.5</f>
        <v>0</v>
      </c>
    </row>
    <row r="2414" spans="1:19" ht="18" customHeight="1" x14ac:dyDescent="0.25">
      <c r="A2414" s="7" t="s">
        <v>43</v>
      </c>
      <c r="B2414" s="8">
        <v>1</v>
      </c>
      <c r="C2414" s="9">
        <v>544.92999999999995</v>
      </c>
      <c r="D2414" s="29">
        <f>C2414+IF(INDEX('Справочник по %'!B:B,(MATCH(A2414,'Справочник по %'!A:A,0)))="кол-во",B2414*INDEX('Справочник по %'!C:C,(MATCH(A2414,'Справочник по %'!A:A,0))),ОТЧЕТ!C2414*INDEX('Справочник по %'!C:C,(MATCH(A2414,'Справочник по %'!A:A,0))))/100</f>
        <v>599.423</v>
      </c>
      <c r="E2414" s="29">
        <f>IF(ОТЧЕТ!A2414="SKU3",C2414+ОТЧЕТ!C2414*0.2,C2414+ОТЧЕТ!C2414*0.15)</f>
        <v>626.66949999999997</v>
      </c>
      <c r="F2414" s="7" t="s">
        <v>4679</v>
      </c>
      <c r="G2414" s="7">
        <v>2722045484</v>
      </c>
      <c r="H2414" s="20" t="s">
        <v>50</v>
      </c>
      <c r="I2414" s="22">
        <f>INDEX('Справочник Сети'!B:B,(MATCH(G2414,'Справочник Сети'!C:C,0)))</f>
        <v>0</v>
      </c>
      <c r="J2414" s="7" t="s">
        <v>51</v>
      </c>
      <c r="K2414" s="7" t="s">
        <v>1293</v>
      </c>
      <c r="L2414" s="7" t="s">
        <v>46</v>
      </c>
      <c r="M2414" s="31">
        <v>45726</v>
      </c>
      <c r="N2414" s="7" t="s">
        <v>4680</v>
      </c>
      <c r="O2414" s="8">
        <v>3290</v>
      </c>
      <c r="P2414" s="24">
        <v>8936</v>
      </c>
      <c r="Q2414" s="22">
        <f>IF(COUNTIFS(A$2:A2414,A2414,I$2:I2414,I2414)=1,1,0)</f>
        <v>0</v>
      </c>
      <c r="R2414" s="22">
        <f t="shared" si="37"/>
        <v>1</v>
      </c>
      <c r="S2414" s="33">
        <f>IF(COUNTIF(O$2:O2414,O2414)=1,R2414,0)/2.5</f>
        <v>0.4</v>
      </c>
    </row>
    <row r="2415" spans="1:19" ht="18" customHeight="1" x14ac:dyDescent="0.25">
      <c r="A2415" s="7" t="s">
        <v>43</v>
      </c>
      <c r="B2415" s="8">
        <v>1</v>
      </c>
      <c r="C2415" s="9">
        <v>372</v>
      </c>
      <c r="D2415" s="29">
        <f>C2415+IF(INDEX('Справочник по %'!B:B,(MATCH(A2415,'Справочник по %'!A:A,0)))="кол-во",B2415*INDEX('Справочник по %'!C:C,(MATCH(A2415,'Справочник по %'!A:A,0))),ОТЧЕТ!C2415*INDEX('Справочник по %'!C:C,(MATCH(A2415,'Справочник по %'!A:A,0))))/100</f>
        <v>409.2</v>
      </c>
      <c r="E2415" s="29">
        <f>IF(ОТЧЕТ!A2415="SKU3",C2415+ОТЧЕТ!C2415*0.2,C2415+ОТЧЕТ!C2415*0.15)</f>
        <v>427.8</v>
      </c>
      <c r="F2415" s="7" t="s">
        <v>4681</v>
      </c>
      <c r="G2415" s="7">
        <v>7728339546</v>
      </c>
      <c r="H2415" s="20" t="s">
        <v>2274</v>
      </c>
      <c r="I2415" s="22" t="str">
        <f>INDEX('Справочник Сети'!B:B,(MATCH(G2415,'Справочник Сети'!C:C,0)))</f>
        <v>Планета здоровья</v>
      </c>
      <c r="J2415" s="7" t="s">
        <v>142</v>
      </c>
      <c r="K2415" s="7" t="s">
        <v>632</v>
      </c>
      <c r="L2415" s="7" t="s">
        <v>142</v>
      </c>
      <c r="M2415" s="31">
        <v>45674</v>
      </c>
      <c r="N2415" s="7" t="s">
        <v>4682</v>
      </c>
      <c r="O2415" s="8">
        <v>896</v>
      </c>
      <c r="P2415" s="24">
        <v>8938</v>
      </c>
      <c r="Q2415" s="22">
        <f>IF(COUNTIFS(A$2:A2415,A2415,I$2:I2415,I2415)=1,1,0)</f>
        <v>0</v>
      </c>
      <c r="R2415" s="22">
        <f t="shared" si="37"/>
        <v>2</v>
      </c>
      <c r="S2415" s="33">
        <f>IF(COUNTIF(O$2:O2415,O2415)=1,R2415,0)/2.5</f>
        <v>0.8</v>
      </c>
    </row>
    <row r="2416" spans="1:19" ht="18" customHeight="1" x14ac:dyDescent="0.25">
      <c r="A2416" s="7" t="s">
        <v>43</v>
      </c>
      <c r="B2416" s="8">
        <v>1</v>
      </c>
      <c r="C2416" s="9">
        <v>372</v>
      </c>
      <c r="D2416" s="29">
        <f>C2416+IF(INDEX('Справочник по %'!B:B,(MATCH(A2416,'Справочник по %'!A:A,0)))="кол-во",B2416*INDEX('Справочник по %'!C:C,(MATCH(A2416,'Справочник по %'!A:A,0))),ОТЧЕТ!C2416*INDEX('Справочник по %'!C:C,(MATCH(A2416,'Справочник по %'!A:A,0))))/100</f>
        <v>409.2</v>
      </c>
      <c r="E2416" s="29">
        <f>IF(ОТЧЕТ!A2416="SKU3",C2416+ОТЧЕТ!C2416*0.2,C2416+ОТЧЕТ!C2416*0.15)</f>
        <v>427.8</v>
      </c>
      <c r="F2416" s="7" t="s">
        <v>4681</v>
      </c>
      <c r="G2416" s="7">
        <v>7728339546</v>
      </c>
      <c r="H2416" s="20" t="s">
        <v>2274</v>
      </c>
      <c r="I2416" s="22" t="str">
        <f>INDEX('Справочник Сети'!B:B,(MATCH(G2416,'Справочник Сети'!C:C,0)))</f>
        <v>Планета здоровья</v>
      </c>
      <c r="J2416" s="7" t="s">
        <v>142</v>
      </c>
      <c r="K2416" s="7" t="s">
        <v>632</v>
      </c>
      <c r="L2416" s="7" t="s">
        <v>142</v>
      </c>
      <c r="M2416" s="31">
        <v>45674</v>
      </c>
      <c r="N2416" s="7" t="s">
        <v>4682</v>
      </c>
      <c r="O2416" s="8">
        <v>896</v>
      </c>
      <c r="P2416" s="24">
        <v>8938</v>
      </c>
      <c r="Q2416" s="22">
        <f>IF(COUNTIFS(A$2:A2416,A2416,I$2:I2416,I2416)=1,1,0)</f>
        <v>0</v>
      </c>
      <c r="R2416" s="22">
        <f t="shared" si="37"/>
        <v>2</v>
      </c>
      <c r="S2416" s="33">
        <f>IF(COUNTIF(O$2:O2416,O2416)=1,R2416,0)/2.5</f>
        <v>0</v>
      </c>
    </row>
    <row r="2417" spans="1:19" ht="18" customHeight="1" x14ac:dyDescent="0.25">
      <c r="A2417" s="7" t="s">
        <v>43</v>
      </c>
      <c r="B2417" s="8">
        <v>1</v>
      </c>
      <c r="C2417" s="9">
        <v>399</v>
      </c>
      <c r="D2417" s="29">
        <f>C2417+IF(INDEX('Справочник по %'!B:B,(MATCH(A2417,'Справочник по %'!A:A,0)))="кол-во",B2417*INDEX('Справочник по %'!C:C,(MATCH(A2417,'Справочник по %'!A:A,0))),ОТЧЕТ!C2417*INDEX('Справочник по %'!C:C,(MATCH(A2417,'Справочник по %'!A:A,0))))/100</f>
        <v>438.9</v>
      </c>
      <c r="E2417" s="29">
        <f>IF(ОТЧЕТ!A2417="SKU3",C2417+ОТЧЕТ!C2417*0.2,C2417+ОТЧЕТ!C2417*0.15)</f>
        <v>458.85</v>
      </c>
      <c r="F2417" s="7" t="s">
        <v>4683</v>
      </c>
      <c r="G2417" s="7">
        <v>7814443325</v>
      </c>
      <c r="H2417" s="20" t="s">
        <v>50</v>
      </c>
      <c r="I2417" s="22" t="str">
        <f>INDEX('Справочник Сети'!B:B,(MATCH(G2417,'Справочник Сети'!C:C,0)))</f>
        <v>Планета здоровья</v>
      </c>
      <c r="J2417" s="7" t="s">
        <v>121</v>
      </c>
      <c r="K2417" s="7" t="s">
        <v>1101</v>
      </c>
      <c r="L2417" s="7" t="s">
        <v>121</v>
      </c>
      <c r="M2417" s="31">
        <v>45671</v>
      </c>
      <c r="N2417" s="7" t="s">
        <v>4684</v>
      </c>
      <c r="O2417" s="8">
        <v>38</v>
      </c>
      <c r="P2417" s="24">
        <v>8940</v>
      </c>
      <c r="Q2417" s="22">
        <f>IF(COUNTIFS(A$2:A2417,A2417,I$2:I2417,I2417)=1,1,0)</f>
        <v>0</v>
      </c>
      <c r="R2417" s="22">
        <f t="shared" si="37"/>
        <v>3</v>
      </c>
      <c r="S2417" s="33">
        <f>IF(COUNTIF(O$2:O2417,O2417)=1,R2417,0)/2.5</f>
        <v>0</v>
      </c>
    </row>
    <row r="2418" spans="1:19" ht="18" customHeight="1" x14ac:dyDescent="0.25">
      <c r="A2418" s="7" t="s">
        <v>43</v>
      </c>
      <c r="B2418" s="8">
        <v>1</v>
      </c>
      <c r="C2418" s="9">
        <v>450</v>
      </c>
      <c r="D2418" s="29">
        <f>C2418+IF(INDEX('Справочник по %'!B:B,(MATCH(A2418,'Справочник по %'!A:A,0)))="кол-во",B2418*INDEX('Справочник по %'!C:C,(MATCH(A2418,'Справочник по %'!A:A,0))),ОТЧЕТ!C2418*INDEX('Справочник по %'!C:C,(MATCH(A2418,'Справочник по %'!A:A,0))))/100</f>
        <v>495</v>
      </c>
      <c r="E2418" s="29">
        <f>IF(ОТЧЕТ!A2418="SKU3",C2418+ОТЧЕТ!C2418*0.2,C2418+ОТЧЕТ!C2418*0.15)</f>
        <v>517.5</v>
      </c>
      <c r="F2418" s="7" t="s">
        <v>4683</v>
      </c>
      <c r="G2418" s="7">
        <v>2334024822</v>
      </c>
      <c r="H2418" s="20" t="s">
        <v>50</v>
      </c>
      <c r="I2418" s="22">
        <f>INDEX('Справочник Сети'!B:B,(MATCH(G2418,'Справочник Сети'!C:C,0)))</f>
        <v>0</v>
      </c>
      <c r="J2418" s="7" t="s">
        <v>96</v>
      </c>
      <c r="K2418" s="7" t="s">
        <v>4116</v>
      </c>
      <c r="L2418" s="7" t="s">
        <v>70</v>
      </c>
      <c r="M2418" s="31">
        <v>45728</v>
      </c>
      <c r="N2418" s="7" t="s">
        <v>4685</v>
      </c>
      <c r="O2418" s="8">
        <v>1514</v>
      </c>
      <c r="P2418" s="24">
        <v>8941</v>
      </c>
      <c r="Q2418" s="22">
        <f>IF(COUNTIFS(A$2:A2418,A2418,I$2:I2418,I2418)=1,1,0)</f>
        <v>0</v>
      </c>
      <c r="R2418" s="22">
        <f t="shared" si="37"/>
        <v>1</v>
      </c>
      <c r="S2418" s="33">
        <f>IF(COUNTIF(O$2:O2418,O2418)=1,R2418,0)/2.5</f>
        <v>0.4</v>
      </c>
    </row>
    <row r="2419" spans="1:19" ht="18" customHeight="1" x14ac:dyDescent="0.25">
      <c r="A2419" s="7" t="s">
        <v>43</v>
      </c>
      <c r="B2419" s="8">
        <v>1</v>
      </c>
      <c r="C2419" s="9">
        <v>432.9</v>
      </c>
      <c r="D2419" s="29">
        <f>C2419+IF(INDEX('Справочник по %'!B:B,(MATCH(A2419,'Справочник по %'!A:A,0)))="кол-во",B2419*INDEX('Справочник по %'!C:C,(MATCH(A2419,'Справочник по %'!A:A,0))),ОТЧЕТ!C2419*INDEX('Справочник по %'!C:C,(MATCH(A2419,'Справочник по %'!A:A,0))))/100</f>
        <v>476.19</v>
      </c>
      <c r="E2419" s="29">
        <f>IF(ОТЧЕТ!A2419="SKU3",C2419+ОТЧЕТ!C2419*0.2,C2419+ОТЧЕТ!C2419*0.15)</f>
        <v>497.83499999999998</v>
      </c>
      <c r="F2419" s="7" t="s">
        <v>4686</v>
      </c>
      <c r="G2419" s="7">
        <v>7840411560</v>
      </c>
      <c r="H2419" s="20" t="s">
        <v>3559</v>
      </c>
      <c r="I2419" s="22" t="str">
        <f>INDEX('Справочник Сети'!B:B,(MATCH(G2419,'Справочник Сети'!C:C,0)))</f>
        <v>Столички</v>
      </c>
      <c r="J2419" s="7" t="s">
        <v>315</v>
      </c>
      <c r="K2419" s="7" t="s">
        <v>1205</v>
      </c>
      <c r="L2419" s="7" t="s">
        <v>315</v>
      </c>
      <c r="M2419" s="31">
        <v>45670</v>
      </c>
      <c r="N2419" s="7" t="s">
        <v>4687</v>
      </c>
      <c r="O2419" s="8">
        <v>1402</v>
      </c>
      <c r="P2419" s="24">
        <v>8942</v>
      </c>
      <c r="Q2419" s="22">
        <f>IF(COUNTIFS(A$2:A2419,A2419,I$2:I2419,I2419)=1,1,0)</f>
        <v>0</v>
      </c>
      <c r="R2419" s="22">
        <f t="shared" si="37"/>
        <v>2</v>
      </c>
      <c r="S2419" s="33">
        <f>IF(COUNTIF(O$2:O2419,O2419)=1,R2419,0)/2.5</f>
        <v>0</v>
      </c>
    </row>
    <row r="2420" spans="1:19" ht="18" customHeight="1" x14ac:dyDescent="0.25">
      <c r="A2420" s="7" t="s">
        <v>43</v>
      </c>
      <c r="B2420" s="8">
        <v>1</v>
      </c>
      <c r="C2420" s="9">
        <v>382.8</v>
      </c>
      <c r="D2420" s="29">
        <f>C2420+IF(INDEX('Справочник по %'!B:B,(MATCH(A2420,'Справочник по %'!A:A,0)))="кол-во",B2420*INDEX('Справочник по %'!C:C,(MATCH(A2420,'Справочник по %'!A:A,0))),ОТЧЕТ!C2420*INDEX('Справочник по %'!C:C,(MATCH(A2420,'Справочник по %'!A:A,0))))/100</f>
        <v>421.08000000000004</v>
      </c>
      <c r="E2420" s="29">
        <f>IF(ОТЧЕТ!A2420="SKU3",C2420+ОТЧЕТ!C2420*0.2,C2420+ОТЧЕТ!C2420*0.15)</f>
        <v>440.22</v>
      </c>
      <c r="F2420" s="7" t="s">
        <v>4688</v>
      </c>
      <c r="G2420" s="7">
        <v>2310052764</v>
      </c>
      <c r="H2420" s="20" t="s">
        <v>1528</v>
      </c>
      <c r="I2420" s="22" t="str">
        <f>INDEX('Справочник Сети'!B:B,(MATCH(G2420,'Справочник Сети'!C:C,0)))</f>
        <v>Планета здоровья</v>
      </c>
      <c r="J2420" s="7" t="s">
        <v>57</v>
      </c>
      <c r="K2420" s="7" t="s">
        <v>212</v>
      </c>
      <c r="L2420" s="7" t="s">
        <v>57</v>
      </c>
      <c r="M2420" s="31">
        <v>45729</v>
      </c>
      <c r="N2420" s="7" t="s">
        <v>4689</v>
      </c>
      <c r="O2420" s="8">
        <v>3518</v>
      </c>
      <c r="P2420" s="24">
        <v>8944</v>
      </c>
      <c r="Q2420" s="22">
        <f>IF(COUNTIFS(A$2:A2420,A2420,I$2:I2420,I2420)=1,1,0)</f>
        <v>0</v>
      </c>
      <c r="R2420" s="22">
        <f t="shared" si="37"/>
        <v>2</v>
      </c>
      <c r="S2420" s="33">
        <f>IF(COUNTIF(O$2:O2420,O2420)=1,R2420,0)/2.5</f>
        <v>0</v>
      </c>
    </row>
    <row r="2421" spans="1:19" ht="18" customHeight="1" x14ac:dyDescent="0.25">
      <c r="A2421" s="7" t="s">
        <v>37</v>
      </c>
      <c r="B2421" s="8">
        <v>1</v>
      </c>
      <c r="C2421" s="9">
        <v>592</v>
      </c>
      <c r="D2421" s="29">
        <f>C2421+IF(INDEX('Справочник по %'!B:B,(MATCH(A2421,'Справочник по %'!A:A,0)))="кол-во",B2421*INDEX('Справочник по %'!C:C,(MATCH(A2421,'Справочник по %'!A:A,0))),ОТЧЕТ!C2421*INDEX('Справочник по %'!C:C,(MATCH(A2421,'Справочник по %'!A:A,0))))/100</f>
        <v>592.20000000000005</v>
      </c>
      <c r="E2421" s="29">
        <f>IF(ОТЧЕТ!A2421="SKU3",C2421+ОТЧЕТ!C2421*0.2,C2421+ОТЧЕТ!C2421*0.15)</f>
        <v>680.8</v>
      </c>
      <c r="F2421" s="7" t="s">
        <v>4690</v>
      </c>
      <c r="G2421" s="7">
        <v>7204146152</v>
      </c>
      <c r="H2421" s="20" t="s">
        <v>103</v>
      </c>
      <c r="I2421" s="22" t="str">
        <f>INDEX('Справочник Сети'!B:B,(MATCH(G2421,'Справочник Сети'!C:C,0)))</f>
        <v>36,6</v>
      </c>
      <c r="J2421" s="7" t="s">
        <v>104</v>
      </c>
      <c r="K2421" s="7" t="s">
        <v>3545</v>
      </c>
      <c r="L2421" s="7" t="s">
        <v>106</v>
      </c>
      <c r="M2421" s="31">
        <v>45694</v>
      </c>
      <c r="N2421" s="7" t="s">
        <v>4691</v>
      </c>
      <c r="O2421" s="8">
        <v>1072</v>
      </c>
      <c r="P2421" s="24">
        <v>8945</v>
      </c>
      <c r="Q2421" s="22">
        <f>IF(COUNTIFS(A$2:A2421,A2421,I$2:I2421,I2421)=1,1,0)</f>
        <v>0</v>
      </c>
      <c r="R2421" s="22">
        <f t="shared" si="37"/>
        <v>4</v>
      </c>
      <c r="S2421" s="33">
        <f>IF(COUNTIF(O$2:O2421,O2421)=1,R2421,0)/2.5</f>
        <v>0</v>
      </c>
    </row>
    <row r="2422" spans="1:19" ht="18" customHeight="1" x14ac:dyDescent="0.25">
      <c r="A2422" s="7" t="s">
        <v>37</v>
      </c>
      <c r="B2422" s="8">
        <v>1</v>
      </c>
      <c r="C2422" s="9">
        <v>559</v>
      </c>
      <c r="D2422" s="29">
        <f>C2422+IF(INDEX('Справочник по %'!B:B,(MATCH(A2422,'Справочник по %'!A:A,0)))="кол-во",B2422*INDEX('Справочник по %'!C:C,(MATCH(A2422,'Справочник по %'!A:A,0))),ОТЧЕТ!C2422*INDEX('Справочник по %'!C:C,(MATCH(A2422,'Справочник по %'!A:A,0))))/100</f>
        <v>559.20000000000005</v>
      </c>
      <c r="E2422" s="29">
        <f>IF(ОТЧЕТ!A2422="SKU3",C2422+ОТЧЕТ!C2422*0.2,C2422+ОТЧЕТ!C2422*0.15)</f>
        <v>642.85</v>
      </c>
      <c r="F2422" s="7" t="s">
        <v>4692</v>
      </c>
      <c r="G2422" s="7">
        <v>7731334851</v>
      </c>
      <c r="H2422" s="20" t="s">
        <v>865</v>
      </c>
      <c r="I2422" s="22" t="str">
        <f>INDEX('Справочник Сети'!B:B,(MATCH(G2422,'Справочник Сети'!C:C,0)))</f>
        <v>Планета здоровья</v>
      </c>
      <c r="J2422" s="7" t="s">
        <v>142</v>
      </c>
      <c r="K2422" s="7" t="s">
        <v>4693</v>
      </c>
      <c r="L2422" s="7" t="s">
        <v>142</v>
      </c>
      <c r="M2422" s="31">
        <v>45674</v>
      </c>
      <c r="N2422" s="7" t="s">
        <v>4694</v>
      </c>
      <c r="O2422" s="8">
        <v>670</v>
      </c>
      <c r="P2422" s="24">
        <v>8949</v>
      </c>
      <c r="Q2422" s="22">
        <f>IF(COUNTIFS(A$2:A2422,A2422,I$2:I2422,I2422)=1,1,0)</f>
        <v>0</v>
      </c>
      <c r="R2422" s="22">
        <f t="shared" si="37"/>
        <v>1</v>
      </c>
      <c r="S2422" s="33">
        <f>IF(COUNTIF(O$2:O2422,O2422)=1,R2422,0)/2.5</f>
        <v>0.4</v>
      </c>
    </row>
    <row r="2423" spans="1:19" ht="18" customHeight="1" x14ac:dyDescent="0.25">
      <c r="A2423" s="7" t="s">
        <v>43</v>
      </c>
      <c r="B2423" s="8">
        <v>1</v>
      </c>
      <c r="C2423" s="9">
        <v>389</v>
      </c>
      <c r="D2423" s="29">
        <f>C2423+IF(INDEX('Справочник по %'!B:B,(MATCH(A2423,'Справочник по %'!A:A,0)))="кол-во",B2423*INDEX('Справочник по %'!C:C,(MATCH(A2423,'Справочник по %'!A:A,0))),ОТЧЕТ!C2423*INDEX('Справочник по %'!C:C,(MATCH(A2423,'Справочник по %'!A:A,0))))/100</f>
        <v>427.9</v>
      </c>
      <c r="E2423" s="29">
        <f>IF(ОТЧЕТ!A2423="SKU3",C2423+ОТЧЕТ!C2423*0.2,C2423+ОТЧЕТ!C2423*0.15)</f>
        <v>447.35</v>
      </c>
      <c r="F2423" s="7" t="s">
        <v>4692</v>
      </c>
      <c r="G2423" s="7">
        <v>7203473252</v>
      </c>
      <c r="H2423" s="20" t="s">
        <v>3533</v>
      </c>
      <c r="I2423" s="22" t="str">
        <f>INDEX('Справочник Сети'!B:B,(MATCH(G2423,'Справочник Сети'!C:C,0)))</f>
        <v>Столички</v>
      </c>
      <c r="J2423" s="7" t="s">
        <v>106</v>
      </c>
      <c r="K2423" s="7" t="s">
        <v>1985</v>
      </c>
      <c r="L2423" s="7" t="s">
        <v>106</v>
      </c>
      <c r="M2423" s="31">
        <v>45694</v>
      </c>
      <c r="N2423" s="7" t="s">
        <v>4695</v>
      </c>
      <c r="O2423" s="8">
        <v>3067</v>
      </c>
      <c r="P2423" s="24">
        <v>8950</v>
      </c>
      <c r="Q2423" s="22">
        <f>IF(COUNTIFS(A$2:A2423,A2423,I$2:I2423,I2423)=1,1,0)</f>
        <v>0</v>
      </c>
      <c r="R2423" s="22">
        <f t="shared" si="37"/>
        <v>3</v>
      </c>
      <c r="S2423" s="33">
        <f>IF(COUNTIF(O$2:O2423,O2423)=1,R2423,0)/2.5</f>
        <v>0</v>
      </c>
    </row>
    <row r="2424" spans="1:19" ht="18" customHeight="1" x14ac:dyDescent="0.25">
      <c r="A2424" s="7" t="s">
        <v>43</v>
      </c>
      <c r="B2424" s="8">
        <v>1</v>
      </c>
      <c r="C2424" s="9">
        <v>470</v>
      </c>
      <c r="D2424" s="29">
        <f>C2424+IF(INDEX('Справочник по %'!B:B,(MATCH(A2424,'Справочник по %'!A:A,0)))="кол-во",B2424*INDEX('Справочник по %'!C:C,(MATCH(A2424,'Справочник по %'!A:A,0))),ОТЧЕТ!C2424*INDEX('Справочник по %'!C:C,(MATCH(A2424,'Справочник по %'!A:A,0))))/100</f>
        <v>517</v>
      </c>
      <c r="E2424" s="29">
        <f>IF(ОТЧЕТ!A2424="SKU3",C2424+ОТЧЕТ!C2424*0.2,C2424+ОТЧЕТ!C2424*0.15)</f>
        <v>540.5</v>
      </c>
      <c r="F2424" s="7" t="s">
        <v>4692</v>
      </c>
      <c r="G2424" s="7">
        <v>326537584</v>
      </c>
      <c r="H2424" s="20" t="s">
        <v>459</v>
      </c>
      <c r="I2424" s="22" t="str">
        <f>INDEX('Справочник Сети'!B:B,(MATCH(G2424,'Справочник Сети'!C:C,0)))</f>
        <v>Планета здоровья</v>
      </c>
      <c r="J2424" s="7" t="s">
        <v>362</v>
      </c>
      <c r="K2424" s="7" t="s">
        <v>3118</v>
      </c>
      <c r="L2424" s="7" t="s">
        <v>362</v>
      </c>
      <c r="M2424" s="31">
        <v>45732</v>
      </c>
      <c r="N2424" s="7" t="s">
        <v>4696</v>
      </c>
      <c r="O2424" s="8">
        <v>1702</v>
      </c>
      <c r="P2424" s="24">
        <v>8952</v>
      </c>
      <c r="Q2424" s="22">
        <f>IF(COUNTIFS(A$2:A2424,A2424,I$2:I2424,I2424)=1,1,0)</f>
        <v>0</v>
      </c>
      <c r="R2424" s="22">
        <f t="shared" si="37"/>
        <v>9</v>
      </c>
      <c r="S2424" s="33">
        <f>IF(COUNTIF(O$2:O2424,O2424)=1,R2424,0)/2.5</f>
        <v>0</v>
      </c>
    </row>
    <row r="2425" spans="1:19" ht="18" customHeight="1" x14ac:dyDescent="0.25">
      <c r="A2425" s="7" t="s">
        <v>43</v>
      </c>
      <c r="B2425" s="8">
        <v>1</v>
      </c>
      <c r="C2425" s="9">
        <v>378.06</v>
      </c>
      <c r="D2425" s="29">
        <f>C2425+IF(INDEX('Справочник по %'!B:B,(MATCH(A2425,'Справочник по %'!A:A,0)))="кол-во",B2425*INDEX('Справочник по %'!C:C,(MATCH(A2425,'Справочник по %'!A:A,0))),ОТЧЕТ!C2425*INDEX('Справочник по %'!C:C,(MATCH(A2425,'Справочник по %'!A:A,0))))/100</f>
        <v>415.86599999999999</v>
      </c>
      <c r="E2425" s="29">
        <f>IF(ОТЧЕТ!A2425="SKU3",C2425+ОТЧЕТ!C2425*0.2,C2425+ОТЧЕТ!C2425*0.15)</f>
        <v>434.76900000000001</v>
      </c>
      <c r="F2425" s="7" t="s">
        <v>4697</v>
      </c>
      <c r="G2425" s="7">
        <v>5904196645</v>
      </c>
      <c r="H2425" s="20" t="s">
        <v>4698</v>
      </c>
      <c r="I2425" s="22" t="str">
        <f>INDEX('Справочник Сети'!B:B,(MATCH(G2425,'Справочник Сети'!C:C,0)))</f>
        <v>36,6</v>
      </c>
      <c r="J2425" s="7" t="s">
        <v>40</v>
      </c>
      <c r="K2425" s="7" t="s">
        <v>189</v>
      </c>
      <c r="L2425" s="7" t="s">
        <v>40</v>
      </c>
      <c r="M2425" s="31">
        <v>45712</v>
      </c>
      <c r="N2425" s="7" t="s">
        <v>4699</v>
      </c>
      <c r="O2425" s="8">
        <v>80</v>
      </c>
      <c r="P2425" s="24">
        <v>8957</v>
      </c>
      <c r="Q2425" s="22">
        <f>IF(COUNTIFS(A$2:A2425,A2425,I$2:I2425,I2425)=1,1,0)</f>
        <v>0</v>
      </c>
      <c r="R2425" s="22">
        <f t="shared" si="37"/>
        <v>1</v>
      </c>
      <c r="S2425" s="33">
        <f>IF(COUNTIF(O$2:O2425,O2425)=1,R2425,0)/2.5</f>
        <v>0.4</v>
      </c>
    </row>
    <row r="2426" spans="1:19" ht="18" customHeight="1" x14ac:dyDescent="0.25">
      <c r="A2426" s="7" t="s">
        <v>37</v>
      </c>
      <c r="B2426" s="8">
        <v>1</v>
      </c>
      <c r="C2426" s="9">
        <v>560</v>
      </c>
      <c r="D2426" s="29">
        <f>C2426+IF(INDEX('Справочник по %'!B:B,(MATCH(A2426,'Справочник по %'!A:A,0)))="кол-во",B2426*INDEX('Справочник по %'!C:C,(MATCH(A2426,'Справочник по %'!A:A,0))),ОТЧЕТ!C2426*INDEX('Справочник по %'!C:C,(MATCH(A2426,'Справочник по %'!A:A,0))))/100</f>
        <v>560.20000000000005</v>
      </c>
      <c r="E2426" s="29">
        <f>IF(ОТЧЕТ!A2426="SKU3",C2426+ОТЧЕТ!C2426*0.2,C2426+ОТЧЕТ!C2426*0.15)</f>
        <v>644</v>
      </c>
      <c r="F2426" s="7" t="s">
        <v>4697</v>
      </c>
      <c r="G2426" s="7">
        <v>2225105670</v>
      </c>
      <c r="H2426" s="20" t="s">
        <v>69</v>
      </c>
      <c r="I2426" s="22" t="str">
        <f>INDEX('Справочник Сети'!B:B,(MATCH(G2426,'Справочник Сети'!C:C,0)))</f>
        <v>Столички</v>
      </c>
      <c r="J2426" s="7" t="s">
        <v>372</v>
      </c>
      <c r="K2426" s="7" t="s">
        <v>732</v>
      </c>
      <c r="L2426" s="7" t="s">
        <v>372</v>
      </c>
      <c r="M2426" s="31">
        <v>45730</v>
      </c>
      <c r="N2426" s="7" t="s">
        <v>4700</v>
      </c>
      <c r="O2426" s="8">
        <v>1188</v>
      </c>
      <c r="P2426" s="24">
        <v>8958</v>
      </c>
      <c r="Q2426" s="22">
        <f>IF(COUNTIFS(A$2:A2426,A2426,I$2:I2426,I2426)=1,1,0)</f>
        <v>0</v>
      </c>
      <c r="R2426" s="22">
        <f t="shared" si="37"/>
        <v>14</v>
      </c>
      <c r="S2426" s="33">
        <f>IF(COUNTIF(O$2:O2426,O2426)=1,R2426,0)/2.5</f>
        <v>0</v>
      </c>
    </row>
    <row r="2427" spans="1:19" ht="18" customHeight="1" x14ac:dyDescent="0.25">
      <c r="A2427" s="7" t="s">
        <v>43</v>
      </c>
      <c r="B2427" s="8">
        <v>1</v>
      </c>
      <c r="C2427" s="9">
        <v>400</v>
      </c>
      <c r="D2427" s="29">
        <f>C2427+IF(INDEX('Справочник по %'!B:B,(MATCH(A2427,'Справочник по %'!A:A,0)))="кол-во",B2427*INDEX('Справочник по %'!C:C,(MATCH(A2427,'Справочник по %'!A:A,0))),ОТЧЕТ!C2427*INDEX('Справочник по %'!C:C,(MATCH(A2427,'Справочник по %'!A:A,0))))/100</f>
        <v>440</v>
      </c>
      <c r="E2427" s="29">
        <f>IF(ОТЧЕТ!A2427="SKU3",C2427+ОТЧЕТ!C2427*0.2,C2427+ОТЧЕТ!C2427*0.15)</f>
        <v>460</v>
      </c>
      <c r="F2427" s="7" t="s">
        <v>4701</v>
      </c>
      <c r="G2427" s="7">
        <v>2225105670</v>
      </c>
      <c r="H2427" s="20" t="s">
        <v>69</v>
      </c>
      <c r="I2427" s="22" t="str">
        <f>INDEX('Справочник Сети'!B:B,(MATCH(G2427,'Справочник Сети'!C:C,0)))</f>
        <v>Столички</v>
      </c>
      <c r="J2427" s="7" t="s">
        <v>372</v>
      </c>
      <c r="K2427" s="7" t="s">
        <v>3668</v>
      </c>
      <c r="L2427" s="7" t="s">
        <v>372</v>
      </c>
      <c r="M2427" s="31">
        <v>45730</v>
      </c>
      <c r="N2427" s="7" t="s">
        <v>4702</v>
      </c>
      <c r="O2427" s="8">
        <v>1188</v>
      </c>
      <c r="P2427" s="24">
        <v>8964</v>
      </c>
      <c r="Q2427" s="22">
        <f>IF(COUNTIFS(A$2:A2427,A2427,I$2:I2427,I2427)=1,1,0)</f>
        <v>0</v>
      </c>
      <c r="R2427" s="22">
        <f t="shared" si="37"/>
        <v>14</v>
      </c>
      <c r="S2427" s="33">
        <f>IF(COUNTIF(O$2:O2427,O2427)=1,R2427,0)/2.5</f>
        <v>0</v>
      </c>
    </row>
    <row r="2428" spans="1:19" ht="18" customHeight="1" x14ac:dyDescent="0.25">
      <c r="A2428" s="7" t="s">
        <v>43</v>
      </c>
      <c r="B2428" s="8">
        <v>1</v>
      </c>
      <c r="C2428" s="9">
        <v>400</v>
      </c>
      <c r="D2428" s="29">
        <f>C2428+IF(INDEX('Справочник по %'!B:B,(MATCH(A2428,'Справочник по %'!A:A,0)))="кол-во",B2428*INDEX('Справочник по %'!C:C,(MATCH(A2428,'Справочник по %'!A:A,0))),ОТЧЕТ!C2428*INDEX('Справочник по %'!C:C,(MATCH(A2428,'Справочник по %'!A:A,0))))/100</f>
        <v>440</v>
      </c>
      <c r="E2428" s="29">
        <f>IF(ОТЧЕТ!A2428="SKU3",C2428+ОТЧЕТ!C2428*0.2,C2428+ОТЧЕТ!C2428*0.15)</f>
        <v>460</v>
      </c>
      <c r="F2428" s="7" t="s">
        <v>4703</v>
      </c>
      <c r="G2428" s="7">
        <v>2225105670</v>
      </c>
      <c r="H2428" s="20" t="s">
        <v>69</v>
      </c>
      <c r="I2428" s="22" t="str">
        <f>INDEX('Справочник Сети'!B:B,(MATCH(G2428,'Справочник Сети'!C:C,0)))</f>
        <v>Столички</v>
      </c>
      <c r="J2428" s="7" t="s">
        <v>372</v>
      </c>
      <c r="K2428" s="7" t="s">
        <v>555</v>
      </c>
      <c r="L2428" s="7" t="s">
        <v>372</v>
      </c>
      <c r="M2428" s="31">
        <v>45730</v>
      </c>
      <c r="N2428" s="7" t="s">
        <v>4704</v>
      </c>
      <c r="O2428" s="8">
        <v>1188</v>
      </c>
      <c r="P2428" s="24">
        <v>8966</v>
      </c>
      <c r="Q2428" s="22">
        <f>IF(COUNTIFS(A$2:A2428,A2428,I$2:I2428,I2428)=1,1,0)</f>
        <v>0</v>
      </c>
      <c r="R2428" s="22">
        <f t="shared" si="37"/>
        <v>14</v>
      </c>
      <c r="S2428" s="33">
        <f>IF(COUNTIF(O$2:O2428,O2428)=1,R2428,0)/2.5</f>
        <v>0</v>
      </c>
    </row>
    <row r="2429" spans="1:19" ht="18" customHeight="1" x14ac:dyDescent="0.25">
      <c r="A2429" s="7" t="s">
        <v>43</v>
      </c>
      <c r="B2429" s="8">
        <v>1</v>
      </c>
      <c r="C2429" s="9">
        <v>435.5</v>
      </c>
      <c r="D2429" s="29">
        <f>C2429+IF(INDEX('Справочник по %'!B:B,(MATCH(A2429,'Справочник по %'!A:A,0)))="кол-во",B2429*INDEX('Справочник по %'!C:C,(MATCH(A2429,'Справочник по %'!A:A,0))),ОТЧЕТ!C2429*INDEX('Справочник по %'!C:C,(MATCH(A2429,'Справочник по %'!A:A,0))))/100</f>
        <v>479.05</v>
      </c>
      <c r="E2429" s="29">
        <f>IF(ОТЧЕТ!A2429="SKU3",C2429+ОТЧЕТ!C2429*0.2,C2429+ОТЧЕТ!C2429*0.15)</f>
        <v>500.82499999999999</v>
      </c>
      <c r="F2429" s="7" t="s">
        <v>4703</v>
      </c>
      <c r="G2429" s="7">
        <v>6722000089</v>
      </c>
      <c r="H2429" s="20" t="s">
        <v>50</v>
      </c>
      <c r="I2429" s="22">
        <f>INDEX('Справочник Сети'!B:B,(MATCH(G2429,'Справочник Сети'!C:C,0)))</f>
        <v>0</v>
      </c>
      <c r="J2429" s="7" t="s">
        <v>106</v>
      </c>
      <c r="K2429" s="7" t="s">
        <v>2209</v>
      </c>
      <c r="L2429" s="7" t="s">
        <v>106</v>
      </c>
      <c r="M2429" s="31">
        <v>45694</v>
      </c>
      <c r="N2429" s="7" t="s">
        <v>4705</v>
      </c>
      <c r="O2429" s="8">
        <v>2340</v>
      </c>
      <c r="P2429" s="24">
        <v>8967</v>
      </c>
      <c r="Q2429" s="22">
        <f>IF(COUNTIFS(A$2:A2429,A2429,I$2:I2429,I2429)=1,1,0)</f>
        <v>0</v>
      </c>
      <c r="R2429" s="22">
        <f t="shared" si="37"/>
        <v>2</v>
      </c>
      <c r="S2429" s="33">
        <f>IF(COUNTIF(O$2:O2429,O2429)=1,R2429,0)/2.5</f>
        <v>0</v>
      </c>
    </row>
    <row r="2430" spans="1:19" ht="18" customHeight="1" x14ac:dyDescent="0.25">
      <c r="A2430" s="7" t="s">
        <v>43</v>
      </c>
      <c r="B2430" s="8">
        <v>1</v>
      </c>
      <c r="C2430" s="9">
        <v>451</v>
      </c>
      <c r="D2430" s="29">
        <f>C2430+IF(INDEX('Справочник по %'!B:B,(MATCH(A2430,'Справочник по %'!A:A,0)))="кол-во",B2430*INDEX('Справочник по %'!C:C,(MATCH(A2430,'Справочник по %'!A:A,0))),ОТЧЕТ!C2430*INDEX('Справочник по %'!C:C,(MATCH(A2430,'Справочник по %'!A:A,0))))/100</f>
        <v>496.1</v>
      </c>
      <c r="E2430" s="29">
        <f>IF(ОТЧЕТ!A2430="SKU3",C2430+ОТЧЕТ!C2430*0.2,C2430+ОТЧЕТ!C2430*0.15)</f>
        <v>518.65</v>
      </c>
      <c r="F2430" s="7" t="s">
        <v>4703</v>
      </c>
      <c r="G2430" s="7">
        <v>326537584</v>
      </c>
      <c r="H2430" s="20" t="s">
        <v>459</v>
      </c>
      <c r="I2430" s="22" t="str">
        <f>INDEX('Справочник Сети'!B:B,(MATCH(G2430,'Справочник Сети'!C:C,0)))</f>
        <v>Планета здоровья</v>
      </c>
      <c r="J2430" s="7" t="s">
        <v>362</v>
      </c>
      <c r="K2430" s="7" t="s">
        <v>2938</v>
      </c>
      <c r="L2430" s="7" t="s">
        <v>362</v>
      </c>
      <c r="M2430" s="31">
        <v>45732</v>
      </c>
      <c r="N2430" s="7" t="s">
        <v>4706</v>
      </c>
      <c r="O2430" s="8">
        <v>1702</v>
      </c>
      <c r="P2430" s="24">
        <v>8968</v>
      </c>
      <c r="Q2430" s="22">
        <f>IF(COUNTIFS(A$2:A2430,A2430,I$2:I2430,I2430)=1,1,0)</f>
        <v>0</v>
      </c>
      <c r="R2430" s="22">
        <f t="shared" si="37"/>
        <v>9</v>
      </c>
      <c r="S2430" s="33">
        <f>IF(COUNTIF(O$2:O2430,O2430)=1,R2430,0)/2.5</f>
        <v>0</v>
      </c>
    </row>
    <row r="2431" spans="1:19" ht="18" customHeight="1" x14ac:dyDescent="0.25">
      <c r="A2431" s="7" t="s">
        <v>43</v>
      </c>
      <c r="B2431" s="8">
        <v>1</v>
      </c>
      <c r="C2431" s="9">
        <v>335</v>
      </c>
      <c r="D2431" s="29">
        <f>C2431+IF(INDEX('Справочник по %'!B:B,(MATCH(A2431,'Справочник по %'!A:A,0)))="кол-во",B2431*INDEX('Справочник по %'!C:C,(MATCH(A2431,'Справочник по %'!A:A,0))),ОТЧЕТ!C2431*INDEX('Справочник по %'!C:C,(MATCH(A2431,'Справочник по %'!A:A,0))))/100</f>
        <v>368.5</v>
      </c>
      <c r="E2431" s="29">
        <f>IF(ОТЧЕТ!A2431="SKU3",C2431+ОТЧЕТ!C2431*0.2,C2431+ОТЧЕТ!C2431*0.15)</f>
        <v>385.25</v>
      </c>
      <c r="F2431" s="7" t="s">
        <v>4703</v>
      </c>
      <c r="G2431" s="7">
        <v>344801920882</v>
      </c>
      <c r="H2431" s="20" t="s">
        <v>2388</v>
      </c>
      <c r="I2431" s="22">
        <f>INDEX('Справочник Сети'!B:B,(MATCH(G2431,'Справочник Сети'!C:C,0)))</f>
        <v>0</v>
      </c>
      <c r="J2431" s="7" t="s">
        <v>110</v>
      </c>
      <c r="K2431" s="7" t="s">
        <v>2267</v>
      </c>
      <c r="L2431" s="7" t="s">
        <v>110</v>
      </c>
      <c r="M2431" s="31">
        <v>45660</v>
      </c>
      <c r="N2431" s="7" t="s">
        <v>4707</v>
      </c>
      <c r="O2431" s="8">
        <v>1984</v>
      </c>
      <c r="P2431" s="24">
        <v>8970</v>
      </c>
      <c r="Q2431" s="22">
        <f>IF(COUNTIFS(A$2:A2431,A2431,I$2:I2431,I2431)=1,1,0)</f>
        <v>0</v>
      </c>
      <c r="R2431" s="22">
        <f t="shared" si="37"/>
        <v>2</v>
      </c>
      <c r="S2431" s="33">
        <f>IF(COUNTIF(O$2:O2431,O2431)=1,R2431,0)/2.5</f>
        <v>0</v>
      </c>
    </row>
    <row r="2432" spans="1:19" ht="18" customHeight="1" x14ac:dyDescent="0.25">
      <c r="A2432" s="7" t="s">
        <v>43</v>
      </c>
      <c r="B2432" s="8">
        <v>1</v>
      </c>
      <c r="C2432" s="9">
        <v>398</v>
      </c>
      <c r="D2432" s="29">
        <f>C2432+IF(INDEX('Справочник по %'!B:B,(MATCH(A2432,'Справочник по %'!A:A,0)))="кол-во",B2432*INDEX('Справочник по %'!C:C,(MATCH(A2432,'Справочник по %'!A:A,0))),ОТЧЕТ!C2432*INDEX('Справочник по %'!C:C,(MATCH(A2432,'Справочник по %'!A:A,0))))/100</f>
        <v>437.8</v>
      </c>
      <c r="E2432" s="29">
        <f>IF(ОТЧЕТ!A2432="SKU3",C2432+ОТЧЕТ!C2432*0.2,C2432+ОТЧЕТ!C2432*0.15)</f>
        <v>457.7</v>
      </c>
      <c r="F2432" s="7" t="s">
        <v>4703</v>
      </c>
      <c r="G2432" s="7">
        <v>7728339546</v>
      </c>
      <c r="H2432" s="20" t="s">
        <v>141</v>
      </c>
      <c r="I2432" s="22" t="str">
        <f>INDEX('Справочник Сети'!B:B,(MATCH(G2432,'Справочник Сети'!C:C,0)))</f>
        <v>Планета здоровья</v>
      </c>
      <c r="J2432" s="7" t="s">
        <v>142</v>
      </c>
      <c r="K2432" s="7" t="s">
        <v>1101</v>
      </c>
      <c r="L2432" s="7" t="s">
        <v>142</v>
      </c>
      <c r="M2432" s="31">
        <v>45674</v>
      </c>
      <c r="N2432" s="7" t="s">
        <v>4708</v>
      </c>
      <c r="O2432" s="8">
        <v>1353</v>
      </c>
      <c r="P2432" s="24">
        <v>8973</v>
      </c>
      <c r="Q2432" s="22">
        <f>IF(COUNTIFS(A$2:A2432,A2432,I$2:I2432,I2432)=1,1,0)</f>
        <v>0</v>
      </c>
      <c r="R2432" s="22">
        <f t="shared" si="37"/>
        <v>5</v>
      </c>
      <c r="S2432" s="33">
        <f>IF(COUNTIF(O$2:O2432,O2432)=1,R2432,0)/2.5</f>
        <v>0</v>
      </c>
    </row>
    <row r="2433" spans="1:19" ht="18" customHeight="1" x14ac:dyDescent="0.25">
      <c r="A2433" s="7" t="s">
        <v>37</v>
      </c>
      <c r="B2433" s="8">
        <v>1</v>
      </c>
      <c r="C2433" s="9">
        <v>599.9</v>
      </c>
      <c r="D2433" s="29">
        <f>C2433+IF(INDEX('Справочник по %'!B:B,(MATCH(A2433,'Справочник по %'!A:A,0)))="кол-во",B2433*INDEX('Справочник по %'!C:C,(MATCH(A2433,'Справочник по %'!A:A,0))),ОТЧЕТ!C2433*INDEX('Справочник по %'!C:C,(MATCH(A2433,'Справочник по %'!A:A,0))))/100</f>
        <v>600.1</v>
      </c>
      <c r="E2433" s="29">
        <f>IF(ОТЧЕТ!A2433="SKU3",C2433+ОТЧЕТ!C2433*0.2,C2433+ОТЧЕТ!C2433*0.15)</f>
        <v>689.88499999999999</v>
      </c>
      <c r="F2433" s="7" t="s">
        <v>4703</v>
      </c>
      <c r="G2433" s="7">
        <v>7204146152</v>
      </c>
      <c r="H2433" s="20" t="s">
        <v>3994</v>
      </c>
      <c r="I2433" s="22" t="str">
        <f>INDEX('Справочник Сети'!B:B,(MATCH(G2433,'Справочник Сети'!C:C,0)))</f>
        <v>36,6</v>
      </c>
      <c r="J2433" s="7" t="s">
        <v>104</v>
      </c>
      <c r="K2433" s="7" t="s">
        <v>4410</v>
      </c>
      <c r="L2433" s="7" t="s">
        <v>106</v>
      </c>
      <c r="M2433" s="31">
        <v>45694</v>
      </c>
      <c r="N2433" s="7" t="s">
        <v>4709</v>
      </c>
      <c r="O2433" s="8">
        <v>836</v>
      </c>
      <c r="P2433" s="24">
        <v>8975</v>
      </c>
      <c r="Q2433" s="22">
        <f>IF(COUNTIFS(A$2:A2433,A2433,I$2:I2433,I2433)=1,1,0)</f>
        <v>0</v>
      </c>
      <c r="R2433" s="22">
        <f t="shared" si="37"/>
        <v>11</v>
      </c>
      <c r="S2433" s="33">
        <f>IF(COUNTIF(O$2:O2433,O2433)=1,R2433,0)/2.5</f>
        <v>0</v>
      </c>
    </row>
    <row r="2434" spans="1:19" ht="18" customHeight="1" x14ac:dyDescent="0.25">
      <c r="A2434" s="7" t="s">
        <v>43</v>
      </c>
      <c r="B2434" s="8">
        <v>1</v>
      </c>
      <c r="C2434" s="9">
        <v>500</v>
      </c>
      <c r="D2434" s="29">
        <f>C2434+IF(INDEX('Справочник по %'!B:B,(MATCH(A2434,'Справочник по %'!A:A,0)))="кол-во",B2434*INDEX('Справочник по %'!C:C,(MATCH(A2434,'Справочник по %'!A:A,0))),ОТЧЕТ!C2434*INDEX('Справочник по %'!C:C,(MATCH(A2434,'Справочник по %'!A:A,0))))/100</f>
        <v>550</v>
      </c>
      <c r="E2434" s="29">
        <f>IF(ОТЧЕТ!A2434="SKU3",C2434+ОТЧЕТ!C2434*0.2,C2434+ОТЧЕТ!C2434*0.15)</f>
        <v>575</v>
      </c>
      <c r="F2434" s="7" t="s">
        <v>4703</v>
      </c>
      <c r="G2434" s="7">
        <v>6321112412</v>
      </c>
      <c r="H2434" s="20" t="s">
        <v>1605</v>
      </c>
      <c r="I2434" s="22" t="str">
        <f>INDEX('Справочник Сети'!B:B,(MATCH(G2434,'Справочник Сети'!C:C,0)))</f>
        <v>Планета здоровья</v>
      </c>
      <c r="J2434" s="7" t="s">
        <v>133</v>
      </c>
      <c r="K2434" s="7" t="s">
        <v>1271</v>
      </c>
      <c r="L2434" s="7" t="s">
        <v>133</v>
      </c>
      <c r="M2434" s="31">
        <v>45695</v>
      </c>
      <c r="N2434" s="7" t="s">
        <v>4710</v>
      </c>
      <c r="O2434" s="8">
        <v>2373</v>
      </c>
      <c r="P2434" s="24">
        <v>8976</v>
      </c>
      <c r="Q2434" s="22">
        <f>IF(COUNTIFS(A$2:A2434,A2434,I$2:I2434,I2434)=1,1,0)</f>
        <v>0</v>
      </c>
      <c r="R2434" s="22">
        <f t="shared" si="37"/>
        <v>1</v>
      </c>
      <c r="S2434" s="33">
        <f>IF(COUNTIF(O$2:O2434,O2434)=1,R2434,0)/2.5</f>
        <v>0.4</v>
      </c>
    </row>
    <row r="2435" spans="1:19" ht="18" customHeight="1" x14ac:dyDescent="0.25">
      <c r="A2435" s="7" t="s">
        <v>43</v>
      </c>
      <c r="B2435" s="8">
        <v>1</v>
      </c>
      <c r="C2435" s="9">
        <v>426</v>
      </c>
      <c r="D2435" s="29">
        <f>C2435+IF(INDEX('Справочник по %'!B:B,(MATCH(A2435,'Справочник по %'!A:A,0)))="кол-во",B2435*INDEX('Справочник по %'!C:C,(MATCH(A2435,'Справочник по %'!A:A,0))),ОТЧЕТ!C2435*INDEX('Справочник по %'!C:C,(MATCH(A2435,'Справочник по %'!A:A,0))))/100</f>
        <v>468.6</v>
      </c>
      <c r="E2435" s="29">
        <f>IF(ОТЧЕТ!A2435="SKU3",C2435+ОТЧЕТ!C2435*0.2,C2435+ОТЧЕТ!C2435*0.15)</f>
        <v>489.9</v>
      </c>
      <c r="F2435" s="7" t="s">
        <v>4711</v>
      </c>
      <c r="G2435" s="7">
        <v>6312056730</v>
      </c>
      <c r="H2435" s="20" t="s">
        <v>2624</v>
      </c>
      <c r="I2435" s="22">
        <f>INDEX('Справочник Сети'!B:B,(MATCH(G2435,'Справочник Сети'!C:C,0)))</f>
        <v>0</v>
      </c>
      <c r="J2435" s="7" t="s">
        <v>203</v>
      </c>
      <c r="K2435" s="7" t="s">
        <v>757</v>
      </c>
      <c r="L2435" s="7" t="s">
        <v>203</v>
      </c>
      <c r="M2435" s="31">
        <v>45696</v>
      </c>
      <c r="N2435" s="7" t="s">
        <v>4712</v>
      </c>
      <c r="O2435" s="8">
        <v>2155</v>
      </c>
      <c r="P2435" s="24">
        <v>8980</v>
      </c>
      <c r="Q2435" s="22">
        <f>IF(COUNTIFS(A$2:A2435,A2435,I$2:I2435,I2435)=1,1,0)</f>
        <v>0</v>
      </c>
      <c r="R2435" s="22">
        <f t="shared" ref="R2435:R2498" si="38">COUNTIF(O:O,O2435)</f>
        <v>1</v>
      </c>
      <c r="S2435" s="33">
        <f>IF(COUNTIF(O$2:O2435,O2435)=1,R2435,0)/2.5</f>
        <v>0.4</v>
      </c>
    </row>
    <row r="2436" spans="1:19" ht="18" customHeight="1" x14ac:dyDescent="0.25">
      <c r="A2436" s="7" t="s">
        <v>43</v>
      </c>
      <c r="B2436" s="8">
        <v>1</v>
      </c>
      <c r="C2436" s="9">
        <v>430</v>
      </c>
      <c r="D2436" s="29">
        <f>C2436+IF(INDEX('Справочник по %'!B:B,(MATCH(A2436,'Справочник по %'!A:A,0)))="кол-во",B2436*INDEX('Справочник по %'!C:C,(MATCH(A2436,'Справочник по %'!A:A,0))),ОТЧЕТ!C2436*INDEX('Справочник по %'!C:C,(MATCH(A2436,'Справочник по %'!A:A,0))))/100</f>
        <v>473</v>
      </c>
      <c r="E2436" s="29">
        <f>IF(ОТЧЕТ!A2436="SKU3",C2436+ОТЧЕТ!C2436*0.2,C2436+ОТЧЕТ!C2436*0.15)</f>
        <v>494.5</v>
      </c>
      <c r="F2436" s="7" t="s">
        <v>4713</v>
      </c>
      <c r="G2436" s="7">
        <v>9102213935</v>
      </c>
      <c r="H2436" s="20" t="s">
        <v>2801</v>
      </c>
      <c r="I2436" s="22" t="str">
        <f>INDEX('Справочник Сети'!B:B,(MATCH(G2436,'Справочник Сети'!C:C,0)))</f>
        <v>Ригла</v>
      </c>
      <c r="J2436" s="7" t="s">
        <v>315</v>
      </c>
      <c r="K2436" s="7" t="s">
        <v>1080</v>
      </c>
      <c r="L2436" s="7" t="s">
        <v>315</v>
      </c>
      <c r="M2436" s="31">
        <v>45670</v>
      </c>
      <c r="N2436" s="7" t="s">
        <v>4714</v>
      </c>
      <c r="O2436" s="8">
        <v>7</v>
      </c>
      <c r="P2436" s="24">
        <v>8989</v>
      </c>
      <c r="Q2436" s="22">
        <f>IF(COUNTIFS(A$2:A2436,A2436,I$2:I2436,I2436)=1,1,0)</f>
        <v>0</v>
      </c>
      <c r="R2436" s="22">
        <f t="shared" si="38"/>
        <v>2</v>
      </c>
      <c r="S2436" s="33">
        <f>IF(COUNTIF(O$2:O2436,O2436)=1,R2436,0)/2.5</f>
        <v>0</v>
      </c>
    </row>
    <row r="2437" spans="1:19" ht="18" customHeight="1" x14ac:dyDescent="0.25">
      <c r="A2437" s="7" t="s">
        <v>43</v>
      </c>
      <c r="B2437" s="8">
        <v>1</v>
      </c>
      <c r="C2437" s="9">
        <v>415</v>
      </c>
      <c r="D2437" s="29">
        <f>C2437+IF(INDEX('Справочник по %'!B:B,(MATCH(A2437,'Справочник по %'!A:A,0)))="кол-во",B2437*INDEX('Справочник по %'!C:C,(MATCH(A2437,'Справочник по %'!A:A,0))),ОТЧЕТ!C2437*INDEX('Справочник по %'!C:C,(MATCH(A2437,'Справочник по %'!A:A,0))))/100</f>
        <v>456.5</v>
      </c>
      <c r="E2437" s="29">
        <f>IF(ОТЧЕТ!A2437="SKU3",C2437+ОТЧЕТ!C2437*0.2,C2437+ОТЧЕТ!C2437*0.15)</f>
        <v>477.25</v>
      </c>
      <c r="F2437" s="7" t="s">
        <v>4713</v>
      </c>
      <c r="G2437" s="7">
        <v>2310200444</v>
      </c>
      <c r="H2437" s="20" t="s">
        <v>69</v>
      </c>
      <c r="I2437" s="22" t="str">
        <f>INDEX('Справочник Сети'!B:B,(MATCH(G2437,'Справочник Сети'!C:C,0)))</f>
        <v>Планета здоровья</v>
      </c>
      <c r="J2437" s="7" t="s">
        <v>70</v>
      </c>
      <c r="K2437" s="7" t="s">
        <v>2267</v>
      </c>
      <c r="L2437" s="7" t="s">
        <v>57</v>
      </c>
      <c r="M2437" s="31">
        <v>45729</v>
      </c>
      <c r="N2437" s="7" t="s">
        <v>4715</v>
      </c>
      <c r="O2437" s="8">
        <v>2397</v>
      </c>
      <c r="P2437" s="24">
        <v>8990</v>
      </c>
      <c r="Q2437" s="22">
        <f>IF(COUNTIFS(A$2:A2437,A2437,I$2:I2437,I2437)=1,1,0)</f>
        <v>0</v>
      </c>
      <c r="R2437" s="22">
        <f t="shared" si="38"/>
        <v>1</v>
      </c>
      <c r="S2437" s="33">
        <f>IF(COUNTIF(O$2:O2437,O2437)=1,R2437,0)/2.5</f>
        <v>0.4</v>
      </c>
    </row>
    <row r="2438" spans="1:19" ht="18" customHeight="1" x14ac:dyDescent="0.25">
      <c r="A2438" s="7" t="s">
        <v>43</v>
      </c>
      <c r="B2438" s="8">
        <v>1</v>
      </c>
      <c r="C2438" s="9">
        <v>370</v>
      </c>
      <c r="D2438" s="29">
        <f>C2438+IF(INDEX('Справочник по %'!B:B,(MATCH(A2438,'Справочник по %'!A:A,0)))="кол-во",B2438*INDEX('Справочник по %'!C:C,(MATCH(A2438,'Справочник по %'!A:A,0))),ОТЧЕТ!C2438*INDEX('Справочник по %'!C:C,(MATCH(A2438,'Справочник по %'!A:A,0))))/100</f>
        <v>407</v>
      </c>
      <c r="E2438" s="29">
        <f>IF(ОТЧЕТ!A2438="SKU3",C2438+ОТЧЕТ!C2438*0.2,C2438+ОТЧЕТ!C2438*0.15)</f>
        <v>425.5</v>
      </c>
      <c r="F2438" s="7" t="s">
        <v>4716</v>
      </c>
      <c r="G2438" s="7">
        <v>2225105670</v>
      </c>
      <c r="H2438" s="20" t="s">
        <v>69</v>
      </c>
      <c r="I2438" s="22" t="str">
        <f>INDEX('Справочник Сети'!B:B,(MATCH(G2438,'Справочник Сети'!C:C,0)))</f>
        <v>Столички</v>
      </c>
      <c r="J2438" s="7" t="s">
        <v>372</v>
      </c>
      <c r="K2438" s="7" t="s">
        <v>1165</v>
      </c>
      <c r="L2438" s="7" t="s">
        <v>372</v>
      </c>
      <c r="M2438" s="31">
        <v>45730</v>
      </c>
      <c r="N2438" s="7" t="s">
        <v>4717</v>
      </c>
      <c r="O2438" s="8">
        <v>1261</v>
      </c>
      <c r="P2438" s="24">
        <v>8994</v>
      </c>
      <c r="Q2438" s="22">
        <f>IF(COUNTIFS(A$2:A2438,A2438,I$2:I2438,I2438)=1,1,0)</f>
        <v>0</v>
      </c>
      <c r="R2438" s="22">
        <f t="shared" si="38"/>
        <v>5</v>
      </c>
      <c r="S2438" s="33">
        <f>IF(COUNTIF(O$2:O2438,O2438)=1,R2438,0)/2.5</f>
        <v>0</v>
      </c>
    </row>
    <row r="2439" spans="1:19" ht="18" customHeight="1" x14ac:dyDescent="0.25">
      <c r="A2439" s="7" t="s">
        <v>43</v>
      </c>
      <c r="B2439" s="8">
        <v>1</v>
      </c>
      <c r="C2439" s="9">
        <v>420.94</v>
      </c>
      <c r="D2439" s="29">
        <f>C2439+IF(INDEX('Справочник по %'!B:B,(MATCH(A2439,'Справочник по %'!A:A,0)))="кол-во",B2439*INDEX('Справочник по %'!C:C,(MATCH(A2439,'Справочник по %'!A:A,0))),ОТЧЕТ!C2439*INDEX('Справочник по %'!C:C,(MATCH(A2439,'Справочник по %'!A:A,0))))/100</f>
        <v>463.03399999999999</v>
      </c>
      <c r="E2439" s="29">
        <f>IF(ОТЧЕТ!A2439="SKU3",C2439+ОТЧЕТ!C2439*0.2,C2439+ОТЧЕТ!C2439*0.15)</f>
        <v>484.08100000000002</v>
      </c>
      <c r="F2439" s="7" t="s">
        <v>4716</v>
      </c>
      <c r="G2439" s="7">
        <v>5005007369</v>
      </c>
      <c r="H2439" s="20" t="s">
        <v>4718</v>
      </c>
      <c r="I2439" s="22">
        <f>INDEX('Справочник Сети'!B:B,(MATCH(G2439,'Справочник Сети'!C:C,0)))</f>
        <v>0</v>
      </c>
      <c r="J2439" s="7" t="s">
        <v>83</v>
      </c>
      <c r="K2439" s="7" t="s">
        <v>4719</v>
      </c>
      <c r="L2439" s="7" t="s">
        <v>83</v>
      </c>
      <c r="M2439" s="31">
        <v>45715</v>
      </c>
      <c r="N2439" s="7" t="s">
        <v>4720</v>
      </c>
      <c r="O2439" s="8">
        <v>697</v>
      </c>
      <c r="P2439" s="24">
        <v>8998</v>
      </c>
      <c r="Q2439" s="22">
        <f>IF(COUNTIFS(A$2:A2439,A2439,I$2:I2439,I2439)=1,1,0)</f>
        <v>0</v>
      </c>
      <c r="R2439" s="22">
        <f t="shared" si="38"/>
        <v>1</v>
      </c>
      <c r="S2439" s="33">
        <f>IF(COUNTIF(O$2:O2439,O2439)=1,R2439,0)/2.5</f>
        <v>0.4</v>
      </c>
    </row>
    <row r="2440" spans="1:19" ht="18" customHeight="1" x14ac:dyDescent="0.25">
      <c r="A2440" s="7" t="s">
        <v>37</v>
      </c>
      <c r="B2440" s="8">
        <v>1</v>
      </c>
      <c r="C2440" s="9">
        <v>534</v>
      </c>
      <c r="D2440" s="29">
        <f>C2440+IF(INDEX('Справочник по %'!B:B,(MATCH(A2440,'Справочник по %'!A:A,0)))="кол-во",B2440*INDEX('Справочник по %'!C:C,(MATCH(A2440,'Справочник по %'!A:A,0))),ОТЧЕТ!C2440*INDEX('Справочник по %'!C:C,(MATCH(A2440,'Справочник по %'!A:A,0))))/100</f>
        <v>534.20000000000005</v>
      </c>
      <c r="E2440" s="29">
        <f>IF(ОТЧЕТ!A2440="SKU3",C2440+ОТЧЕТ!C2440*0.2,C2440+ОТЧЕТ!C2440*0.15)</f>
        <v>614.1</v>
      </c>
      <c r="F2440" s="7" t="s">
        <v>4721</v>
      </c>
      <c r="G2440" s="7">
        <v>7706795062</v>
      </c>
      <c r="H2440" s="20" t="s">
        <v>3366</v>
      </c>
      <c r="I2440" s="22" t="str">
        <f>INDEX('Справочник Сети'!B:B,(MATCH(G2440,'Справочник Сети'!C:C,0)))</f>
        <v>Планета здоровья</v>
      </c>
      <c r="J2440" s="7" t="s">
        <v>87</v>
      </c>
      <c r="K2440" s="7" t="s">
        <v>4722</v>
      </c>
      <c r="L2440" s="7" t="s">
        <v>87</v>
      </c>
      <c r="M2440" s="31">
        <v>45691</v>
      </c>
      <c r="N2440" s="7" t="s">
        <v>4723</v>
      </c>
      <c r="O2440" s="8">
        <v>1951</v>
      </c>
      <c r="P2440" s="24">
        <v>9001</v>
      </c>
      <c r="Q2440" s="22">
        <f>IF(COUNTIFS(A$2:A2440,A2440,I$2:I2440,I2440)=1,1,0)</f>
        <v>0</v>
      </c>
      <c r="R2440" s="22">
        <f t="shared" si="38"/>
        <v>2</v>
      </c>
      <c r="S2440" s="33">
        <f>IF(COUNTIF(O$2:O2440,O2440)=1,R2440,0)/2.5</f>
        <v>0</v>
      </c>
    </row>
    <row r="2441" spans="1:19" ht="18" customHeight="1" x14ac:dyDescent="0.25">
      <c r="A2441" s="7" t="s">
        <v>43</v>
      </c>
      <c r="B2441" s="8">
        <v>1</v>
      </c>
      <c r="C2441" s="9">
        <v>338</v>
      </c>
      <c r="D2441" s="29">
        <f>C2441+IF(INDEX('Справочник по %'!B:B,(MATCH(A2441,'Справочник по %'!A:A,0)))="кол-во",B2441*INDEX('Справочник по %'!C:C,(MATCH(A2441,'Справочник по %'!A:A,0))),ОТЧЕТ!C2441*INDEX('Справочник по %'!C:C,(MATCH(A2441,'Справочник по %'!A:A,0))))/100</f>
        <v>371.8</v>
      </c>
      <c r="E2441" s="29">
        <f>IF(ОТЧЕТ!A2441="SKU3",C2441+ОТЧЕТ!C2441*0.2,C2441+ОТЧЕТ!C2441*0.15)</f>
        <v>388.7</v>
      </c>
      <c r="F2441" s="7" t="s">
        <v>4724</v>
      </c>
      <c r="G2441" s="7">
        <v>7732121736</v>
      </c>
      <c r="H2441" s="20" t="s">
        <v>4725</v>
      </c>
      <c r="I2441" s="22" t="str">
        <f>INDEX('Справочник Сети'!B:B,(MATCH(G2441,'Справочник Сети'!C:C,0)))</f>
        <v>Планета здоровья</v>
      </c>
      <c r="J2441" s="7" t="s">
        <v>149</v>
      </c>
      <c r="K2441" s="7" t="s">
        <v>2692</v>
      </c>
      <c r="L2441" s="7" t="s">
        <v>142</v>
      </c>
      <c r="M2441" s="31">
        <v>45674</v>
      </c>
      <c r="N2441" s="7" t="s">
        <v>4726</v>
      </c>
      <c r="O2441" s="8">
        <v>894</v>
      </c>
      <c r="P2441" s="24">
        <v>9003</v>
      </c>
      <c r="Q2441" s="22">
        <f>IF(COUNTIFS(A$2:A2441,A2441,I$2:I2441,I2441)=1,1,0)</f>
        <v>0</v>
      </c>
      <c r="R2441" s="22">
        <f t="shared" si="38"/>
        <v>1</v>
      </c>
      <c r="S2441" s="33">
        <f>IF(COUNTIF(O$2:O2441,O2441)=1,R2441,0)/2.5</f>
        <v>0.4</v>
      </c>
    </row>
    <row r="2442" spans="1:19" ht="18" customHeight="1" x14ac:dyDescent="0.25">
      <c r="A2442" s="7" t="s">
        <v>37</v>
      </c>
      <c r="B2442" s="8">
        <v>1</v>
      </c>
      <c r="C2442" s="9">
        <v>561</v>
      </c>
      <c r="D2442" s="29">
        <f>C2442+IF(INDEX('Справочник по %'!B:B,(MATCH(A2442,'Справочник по %'!A:A,0)))="кол-во",B2442*INDEX('Справочник по %'!C:C,(MATCH(A2442,'Справочник по %'!A:A,0))),ОТЧЕТ!C2442*INDEX('Справочник по %'!C:C,(MATCH(A2442,'Справочник по %'!A:A,0))))/100</f>
        <v>561.20000000000005</v>
      </c>
      <c r="E2442" s="29">
        <f>IF(ОТЧЕТ!A2442="SKU3",C2442+ОТЧЕТ!C2442*0.2,C2442+ОТЧЕТ!C2442*0.15)</f>
        <v>645.15</v>
      </c>
      <c r="F2442" s="7" t="s">
        <v>4724</v>
      </c>
      <c r="G2442" s="7">
        <v>7706795062</v>
      </c>
      <c r="H2442" s="20" t="s">
        <v>1801</v>
      </c>
      <c r="I2442" s="22" t="str">
        <f>INDEX('Справочник Сети'!B:B,(MATCH(G2442,'Справочник Сети'!C:C,0)))</f>
        <v>Планета здоровья</v>
      </c>
      <c r="J2442" s="7" t="s">
        <v>87</v>
      </c>
      <c r="K2442" s="7" t="s">
        <v>1172</v>
      </c>
      <c r="L2442" s="7" t="s">
        <v>87</v>
      </c>
      <c r="M2442" s="31">
        <v>45691</v>
      </c>
      <c r="N2442" s="7" t="s">
        <v>4727</v>
      </c>
      <c r="O2442" s="8">
        <v>3371</v>
      </c>
      <c r="P2442" s="24">
        <v>9005</v>
      </c>
      <c r="Q2442" s="22">
        <f>IF(COUNTIFS(A$2:A2442,A2442,I$2:I2442,I2442)=1,1,0)</f>
        <v>0</v>
      </c>
      <c r="R2442" s="22">
        <f t="shared" si="38"/>
        <v>5</v>
      </c>
      <c r="S2442" s="33">
        <f>IF(COUNTIF(O$2:O2442,O2442)=1,R2442,0)/2.5</f>
        <v>0</v>
      </c>
    </row>
    <row r="2443" spans="1:19" ht="18" customHeight="1" x14ac:dyDescent="0.25">
      <c r="A2443" s="7" t="s">
        <v>37</v>
      </c>
      <c r="B2443" s="8">
        <v>1</v>
      </c>
      <c r="C2443" s="9">
        <v>605.9</v>
      </c>
      <c r="D2443" s="29">
        <f>C2443+IF(INDEX('Справочник по %'!B:B,(MATCH(A2443,'Справочник по %'!A:A,0)))="кол-во",B2443*INDEX('Справочник по %'!C:C,(MATCH(A2443,'Справочник по %'!A:A,0))),ОТЧЕТ!C2443*INDEX('Справочник по %'!C:C,(MATCH(A2443,'Справочник по %'!A:A,0))))/100</f>
        <v>606.1</v>
      </c>
      <c r="E2443" s="29">
        <f>IF(ОТЧЕТ!A2443="SKU3",C2443+ОТЧЕТ!C2443*0.2,C2443+ОТЧЕТ!C2443*0.15)</f>
        <v>696.78499999999997</v>
      </c>
      <c r="F2443" s="7" t="s">
        <v>4724</v>
      </c>
      <c r="G2443" s="7">
        <v>7204146152</v>
      </c>
      <c r="H2443" s="20" t="s">
        <v>2033</v>
      </c>
      <c r="I2443" s="22" t="str">
        <f>INDEX('Справочник Сети'!B:B,(MATCH(G2443,'Справочник Сети'!C:C,0)))</f>
        <v>36,6</v>
      </c>
      <c r="J2443" s="7" t="s">
        <v>104</v>
      </c>
      <c r="K2443" s="7" t="s">
        <v>328</v>
      </c>
      <c r="L2443" s="7" t="s">
        <v>106</v>
      </c>
      <c r="M2443" s="31">
        <v>45694</v>
      </c>
      <c r="N2443" s="7" t="s">
        <v>4728</v>
      </c>
      <c r="O2443" s="8">
        <v>871</v>
      </c>
      <c r="P2443" s="24">
        <v>9008</v>
      </c>
      <c r="Q2443" s="22">
        <f>IF(COUNTIFS(A$2:A2443,A2443,I$2:I2443,I2443)=1,1,0)</f>
        <v>0</v>
      </c>
      <c r="R2443" s="22">
        <f t="shared" si="38"/>
        <v>4</v>
      </c>
      <c r="S2443" s="33">
        <f>IF(COUNTIF(O$2:O2443,O2443)=1,R2443,0)/2.5</f>
        <v>0</v>
      </c>
    </row>
    <row r="2444" spans="1:19" ht="18" customHeight="1" x14ac:dyDescent="0.25">
      <c r="A2444" s="7" t="s">
        <v>37</v>
      </c>
      <c r="B2444" s="8">
        <v>1</v>
      </c>
      <c r="C2444" s="9">
        <v>590.4</v>
      </c>
      <c r="D2444" s="29">
        <f>C2444+IF(INDEX('Справочник по %'!B:B,(MATCH(A2444,'Справочник по %'!A:A,0)))="кол-во",B2444*INDEX('Справочник по %'!C:C,(MATCH(A2444,'Справочник по %'!A:A,0))),ОТЧЕТ!C2444*INDEX('Справочник по %'!C:C,(MATCH(A2444,'Справочник по %'!A:A,0))))/100</f>
        <v>590.6</v>
      </c>
      <c r="E2444" s="29">
        <f>IF(ОТЧЕТ!A2444="SKU3",C2444+ОТЧЕТ!C2444*0.2,C2444+ОТЧЕТ!C2444*0.15)</f>
        <v>678.95999999999992</v>
      </c>
      <c r="F2444" s="7" t="s">
        <v>4724</v>
      </c>
      <c r="G2444" s="7">
        <v>7840411560</v>
      </c>
      <c r="H2444" s="20" t="s">
        <v>4729</v>
      </c>
      <c r="I2444" s="22" t="str">
        <f>INDEX('Справочник Сети'!B:B,(MATCH(G2444,'Справочник Сети'!C:C,0)))</f>
        <v>Столички</v>
      </c>
      <c r="J2444" s="7" t="s">
        <v>315</v>
      </c>
      <c r="K2444" s="7" t="s">
        <v>1172</v>
      </c>
      <c r="L2444" s="7" t="s">
        <v>315</v>
      </c>
      <c r="M2444" s="31">
        <v>45670</v>
      </c>
      <c r="N2444" s="7" t="s">
        <v>4730</v>
      </c>
      <c r="O2444" s="8">
        <v>1555</v>
      </c>
      <c r="P2444" s="24">
        <v>9010</v>
      </c>
      <c r="Q2444" s="22">
        <f>IF(COUNTIFS(A$2:A2444,A2444,I$2:I2444,I2444)=1,1,0)</f>
        <v>0</v>
      </c>
      <c r="R2444" s="22">
        <f t="shared" si="38"/>
        <v>1</v>
      </c>
      <c r="S2444" s="33">
        <f>IF(COUNTIF(O$2:O2444,O2444)=1,R2444,0)/2.5</f>
        <v>0.4</v>
      </c>
    </row>
    <row r="2445" spans="1:19" ht="18" customHeight="1" x14ac:dyDescent="0.25">
      <c r="A2445" s="7" t="s">
        <v>43</v>
      </c>
      <c r="B2445" s="8">
        <v>1</v>
      </c>
      <c r="C2445" s="9">
        <v>394</v>
      </c>
      <c r="D2445" s="29">
        <f>C2445+IF(INDEX('Справочник по %'!B:B,(MATCH(A2445,'Справочник по %'!A:A,0)))="кол-во",B2445*INDEX('Справочник по %'!C:C,(MATCH(A2445,'Справочник по %'!A:A,0))),ОТЧЕТ!C2445*INDEX('Справочник по %'!C:C,(MATCH(A2445,'Справочник по %'!A:A,0))))/100</f>
        <v>433.4</v>
      </c>
      <c r="E2445" s="29">
        <f>IF(ОТЧЕТ!A2445="SKU3",C2445+ОТЧЕТ!C2445*0.2,C2445+ОТЧЕТ!C2445*0.15)</f>
        <v>453.1</v>
      </c>
      <c r="F2445" s="7" t="s">
        <v>4724</v>
      </c>
      <c r="G2445" s="7">
        <v>5903110437</v>
      </c>
      <c r="H2445" s="20" t="s">
        <v>39</v>
      </c>
      <c r="I2445" s="22">
        <f>INDEX('Справочник Сети'!B:B,(MATCH(G2445,'Справочник Сети'!C:C,0)))</f>
        <v>0</v>
      </c>
      <c r="J2445" s="7" t="s">
        <v>40</v>
      </c>
      <c r="K2445" s="7" t="s">
        <v>4731</v>
      </c>
      <c r="L2445" s="7" t="s">
        <v>40</v>
      </c>
      <c r="M2445" s="31">
        <v>45712</v>
      </c>
      <c r="N2445" s="7" t="s">
        <v>4732</v>
      </c>
      <c r="O2445" s="8">
        <v>3210</v>
      </c>
      <c r="P2445" s="24">
        <v>9013</v>
      </c>
      <c r="Q2445" s="22">
        <f>IF(COUNTIFS(A$2:A2445,A2445,I$2:I2445,I2445)=1,1,0)</f>
        <v>0</v>
      </c>
      <c r="R2445" s="22">
        <f t="shared" si="38"/>
        <v>2</v>
      </c>
      <c r="S2445" s="33">
        <f>IF(COUNTIF(O$2:O2445,O2445)=1,R2445,0)/2.5</f>
        <v>0.8</v>
      </c>
    </row>
    <row r="2446" spans="1:19" ht="18" customHeight="1" x14ac:dyDescent="0.25">
      <c r="A2446" s="7" t="s">
        <v>43</v>
      </c>
      <c r="B2446" s="8">
        <v>1</v>
      </c>
      <c r="C2446" s="9">
        <v>404</v>
      </c>
      <c r="D2446" s="29">
        <f>C2446+IF(INDEX('Справочник по %'!B:B,(MATCH(A2446,'Справочник по %'!A:A,0)))="кол-во",B2446*INDEX('Справочник по %'!C:C,(MATCH(A2446,'Справочник по %'!A:A,0))),ОТЧЕТ!C2446*INDEX('Справочник по %'!C:C,(MATCH(A2446,'Справочник по %'!A:A,0))))/100</f>
        <v>444.4</v>
      </c>
      <c r="E2446" s="29">
        <f>IF(ОТЧЕТ!A2446="SKU3",C2446+ОТЧЕТ!C2446*0.2,C2446+ОТЧЕТ!C2446*0.15)</f>
        <v>464.6</v>
      </c>
      <c r="F2446" s="7" t="s">
        <v>4724</v>
      </c>
      <c r="G2446" s="7">
        <v>5258157580</v>
      </c>
      <c r="H2446" s="20" t="s">
        <v>4733</v>
      </c>
      <c r="I2446" s="22">
        <f>INDEX('Справочник Сети'!B:B,(MATCH(G2446,'Справочник Сети'!C:C,0)))</f>
        <v>0</v>
      </c>
      <c r="J2446" s="7" t="s">
        <v>92</v>
      </c>
      <c r="K2446" s="7" t="s">
        <v>2689</v>
      </c>
      <c r="L2446" s="7" t="s">
        <v>92</v>
      </c>
      <c r="M2446" s="31">
        <v>45714</v>
      </c>
      <c r="N2446" s="7" t="s">
        <v>4734</v>
      </c>
      <c r="O2446" s="8">
        <v>2281</v>
      </c>
      <c r="P2446" s="24">
        <v>9020</v>
      </c>
      <c r="Q2446" s="22">
        <f>IF(COUNTIFS(A$2:A2446,A2446,I$2:I2446,I2446)=1,1,0)</f>
        <v>0</v>
      </c>
      <c r="R2446" s="22">
        <f t="shared" si="38"/>
        <v>4</v>
      </c>
      <c r="S2446" s="33">
        <f>IF(COUNTIF(O$2:O2446,O2446)=1,R2446,0)/2.5</f>
        <v>0</v>
      </c>
    </row>
    <row r="2447" spans="1:19" ht="18" customHeight="1" x14ac:dyDescent="0.25">
      <c r="A2447" s="7" t="s">
        <v>37</v>
      </c>
      <c r="B2447" s="8">
        <v>1</v>
      </c>
      <c r="C2447" s="9">
        <v>693</v>
      </c>
      <c r="D2447" s="29">
        <f>C2447+IF(INDEX('Справочник по %'!B:B,(MATCH(A2447,'Справочник по %'!A:A,0)))="кол-во",B2447*INDEX('Справочник по %'!C:C,(MATCH(A2447,'Справочник по %'!A:A,0))),ОТЧЕТ!C2447*INDEX('Справочник по %'!C:C,(MATCH(A2447,'Справочник по %'!A:A,0))))/100</f>
        <v>693.2</v>
      </c>
      <c r="E2447" s="29">
        <f>IF(ОТЧЕТ!A2447="SKU3",C2447+ОТЧЕТ!C2447*0.2,C2447+ОТЧЕТ!C2447*0.15)</f>
        <v>796.95</v>
      </c>
      <c r="F2447" s="7" t="s">
        <v>4735</v>
      </c>
      <c r="G2447" s="7">
        <v>7802194843</v>
      </c>
      <c r="H2447" s="20" t="s">
        <v>50</v>
      </c>
      <c r="I2447" s="22" t="str">
        <f>INDEX('Справочник Сети'!B:B,(MATCH(G2447,'Справочник Сети'!C:C,0)))</f>
        <v>Столички</v>
      </c>
      <c r="J2447" s="7" t="s">
        <v>353</v>
      </c>
      <c r="K2447" s="7" t="s">
        <v>744</v>
      </c>
      <c r="L2447" s="7" t="s">
        <v>353</v>
      </c>
      <c r="M2447" s="31">
        <v>45672</v>
      </c>
      <c r="N2447" s="7" t="s">
        <v>4736</v>
      </c>
      <c r="O2447" s="8">
        <v>2441</v>
      </c>
      <c r="P2447" s="24">
        <v>9022</v>
      </c>
      <c r="Q2447" s="22">
        <f>IF(COUNTIFS(A$2:A2447,A2447,I$2:I2447,I2447)=1,1,0)</f>
        <v>0</v>
      </c>
      <c r="R2447" s="22">
        <f t="shared" si="38"/>
        <v>5</v>
      </c>
      <c r="S2447" s="33">
        <f>IF(COUNTIF(O$2:O2447,O2447)=1,R2447,0)/2.5</f>
        <v>0</v>
      </c>
    </row>
    <row r="2448" spans="1:19" ht="18" customHeight="1" x14ac:dyDescent="0.25">
      <c r="A2448" s="7" t="s">
        <v>43</v>
      </c>
      <c r="B2448" s="8">
        <v>1</v>
      </c>
      <c r="C2448" s="9">
        <v>445</v>
      </c>
      <c r="D2448" s="29">
        <f>C2448+IF(INDEX('Справочник по %'!B:B,(MATCH(A2448,'Справочник по %'!A:A,0)))="кол-во",B2448*INDEX('Справочник по %'!C:C,(MATCH(A2448,'Справочник по %'!A:A,0))),ОТЧЕТ!C2448*INDEX('Справочник по %'!C:C,(MATCH(A2448,'Справочник по %'!A:A,0))))/100</f>
        <v>489.5</v>
      </c>
      <c r="E2448" s="29">
        <f>IF(ОТЧЕТ!A2448="SKU3",C2448+ОТЧЕТ!C2448*0.2,C2448+ОТЧЕТ!C2448*0.15)</f>
        <v>511.75</v>
      </c>
      <c r="F2448" s="7" t="s">
        <v>4735</v>
      </c>
      <c r="G2448" s="7">
        <v>2460116784</v>
      </c>
      <c r="H2448" s="20" t="s">
        <v>69</v>
      </c>
      <c r="I2448" s="22">
        <f>INDEX('Справочник Сети'!B:B,(MATCH(G2448,'Справочник Сети'!C:C,0)))</f>
        <v>0</v>
      </c>
      <c r="J2448" s="7" t="s">
        <v>96</v>
      </c>
      <c r="K2448" s="7" t="s">
        <v>197</v>
      </c>
      <c r="L2448" s="7" t="s">
        <v>96</v>
      </c>
      <c r="M2448" s="31">
        <v>45727</v>
      </c>
      <c r="N2448" s="7" t="s">
        <v>4737</v>
      </c>
      <c r="O2448" s="8">
        <v>1986</v>
      </c>
      <c r="P2448" s="24">
        <v>9024</v>
      </c>
      <c r="Q2448" s="22">
        <f>IF(COUNTIFS(A$2:A2448,A2448,I$2:I2448,I2448)=1,1,0)</f>
        <v>0</v>
      </c>
      <c r="R2448" s="22">
        <f t="shared" si="38"/>
        <v>1</v>
      </c>
      <c r="S2448" s="33">
        <f>IF(COUNTIF(O$2:O2448,O2448)=1,R2448,0)/2.5</f>
        <v>0.4</v>
      </c>
    </row>
    <row r="2449" spans="1:19" ht="18" customHeight="1" x14ac:dyDescent="0.25">
      <c r="A2449" s="7" t="s">
        <v>43</v>
      </c>
      <c r="B2449" s="8">
        <v>1</v>
      </c>
      <c r="C2449" s="9">
        <v>512</v>
      </c>
      <c r="D2449" s="29">
        <f>C2449+IF(INDEX('Справочник по %'!B:B,(MATCH(A2449,'Справочник по %'!A:A,0)))="кол-во",B2449*INDEX('Справочник по %'!C:C,(MATCH(A2449,'Справочник по %'!A:A,0))),ОТЧЕТ!C2449*INDEX('Справочник по %'!C:C,(MATCH(A2449,'Справочник по %'!A:A,0))))/100</f>
        <v>563.20000000000005</v>
      </c>
      <c r="E2449" s="29">
        <f>IF(ОТЧЕТ!A2449="SKU3",C2449+ОТЧЕТ!C2449*0.2,C2449+ОТЧЕТ!C2449*0.15)</f>
        <v>588.79999999999995</v>
      </c>
      <c r="F2449" s="7" t="s">
        <v>4738</v>
      </c>
      <c r="G2449" s="7">
        <v>550310361355</v>
      </c>
      <c r="H2449" s="20" t="s">
        <v>50</v>
      </c>
      <c r="I2449" s="22" t="str">
        <f>INDEX('Справочник Сети'!B:B,(MATCH(G2449,'Справочник Сети'!C:C,0)))</f>
        <v>Столички</v>
      </c>
      <c r="J2449" s="7" t="s">
        <v>251</v>
      </c>
      <c r="K2449" s="7" t="s">
        <v>644</v>
      </c>
      <c r="L2449" s="7" t="s">
        <v>110</v>
      </c>
      <c r="M2449" s="31">
        <v>45660</v>
      </c>
      <c r="N2449" s="7" t="s">
        <v>4739</v>
      </c>
      <c r="O2449" s="8">
        <v>554</v>
      </c>
      <c r="P2449" s="24">
        <v>9033</v>
      </c>
      <c r="Q2449" s="22">
        <f>IF(COUNTIFS(A$2:A2449,A2449,I$2:I2449,I2449)=1,1,0)</f>
        <v>0</v>
      </c>
      <c r="R2449" s="22">
        <f t="shared" si="38"/>
        <v>5</v>
      </c>
      <c r="S2449" s="33">
        <f>IF(COUNTIF(O$2:O2449,O2449)=1,R2449,0)/2.5</f>
        <v>0</v>
      </c>
    </row>
    <row r="2450" spans="1:19" ht="18" customHeight="1" x14ac:dyDescent="0.25">
      <c r="A2450" s="7" t="s">
        <v>43</v>
      </c>
      <c r="B2450" s="8">
        <v>1</v>
      </c>
      <c r="C2450" s="9">
        <v>385.9</v>
      </c>
      <c r="D2450" s="29">
        <f>C2450+IF(INDEX('Справочник по %'!B:B,(MATCH(A2450,'Справочник по %'!A:A,0)))="кол-во",B2450*INDEX('Справочник по %'!C:C,(MATCH(A2450,'Справочник по %'!A:A,0))),ОТЧЕТ!C2450*INDEX('Справочник по %'!C:C,(MATCH(A2450,'Справочник по %'!A:A,0))))/100</f>
        <v>424.49</v>
      </c>
      <c r="E2450" s="29">
        <f>IF(ОТЧЕТ!A2450="SKU3",C2450+ОТЧЕТ!C2450*0.2,C2450+ОТЧЕТ!C2450*0.15)</f>
        <v>443.78499999999997</v>
      </c>
      <c r="F2450" s="7" t="s">
        <v>4740</v>
      </c>
      <c r="G2450" s="7">
        <v>3801042576</v>
      </c>
      <c r="H2450" s="20" t="s">
        <v>64</v>
      </c>
      <c r="I2450" s="22" t="str">
        <f>INDEX('Справочник Сети'!B:B,(MATCH(G2450,'Справочник Сети'!C:C,0)))</f>
        <v>Планета здоровья</v>
      </c>
      <c r="J2450" s="7" t="s">
        <v>65</v>
      </c>
      <c r="K2450" s="7" t="s">
        <v>3156</v>
      </c>
      <c r="L2450" s="7" t="s">
        <v>65</v>
      </c>
      <c r="M2450" s="31">
        <v>45717</v>
      </c>
      <c r="N2450" s="7" t="s">
        <v>4741</v>
      </c>
      <c r="O2450" s="8">
        <v>2531</v>
      </c>
      <c r="P2450" s="24">
        <v>9035</v>
      </c>
      <c r="Q2450" s="22">
        <f>IF(COUNTIFS(A$2:A2450,A2450,I$2:I2450,I2450)=1,1,0)</f>
        <v>0</v>
      </c>
      <c r="R2450" s="22">
        <f t="shared" si="38"/>
        <v>5</v>
      </c>
      <c r="S2450" s="33">
        <f>IF(COUNTIF(O$2:O2450,O2450)=1,R2450,0)/2.5</f>
        <v>0</v>
      </c>
    </row>
    <row r="2451" spans="1:19" ht="18" customHeight="1" x14ac:dyDescent="0.25">
      <c r="A2451" s="7" t="s">
        <v>43</v>
      </c>
      <c r="B2451" s="8">
        <v>1</v>
      </c>
      <c r="C2451" s="9">
        <v>352</v>
      </c>
      <c r="D2451" s="29">
        <f>C2451+IF(INDEX('Справочник по %'!B:B,(MATCH(A2451,'Справочник по %'!A:A,0)))="кол-во",B2451*INDEX('Справочник по %'!C:C,(MATCH(A2451,'Справочник по %'!A:A,0))),ОТЧЕТ!C2451*INDEX('Справочник по %'!C:C,(MATCH(A2451,'Справочник по %'!A:A,0))))/100</f>
        <v>387.2</v>
      </c>
      <c r="E2451" s="29">
        <f>IF(ОТЧЕТ!A2451="SKU3",C2451+ОТЧЕТ!C2451*0.2,C2451+ОТЧЕТ!C2451*0.15)</f>
        <v>404.8</v>
      </c>
      <c r="F2451" s="7" t="s">
        <v>4740</v>
      </c>
      <c r="G2451" s="7">
        <v>5258157580</v>
      </c>
      <c r="H2451" s="20" t="s">
        <v>4733</v>
      </c>
      <c r="I2451" s="22">
        <f>INDEX('Справочник Сети'!B:B,(MATCH(G2451,'Справочник Сети'!C:C,0)))</f>
        <v>0</v>
      </c>
      <c r="J2451" s="7" t="s">
        <v>92</v>
      </c>
      <c r="K2451" s="7" t="s">
        <v>1271</v>
      </c>
      <c r="L2451" s="7" t="s">
        <v>92</v>
      </c>
      <c r="M2451" s="31">
        <v>45714</v>
      </c>
      <c r="N2451" s="7" t="s">
        <v>4742</v>
      </c>
      <c r="O2451" s="8">
        <v>2281</v>
      </c>
      <c r="P2451" s="24">
        <v>9038</v>
      </c>
      <c r="Q2451" s="22">
        <f>IF(COUNTIFS(A$2:A2451,A2451,I$2:I2451,I2451)=1,1,0)</f>
        <v>0</v>
      </c>
      <c r="R2451" s="22">
        <f t="shared" si="38"/>
        <v>4</v>
      </c>
      <c r="S2451" s="33">
        <f>IF(COUNTIF(O$2:O2451,O2451)=1,R2451,0)/2.5</f>
        <v>0</v>
      </c>
    </row>
    <row r="2452" spans="1:19" ht="18" customHeight="1" x14ac:dyDescent="0.25">
      <c r="A2452" s="7" t="s">
        <v>37</v>
      </c>
      <c r="B2452" s="8">
        <v>1</v>
      </c>
      <c r="C2452" s="9">
        <v>599.9</v>
      </c>
      <c r="D2452" s="29">
        <f>C2452+IF(INDEX('Справочник по %'!B:B,(MATCH(A2452,'Справочник по %'!A:A,0)))="кол-во",B2452*INDEX('Справочник по %'!C:C,(MATCH(A2452,'Справочник по %'!A:A,0))),ОТЧЕТ!C2452*INDEX('Справочник по %'!C:C,(MATCH(A2452,'Справочник по %'!A:A,0))))/100</f>
        <v>600.1</v>
      </c>
      <c r="E2452" s="29">
        <f>IF(ОТЧЕТ!A2452="SKU3",C2452+ОТЧЕТ!C2452*0.2,C2452+ОТЧЕТ!C2452*0.15)</f>
        <v>689.88499999999999</v>
      </c>
      <c r="F2452" s="7" t="s">
        <v>4743</v>
      </c>
      <c r="G2452" s="7">
        <v>7204146152</v>
      </c>
      <c r="H2452" s="20" t="s">
        <v>4433</v>
      </c>
      <c r="I2452" s="22" t="str">
        <f>INDEX('Справочник Сети'!B:B,(MATCH(G2452,'Справочник Сети'!C:C,0)))</f>
        <v>36,6</v>
      </c>
      <c r="J2452" s="7" t="s">
        <v>104</v>
      </c>
      <c r="K2452" s="7" t="s">
        <v>3644</v>
      </c>
      <c r="L2452" s="7" t="s">
        <v>104</v>
      </c>
      <c r="M2452" s="31">
        <v>45693</v>
      </c>
      <c r="N2452" s="7" t="s">
        <v>4744</v>
      </c>
      <c r="O2452" s="8">
        <v>1188</v>
      </c>
      <c r="P2452" s="24">
        <v>9045</v>
      </c>
      <c r="Q2452" s="22">
        <f>IF(COUNTIFS(A$2:A2452,A2452,I$2:I2452,I2452)=1,1,0)</f>
        <v>0</v>
      </c>
      <c r="R2452" s="22">
        <f t="shared" si="38"/>
        <v>14</v>
      </c>
      <c r="S2452" s="33">
        <f>IF(COUNTIF(O$2:O2452,O2452)=1,R2452,0)/2.5</f>
        <v>0</v>
      </c>
    </row>
    <row r="2453" spans="1:19" ht="18" customHeight="1" x14ac:dyDescent="0.25">
      <c r="A2453" s="7" t="s">
        <v>43</v>
      </c>
      <c r="B2453" s="8">
        <v>1</v>
      </c>
      <c r="C2453" s="9">
        <v>418.47</v>
      </c>
      <c r="D2453" s="29">
        <f>C2453+IF(INDEX('Справочник по %'!B:B,(MATCH(A2453,'Справочник по %'!A:A,0)))="кол-во",B2453*INDEX('Справочник по %'!C:C,(MATCH(A2453,'Справочник по %'!A:A,0))),ОТЧЕТ!C2453*INDEX('Справочник по %'!C:C,(MATCH(A2453,'Справочник по %'!A:A,0))))/100</f>
        <v>460.31700000000001</v>
      </c>
      <c r="E2453" s="29">
        <f>IF(ОТЧЕТ!A2453="SKU3",C2453+ОТЧЕТ!C2453*0.2,C2453+ОТЧЕТ!C2453*0.15)</f>
        <v>481.2405</v>
      </c>
      <c r="F2453" s="7" t="s">
        <v>4745</v>
      </c>
      <c r="G2453" s="7">
        <v>550704589807</v>
      </c>
      <c r="H2453" s="20" t="s">
        <v>50</v>
      </c>
      <c r="I2453" s="22" t="str">
        <f>INDEX('Справочник Сети'!B:B,(MATCH(G2453,'Справочник Сети'!C:C,0)))</f>
        <v>Столички</v>
      </c>
      <c r="J2453" s="7" t="s">
        <v>251</v>
      </c>
      <c r="K2453" s="7" t="s">
        <v>1793</v>
      </c>
      <c r="L2453" s="7" t="s">
        <v>251</v>
      </c>
      <c r="M2453" s="31">
        <v>45659</v>
      </c>
      <c r="N2453" s="7" t="s">
        <v>4746</v>
      </c>
      <c r="O2453" s="8">
        <v>119</v>
      </c>
      <c r="P2453" s="24">
        <v>9051</v>
      </c>
      <c r="Q2453" s="22">
        <f>IF(COUNTIFS(A$2:A2453,A2453,I$2:I2453,I2453)=1,1,0)</f>
        <v>0</v>
      </c>
      <c r="R2453" s="22">
        <f t="shared" si="38"/>
        <v>3</v>
      </c>
      <c r="S2453" s="33">
        <f>IF(COUNTIF(O$2:O2453,O2453)=1,R2453,0)/2.5</f>
        <v>0</v>
      </c>
    </row>
    <row r="2454" spans="1:19" ht="18" customHeight="1" x14ac:dyDescent="0.25">
      <c r="A2454" s="7" t="s">
        <v>43</v>
      </c>
      <c r="B2454" s="8">
        <v>1</v>
      </c>
      <c r="C2454" s="9">
        <v>540</v>
      </c>
      <c r="D2454" s="29">
        <f>C2454+IF(INDEX('Справочник по %'!B:B,(MATCH(A2454,'Справочник по %'!A:A,0)))="кол-во",B2454*INDEX('Справочник по %'!C:C,(MATCH(A2454,'Справочник по %'!A:A,0))),ОТЧЕТ!C2454*INDEX('Справочник по %'!C:C,(MATCH(A2454,'Справочник по %'!A:A,0))))/100</f>
        <v>594</v>
      </c>
      <c r="E2454" s="29">
        <f>IF(ОТЧЕТ!A2454="SKU3",C2454+ОТЧЕТ!C2454*0.2,C2454+ОТЧЕТ!C2454*0.15)</f>
        <v>621</v>
      </c>
      <c r="F2454" s="7" t="s">
        <v>4747</v>
      </c>
      <c r="G2454" s="7">
        <v>2543009225</v>
      </c>
      <c r="H2454" s="20" t="s">
        <v>941</v>
      </c>
      <c r="I2454" s="22" t="str">
        <f>INDEX('Справочник Сети'!B:B,(MATCH(G2454,'Справочник Сети'!C:C,0)))</f>
        <v>Нео-фарм</v>
      </c>
      <c r="J2454" s="7" t="s">
        <v>46</v>
      </c>
      <c r="K2454" s="7" t="s">
        <v>2540</v>
      </c>
      <c r="L2454" s="7" t="s">
        <v>46</v>
      </c>
      <c r="M2454" s="31">
        <v>45726</v>
      </c>
      <c r="N2454" s="7" t="s">
        <v>4748</v>
      </c>
      <c r="O2454" s="8">
        <v>2518</v>
      </c>
      <c r="P2454" s="24">
        <v>9056</v>
      </c>
      <c r="Q2454" s="22">
        <f>IF(COUNTIFS(A$2:A2454,A2454,I$2:I2454,I2454)=1,1,0)</f>
        <v>0</v>
      </c>
      <c r="R2454" s="22">
        <f t="shared" si="38"/>
        <v>6</v>
      </c>
      <c r="S2454" s="33">
        <f>IF(COUNTIF(O$2:O2454,O2454)=1,R2454,0)/2.5</f>
        <v>0</v>
      </c>
    </row>
    <row r="2455" spans="1:19" ht="18" customHeight="1" x14ac:dyDescent="0.25">
      <c r="A2455" s="7" t="s">
        <v>43</v>
      </c>
      <c r="B2455" s="8">
        <v>1</v>
      </c>
      <c r="C2455" s="9">
        <v>320</v>
      </c>
      <c r="D2455" s="29">
        <f>C2455+IF(INDEX('Справочник по %'!B:B,(MATCH(A2455,'Справочник по %'!A:A,0)))="кол-во",B2455*INDEX('Справочник по %'!C:C,(MATCH(A2455,'Справочник по %'!A:A,0))),ОТЧЕТ!C2455*INDEX('Справочник по %'!C:C,(MATCH(A2455,'Справочник по %'!A:A,0))))/100</f>
        <v>352</v>
      </c>
      <c r="E2455" s="29">
        <f>IF(ОТЧЕТ!A2455="SKU3",C2455+ОТЧЕТ!C2455*0.2,C2455+ОТЧЕТ!C2455*0.15)</f>
        <v>368</v>
      </c>
      <c r="F2455" s="7" t="s">
        <v>4749</v>
      </c>
      <c r="G2455" s="7">
        <v>5501207372</v>
      </c>
      <c r="H2455" s="20" t="s">
        <v>50</v>
      </c>
      <c r="I2455" s="22" t="str">
        <f>INDEX('Справочник Сети'!B:B,(MATCH(G2455,'Справочник Сети'!C:C,0)))</f>
        <v>Ригла</v>
      </c>
      <c r="J2455" s="7" t="s">
        <v>255</v>
      </c>
      <c r="K2455" s="7" t="s">
        <v>1662</v>
      </c>
      <c r="L2455" s="7" t="s">
        <v>255</v>
      </c>
      <c r="M2455" s="31">
        <v>45713</v>
      </c>
      <c r="N2455" s="7" t="s">
        <v>4750</v>
      </c>
      <c r="O2455" s="8">
        <v>351</v>
      </c>
      <c r="P2455" s="24">
        <v>9061</v>
      </c>
      <c r="Q2455" s="22">
        <f>IF(COUNTIFS(A$2:A2455,A2455,I$2:I2455,I2455)=1,1,0)</f>
        <v>0</v>
      </c>
      <c r="R2455" s="22">
        <f t="shared" si="38"/>
        <v>2</v>
      </c>
      <c r="S2455" s="33">
        <f>IF(COUNTIF(O$2:O2455,O2455)=1,R2455,0)/2.5</f>
        <v>0</v>
      </c>
    </row>
    <row r="2456" spans="1:19" ht="18" customHeight="1" x14ac:dyDescent="0.25">
      <c r="A2456" s="7" t="s">
        <v>37</v>
      </c>
      <c r="B2456" s="8">
        <v>1</v>
      </c>
      <c r="C2456" s="9">
        <v>546</v>
      </c>
      <c r="D2456" s="29">
        <f>C2456+IF(INDEX('Справочник по %'!B:B,(MATCH(A2456,'Справочник по %'!A:A,0)))="кол-во",B2456*INDEX('Справочник по %'!C:C,(MATCH(A2456,'Справочник по %'!A:A,0))),ОТЧЕТ!C2456*INDEX('Справочник по %'!C:C,(MATCH(A2456,'Справочник по %'!A:A,0))))/100</f>
        <v>546.20000000000005</v>
      </c>
      <c r="E2456" s="29">
        <f>IF(ОТЧЕТ!A2456="SKU3",C2456+ОТЧЕТ!C2456*0.2,C2456+ОТЧЕТ!C2456*0.15)</f>
        <v>627.9</v>
      </c>
      <c r="F2456" s="7" t="s">
        <v>4749</v>
      </c>
      <c r="G2456" s="7">
        <v>7706795062</v>
      </c>
      <c r="H2456" s="20" t="s">
        <v>4751</v>
      </c>
      <c r="I2456" s="22" t="str">
        <f>INDEX('Справочник Сети'!B:B,(MATCH(G2456,'Справочник Сети'!C:C,0)))</f>
        <v>Планета здоровья</v>
      </c>
      <c r="J2456" s="7" t="s">
        <v>87</v>
      </c>
      <c r="K2456" s="7" t="s">
        <v>971</v>
      </c>
      <c r="L2456" s="7" t="s">
        <v>87</v>
      </c>
      <c r="M2456" s="31">
        <v>45691</v>
      </c>
      <c r="N2456" s="7" t="s">
        <v>4752</v>
      </c>
      <c r="O2456" s="8">
        <v>1640</v>
      </c>
      <c r="P2456" s="24">
        <v>9066</v>
      </c>
      <c r="Q2456" s="22">
        <f>IF(COUNTIFS(A$2:A2456,A2456,I$2:I2456,I2456)=1,1,0)</f>
        <v>0</v>
      </c>
      <c r="R2456" s="22">
        <f t="shared" si="38"/>
        <v>4</v>
      </c>
      <c r="S2456" s="33">
        <f>IF(COUNTIF(O$2:O2456,O2456)=1,R2456,0)/2.5</f>
        <v>0</v>
      </c>
    </row>
    <row r="2457" spans="1:19" ht="18" customHeight="1" x14ac:dyDescent="0.25">
      <c r="A2457" s="7" t="s">
        <v>37</v>
      </c>
      <c r="B2457" s="8">
        <v>1</v>
      </c>
      <c r="C2457" s="9">
        <v>531</v>
      </c>
      <c r="D2457" s="29">
        <f>C2457+IF(INDEX('Справочник по %'!B:B,(MATCH(A2457,'Справочник по %'!A:A,0)))="кол-во",B2457*INDEX('Справочник по %'!C:C,(MATCH(A2457,'Справочник по %'!A:A,0))),ОТЧЕТ!C2457*INDEX('Справочник по %'!C:C,(MATCH(A2457,'Справочник по %'!A:A,0))))/100</f>
        <v>531.20000000000005</v>
      </c>
      <c r="E2457" s="29">
        <f>IF(ОТЧЕТ!A2457="SKU3",C2457+ОТЧЕТ!C2457*0.2,C2457+ОТЧЕТ!C2457*0.15)</f>
        <v>610.65</v>
      </c>
      <c r="F2457" s="7" t="s">
        <v>4753</v>
      </c>
      <c r="G2457" s="7">
        <v>7706795062</v>
      </c>
      <c r="H2457" s="20" t="s">
        <v>4751</v>
      </c>
      <c r="I2457" s="22" t="str">
        <f>INDEX('Справочник Сети'!B:B,(MATCH(G2457,'Справочник Сети'!C:C,0)))</f>
        <v>Планета здоровья</v>
      </c>
      <c r="J2457" s="7" t="s">
        <v>87</v>
      </c>
      <c r="K2457" s="7" t="s">
        <v>971</v>
      </c>
      <c r="L2457" s="7" t="s">
        <v>87</v>
      </c>
      <c r="M2457" s="31">
        <v>45691</v>
      </c>
      <c r="N2457" s="7" t="s">
        <v>4752</v>
      </c>
      <c r="O2457" s="8">
        <v>1640</v>
      </c>
      <c r="P2457" s="24">
        <v>9066</v>
      </c>
      <c r="Q2457" s="22">
        <f>IF(COUNTIFS(A$2:A2457,A2457,I$2:I2457,I2457)=1,1,0)</f>
        <v>0</v>
      </c>
      <c r="R2457" s="22">
        <f t="shared" si="38"/>
        <v>4</v>
      </c>
      <c r="S2457" s="33">
        <f>IF(COUNTIF(O$2:O2457,O2457)=1,R2457,0)/2.5</f>
        <v>0</v>
      </c>
    </row>
    <row r="2458" spans="1:19" ht="18" customHeight="1" x14ac:dyDescent="0.25">
      <c r="A2458" s="7" t="s">
        <v>43</v>
      </c>
      <c r="B2458" s="8">
        <v>1</v>
      </c>
      <c r="C2458" s="9">
        <v>344.26</v>
      </c>
      <c r="D2458" s="29">
        <f>C2458+IF(INDEX('Справочник по %'!B:B,(MATCH(A2458,'Справочник по %'!A:A,0)))="кол-во",B2458*INDEX('Справочник по %'!C:C,(MATCH(A2458,'Справочник по %'!A:A,0))),ОТЧЕТ!C2458*INDEX('Справочник по %'!C:C,(MATCH(A2458,'Справочник по %'!A:A,0))))/100</f>
        <v>378.68599999999998</v>
      </c>
      <c r="E2458" s="29">
        <f>IF(ОТЧЕТ!A2458="SKU3",C2458+ОТЧЕТ!C2458*0.2,C2458+ОТЧЕТ!C2458*0.15)</f>
        <v>395.899</v>
      </c>
      <c r="F2458" s="7" t="s">
        <v>4754</v>
      </c>
      <c r="G2458" s="7">
        <v>5651021539</v>
      </c>
      <c r="H2458" s="20" t="s">
        <v>4755</v>
      </c>
      <c r="I2458" s="22">
        <f>INDEX('Справочник Сети'!B:B,(MATCH(G2458,'Справочник Сети'!C:C,0)))</f>
        <v>0</v>
      </c>
      <c r="J2458" s="7" t="s">
        <v>255</v>
      </c>
      <c r="K2458" s="7" t="s">
        <v>332</v>
      </c>
      <c r="L2458" s="7" t="s">
        <v>255</v>
      </c>
      <c r="M2458" s="31">
        <v>45713</v>
      </c>
      <c r="N2458" s="7" t="s">
        <v>4756</v>
      </c>
      <c r="O2458" s="8">
        <v>3827</v>
      </c>
      <c r="P2458" s="24">
        <v>9068</v>
      </c>
      <c r="Q2458" s="22">
        <f>IF(COUNTIFS(A$2:A2458,A2458,I$2:I2458,I2458)=1,1,0)</f>
        <v>0</v>
      </c>
      <c r="R2458" s="22">
        <f t="shared" si="38"/>
        <v>1</v>
      </c>
      <c r="S2458" s="33">
        <f>IF(COUNTIF(O$2:O2458,O2458)=1,R2458,0)/2.5</f>
        <v>0.4</v>
      </c>
    </row>
    <row r="2459" spans="1:19" ht="18" customHeight="1" x14ac:dyDescent="0.25">
      <c r="A2459" s="7" t="s">
        <v>43</v>
      </c>
      <c r="B2459" s="8">
        <v>1</v>
      </c>
      <c r="C2459" s="9">
        <v>447</v>
      </c>
      <c r="D2459" s="29">
        <f>C2459+IF(INDEX('Справочник по %'!B:B,(MATCH(A2459,'Справочник по %'!A:A,0)))="кол-во",B2459*INDEX('Справочник по %'!C:C,(MATCH(A2459,'Справочник по %'!A:A,0))),ОТЧЕТ!C2459*INDEX('Справочник по %'!C:C,(MATCH(A2459,'Справочник по %'!A:A,0))))/100</f>
        <v>491.7</v>
      </c>
      <c r="E2459" s="29">
        <f>IF(ОТЧЕТ!A2459="SKU3",C2459+ОТЧЕТ!C2459*0.2,C2459+ОТЧЕТ!C2459*0.15)</f>
        <v>514.04999999999995</v>
      </c>
      <c r="F2459" s="7" t="s">
        <v>4754</v>
      </c>
      <c r="G2459" s="7">
        <v>9203008139</v>
      </c>
      <c r="H2459" s="20" t="s">
        <v>4757</v>
      </c>
      <c r="I2459" s="22">
        <f>INDEX('Справочник Сети'!B:B,(MATCH(G2459,'Справочник Сети'!C:C,0)))</f>
        <v>0</v>
      </c>
      <c r="J2459" s="7" t="s">
        <v>239</v>
      </c>
      <c r="K2459" s="7" t="s">
        <v>925</v>
      </c>
      <c r="L2459" s="7" t="s">
        <v>239</v>
      </c>
      <c r="M2459" s="31">
        <v>45662</v>
      </c>
      <c r="N2459" s="7" t="s">
        <v>4758</v>
      </c>
      <c r="O2459" s="8">
        <v>1316</v>
      </c>
      <c r="P2459" s="24">
        <v>9069</v>
      </c>
      <c r="Q2459" s="22">
        <f>IF(COUNTIFS(A$2:A2459,A2459,I$2:I2459,I2459)=1,1,0)</f>
        <v>0</v>
      </c>
      <c r="R2459" s="22">
        <f t="shared" si="38"/>
        <v>1</v>
      </c>
      <c r="S2459" s="33">
        <f>IF(COUNTIF(O$2:O2459,O2459)=1,R2459,0)/2.5</f>
        <v>0.4</v>
      </c>
    </row>
    <row r="2460" spans="1:19" ht="18" customHeight="1" x14ac:dyDescent="0.25">
      <c r="A2460" s="7" t="s">
        <v>43</v>
      </c>
      <c r="B2460" s="8">
        <v>1</v>
      </c>
      <c r="C2460" s="9">
        <v>540</v>
      </c>
      <c r="D2460" s="29">
        <f>C2460+IF(INDEX('Справочник по %'!B:B,(MATCH(A2460,'Справочник по %'!A:A,0)))="кол-во",B2460*INDEX('Справочник по %'!C:C,(MATCH(A2460,'Справочник по %'!A:A,0))),ОТЧЕТ!C2460*INDEX('Справочник по %'!C:C,(MATCH(A2460,'Справочник по %'!A:A,0))))/100</f>
        <v>594</v>
      </c>
      <c r="E2460" s="29">
        <f>IF(ОТЧЕТ!A2460="SKU3",C2460+ОТЧЕТ!C2460*0.2,C2460+ОТЧЕТ!C2460*0.15)</f>
        <v>621</v>
      </c>
      <c r="F2460" s="7" t="s">
        <v>4759</v>
      </c>
      <c r="G2460" s="7">
        <v>5032223231</v>
      </c>
      <c r="H2460" s="20" t="s">
        <v>91</v>
      </c>
      <c r="I2460" s="22" t="str">
        <f>INDEX('Справочник Сети'!B:B,(MATCH(G2460,'Справочник Сети'!C:C,0)))</f>
        <v>Планета здоровья</v>
      </c>
      <c r="J2460" s="7" t="s">
        <v>92</v>
      </c>
      <c r="K2460" s="7" t="s">
        <v>3565</v>
      </c>
      <c r="L2460" s="7" t="s">
        <v>92</v>
      </c>
      <c r="M2460" s="31">
        <v>45714</v>
      </c>
      <c r="N2460" s="7" t="s">
        <v>4760</v>
      </c>
      <c r="O2460" s="8">
        <v>3276</v>
      </c>
      <c r="P2460" s="24">
        <v>9081</v>
      </c>
      <c r="Q2460" s="22">
        <f>IF(COUNTIFS(A$2:A2460,A2460,I$2:I2460,I2460)=1,1,0)</f>
        <v>0</v>
      </c>
      <c r="R2460" s="22">
        <f t="shared" si="38"/>
        <v>1</v>
      </c>
      <c r="S2460" s="33">
        <f>IF(COUNTIF(O$2:O2460,O2460)=1,R2460,0)/2.5</f>
        <v>0.4</v>
      </c>
    </row>
    <row r="2461" spans="1:19" ht="18" customHeight="1" x14ac:dyDescent="0.25">
      <c r="A2461" s="7" t="s">
        <v>43</v>
      </c>
      <c r="B2461" s="8">
        <v>1</v>
      </c>
      <c r="C2461" s="9">
        <v>535</v>
      </c>
      <c r="D2461" s="29">
        <f>C2461+IF(INDEX('Справочник по %'!B:B,(MATCH(A2461,'Справочник по %'!A:A,0)))="кол-во",B2461*INDEX('Справочник по %'!C:C,(MATCH(A2461,'Справочник по %'!A:A,0))),ОТЧЕТ!C2461*INDEX('Справочник по %'!C:C,(MATCH(A2461,'Справочник по %'!A:A,0))))/100</f>
        <v>588.5</v>
      </c>
      <c r="E2461" s="29">
        <f>IF(ОТЧЕТ!A2461="SKU3",C2461+ОТЧЕТ!C2461*0.2,C2461+ОТЧЕТ!C2461*0.15)</f>
        <v>615.25</v>
      </c>
      <c r="F2461" s="7" t="s">
        <v>4761</v>
      </c>
      <c r="G2461" s="7">
        <v>7733709256</v>
      </c>
      <c r="H2461" s="20" t="s">
        <v>4762</v>
      </c>
      <c r="I2461" s="22">
        <f>INDEX('Справочник Сети'!B:B,(MATCH(G2461,'Справочник Сети'!C:C,0)))</f>
        <v>0</v>
      </c>
      <c r="J2461" s="7" t="s">
        <v>353</v>
      </c>
      <c r="K2461" s="7" t="s">
        <v>1730</v>
      </c>
      <c r="L2461" s="7" t="s">
        <v>353</v>
      </c>
      <c r="M2461" s="31">
        <v>45672</v>
      </c>
      <c r="N2461" s="7" t="s">
        <v>4763</v>
      </c>
      <c r="O2461" s="8">
        <v>1213</v>
      </c>
      <c r="P2461" s="24">
        <v>9086</v>
      </c>
      <c r="Q2461" s="22">
        <f>IF(COUNTIFS(A$2:A2461,A2461,I$2:I2461,I2461)=1,1,0)</f>
        <v>0</v>
      </c>
      <c r="R2461" s="22">
        <f t="shared" si="38"/>
        <v>1</v>
      </c>
      <c r="S2461" s="33">
        <f>IF(COUNTIF(O$2:O2461,O2461)=1,R2461,0)/2.5</f>
        <v>0.4</v>
      </c>
    </row>
    <row r="2462" spans="1:19" ht="18" customHeight="1" x14ac:dyDescent="0.25">
      <c r="A2462" s="7" t="s">
        <v>37</v>
      </c>
      <c r="B2462" s="8">
        <v>1</v>
      </c>
      <c r="C2462" s="9">
        <v>650</v>
      </c>
      <c r="D2462" s="29">
        <f>C2462+IF(INDEX('Справочник по %'!B:B,(MATCH(A2462,'Справочник по %'!A:A,0)))="кол-во",B2462*INDEX('Справочник по %'!C:C,(MATCH(A2462,'Справочник по %'!A:A,0))),ОТЧЕТ!C2462*INDEX('Справочник по %'!C:C,(MATCH(A2462,'Справочник по %'!A:A,0))))/100</f>
        <v>650.20000000000005</v>
      </c>
      <c r="E2462" s="29">
        <f>IF(ОТЧЕТ!A2462="SKU3",C2462+ОТЧЕТ!C2462*0.2,C2462+ОТЧЕТ!C2462*0.15)</f>
        <v>747.5</v>
      </c>
      <c r="F2462" s="7" t="s">
        <v>4761</v>
      </c>
      <c r="G2462" s="7">
        <v>4222016270</v>
      </c>
      <c r="H2462" s="20" t="s">
        <v>2272</v>
      </c>
      <c r="I2462" s="22" t="str">
        <f>INDEX('Справочник Сети'!B:B,(MATCH(G2462,'Справочник Сети'!C:C,0)))</f>
        <v>Столички</v>
      </c>
      <c r="J2462" s="7" t="s">
        <v>155</v>
      </c>
      <c r="K2462" s="7" t="s">
        <v>427</v>
      </c>
      <c r="L2462" s="7" t="s">
        <v>155</v>
      </c>
      <c r="M2462" s="31">
        <v>45716</v>
      </c>
      <c r="N2462" s="7" t="s">
        <v>4764</v>
      </c>
      <c r="O2462" s="8">
        <v>3109</v>
      </c>
      <c r="P2462" s="24">
        <v>9091</v>
      </c>
      <c r="Q2462" s="22">
        <f>IF(COUNTIFS(A$2:A2462,A2462,I$2:I2462,I2462)=1,1,0)</f>
        <v>0</v>
      </c>
      <c r="R2462" s="22">
        <f t="shared" si="38"/>
        <v>5</v>
      </c>
      <c r="S2462" s="33">
        <f>IF(COUNTIF(O$2:O2462,O2462)=1,R2462,0)/2.5</f>
        <v>0</v>
      </c>
    </row>
    <row r="2463" spans="1:19" ht="18" customHeight="1" x14ac:dyDescent="0.25">
      <c r="A2463" s="7" t="s">
        <v>43</v>
      </c>
      <c r="B2463" s="8">
        <v>1</v>
      </c>
      <c r="C2463" s="9">
        <v>470</v>
      </c>
      <c r="D2463" s="29">
        <f>C2463+IF(INDEX('Справочник по %'!B:B,(MATCH(A2463,'Справочник по %'!A:A,0)))="кол-во",B2463*INDEX('Справочник по %'!C:C,(MATCH(A2463,'Справочник по %'!A:A,0))),ОТЧЕТ!C2463*INDEX('Справочник по %'!C:C,(MATCH(A2463,'Справочник по %'!A:A,0))))/100</f>
        <v>517</v>
      </c>
      <c r="E2463" s="29">
        <f>IF(ОТЧЕТ!A2463="SKU3",C2463+ОТЧЕТ!C2463*0.2,C2463+ОТЧЕТ!C2463*0.15)</f>
        <v>540.5</v>
      </c>
      <c r="F2463" s="7" t="s">
        <v>4765</v>
      </c>
      <c r="G2463" s="7">
        <v>2460058998</v>
      </c>
      <c r="H2463" s="20" t="s">
        <v>1276</v>
      </c>
      <c r="I2463" s="22">
        <f>INDEX('Справочник Сети'!B:B,(MATCH(G2463,'Справочник Сети'!C:C,0)))</f>
        <v>0</v>
      </c>
      <c r="J2463" s="7" t="s">
        <v>96</v>
      </c>
      <c r="K2463" s="7" t="s">
        <v>222</v>
      </c>
      <c r="L2463" s="7" t="s">
        <v>96</v>
      </c>
      <c r="M2463" s="31">
        <v>45727</v>
      </c>
      <c r="N2463" s="7" t="s">
        <v>4766</v>
      </c>
      <c r="O2463" s="8">
        <v>2144</v>
      </c>
      <c r="P2463" s="24">
        <v>9092</v>
      </c>
      <c r="Q2463" s="22">
        <f>IF(COUNTIFS(A$2:A2463,A2463,I$2:I2463,I2463)=1,1,0)</f>
        <v>0</v>
      </c>
      <c r="R2463" s="22">
        <f t="shared" si="38"/>
        <v>2</v>
      </c>
      <c r="S2463" s="33">
        <f>IF(COUNTIF(O$2:O2463,O2463)=1,R2463,0)/2.5</f>
        <v>0</v>
      </c>
    </row>
    <row r="2464" spans="1:19" ht="18" customHeight="1" x14ac:dyDescent="0.25">
      <c r="A2464" s="7" t="s">
        <v>43</v>
      </c>
      <c r="B2464" s="8">
        <v>1</v>
      </c>
      <c r="C2464" s="9">
        <v>389</v>
      </c>
      <c r="D2464" s="29">
        <f>C2464+IF(INDEX('Справочник по %'!B:B,(MATCH(A2464,'Справочник по %'!A:A,0)))="кол-во",B2464*INDEX('Справочник по %'!C:C,(MATCH(A2464,'Справочник по %'!A:A,0))),ОТЧЕТ!C2464*INDEX('Справочник по %'!C:C,(MATCH(A2464,'Справочник по %'!A:A,0))))/100</f>
        <v>427.9</v>
      </c>
      <c r="E2464" s="29">
        <f>IF(ОТЧЕТ!A2464="SKU3",C2464+ОТЧЕТ!C2464*0.2,C2464+ОТЧЕТ!C2464*0.15)</f>
        <v>447.35</v>
      </c>
      <c r="F2464" s="7" t="s">
        <v>4767</v>
      </c>
      <c r="G2464" s="7">
        <v>2466189073</v>
      </c>
      <c r="H2464" s="20" t="s">
        <v>1601</v>
      </c>
      <c r="I2464" s="22" t="str">
        <f>INDEX('Справочник Сети'!B:B,(MATCH(G2464,'Справочник Сети'!C:C,0)))</f>
        <v>Нео-фарм</v>
      </c>
      <c r="J2464" s="7" t="s">
        <v>96</v>
      </c>
      <c r="K2464" s="7" t="s">
        <v>3277</v>
      </c>
      <c r="L2464" s="7" t="s">
        <v>96</v>
      </c>
      <c r="M2464" s="31">
        <v>45727</v>
      </c>
      <c r="N2464" s="7" t="s">
        <v>4768</v>
      </c>
      <c r="O2464" s="8">
        <v>2841</v>
      </c>
      <c r="P2464" s="24">
        <v>9100</v>
      </c>
      <c r="Q2464" s="22">
        <f>IF(COUNTIFS(A$2:A2464,A2464,I$2:I2464,I2464)=1,1,0)</f>
        <v>0</v>
      </c>
      <c r="R2464" s="22">
        <f t="shared" si="38"/>
        <v>5</v>
      </c>
      <c r="S2464" s="33">
        <f>IF(COUNTIF(O$2:O2464,O2464)=1,R2464,0)/2.5</f>
        <v>0</v>
      </c>
    </row>
    <row r="2465" spans="1:19" ht="18" customHeight="1" x14ac:dyDescent="0.25">
      <c r="A2465" s="7" t="s">
        <v>43</v>
      </c>
      <c r="B2465" s="8">
        <v>1</v>
      </c>
      <c r="C2465" s="9">
        <v>506</v>
      </c>
      <c r="D2465" s="29">
        <f>C2465+IF(INDEX('Справочник по %'!B:B,(MATCH(A2465,'Справочник по %'!A:A,0)))="кол-во",B2465*INDEX('Справочник по %'!C:C,(MATCH(A2465,'Справочник по %'!A:A,0))),ОТЧЕТ!C2465*INDEX('Справочник по %'!C:C,(MATCH(A2465,'Справочник по %'!A:A,0))))/100</f>
        <v>556.6</v>
      </c>
      <c r="E2465" s="29">
        <f>IF(ОТЧЕТ!A2465="SKU3",C2465+ОТЧЕТ!C2465*0.2,C2465+ОТЧЕТ!C2465*0.15)</f>
        <v>581.9</v>
      </c>
      <c r="F2465" s="7" t="s">
        <v>4767</v>
      </c>
      <c r="G2465" s="7">
        <v>1001054160</v>
      </c>
      <c r="H2465" s="20" t="s">
        <v>50</v>
      </c>
      <c r="I2465" s="22" t="str">
        <f>INDEX('Справочник Сети'!B:B,(MATCH(G2465,'Справочник Сети'!C:C,0)))</f>
        <v>Ригла</v>
      </c>
      <c r="J2465" s="7" t="s">
        <v>362</v>
      </c>
      <c r="K2465" s="7" t="s">
        <v>834</v>
      </c>
      <c r="L2465" s="7" t="s">
        <v>362</v>
      </c>
      <c r="M2465" s="31">
        <v>45732</v>
      </c>
      <c r="N2465" s="7" t="s">
        <v>4769</v>
      </c>
      <c r="O2465" s="8">
        <v>1499</v>
      </c>
      <c r="P2465" s="24">
        <v>9102</v>
      </c>
      <c r="Q2465" s="22">
        <f>IF(COUNTIFS(A$2:A2465,A2465,I$2:I2465,I2465)=1,1,0)</f>
        <v>0</v>
      </c>
      <c r="R2465" s="22">
        <f t="shared" si="38"/>
        <v>14</v>
      </c>
      <c r="S2465" s="33">
        <f>IF(COUNTIF(O$2:O2465,O2465)=1,R2465,0)/2.5</f>
        <v>0</v>
      </c>
    </row>
    <row r="2466" spans="1:19" ht="18" customHeight="1" x14ac:dyDescent="0.25">
      <c r="A2466" s="7" t="s">
        <v>43</v>
      </c>
      <c r="B2466" s="8">
        <v>1</v>
      </c>
      <c r="C2466" s="9">
        <v>379.21</v>
      </c>
      <c r="D2466" s="29">
        <f>C2466+IF(INDEX('Справочник по %'!B:B,(MATCH(A2466,'Справочник по %'!A:A,0)))="кол-во",B2466*INDEX('Справочник по %'!C:C,(MATCH(A2466,'Справочник по %'!A:A,0))),ОТЧЕТ!C2466*INDEX('Справочник по %'!C:C,(MATCH(A2466,'Справочник по %'!A:A,0))))/100</f>
        <v>417.13099999999997</v>
      </c>
      <c r="E2466" s="29">
        <f>IF(ОТЧЕТ!A2466="SKU3",C2466+ОТЧЕТ!C2466*0.2,C2466+ОТЧЕТ!C2466*0.15)</f>
        <v>436.0915</v>
      </c>
      <c r="F2466" s="7" t="s">
        <v>4767</v>
      </c>
      <c r="G2466" s="7">
        <v>7709068298</v>
      </c>
      <c r="H2466" s="20" t="s">
        <v>4770</v>
      </c>
      <c r="I2466" s="22" t="str">
        <f>INDEX('Справочник Сети'!B:B,(MATCH(G2466,'Справочник Сети'!C:C,0)))</f>
        <v>36,6</v>
      </c>
      <c r="J2466" s="7" t="s">
        <v>504</v>
      </c>
      <c r="K2466" s="7" t="s">
        <v>1865</v>
      </c>
      <c r="L2466" s="7" t="s">
        <v>504</v>
      </c>
      <c r="M2466" s="31">
        <v>45690</v>
      </c>
      <c r="N2466" s="7" t="s">
        <v>4771</v>
      </c>
      <c r="O2466" s="8">
        <v>1272</v>
      </c>
      <c r="P2466" s="24">
        <v>9110</v>
      </c>
      <c r="Q2466" s="22">
        <f>IF(COUNTIFS(A$2:A2466,A2466,I$2:I2466,I2466)=1,1,0)</f>
        <v>0</v>
      </c>
      <c r="R2466" s="22">
        <f t="shared" si="38"/>
        <v>1</v>
      </c>
      <c r="S2466" s="33">
        <f>IF(COUNTIF(O$2:O2466,O2466)=1,R2466,0)/2.5</f>
        <v>0.4</v>
      </c>
    </row>
    <row r="2467" spans="1:19" ht="18" customHeight="1" x14ac:dyDescent="0.25">
      <c r="A2467" s="7" t="s">
        <v>43</v>
      </c>
      <c r="B2467" s="8">
        <v>1</v>
      </c>
      <c r="C2467" s="9">
        <v>481</v>
      </c>
      <c r="D2467" s="29">
        <f>C2467+IF(INDEX('Справочник по %'!B:B,(MATCH(A2467,'Справочник по %'!A:A,0)))="кол-во",B2467*INDEX('Справочник по %'!C:C,(MATCH(A2467,'Справочник по %'!A:A,0))),ОТЧЕТ!C2467*INDEX('Справочник по %'!C:C,(MATCH(A2467,'Справочник по %'!A:A,0))))/100</f>
        <v>529.1</v>
      </c>
      <c r="E2467" s="29">
        <f>IF(ОТЧЕТ!A2467="SKU3",C2467+ОТЧЕТ!C2467*0.2,C2467+ОТЧЕТ!C2467*0.15)</f>
        <v>553.15</v>
      </c>
      <c r="F2467" s="7" t="s">
        <v>4772</v>
      </c>
      <c r="G2467" s="7">
        <v>9726023519</v>
      </c>
      <c r="H2467" s="20" t="s">
        <v>73</v>
      </c>
      <c r="I2467" s="22" t="str">
        <f>INDEX('Справочник Сети'!B:B,(MATCH(G2467,'Справочник Сети'!C:C,0)))</f>
        <v>Планета здоровья</v>
      </c>
      <c r="J2467" s="7" t="s">
        <v>74</v>
      </c>
      <c r="K2467" s="7" t="s">
        <v>2633</v>
      </c>
      <c r="L2467" s="7" t="s">
        <v>74</v>
      </c>
      <c r="M2467" s="31">
        <v>45661</v>
      </c>
      <c r="N2467" s="7" t="s">
        <v>4773</v>
      </c>
      <c r="O2467" s="8">
        <v>2004</v>
      </c>
      <c r="P2467" s="24">
        <v>9117</v>
      </c>
      <c r="Q2467" s="22">
        <f>IF(COUNTIFS(A$2:A2467,A2467,I$2:I2467,I2467)=1,1,0)</f>
        <v>0</v>
      </c>
      <c r="R2467" s="22">
        <f t="shared" si="38"/>
        <v>1</v>
      </c>
      <c r="S2467" s="33">
        <f>IF(COUNTIF(O$2:O2467,O2467)=1,R2467,0)/2.5</f>
        <v>0.4</v>
      </c>
    </row>
    <row r="2468" spans="1:19" ht="18" customHeight="1" x14ac:dyDescent="0.25">
      <c r="A2468" s="7" t="s">
        <v>43</v>
      </c>
      <c r="B2468" s="8">
        <v>1</v>
      </c>
      <c r="C2468" s="9">
        <v>465</v>
      </c>
      <c r="D2468" s="29">
        <f>C2468+IF(INDEX('Справочник по %'!B:B,(MATCH(A2468,'Справочник по %'!A:A,0)))="кол-во",B2468*INDEX('Справочник по %'!C:C,(MATCH(A2468,'Справочник по %'!A:A,0))),ОТЧЕТ!C2468*INDEX('Справочник по %'!C:C,(MATCH(A2468,'Справочник по %'!A:A,0))))/100</f>
        <v>511.5</v>
      </c>
      <c r="E2468" s="29">
        <f>IF(ОТЧЕТ!A2468="SKU3",C2468+ОТЧЕТ!C2468*0.2,C2468+ОТЧЕТ!C2468*0.15)</f>
        <v>534.75</v>
      </c>
      <c r="F2468" s="7" t="s">
        <v>4772</v>
      </c>
      <c r="G2468" s="7">
        <v>5407223112</v>
      </c>
      <c r="H2468" s="20" t="s">
        <v>50</v>
      </c>
      <c r="I2468" s="22">
        <f>INDEX('Справочник Сети'!B:B,(MATCH(G2468,'Справочник Сети'!C:C,0)))</f>
        <v>0</v>
      </c>
      <c r="J2468" s="7" t="s">
        <v>255</v>
      </c>
      <c r="K2468" s="7" t="s">
        <v>2254</v>
      </c>
      <c r="L2468" s="7" t="s">
        <v>92</v>
      </c>
      <c r="M2468" s="31">
        <v>45714</v>
      </c>
      <c r="N2468" s="7" t="s">
        <v>4774</v>
      </c>
      <c r="O2468" s="8">
        <v>2198</v>
      </c>
      <c r="P2468" s="24">
        <v>9118</v>
      </c>
      <c r="Q2468" s="22">
        <f>IF(COUNTIFS(A$2:A2468,A2468,I$2:I2468,I2468)=1,1,0)</f>
        <v>0</v>
      </c>
      <c r="R2468" s="22">
        <f t="shared" si="38"/>
        <v>2</v>
      </c>
      <c r="S2468" s="33">
        <f>IF(COUNTIF(O$2:O2468,O2468)=1,R2468,0)/2.5</f>
        <v>0</v>
      </c>
    </row>
    <row r="2469" spans="1:19" ht="18" customHeight="1" x14ac:dyDescent="0.25">
      <c r="A2469" s="7" t="s">
        <v>43</v>
      </c>
      <c r="B2469" s="8">
        <v>1</v>
      </c>
      <c r="C2469" s="9">
        <v>471.42</v>
      </c>
      <c r="D2469" s="29">
        <f>C2469+IF(INDEX('Справочник по %'!B:B,(MATCH(A2469,'Справочник по %'!A:A,0)))="кол-во",B2469*INDEX('Справочник по %'!C:C,(MATCH(A2469,'Справочник по %'!A:A,0))),ОТЧЕТ!C2469*INDEX('Справочник по %'!C:C,(MATCH(A2469,'Справочник по %'!A:A,0))))/100</f>
        <v>518.56200000000001</v>
      </c>
      <c r="E2469" s="29">
        <f>IF(ОТЧЕТ!A2469="SKU3",C2469+ОТЧЕТ!C2469*0.2,C2469+ОТЧЕТ!C2469*0.15)</f>
        <v>542.13300000000004</v>
      </c>
      <c r="F2469" s="7" t="s">
        <v>4772</v>
      </c>
      <c r="G2469" s="7">
        <v>9704011823</v>
      </c>
      <c r="H2469" s="20" t="s">
        <v>50</v>
      </c>
      <c r="I2469" s="22" t="str">
        <f>INDEX('Справочник Сети'!B:B,(MATCH(G2469,'Справочник Сети'!C:C,0)))</f>
        <v>Нео-фарм</v>
      </c>
      <c r="J2469" s="7" t="s">
        <v>239</v>
      </c>
      <c r="K2469" s="7" t="s">
        <v>328</v>
      </c>
      <c r="L2469" s="7" t="s">
        <v>239</v>
      </c>
      <c r="M2469" s="31">
        <v>45662</v>
      </c>
      <c r="N2469" s="7" t="s">
        <v>4775</v>
      </c>
      <c r="O2469" s="8">
        <v>1409</v>
      </c>
      <c r="P2469" s="24">
        <v>9120</v>
      </c>
      <c r="Q2469" s="22">
        <f>IF(COUNTIFS(A$2:A2469,A2469,I$2:I2469,I2469)=1,1,0)</f>
        <v>0</v>
      </c>
      <c r="R2469" s="22">
        <f t="shared" si="38"/>
        <v>1</v>
      </c>
      <c r="S2469" s="33">
        <f>IF(COUNTIF(O$2:O2469,O2469)=1,R2469,0)/2.5</f>
        <v>0.4</v>
      </c>
    </row>
    <row r="2470" spans="1:19" ht="18" customHeight="1" x14ac:dyDescent="0.25">
      <c r="A2470" s="7" t="s">
        <v>43</v>
      </c>
      <c r="B2470" s="8">
        <v>1</v>
      </c>
      <c r="C2470" s="9">
        <v>383</v>
      </c>
      <c r="D2470" s="29">
        <f>C2470+IF(INDEX('Справочник по %'!B:B,(MATCH(A2470,'Справочник по %'!A:A,0)))="кол-во",B2470*INDEX('Справочник по %'!C:C,(MATCH(A2470,'Справочник по %'!A:A,0))),ОТЧЕТ!C2470*INDEX('Справочник по %'!C:C,(MATCH(A2470,'Справочник по %'!A:A,0))))/100</f>
        <v>421.3</v>
      </c>
      <c r="E2470" s="29">
        <f>IF(ОТЧЕТ!A2470="SKU3",C2470+ОТЧЕТ!C2470*0.2,C2470+ОТЧЕТ!C2470*0.15)</f>
        <v>440.45</v>
      </c>
      <c r="F2470" s="7" t="s">
        <v>4772</v>
      </c>
      <c r="G2470" s="7">
        <v>7706795062</v>
      </c>
      <c r="H2470" s="20" t="s">
        <v>327</v>
      </c>
      <c r="I2470" s="22" t="str">
        <f>INDEX('Справочник Сети'!B:B,(MATCH(G2470,'Справочник Сети'!C:C,0)))</f>
        <v>Планета здоровья</v>
      </c>
      <c r="J2470" s="7" t="s">
        <v>87</v>
      </c>
      <c r="K2470" s="7" t="s">
        <v>1075</v>
      </c>
      <c r="L2470" s="7" t="s">
        <v>87</v>
      </c>
      <c r="M2470" s="31">
        <v>45691</v>
      </c>
      <c r="N2470" s="7" t="s">
        <v>4776</v>
      </c>
      <c r="O2470" s="8">
        <v>2086</v>
      </c>
      <c r="P2470" s="24">
        <v>9122</v>
      </c>
      <c r="Q2470" s="22">
        <f>IF(COUNTIFS(A$2:A2470,A2470,I$2:I2470,I2470)=1,1,0)</f>
        <v>0</v>
      </c>
      <c r="R2470" s="22">
        <f t="shared" si="38"/>
        <v>4</v>
      </c>
      <c r="S2470" s="33">
        <f>IF(COUNTIF(O$2:O2470,O2470)=1,R2470,0)/2.5</f>
        <v>0</v>
      </c>
    </row>
    <row r="2471" spans="1:19" ht="18" customHeight="1" x14ac:dyDescent="0.25">
      <c r="A2471" s="7" t="s">
        <v>43</v>
      </c>
      <c r="B2471" s="8">
        <v>1</v>
      </c>
      <c r="C2471" s="9">
        <v>377</v>
      </c>
      <c r="D2471" s="29">
        <f>C2471+IF(INDEX('Справочник по %'!B:B,(MATCH(A2471,'Справочник по %'!A:A,0)))="кол-во",B2471*INDEX('Справочник по %'!C:C,(MATCH(A2471,'Справочник по %'!A:A,0))),ОТЧЕТ!C2471*INDEX('Справочник по %'!C:C,(MATCH(A2471,'Справочник по %'!A:A,0))))/100</f>
        <v>414.7</v>
      </c>
      <c r="E2471" s="29">
        <f>IF(ОТЧЕТ!A2471="SKU3",C2471+ОТЧЕТ!C2471*0.2,C2471+ОТЧЕТ!C2471*0.15)</f>
        <v>433.55</v>
      </c>
      <c r="F2471" s="7" t="s">
        <v>4777</v>
      </c>
      <c r="G2471" s="7">
        <v>7706795062</v>
      </c>
      <c r="H2471" s="20" t="s">
        <v>3631</v>
      </c>
      <c r="I2471" s="22" t="str">
        <f>INDEX('Справочник Сети'!B:B,(MATCH(G2471,'Справочник Сети'!C:C,0)))</f>
        <v>Планета здоровья</v>
      </c>
      <c r="J2471" s="7" t="s">
        <v>87</v>
      </c>
      <c r="K2471" s="7" t="s">
        <v>3096</v>
      </c>
      <c r="L2471" s="7" t="s">
        <v>87</v>
      </c>
      <c r="M2471" s="31">
        <v>45691</v>
      </c>
      <c r="N2471" s="7" t="s">
        <v>4778</v>
      </c>
      <c r="O2471" s="8">
        <v>1981</v>
      </c>
      <c r="P2471" s="24">
        <v>9125</v>
      </c>
      <c r="Q2471" s="22">
        <f>IF(COUNTIFS(A$2:A2471,A2471,I$2:I2471,I2471)=1,1,0)</f>
        <v>0</v>
      </c>
      <c r="R2471" s="22">
        <f t="shared" si="38"/>
        <v>4</v>
      </c>
      <c r="S2471" s="33">
        <f>IF(COUNTIF(O$2:O2471,O2471)=1,R2471,0)/2.5</f>
        <v>0</v>
      </c>
    </row>
    <row r="2472" spans="1:19" ht="18" customHeight="1" x14ac:dyDescent="0.25">
      <c r="A2472" s="7" t="s">
        <v>43</v>
      </c>
      <c r="B2472" s="8">
        <v>1</v>
      </c>
      <c r="C2472" s="9">
        <v>436.87</v>
      </c>
      <c r="D2472" s="29">
        <f>C2472+IF(INDEX('Справочник по %'!B:B,(MATCH(A2472,'Справочник по %'!A:A,0)))="кол-во",B2472*INDEX('Справочник по %'!C:C,(MATCH(A2472,'Справочник по %'!A:A,0))),ОТЧЕТ!C2472*INDEX('Справочник по %'!C:C,(MATCH(A2472,'Справочник по %'!A:A,0))))/100</f>
        <v>480.55700000000002</v>
      </c>
      <c r="E2472" s="29">
        <f>IF(ОТЧЕТ!A2472="SKU3",C2472+ОТЧЕТ!C2472*0.2,C2472+ОТЧЕТ!C2472*0.15)</f>
        <v>502.40050000000002</v>
      </c>
      <c r="F2472" s="7" t="s">
        <v>4779</v>
      </c>
      <c r="G2472" s="7">
        <v>7840368240</v>
      </c>
      <c r="H2472" s="20" t="s">
        <v>3072</v>
      </c>
      <c r="I2472" s="22" t="str">
        <f>INDEX('Справочник Сети'!B:B,(MATCH(G2472,'Справочник Сети'!C:C,0)))</f>
        <v>Ригла</v>
      </c>
      <c r="J2472" s="7" t="s">
        <v>315</v>
      </c>
      <c r="K2472" s="7" t="s">
        <v>2215</v>
      </c>
      <c r="L2472" s="7" t="s">
        <v>121</v>
      </c>
      <c r="M2472" s="31">
        <v>45671</v>
      </c>
      <c r="N2472" s="7" t="s">
        <v>4780</v>
      </c>
      <c r="O2472" s="8">
        <v>2410</v>
      </c>
      <c r="P2472" s="24">
        <v>9129</v>
      </c>
      <c r="Q2472" s="22">
        <f>IF(COUNTIFS(A$2:A2472,A2472,I$2:I2472,I2472)=1,1,0)</f>
        <v>0</v>
      </c>
      <c r="R2472" s="22">
        <f t="shared" si="38"/>
        <v>2</v>
      </c>
      <c r="S2472" s="33">
        <f>IF(COUNTIF(O$2:O2472,O2472)=1,R2472,0)/2.5</f>
        <v>0</v>
      </c>
    </row>
    <row r="2473" spans="1:19" ht="18" customHeight="1" x14ac:dyDescent="0.25">
      <c r="A2473" s="7" t="s">
        <v>43</v>
      </c>
      <c r="B2473" s="8">
        <v>1</v>
      </c>
      <c r="C2473" s="9">
        <v>384</v>
      </c>
      <c r="D2473" s="29">
        <f>C2473+IF(INDEX('Справочник по %'!B:B,(MATCH(A2473,'Справочник по %'!A:A,0)))="кол-во",B2473*INDEX('Справочник по %'!C:C,(MATCH(A2473,'Справочник по %'!A:A,0))),ОТЧЕТ!C2473*INDEX('Справочник по %'!C:C,(MATCH(A2473,'Справочник по %'!A:A,0))))/100</f>
        <v>422.4</v>
      </c>
      <c r="E2473" s="29">
        <f>IF(ОТЧЕТ!A2473="SKU3",C2473+ОТЧЕТ!C2473*0.2,C2473+ОТЧЕТ!C2473*0.15)</f>
        <v>441.6</v>
      </c>
      <c r="F2473" s="7" t="s">
        <v>4781</v>
      </c>
      <c r="G2473" s="7">
        <v>7706795062</v>
      </c>
      <c r="H2473" s="20" t="s">
        <v>1007</v>
      </c>
      <c r="I2473" s="22" t="str">
        <f>INDEX('Справочник Сети'!B:B,(MATCH(G2473,'Справочник Сети'!C:C,0)))</f>
        <v>Планета здоровья</v>
      </c>
      <c r="J2473" s="7" t="s">
        <v>87</v>
      </c>
      <c r="K2473" s="7" t="s">
        <v>1971</v>
      </c>
      <c r="L2473" s="7" t="s">
        <v>87</v>
      </c>
      <c r="M2473" s="31">
        <v>45691</v>
      </c>
      <c r="N2473" s="7" t="s">
        <v>4782</v>
      </c>
      <c r="O2473" s="8">
        <v>3349</v>
      </c>
      <c r="P2473" s="24">
        <v>9130</v>
      </c>
      <c r="Q2473" s="22">
        <f>IF(COUNTIFS(A$2:A2473,A2473,I$2:I2473,I2473)=1,1,0)</f>
        <v>0</v>
      </c>
      <c r="R2473" s="22">
        <f t="shared" si="38"/>
        <v>5</v>
      </c>
      <c r="S2473" s="33">
        <f>IF(COUNTIF(O$2:O2473,O2473)=1,R2473,0)/2.5</f>
        <v>0</v>
      </c>
    </row>
    <row r="2474" spans="1:19" ht="18" customHeight="1" x14ac:dyDescent="0.25">
      <c r="A2474" s="7" t="s">
        <v>43</v>
      </c>
      <c r="B2474" s="8">
        <v>1</v>
      </c>
      <c r="C2474" s="9">
        <v>450</v>
      </c>
      <c r="D2474" s="29">
        <f>C2474+IF(INDEX('Справочник по %'!B:B,(MATCH(A2474,'Справочник по %'!A:A,0)))="кол-во",B2474*INDEX('Справочник по %'!C:C,(MATCH(A2474,'Справочник по %'!A:A,0))),ОТЧЕТ!C2474*INDEX('Справочник по %'!C:C,(MATCH(A2474,'Справочник по %'!A:A,0))))/100</f>
        <v>495</v>
      </c>
      <c r="E2474" s="29">
        <f>IF(ОТЧЕТ!A2474="SKU3",C2474+ОТЧЕТ!C2474*0.2,C2474+ОТЧЕТ!C2474*0.15)</f>
        <v>517.5</v>
      </c>
      <c r="F2474" s="7" t="s">
        <v>4783</v>
      </c>
      <c r="G2474" s="7">
        <v>4218105425</v>
      </c>
      <c r="H2474" s="20" t="s">
        <v>2825</v>
      </c>
      <c r="I2474" s="22">
        <f>INDEX('Справочник Сети'!B:B,(MATCH(G2474,'Справочник Сети'!C:C,0)))</f>
        <v>0</v>
      </c>
      <c r="J2474" s="7" t="s">
        <v>155</v>
      </c>
      <c r="K2474" s="7" t="s">
        <v>1887</v>
      </c>
      <c r="L2474" s="7" t="s">
        <v>155</v>
      </c>
      <c r="M2474" s="31">
        <v>45716</v>
      </c>
      <c r="N2474" s="7" t="s">
        <v>4784</v>
      </c>
      <c r="O2474" s="8">
        <v>1589</v>
      </c>
      <c r="P2474" s="24">
        <v>9133</v>
      </c>
      <c r="Q2474" s="22">
        <f>IF(COUNTIFS(A$2:A2474,A2474,I$2:I2474,I2474)=1,1,0)</f>
        <v>0</v>
      </c>
      <c r="R2474" s="22">
        <f t="shared" si="38"/>
        <v>1</v>
      </c>
      <c r="S2474" s="33">
        <f>IF(COUNTIF(O$2:O2474,O2474)=1,R2474,0)/2.5</f>
        <v>0.4</v>
      </c>
    </row>
    <row r="2475" spans="1:19" ht="18" customHeight="1" x14ac:dyDescent="0.25">
      <c r="A2475" s="7" t="s">
        <v>43</v>
      </c>
      <c r="B2475" s="8">
        <v>1</v>
      </c>
      <c r="C2475" s="9">
        <v>419</v>
      </c>
      <c r="D2475" s="29">
        <f>C2475+IF(INDEX('Справочник по %'!B:B,(MATCH(A2475,'Справочник по %'!A:A,0)))="кол-во",B2475*INDEX('Справочник по %'!C:C,(MATCH(A2475,'Справочник по %'!A:A,0))),ОТЧЕТ!C2475*INDEX('Справочник по %'!C:C,(MATCH(A2475,'Справочник по %'!A:A,0))))/100</f>
        <v>460.9</v>
      </c>
      <c r="E2475" s="29">
        <f>IF(ОТЧЕТ!A2475="SKU3",C2475+ОТЧЕТ!C2475*0.2,C2475+ОТЧЕТ!C2475*0.15)</f>
        <v>481.85</v>
      </c>
      <c r="F2475" s="7" t="s">
        <v>4785</v>
      </c>
      <c r="G2475" s="7">
        <v>2310200444</v>
      </c>
      <c r="H2475" s="20" t="s">
        <v>69</v>
      </c>
      <c r="I2475" s="22" t="str">
        <f>INDEX('Справочник Сети'!B:B,(MATCH(G2475,'Справочник Сети'!C:C,0)))</f>
        <v>Планета здоровья</v>
      </c>
      <c r="J2475" s="7" t="s">
        <v>70</v>
      </c>
      <c r="K2475" s="7" t="s">
        <v>77</v>
      </c>
      <c r="L2475" s="7" t="s">
        <v>57</v>
      </c>
      <c r="M2475" s="31">
        <v>45729</v>
      </c>
      <c r="N2475" s="7" t="s">
        <v>4786</v>
      </c>
      <c r="O2475" s="8">
        <v>3660</v>
      </c>
      <c r="P2475" s="24">
        <v>9135</v>
      </c>
      <c r="Q2475" s="22">
        <f>IF(COUNTIFS(A$2:A2475,A2475,I$2:I2475,I2475)=1,1,0)</f>
        <v>0</v>
      </c>
      <c r="R2475" s="22">
        <f t="shared" si="38"/>
        <v>2</v>
      </c>
      <c r="S2475" s="33">
        <f>IF(COUNTIF(O$2:O2475,O2475)=1,R2475,0)/2.5</f>
        <v>0.8</v>
      </c>
    </row>
    <row r="2476" spans="1:19" ht="18" customHeight="1" x14ac:dyDescent="0.25">
      <c r="A2476" s="7" t="s">
        <v>43</v>
      </c>
      <c r="B2476" s="8">
        <v>1</v>
      </c>
      <c r="C2476" s="9">
        <v>515</v>
      </c>
      <c r="D2476" s="29">
        <f>C2476+IF(INDEX('Справочник по %'!B:B,(MATCH(A2476,'Справочник по %'!A:A,0)))="кол-во",B2476*INDEX('Справочник по %'!C:C,(MATCH(A2476,'Справочник по %'!A:A,0))),ОТЧЕТ!C2476*INDEX('Справочник по %'!C:C,(MATCH(A2476,'Справочник по %'!A:A,0))))/100</f>
        <v>566.5</v>
      </c>
      <c r="E2476" s="29">
        <f>IF(ОТЧЕТ!A2476="SKU3",C2476+ОТЧЕТ!C2476*0.2,C2476+ОТЧЕТ!C2476*0.15)</f>
        <v>592.25</v>
      </c>
      <c r="F2476" s="7" t="s">
        <v>4787</v>
      </c>
      <c r="G2476" s="7">
        <v>2367002020</v>
      </c>
      <c r="H2476" s="20" t="s">
        <v>91</v>
      </c>
      <c r="I2476" s="22">
        <f>INDEX('Справочник Сети'!B:B,(MATCH(G2476,'Справочник Сети'!C:C,0)))</f>
        <v>0</v>
      </c>
      <c r="J2476" s="7" t="s">
        <v>96</v>
      </c>
      <c r="K2476" s="7" t="s">
        <v>2379</v>
      </c>
      <c r="L2476" s="7" t="s">
        <v>70</v>
      </c>
      <c r="M2476" s="31">
        <v>45728</v>
      </c>
      <c r="N2476" s="7" t="s">
        <v>4788</v>
      </c>
      <c r="O2476" s="8">
        <v>748</v>
      </c>
      <c r="P2476" s="24">
        <v>9137</v>
      </c>
      <c r="Q2476" s="22">
        <f>IF(COUNTIFS(A$2:A2476,A2476,I$2:I2476,I2476)=1,1,0)</f>
        <v>0</v>
      </c>
      <c r="R2476" s="22">
        <f t="shared" si="38"/>
        <v>1</v>
      </c>
      <c r="S2476" s="33">
        <f>IF(COUNTIF(O$2:O2476,O2476)=1,R2476,0)/2.5</f>
        <v>0.4</v>
      </c>
    </row>
    <row r="2477" spans="1:19" ht="18" customHeight="1" x14ac:dyDescent="0.25">
      <c r="A2477" s="7" t="s">
        <v>43</v>
      </c>
      <c r="B2477" s="8">
        <v>1</v>
      </c>
      <c r="C2477" s="9">
        <v>488</v>
      </c>
      <c r="D2477" s="29">
        <f>C2477+IF(INDEX('Справочник по %'!B:B,(MATCH(A2477,'Справочник по %'!A:A,0)))="кол-во",B2477*INDEX('Справочник по %'!C:C,(MATCH(A2477,'Справочник по %'!A:A,0))),ОТЧЕТ!C2477*INDEX('Справочник по %'!C:C,(MATCH(A2477,'Справочник по %'!A:A,0))))/100</f>
        <v>536.79999999999995</v>
      </c>
      <c r="E2477" s="29">
        <f>IF(ОТЧЕТ!A2477="SKU3",C2477+ОТЧЕТ!C2477*0.2,C2477+ОТЧЕТ!C2477*0.15)</f>
        <v>561.20000000000005</v>
      </c>
      <c r="F2477" s="7" t="s">
        <v>4789</v>
      </c>
      <c r="G2477" s="7">
        <v>6162056110</v>
      </c>
      <c r="H2477" s="20" t="s">
        <v>965</v>
      </c>
      <c r="I2477" s="22">
        <f>INDEX('Справочник Сети'!B:B,(MATCH(G2477,'Справочник Сети'!C:C,0)))</f>
        <v>0</v>
      </c>
      <c r="J2477" s="7" t="s">
        <v>520</v>
      </c>
      <c r="K2477" s="7" t="s">
        <v>3021</v>
      </c>
      <c r="L2477" s="7" t="s">
        <v>520</v>
      </c>
      <c r="M2477" s="31">
        <v>45697</v>
      </c>
      <c r="N2477" s="7" t="s">
        <v>4790</v>
      </c>
      <c r="O2477" s="8">
        <v>1572</v>
      </c>
      <c r="P2477" s="24">
        <v>9138</v>
      </c>
      <c r="Q2477" s="22">
        <f>IF(COUNTIFS(A$2:A2477,A2477,I$2:I2477,I2477)=1,1,0)</f>
        <v>0</v>
      </c>
      <c r="R2477" s="22">
        <f t="shared" si="38"/>
        <v>4</v>
      </c>
      <c r="S2477" s="33">
        <f>IF(COUNTIF(O$2:O2477,O2477)=1,R2477,0)/2.5</f>
        <v>0</v>
      </c>
    </row>
    <row r="2478" spans="1:19" ht="18" customHeight="1" x14ac:dyDescent="0.25">
      <c r="A2478" s="7" t="s">
        <v>37</v>
      </c>
      <c r="B2478" s="8">
        <v>1</v>
      </c>
      <c r="C2478" s="9">
        <v>646</v>
      </c>
      <c r="D2478" s="29">
        <f>C2478+IF(INDEX('Справочник по %'!B:B,(MATCH(A2478,'Справочник по %'!A:A,0)))="кол-во",B2478*INDEX('Справочник по %'!C:C,(MATCH(A2478,'Справочник по %'!A:A,0))),ОТЧЕТ!C2478*INDEX('Справочник по %'!C:C,(MATCH(A2478,'Справочник по %'!A:A,0))))/100</f>
        <v>646.20000000000005</v>
      </c>
      <c r="E2478" s="29">
        <f>IF(ОТЧЕТ!A2478="SKU3",C2478+ОТЧЕТ!C2478*0.2,C2478+ОТЧЕТ!C2478*0.15)</f>
        <v>742.9</v>
      </c>
      <c r="F2478" s="7" t="s">
        <v>4789</v>
      </c>
      <c r="G2478" s="7">
        <v>6673189456</v>
      </c>
      <c r="H2478" s="20" t="s">
        <v>132</v>
      </c>
      <c r="I2478" s="22" t="str">
        <f>INDEX('Справочник Сети'!B:B,(MATCH(G2478,'Справочник Сети'!C:C,0)))</f>
        <v>Столички</v>
      </c>
      <c r="J2478" s="7" t="s">
        <v>133</v>
      </c>
      <c r="K2478" s="7" t="s">
        <v>639</v>
      </c>
      <c r="L2478" s="7" t="s">
        <v>133</v>
      </c>
      <c r="M2478" s="31">
        <v>45695</v>
      </c>
      <c r="N2478" s="7" t="s">
        <v>4791</v>
      </c>
      <c r="O2478" s="8">
        <v>608</v>
      </c>
      <c r="P2478" s="24">
        <v>9139</v>
      </c>
      <c r="Q2478" s="22">
        <f>IF(COUNTIFS(A$2:A2478,A2478,I$2:I2478,I2478)=1,1,0)</f>
        <v>0</v>
      </c>
      <c r="R2478" s="22">
        <f t="shared" si="38"/>
        <v>2</v>
      </c>
      <c r="S2478" s="33">
        <f>IF(COUNTIF(O$2:O2478,O2478)=1,R2478,0)/2.5</f>
        <v>0.8</v>
      </c>
    </row>
    <row r="2479" spans="1:19" ht="18" customHeight="1" x14ac:dyDescent="0.25">
      <c r="A2479" s="7" t="s">
        <v>43</v>
      </c>
      <c r="B2479" s="8">
        <v>1</v>
      </c>
      <c r="C2479" s="9">
        <v>439</v>
      </c>
      <c r="D2479" s="29">
        <f>C2479+IF(INDEX('Справочник по %'!B:B,(MATCH(A2479,'Справочник по %'!A:A,0)))="кол-во",B2479*INDEX('Справочник по %'!C:C,(MATCH(A2479,'Справочник по %'!A:A,0))),ОТЧЕТ!C2479*INDEX('Справочник по %'!C:C,(MATCH(A2479,'Справочник по %'!A:A,0))))/100</f>
        <v>482.9</v>
      </c>
      <c r="E2479" s="29">
        <f>IF(ОТЧЕТ!A2479="SKU3",C2479+ОТЧЕТ!C2479*0.2,C2479+ОТЧЕТ!C2479*0.15)</f>
        <v>504.85</v>
      </c>
      <c r="F2479" s="7" t="s">
        <v>4792</v>
      </c>
      <c r="G2479" s="7">
        <v>7840411560</v>
      </c>
      <c r="H2479" s="20" t="s">
        <v>4793</v>
      </c>
      <c r="I2479" s="22" t="str">
        <f>INDEX('Справочник Сети'!B:B,(MATCH(G2479,'Справочник Сети'!C:C,0)))</f>
        <v>Столички</v>
      </c>
      <c r="J2479" s="7" t="s">
        <v>315</v>
      </c>
      <c r="K2479" s="7" t="s">
        <v>1971</v>
      </c>
      <c r="L2479" s="7" t="s">
        <v>315</v>
      </c>
      <c r="M2479" s="31">
        <v>45670</v>
      </c>
      <c r="N2479" s="7" t="s">
        <v>4794</v>
      </c>
      <c r="O2479" s="8">
        <v>3328</v>
      </c>
      <c r="P2479" s="24">
        <v>9144</v>
      </c>
      <c r="Q2479" s="22">
        <f>IF(COUNTIFS(A$2:A2479,A2479,I$2:I2479,I2479)=1,1,0)</f>
        <v>0</v>
      </c>
      <c r="R2479" s="22">
        <f t="shared" si="38"/>
        <v>1</v>
      </c>
      <c r="S2479" s="33">
        <f>IF(COUNTIF(O$2:O2479,O2479)=1,R2479,0)/2.5</f>
        <v>0.4</v>
      </c>
    </row>
    <row r="2480" spans="1:19" ht="18" customHeight="1" x14ac:dyDescent="0.25">
      <c r="A2480" s="7" t="s">
        <v>37</v>
      </c>
      <c r="B2480" s="8">
        <v>1</v>
      </c>
      <c r="C2480" s="9">
        <v>683.05</v>
      </c>
      <c r="D2480" s="29">
        <f>C2480+IF(INDEX('Справочник по %'!B:B,(MATCH(A2480,'Справочник по %'!A:A,0)))="кол-во",B2480*INDEX('Справочник по %'!C:C,(MATCH(A2480,'Справочник по %'!A:A,0))),ОТЧЕТ!C2480*INDEX('Справочник по %'!C:C,(MATCH(A2480,'Справочник по %'!A:A,0))))/100</f>
        <v>683.25</v>
      </c>
      <c r="E2480" s="29">
        <f>IF(ОТЧЕТ!A2480="SKU3",C2480+ОТЧЕТ!C2480*0.2,C2480+ОТЧЕТ!C2480*0.15)</f>
        <v>785.50749999999994</v>
      </c>
      <c r="F2480" s="7" t="s">
        <v>4795</v>
      </c>
      <c r="G2480" s="7">
        <v>253804596643</v>
      </c>
      <c r="H2480" s="20" t="s">
        <v>50</v>
      </c>
      <c r="I2480" s="22" t="str">
        <f>INDEX('Справочник Сети'!B:B,(MATCH(G2480,'Справочник Сети'!C:C,0)))</f>
        <v>Ригла</v>
      </c>
      <c r="J2480" s="7" t="s">
        <v>110</v>
      </c>
      <c r="K2480" s="7" t="s">
        <v>262</v>
      </c>
      <c r="L2480" s="7" t="s">
        <v>74</v>
      </c>
      <c r="M2480" s="31">
        <v>45661</v>
      </c>
      <c r="N2480" s="7" t="s">
        <v>3016</v>
      </c>
      <c r="O2480" s="8">
        <v>929</v>
      </c>
      <c r="P2480" s="24">
        <v>9146</v>
      </c>
      <c r="Q2480" s="22">
        <f>IF(COUNTIFS(A$2:A2480,A2480,I$2:I2480,I2480)=1,1,0)</f>
        <v>0</v>
      </c>
      <c r="R2480" s="22">
        <f t="shared" si="38"/>
        <v>3</v>
      </c>
      <c r="S2480" s="33">
        <f>IF(COUNTIF(O$2:O2480,O2480)=1,R2480,0)/2.5</f>
        <v>0</v>
      </c>
    </row>
    <row r="2481" spans="1:19" ht="18" customHeight="1" x14ac:dyDescent="0.25">
      <c r="A2481" s="7" t="s">
        <v>43</v>
      </c>
      <c r="B2481" s="8">
        <v>1</v>
      </c>
      <c r="C2481" s="9">
        <v>494</v>
      </c>
      <c r="D2481" s="29">
        <f>C2481+IF(INDEX('Справочник по %'!B:B,(MATCH(A2481,'Справочник по %'!A:A,0)))="кол-во",B2481*INDEX('Справочник по %'!C:C,(MATCH(A2481,'Справочник по %'!A:A,0))),ОТЧЕТ!C2481*INDEX('Справочник по %'!C:C,(MATCH(A2481,'Справочник по %'!A:A,0))))/100</f>
        <v>543.4</v>
      </c>
      <c r="E2481" s="29">
        <f>IF(ОТЧЕТ!A2481="SKU3",C2481+ОТЧЕТ!C2481*0.2,C2481+ОТЧЕТ!C2481*0.15)</f>
        <v>568.1</v>
      </c>
      <c r="F2481" s="7" t="s">
        <v>4796</v>
      </c>
      <c r="G2481" s="7">
        <v>7705947629</v>
      </c>
      <c r="H2481" s="20" t="s">
        <v>50</v>
      </c>
      <c r="I2481" s="22" t="str">
        <f>INDEX('Справочник Сети'!B:B,(MATCH(G2481,'Справочник Сети'!C:C,0)))</f>
        <v>36,6</v>
      </c>
      <c r="J2481" s="7" t="s">
        <v>116</v>
      </c>
      <c r="K2481" s="7" t="s">
        <v>2215</v>
      </c>
      <c r="L2481" s="7" t="s">
        <v>116</v>
      </c>
      <c r="M2481" s="31">
        <v>45692</v>
      </c>
      <c r="N2481" s="7" t="s">
        <v>4797</v>
      </c>
      <c r="O2481" s="8">
        <v>3514</v>
      </c>
      <c r="P2481" s="24">
        <v>9148</v>
      </c>
      <c r="Q2481" s="22">
        <f>IF(COUNTIFS(A$2:A2481,A2481,I$2:I2481,I2481)=1,1,0)</f>
        <v>0</v>
      </c>
      <c r="R2481" s="22">
        <f t="shared" si="38"/>
        <v>4</v>
      </c>
      <c r="S2481" s="33">
        <f>IF(COUNTIF(O$2:O2481,O2481)=1,R2481,0)/2.5</f>
        <v>0</v>
      </c>
    </row>
    <row r="2482" spans="1:19" ht="18" customHeight="1" x14ac:dyDescent="0.25">
      <c r="A2482" s="7" t="s">
        <v>43</v>
      </c>
      <c r="B2482" s="8">
        <v>1</v>
      </c>
      <c r="C2482" s="9">
        <v>354.32</v>
      </c>
      <c r="D2482" s="29">
        <f>C2482+IF(INDEX('Справочник по %'!B:B,(MATCH(A2482,'Справочник по %'!A:A,0)))="кол-во",B2482*INDEX('Справочник по %'!C:C,(MATCH(A2482,'Справочник по %'!A:A,0))),ОТЧЕТ!C2482*INDEX('Справочник по %'!C:C,(MATCH(A2482,'Справочник по %'!A:A,0))))/100</f>
        <v>389.75200000000001</v>
      </c>
      <c r="E2482" s="29">
        <f>IF(ОТЧЕТ!A2482="SKU3",C2482+ОТЧЕТ!C2482*0.2,C2482+ОТЧЕТ!C2482*0.15)</f>
        <v>407.46799999999996</v>
      </c>
      <c r="F2482" s="7" t="s">
        <v>4796</v>
      </c>
      <c r="G2482" s="7">
        <v>5038049773</v>
      </c>
      <c r="H2482" s="20" t="s">
        <v>50</v>
      </c>
      <c r="I2482" s="22">
        <f>INDEX('Справочник Сети'!B:B,(MATCH(G2482,'Справочник Сети'!C:C,0)))</f>
        <v>0</v>
      </c>
      <c r="J2482" s="7" t="s">
        <v>92</v>
      </c>
      <c r="K2482" s="7" t="s">
        <v>4798</v>
      </c>
      <c r="L2482" s="7" t="s">
        <v>92</v>
      </c>
      <c r="M2482" s="31">
        <v>45714</v>
      </c>
      <c r="N2482" s="7" t="s">
        <v>4799</v>
      </c>
      <c r="O2482" s="8">
        <v>3475</v>
      </c>
      <c r="P2482" s="24">
        <v>9151</v>
      </c>
      <c r="Q2482" s="22">
        <f>IF(COUNTIFS(A$2:A2482,A2482,I$2:I2482,I2482)=1,1,0)</f>
        <v>0</v>
      </c>
      <c r="R2482" s="22">
        <f t="shared" si="38"/>
        <v>1</v>
      </c>
      <c r="S2482" s="33">
        <f>IF(COUNTIF(O$2:O2482,O2482)=1,R2482,0)/2.5</f>
        <v>0.4</v>
      </c>
    </row>
    <row r="2483" spans="1:19" ht="18" customHeight="1" x14ac:dyDescent="0.25">
      <c r="A2483" s="7" t="s">
        <v>43</v>
      </c>
      <c r="B2483" s="8">
        <v>1</v>
      </c>
      <c r="C2483" s="9">
        <v>618</v>
      </c>
      <c r="D2483" s="29">
        <f>C2483+IF(INDEX('Справочник по %'!B:B,(MATCH(A2483,'Справочник по %'!A:A,0)))="кол-во",B2483*INDEX('Справочник по %'!C:C,(MATCH(A2483,'Справочник по %'!A:A,0))),ОТЧЕТ!C2483*INDEX('Справочник по %'!C:C,(MATCH(A2483,'Справочник по %'!A:A,0))))/100</f>
        <v>679.8</v>
      </c>
      <c r="E2483" s="29">
        <f>IF(ОТЧЕТ!A2483="SKU3",C2483+ОТЧЕТ!C2483*0.2,C2483+ОТЧЕТ!C2483*0.15)</f>
        <v>710.7</v>
      </c>
      <c r="F2483" s="7" t="s">
        <v>4796</v>
      </c>
      <c r="G2483" s="7">
        <v>7714844316</v>
      </c>
      <c r="H2483" s="20" t="s">
        <v>50</v>
      </c>
      <c r="I2483" s="22" t="str">
        <f>INDEX('Справочник Сети'!B:B,(MATCH(G2483,'Справочник Сети'!C:C,0)))</f>
        <v>Планета здоровья</v>
      </c>
      <c r="J2483" s="7" t="s">
        <v>504</v>
      </c>
      <c r="K2483" s="7" t="s">
        <v>97</v>
      </c>
      <c r="L2483" s="7" t="s">
        <v>504</v>
      </c>
      <c r="M2483" s="31">
        <v>45690</v>
      </c>
      <c r="N2483" s="7" t="s">
        <v>4800</v>
      </c>
      <c r="O2483" s="8">
        <v>2297</v>
      </c>
      <c r="P2483" s="24">
        <v>9153</v>
      </c>
      <c r="Q2483" s="22">
        <f>IF(COUNTIFS(A$2:A2483,A2483,I$2:I2483,I2483)=1,1,0)</f>
        <v>0</v>
      </c>
      <c r="R2483" s="22">
        <f t="shared" si="38"/>
        <v>6</v>
      </c>
      <c r="S2483" s="33">
        <f>IF(COUNTIF(O$2:O2483,O2483)=1,R2483,0)/2.5</f>
        <v>0</v>
      </c>
    </row>
    <row r="2484" spans="1:19" ht="18" customHeight="1" x14ac:dyDescent="0.25">
      <c r="A2484" s="7" t="s">
        <v>43</v>
      </c>
      <c r="B2484" s="8">
        <v>1</v>
      </c>
      <c r="C2484" s="9">
        <v>413</v>
      </c>
      <c r="D2484" s="29">
        <f>C2484+IF(INDEX('Справочник по %'!B:B,(MATCH(A2484,'Справочник по %'!A:A,0)))="кол-во",B2484*INDEX('Справочник по %'!C:C,(MATCH(A2484,'Справочник по %'!A:A,0))),ОТЧЕТ!C2484*INDEX('Справочник по %'!C:C,(MATCH(A2484,'Справочник по %'!A:A,0))))/100</f>
        <v>454.3</v>
      </c>
      <c r="E2484" s="29">
        <f>IF(ОТЧЕТ!A2484="SKU3",C2484+ОТЧЕТ!C2484*0.2,C2484+ОТЧЕТ!C2484*0.15)</f>
        <v>474.95</v>
      </c>
      <c r="F2484" s="7" t="s">
        <v>4796</v>
      </c>
      <c r="G2484" s="7">
        <v>5263140889</v>
      </c>
      <c r="H2484" s="20" t="s">
        <v>4801</v>
      </c>
      <c r="I2484" s="22">
        <f>INDEX('Справочник Сети'!B:B,(MATCH(G2484,'Справочник Сети'!C:C,0)))</f>
        <v>0</v>
      </c>
      <c r="J2484" s="7" t="s">
        <v>92</v>
      </c>
      <c r="K2484" s="7" t="s">
        <v>1542</v>
      </c>
      <c r="L2484" s="7" t="s">
        <v>92</v>
      </c>
      <c r="M2484" s="31">
        <v>45714</v>
      </c>
      <c r="N2484" s="7" t="s">
        <v>4802</v>
      </c>
      <c r="O2484" s="8">
        <v>2979</v>
      </c>
      <c r="P2484" s="24">
        <v>9154</v>
      </c>
      <c r="Q2484" s="22">
        <f>IF(COUNTIFS(A$2:A2484,A2484,I$2:I2484,I2484)=1,1,0)</f>
        <v>0</v>
      </c>
      <c r="R2484" s="22">
        <f t="shared" si="38"/>
        <v>1</v>
      </c>
      <c r="S2484" s="33">
        <f>IF(COUNTIF(O$2:O2484,O2484)=1,R2484,0)/2.5</f>
        <v>0.4</v>
      </c>
    </row>
    <row r="2485" spans="1:19" ht="18" customHeight="1" x14ac:dyDescent="0.25">
      <c r="A2485" s="7" t="s">
        <v>43</v>
      </c>
      <c r="B2485" s="8">
        <v>1</v>
      </c>
      <c r="C2485" s="9">
        <v>672</v>
      </c>
      <c r="D2485" s="29">
        <f>C2485+IF(INDEX('Справочник по %'!B:B,(MATCH(A2485,'Справочник по %'!A:A,0)))="кол-во",B2485*INDEX('Справочник по %'!C:C,(MATCH(A2485,'Справочник по %'!A:A,0))),ОТЧЕТ!C2485*INDEX('Справочник по %'!C:C,(MATCH(A2485,'Справочник по %'!A:A,0))))/100</f>
        <v>739.2</v>
      </c>
      <c r="E2485" s="29">
        <f>IF(ОТЧЕТ!A2485="SKU3",C2485+ОТЧЕТ!C2485*0.2,C2485+ОТЧЕТ!C2485*0.15)</f>
        <v>772.8</v>
      </c>
      <c r="F2485" s="7" t="s">
        <v>4796</v>
      </c>
      <c r="G2485" s="7">
        <v>7705947629</v>
      </c>
      <c r="H2485" s="20" t="s">
        <v>50</v>
      </c>
      <c r="I2485" s="22" t="str">
        <f>INDEX('Справочник Сети'!B:B,(MATCH(G2485,'Справочник Сети'!C:C,0)))</f>
        <v>36,6</v>
      </c>
      <c r="J2485" s="7" t="s">
        <v>116</v>
      </c>
      <c r="K2485" s="7" t="s">
        <v>1971</v>
      </c>
      <c r="L2485" s="7" t="s">
        <v>116</v>
      </c>
      <c r="M2485" s="31">
        <v>45692</v>
      </c>
      <c r="N2485" s="7" t="s">
        <v>4803</v>
      </c>
      <c r="O2485" s="8">
        <v>3734</v>
      </c>
      <c r="P2485" s="24">
        <v>9157</v>
      </c>
      <c r="Q2485" s="22">
        <f>IF(COUNTIFS(A$2:A2485,A2485,I$2:I2485,I2485)=1,1,0)</f>
        <v>0</v>
      </c>
      <c r="R2485" s="22">
        <f t="shared" si="38"/>
        <v>2</v>
      </c>
      <c r="S2485" s="33">
        <f>IF(COUNTIF(O$2:O2485,O2485)=1,R2485,0)/2.5</f>
        <v>0</v>
      </c>
    </row>
    <row r="2486" spans="1:19" ht="18" customHeight="1" x14ac:dyDescent="0.25">
      <c r="A2486" s="7" t="s">
        <v>43</v>
      </c>
      <c r="B2486" s="8">
        <v>1</v>
      </c>
      <c r="C2486" s="9">
        <v>485</v>
      </c>
      <c r="D2486" s="29">
        <f>C2486+IF(INDEX('Справочник по %'!B:B,(MATCH(A2486,'Справочник по %'!A:A,0)))="кол-во",B2486*INDEX('Справочник по %'!C:C,(MATCH(A2486,'Справочник по %'!A:A,0))),ОТЧЕТ!C2486*INDEX('Справочник по %'!C:C,(MATCH(A2486,'Справочник по %'!A:A,0))))/100</f>
        <v>533.5</v>
      </c>
      <c r="E2486" s="29">
        <f>IF(ОТЧЕТ!A2486="SKU3",C2486+ОТЧЕТ!C2486*0.2,C2486+ОТЧЕТ!C2486*0.15)</f>
        <v>557.75</v>
      </c>
      <c r="F2486" s="7" t="s">
        <v>4796</v>
      </c>
      <c r="G2486" s="7">
        <v>7726551610</v>
      </c>
      <c r="H2486" s="20" t="s">
        <v>50</v>
      </c>
      <c r="I2486" s="22" t="str">
        <f>INDEX('Справочник Сети'!B:B,(MATCH(G2486,'Справочник Сети'!C:C,0)))</f>
        <v>Столички</v>
      </c>
      <c r="J2486" s="7" t="s">
        <v>142</v>
      </c>
      <c r="K2486" s="7" t="s">
        <v>77</v>
      </c>
      <c r="L2486" s="7" t="s">
        <v>185</v>
      </c>
      <c r="M2486" s="31">
        <v>45675</v>
      </c>
      <c r="N2486" s="7" t="s">
        <v>4804</v>
      </c>
      <c r="O2486" s="8">
        <v>3310</v>
      </c>
      <c r="P2486" s="24">
        <v>9159</v>
      </c>
      <c r="Q2486" s="22">
        <f>IF(COUNTIFS(A$2:A2486,A2486,I$2:I2486,I2486)=1,1,0)</f>
        <v>0</v>
      </c>
      <c r="R2486" s="22">
        <f t="shared" si="38"/>
        <v>3</v>
      </c>
      <c r="S2486" s="33">
        <f>IF(COUNTIF(O$2:O2486,O2486)=1,R2486,0)/2.5</f>
        <v>0</v>
      </c>
    </row>
    <row r="2487" spans="1:19" ht="18" customHeight="1" x14ac:dyDescent="0.25">
      <c r="A2487" s="7" t="s">
        <v>43</v>
      </c>
      <c r="B2487" s="8">
        <v>1</v>
      </c>
      <c r="C2487" s="9">
        <v>370</v>
      </c>
      <c r="D2487" s="29">
        <f>C2487+IF(INDEX('Справочник по %'!B:B,(MATCH(A2487,'Справочник по %'!A:A,0)))="кол-во",B2487*INDEX('Справочник по %'!C:C,(MATCH(A2487,'Справочник по %'!A:A,0))),ОТЧЕТ!C2487*INDEX('Справочник по %'!C:C,(MATCH(A2487,'Справочник по %'!A:A,0))))/100</f>
        <v>407</v>
      </c>
      <c r="E2487" s="29">
        <f>IF(ОТЧЕТ!A2487="SKU3",C2487+ОТЧЕТ!C2487*0.2,C2487+ОТЧЕТ!C2487*0.15)</f>
        <v>425.5</v>
      </c>
      <c r="F2487" s="7" t="s">
        <v>4796</v>
      </c>
      <c r="G2487" s="7">
        <v>7706795062</v>
      </c>
      <c r="H2487" s="20" t="s">
        <v>4805</v>
      </c>
      <c r="I2487" s="22" t="str">
        <f>INDEX('Справочник Сети'!B:B,(MATCH(G2487,'Справочник Сети'!C:C,0)))</f>
        <v>Планета здоровья</v>
      </c>
      <c r="J2487" s="7" t="s">
        <v>87</v>
      </c>
      <c r="K2487" s="7" t="s">
        <v>52</v>
      </c>
      <c r="L2487" s="7" t="s">
        <v>87</v>
      </c>
      <c r="M2487" s="31">
        <v>45691</v>
      </c>
      <c r="N2487" s="7" t="s">
        <v>4806</v>
      </c>
      <c r="O2487" s="8">
        <v>2260</v>
      </c>
      <c r="P2487" s="24">
        <v>9160</v>
      </c>
      <c r="Q2487" s="22">
        <f>IF(COUNTIFS(A$2:A2487,A2487,I$2:I2487,I2487)=1,1,0)</f>
        <v>0</v>
      </c>
      <c r="R2487" s="22">
        <f t="shared" si="38"/>
        <v>1</v>
      </c>
      <c r="S2487" s="33">
        <f>IF(COUNTIF(O$2:O2487,O2487)=1,R2487,0)/2.5</f>
        <v>0.4</v>
      </c>
    </row>
    <row r="2488" spans="1:19" ht="18" customHeight="1" x14ac:dyDescent="0.25">
      <c r="A2488" s="7" t="s">
        <v>43</v>
      </c>
      <c r="B2488" s="8">
        <v>1</v>
      </c>
      <c r="C2488" s="9">
        <v>322</v>
      </c>
      <c r="D2488" s="29">
        <f>C2488+IF(INDEX('Справочник по %'!B:B,(MATCH(A2488,'Справочник по %'!A:A,0)))="кол-во",B2488*INDEX('Справочник по %'!C:C,(MATCH(A2488,'Справочник по %'!A:A,0))),ОТЧЕТ!C2488*INDEX('Справочник по %'!C:C,(MATCH(A2488,'Справочник по %'!A:A,0))))/100</f>
        <v>354.2</v>
      </c>
      <c r="E2488" s="29">
        <f>IF(ОТЧЕТ!A2488="SKU3",C2488+ОТЧЕТ!C2488*0.2,C2488+ОТЧЕТ!C2488*0.15)</f>
        <v>370.3</v>
      </c>
      <c r="F2488" s="7" t="s">
        <v>4807</v>
      </c>
      <c r="G2488" s="7">
        <v>2311242373</v>
      </c>
      <c r="H2488" s="20" t="s">
        <v>50</v>
      </c>
      <c r="I2488" s="22">
        <f>INDEX('Справочник Сети'!B:B,(MATCH(G2488,'Справочник Сети'!C:C,0)))</f>
        <v>0</v>
      </c>
      <c r="J2488" s="7" t="s">
        <v>70</v>
      </c>
      <c r="K2488" s="7" t="s">
        <v>3644</v>
      </c>
      <c r="L2488" s="7" t="s">
        <v>70</v>
      </c>
      <c r="M2488" s="31">
        <v>45728</v>
      </c>
      <c r="N2488" s="7" t="s">
        <v>4808</v>
      </c>
      <c r="O2488" s="8">
        <v>28</v>
      </c>
      <c r="P2488" s="24">
        <v>9167</v>
      </c>
      <c r="Q2488" s="22">
        <f>IF(COUNTIFS(A$2:A2488,A2488,I$2:I2488,I2488)=1,1,0)</f>
        <v>0</v>
      </c>
      <c r="R2488" s="22">
        <f t="shared" si="38"/>
        <v>2</v>
      </c>
      <c r="S2488" s="33">
        <f>IF(COUNTIF(O$2:O2488,O2488)=1,R2488,0)/2.5</f>
        <v>0</v>
      </c>
    </row>
    <row r="2489" spans="1:19" ht="18" customHeight="1" x14ac:dyDescent="0.25">
      <c r="A2489" s="7" t="s">
        <v>43</v>
      </c>
      <c r="B2489" s="8">
        <v>1</v>
      </c>
      <c r="C2489" s="9">
        <v>527</v>
      </c>
      <c r="D2489" s="29">
        <f>C2489+IF(INDEX('Справочник по %'!B:B,(MATCH(A2489,'Справочник по %'!A:A,0)))="кол-во",B2489*INDEX('Справочник по %'!C:C,(MATCH(A2489,'Справочник по %'!A:A,0))),ОТЧЕТ!C2489*INDEX('Справочник по %'!C:C,(MATCH(A2489,'Справочник по %'!A:A,0))))/100</f>
        <v>579.70000000000005</v>
      </c>
      <c r="E2489" s="29">
        <f>IF(ОТЧЕТ!A2489="SKU3",C2489+ОТЧЕТ!C2489*0.2,C2489+ОТЧЕТ!C2489*0.15)</f>
        <v>606.04999999999995</v>
      </c>
      <c r="F2489" s="7" t="s">
        <v>4807</v>
      </c>
      <c r="G2489" s="7">
        <v>7705947629</v>
      </c>
      <c r="H2489" s="20" t="s">
        <v>50</v>
      </c>
      <c r="I2489" s="22" t="str">
        <f>INDEX('Справочник Сети'!B:B,(MATCH(G2489,'Справочник Сети'!C:C,0)))</f>
        <v>36,6</v>
      </c>
      <c r="J2489" s="7" t="s">
        <v>104</v>
      </c>
      <c r="K2489" s="7" t="s">
        <v>100</v>
      </c>
      <c r="L2489" s="7" t="s">
        <v>104</v>
      </c>
      <c r="M2489" s="31">
        <v>45693</v>
      </c>
      <c r="N2489" s="7" t="s">
        <v>4809</v>
      </c>
      <c r="O2489" s="8">
        <v>1629</v>
      </c>
      <c r="P2489" s="24">
        <v>9168</v>
      </c>
      <c r="Q2489" s="22">
        <f>IF(COUNTIFS(A$2:A2489,A2489,I$2:I2489,I2489)=1,1,0)</f>
        <v>0</v>
      </c>
      <c r="R2489" s="22">
        <f t="shared" si="38"/>
        <v>8</v>
      </c>
      <c r="S2489" s="33">
        <f>IF(COUNTIF(O$2:O2489,O2489)=1,R2489,0)/2.5</f>
        <v>0</v>
      </c>
    </row>
    <row r="2490" spans="1:19" ht="18" customHeight="1" x14ac:dyDescent="0.25">
      <c r="A2490" s="7" t="s">
        <v>43</v>
      </c>
      <c r="B2490" s="8">
        <v>1</v>
      </c>
      <c r="C2490" s="9">
        <v>460</v>
      </c>
      <c r="D2490" s="29">
        <f>C2490+IF(INDEX('Справочник по %'!B:B,(MATCH(A2490,'Справочник по %'!A:A,0)))="кол-во",B2490*INDEX('Справочник по %'!C:C,(MATCH(A2490,'Справочник по %'!A:A,0))),ОТЧЕТ!C2490*INDEX('Справочник по %'!C:C,(MATCH(A2490,'Справочник по %'!A:A,0))))/100</f>
        <v>506</v>
      </c>
      <c r="E2490" s="29">
        <f>IF(ОТЧЕТ!A2490="SKU3",C2490+ОТЧЕТ!C2490*0.2,C2490+ОТЧЕТ!C2490*0.15)</f>
        <v>529</v>
      </c>
      <c r="F2490" s="7" t="s">
        <v>4810</v>
      </c>
      <c r="G2490" s="7">
        <v>910800091897</v>
      </c>
      <c r="H2490" s="20" t="s">
        <v>1046</v>
      </c>
      <c r="I2490" s="22">
        <f>INDEX('Справочник Сети'!B:B,(MATCH(G2490,'Справочник Сети'!C:C,0)))</f>
        <v>0</v>
      </c>
      <c r="J2490" s="7" t="s">
        <v>322</v>
      </c>
      <c r="K2490" s="7" t="s">
        <v>2248</v>
      </c>
      <c r="L2490" s="7" t="s">
        <v>322</v>
      </c>
      <c r="M2490" s="31">
        <v>45658</v>
      </c>
      <c r="N2490" s="7" t="s">
        <v>4811</v>
      </c>
      <c r="O2490" s="8">
        <v>2630</v>
      </c>
      <c r="P2490" s="24">
        <v>9172</v>
      </c>
      <c r="Q2490" s="22">
        <f>IF(COUNTIFS(A$2:A2490,A2490,I$2:I2490,I2490)=1,1,0)</f>
        <v>0</v>
      </c>
      <c r="R2490" s="22">
        <f t="shared" si="38"/>
        <v>23</v>
      </c>
      <c r="S2490" s="33">
        <f>IF(COUNTIF(O$2:O2490,O2490)=1,R2490,0)/2.5</f>
        <v>0</v>
      </c>
    </row>
    <row r="2491" spans="1:19" ht="18" customHeight="1" x14ac:dyDescent="0.25">
      <c r="A2491" s="7" t="s">
        <v>37</v>
      </c>
      <c r="B2491" s="8">
        <v>1</v>
      </c>
      <c r="C2491" s="9">
        <v>605.9</v>
      </c>
      <c r="D2491" s="29">
        <f>C2491+IF(INDEX('Справочник по %'!B:B,(MATCH(A2491,'Справочник по %'!A:A,0)))="кол-во",B2491*INDEX('Справочник по %'!C:C,(MATCH(A2491,'Справочник по %'!A:A,0))),ОТЧЕТ!C2491*INDEX('Справочник по %'!C:C,(MATCH(A2491,'Справочник по %'!A:A,0))))/100</f>
        <v>606.1</v>
      </c>
      <c r="E2491" s="29">
        <f>IF(ОТЧЕТ!A2491="SKU3",C2491+ОТЧЕТ!C2491*0.2,C2491+ОТЧЕТ!C2491*0.15)</f>
        <v>696.78499999999997</v>
      </c>
      <c r="F2491" s="7" t="s">
        <v>4810</v>
      </c>
      <c r="G2491" s="7">
        <v>1659064696</v>
      </c>
      <c r="H2491" s="20" t="s">
        <v>2791</v>
      </c>
      <c r="I2491" s="22" t="str">
        <f>INDEX('Справочник Сети'!B:B,(MATCH(G2491,'Справочник Сети'!C:C,0)))</f>
        <v>Планета здоровья</v>
      </c>
      <c r="J2491" s="7" t="s">
        <v>335</v>
      </c>
      <c r="K2491" s="7" t="s">
        <v>2077</v>
      </c>
      <c r="L2491" s="7" t="s">
        <v>335</v>
      </c>
      <c r="M2491" s="31">
        <v>45731</v>
      </c>
      <c r="N2491" s="7" t="s">
        <v>4812</v>
      </c>
      <c r="O2491" s="8">
        <v>1210</v>
      </c>
      <c r="P2491" s="24">
        <v>9173</v>
      </c>
      <c r="Q2491" s="22">
        <f>IF(COUNTIFS(A$2:A2491,A2491,I$2:I2491,I2491)=1,1,0)</f>
        <v>0</v>
      </c>
      <c r="R2491" s="22">
        <f t="shared" si="38"/>
        <v>1</v>
      </c>
      <c r="S2491" s="33">
        <f>IF(COUNTIF(O$2:O2491,O2491)=1,R2491,0)/2.5</f>
        <v>0.4</v>
      </c>
    </row>
    <row r="2492" spans="1:19" ht="18" customHeight="1" x14ac:dyDescent="0.25">
      <c r="A2492" s="7" t="s">
        <v>43</v>
      </c>
      <c r="B2492" s="8">
        <v>1</v>
      </c>
      <c r="C2492" s="9">
        <v>425</v>
      </c>
      <c r="D2492" s="29">
        <f>C2492+IF(INDEX('Справочник по %'!B:B,(MATCH(A2492,'Справочник по %'!A:A,0)))="кол-во",B2492*INDEX('Справочник по %'!C:C,(MATCH(A2492,'Справочник по %'!A:A,0))),ОТЧЕТ!C2492*INDEX('Справочник по %'!C:C,(MATCH(A2492,'Справочник по %'!A:A,0))))/100</f>
        <v>467.5</v>
      </c>
      <c r="E2492" s="29">
        <f>IF(ОТЧЕТ!A2492="SKU3",C2492+ОТЧЕТ!C2492*0.2,C2492+ОТЧЕТ!C2492*0.15)</f>
        <v>488.75</v>
      </c>
      <c r="F2492" s="7" t="s">
        <v>4810</v>
      </c>
      <c r="G2492" s="7">
        <v>4632054054</v>
      </c>
      <c r="H2492" s="20" t="s">
        <v>2437</v>
      </c>
      <c r="I2492" s="22" t="str">
        <f>INDEX('Справочник Сети'!B:B,(MATCH(G2492,'Справочник Сети'!C:C,0)))</f>
        <v>Ригла</v>
      </c>
      <c r="J2492" s="7" t="s">
        <v>155</v>
      </c>
      <c r="K2492" s="7" t="s">
        <v>1068</v>
      </c>
      <c r="L2492" s="7" t="s">
        <v>155</v>
      </c>
      <c r="M2492" s="31">
        <v>45716</v>
      </c>
      <c r="N2492" s="7" t="s">
        <v>4813</v>
      </c>
      <c r="O2492" s="8">
        <v>3602</v>
      </c>
      <c r="P2492" s="24">
        <v>9179</v>
      </c>
      <c r="Q2492" s="22">
        <f>IF(COUNTIFS(A$2:A2492,A2492,I$2:I2492,I2492)=1,1,0)</f>
        <v>0</v>
      </c>
      <c r="R2492" s="22">
        <f t="shared" si="38"/>
        <v>3</v>
      </c>
      <c r="S2492" s="33">
        <f>IF(COUNTIF(O$2:O2492,O2492)=1,R2492,0)/2.5</f>
        <v>0</v>
      </c>
    </row>
    <row r="2493" spans="1:19" ht="18" customHeight="1" x14ac:dyDescent="0.25">
      <c r="A2493" s="7" t="s">
        <v>43</v>
      </c>
      <c r="B2493" s="8">
        <v>1</v>
      </c>
      <c r="C2493" s="9">
        <v>395.02</v>
      </c>
      <c r="D2493" s="29">
        <f>C2493+IF(INDEX('Справочник по %'!B:B,(MATCH(A2493,'Справочник по %'!A:A,0)))="кол-во",B2493*INDEX('Справочник по %'!C:C,(MATCH(A2493,'Справочник по %'!A:A,0))),ОТЧЕТ!C2493*INDEX('Справочник по %'!C:C,(MATCH(A2493,'Справочник по %'!A:A,0))))/100</f>
        <v>434.52199999999999</v>
      </c>
      <c r="E2493" s="29">
        <f>IF(ОТЧЕТ!A2493="SKU3",C2493+ОТЧЕТ!C2493*0.2,C2493+ОТЧЕТ!C2493*0.15)</f>
        <v>454.27299999999997</v>
      </c>
      <c r="F2493" s="7" t="s">
        <v>4810</v>
      </c>
      <c r="G2493" s="7">
        <v>6166045261</v>
      </c>
      <c r="H2493" s="20" t="s">
        <v>2088</v>
      </c>
      <c r="I2493" s="22" t="str">
        <f>INDEX('Справочник Сети'!B:B,(MATCH(G2493,'Справочник Сети'!C:C,0)))</f>
        <v>Столички</v>
      </c>
      <c r="J2493" s="7" t="s">
        <v>203</v>
      </c>
      <c r="K2493" s="7" t="s">
        <v>125</v>
      </c>
      <c r="L2493" s="7" t="s">
        <v>520</v>
      </c>
      <c r="M2493" s="31">
        <v>45697</v>
      </c>
      <c r="N2493" s="7" t="s">
        <v>4814</v>
      </c>
      <c r="O2493" s="8">
        <v>1773</v>
      </c>
      <c r="P2493" s="24">
        <v>9182</v>
      </c>
      <c r="Q2493" s="22">
        <f>IF(COUNTIFS(A$2:A2493,A2493,I$2:I2493,I2493)=1,1,0)</f>
        <v>0</v>
      </c>
      <c r="R2493" s="22">
        <f t="shared" si="38"/>
        <v>4</v>
      </c>
      <c r="S2493" s="33">
        <f>IF(COUNTIF(O$2:O2493,O2493)=1,R2493,0)/2.5</f>
        <v>0</v>
      </c>
    </row>
    <row r="2494" spans="1:19" ht="18" customHeight="1" x14ac:dyDescent="0.25">
      <c r="A2494" s="7" t="s">
        <v>43</v>
      </c>
      <c r="B2494" s="8">
        <v>1</v>
      </c>
      <c r="C2494" s="9">
        <v>435</v>
      </c>
      <c r="D2494" s="29">
        <f>C2494+IF(INDEX('Справочник по %'!B:B,(MATCH(A2494,'Справочник по %'!A:A,0)))="кол-во",B2494*INDEX('Справочник по %'!C:C,(MATCH(A2494,'Справочник по %'!A:A,0))),ОТЧЕТ!C2494*INDEX('Справочник по %'!C:C,(MATCH(A2494,'Справочник по %'!A:A,0))))/100</f>
        <v>478.5</v>
      </c>
      <c r="E2494" s="29">
        <f>IF(ОТЧЕТ!A2494="SKU3",C2494+ОТЧЕТ!C2494*0.2,C2494+ОТЧЕТ!C2494*0.15)</f>
        <v>500.25</v>
      </c>
      <c r="F2494" s="7" t="s">
        <v>4810</v>
      </c>
      <c r="G2494" s="7">
        <v>6673189456</v>
      </c>
      <c r="H2494" s="20" t="s">
        <v>132</v>
      </c>
      <c r="I2494" s="22" t="str">
        <f>INDEX('Справочник Сети'!B:B,(MATCH(G2494,'Справочник Сети'!C:C,0)))</f>
        <v>Столички</v>
      </c>
      <c r="J2494" s="7" t="s">
        <v>133</v>
      </c>
      <c r="K2494" s="7" t="s">
        <v>1098</v>
      </c>
      <c r="L2494" s="7" t="s">
        <v>133</v>
      </c>
      <c r="M2494" s="31">
        <v>45695</v>
      </c>
      <c r="N2494" s="7" t="s">
        <v>4815</v>
      </c>
      <c r="O2494" s="8">
        <v>608</v>
      </c>
      <c r="P2494" s="24">
        <v>9183</v>
      </c>
      <c r="Q2494" s="22">
        <f>IF(COUNTIFS(A$2:A2494,A2494,I$2:I2494,I2494)=1,1,0)</f>
        <v>0</v>
      </c>
      <c r="R2494" s="22">
        <f t="shared" si="38"/>
        <v>2</v>
      </c>
      <c r="S2494" s="33">
        <f>IF(COUNTIF(O$2:O2494,O2494)=1,R2494,0)/2.5</f>
        <v>0</v>
      </c>
    </row>
    <row r="2495" spans="1:19" ht="18" customHeight="1" x14ac:dyDescent="0.25">
      <c r="A2495" s="7" t="s">
        <v>37</v>
      </c>
      <c r="B2495" s="8">
        <v>1</v>
      </c>
      <c r="C2495" s="9">
        <v>672</v>
      </c>
      <c r="D2495" s="29">
        <f>C2495+IF(INDEX('Справочник по %'!B:B,(MATCH(A2495,'Справочник по %'!A:A,0)))="кол-во",B2495*INDEX('Справочник по %'!C:C,(MATCH(A2495,'Справочник по %'!A:A,0))),ОТЧЕТ!C2495*INDEX('Справочник по %'!C:C,(MATCH(A2495,'Справочник по %'!A:A,0))))/100</f>
        <v>672.2</v>
      </c>
      <c r="E2495" s="29">
        <f>IF(ОТЧЕТ!A2495="SKU3",C2495+ОТЧЕТ!C2495*0.2,C2495+ОТЧЕТ!C2495*0.15)</f>
        <v>772.8</v>
      </c>
      <c r="F2495" s="7" t="s">
        <v>4810</v>
      </c>
      <c r="G2495" s="7">
        <v>4702014562</v>
      </c>
      <c r="H2495" s="20" t="s">
        <v>50</v>
      </c>
      <c r="I2495" s="22" t="str">
        <f>INDEX('Справочник Сети'!B:B,(MATCH(G2495,'Справочник Сети'!C:C,0)))</f>
        <v>Ригла</v>
      </c>
      <c r="J2495" s="7" t="s">
        <v>83</v>
      </c>
      <c r="K2495" s="7" t="s">
        <v>1110</v>
      </c>
      <c r="L2495" s="7" t="s">
        <v>83</v>
      </c>
      <c r="M2495" s="31">
        <v>45715</v>
      </c>
      <c r="N2495" s="7" t="s">
        <v>4816</v>
      </c>
      <c r="O2495" s="8">
        <v>2280</v>
      </c>
      <c r="P2495" s="24">
        <v>9184</v>
      </c>
      <c r="Q2495" s="22">
        <f>IF(COUNTIFS(A$2:A2495,A2495,I$2:I2495,I2495)=1,1,0)</f>
        <v>0</v>
      </c>
      <c r="R2495" s="22">
        <f t="shared" si="38"/>
        <v>1</v>
      </c>
      <c r="S2495" s="33">
        <f>IF(COUNTIF(O$2:O2495,O2495)=1,R2495,0)/2.5</f>
        <v>0.4</v>
      </c>
    </row>
    <row r="2496" spans="1:19" ht="18" customHeight="1" x14ac:dyDescent="0.25">
      <c r="A2496" s="7" t="s">
        <v>43</v>
      </c>
      <c r="B2496" s="8">
        <v>1</v>
      </c>
      <c r="C2496" s="9">
        <v>430</v>
      </c>
      <c r="D2496" s="29">
        <f>C2496+IF(INDEX('Справочник по %'!B:B,(MATCH(A2496,'Справочник по %'!A:A,0)))="кол-во",B2496*INDEX('Справочник по %'!C:C,(MATCH(A2496,'Справочник по %'!A:A,0))),ОТЧЕТ!C2496*INDEX('Справочник по %'!C:C,(MATCH(A2496,'Справочник по %'!A:A,0))))/100</f>
        <v>473</v>
      </c>
      <c r="E2496" s="29">
        <f>IF(ОТЧЕТ!A2496="SKU3",C2496+ОТЧЕТ!C2496*0.2,C2496+ОТЧЕТ!C2496*0.15)</f>
        <v>494.5</v>
      </c>
      <c r="F2496" s="7" t="s">
        <v>4810</v>
      </c>
      <c r="G2496" s="7">
        <v>3233504253</v>
      </c>
      <c r="H2496" s="20" t="s">
        <v>50</v>
      </c>
      <c r="I2496" s="22">
        <f>INDEX('Справочник Сети'!B:B,(MATCH(G2496,'Справочник Сети'!C:C,0)))</f>
        <v>0</v>
      </c>
      <c r="J2496" s="7" t="s">
        <v>193</v>
      </c>
      <c r="K2496" s="7" t="s">
        <v>942</v>
      </c>
      <c r="L2496" s="7" t="s">
        <v>193</v>
      </c>
      <c r="M2496" s="31">
        <v>45718</v>
      </c>
      <c r="N2496" s="7" t="s">
        <v>4817</v>
      </c>
      <c r="O2496" s="8">
        <v>2134</v>
      </c>
      <c r="P2496" s="24">
        <v>9186</v>
      </c>
      <c r="Q2496" s="22">
        <f>IF(COUNTIFS(A$2:A2496,A2496,I$2:I2496,I2496)=1,1,0)</f>
        <v>0</v>
      </c>
      <c r="R2496" s="22">
        <f t="shared" si="38"/>
        <v>1</v>
      </c>
      <c r="S2496" s="33">
        <f>IF(COUNTIF(O$2:O2496,O2496)=1,R2496,0)/2.5</f>
        <v>0.4</v>
      </c>
    </row>
    <row r="2497" spans="1:19" ht="18" customHeight="1" x14ac:dyDescent="0.25">
      <c r="A2497" s="7" t="s">
        <v>43</v>
      </c>
      <c r="B2497" s="8">
        <v>1</v>
      </c>
      <c r="C2497" s="9">
        <v>412.9</v>
      </c>
      <c r="D2497" s="29">
        <f>C2497+IF(INDEX('Справочник по %'!B:B,(MATCH(A2497,'Справочник по %'!A:A,0)))="кол-во",B2497*INDEX('Справочник по %'!C:C,(MATCH(A2497,'Справочник по %'!A:A,0))),ОТЧЕТ!C2497*INDEX('Справочник по %'!C:C,(MATCH(A2497,'Справочник по %'!A:A,0))))/100</f>
        <v>454.19</v>
      </c>
      <c r="E2497" s="29">
        <f>IF(ОТЧЕТ!A2497="SKU3",C2497+ОТЧЕТ!C2497*0.2,C2497+ОТЧЕТ!C2497*0.15)</f>
        <v>474.83499999999998</v>
      </c>
      <c r="F2497" s="7" t="s">
        <v>4810</v>
      </c>
      <c r="G2497" s="7">
        <v>7204146152</v>
      </c>
      <c r="H2497" s="20" t="s">
        <v>1009</v>
      </c>
      <c r="I2497" s="22" t="str">
        <f>INDEX('Справочник Сети'!B:B,(MATCH(G2497,'Справочник Сети'!C:C,0)))</f>
        <v>36,6</v>
      </c>
      <c r="J2497" s="7" t="s">
        <v>104</v>
      </c>
      <c r="K2497" s="7" t="s">
        <v>1373</v>
      </c>
      <c r="L2497" s="7" t="s">
        <v>106</v>
      </c>
      <c r="M2497" s="31">
        <v>45694</v>
      </c>
      <c r="N2497" s="7" t="s">
        <v>4818</v>
      </c>
      <c r="O2497" s="8">
        <v>761</v>
      </c>
      <c r="P2497" s="24">
        <v>9193</v>
      </c>
      <c r="Q2497" s="22">
        <f>IF(COUNTIFS(A$2:A2497,A2497,I$2:I2497,I2497)=1,1,0)</f>
        <v>0</v>
      </c>
      <c r="R2497" s="22">
        <f t="shared" si="38"/>
        <v>1</v>
      </c>
      <c r="S2497" s="33">
        <f>IF(COUNTIF(O$2:O2497,O2497)=1,R2497,0)/2.5</f>
        <v>0.4</v>
      </c>
    </row>
    <row r="2498" spans="1:19" ht="18" customHeight="1" x14ac:dyDescent="0.25">
      <c r="A2498" s="7" t="s">
        <v>37</v>
      </c>
      <c r="B2498" s="8">
        <v>1</v>
      </c>
      <c r="C2498" s="9">
        <v>612.4</v>
      </c>
      <c r="D2498" s="29">
        <f>C2498+IF(INDEX('Справочник по %'!B:B,(MATCH(A2498,'Справочник по %'!A:A,0)))="кол-во",B2498*INDEX('Справочник по %'!C:C,(MATCH(A2498,'Справочник по %'!A:A,0))),ОТЧЕТ!C2498*INDEX('Справочник по %'!C:C,(MATCH(A2498,'Справочник по %'!A:A,0))))/100</f>
        <v>612.6</v>
      </c>
      <c r="E2498" s="29">
        <f>IF(ОТЧЕТ!A2498="SKU3",C2498+ОТЧЕТ!C2498*0.2,C2498+ОТЧЕТ!C2498*0.15)</f>
        <v>704.26</v>
      </c>
      <c r="F2498" s="7" t="s">
        <v>4810</v>
      </c>
      <c r="G2498" s="7">
        <v>7840411560</v>
      </c>
      <c r="H2498" s="20" t="s">
        <v>1183</v>
      </c>
      <c r="I2498" s="22" t="str">
        <f>INDEX('Справочник Сети'!B:B,(MATCH(G2498,'Справочник Сети'!C:C,0)))</f>
        <v>Столички</v>
      </c>
      <c r="J2498" s="7" t="s">
        <v>315</v>
      </c>
      <c r="K2498" s="7" t="s">
        <v>1669</v>
      </c>
      <c r="L2498" s="7" t="s">
        <v>315</v>
      </c>
      <c r="M2498" s="31">
        <v>45670</v>
      </c>
      <c r="N2498" s="7" t="s">
        <v>4819</v>
      </c>
      <c r="O2498" s="8">
        <v>213</v>
      </c>
      <c r="P2498" s="24">
        <v>9194</v>
      </c>
      <c r="Q2498" s="22">
        <f>IF(COUNTIFS(A$2:A2498,A2498,I$2:I2498,I2498)=1,1,0)</f>
        <v>0</v>
      </c>
      <c r="R2498" s="22">
        <f t="shared" si="38"/>
        <v>1</v>
      </c>
      <c r="S2498" s="33">
        <f>IF(COUNTIF(O$2:O2498,O2498)=1,R2498,0)/2.5</f>
        <v>0.4</v>
      </c>
    </row>
    <row r="2499" spans="1:19" ht="18" customHeight="1" x14ac:dyDescent="0.25">
      <c r="A2499" s="7" t="s">
        <v>37</v>
      </c>
      <c r="B2499" s="8">
        <v>1</v>
      </c>
      <c r="C2499" s="9">
        <v>530</v>
      </c>
      <c r="D2499" s="29">
        <f>C2499+IF(INDEX('Справочник по %'!B:B,(MATCH(A2499,'Справочник по %'!A:A,0)))="кол-во",B2499*INDEX('Справочник по %'!C:C,(MATCH(A2499,'Справочник по %'!A:A,0))),ОТЧЕТ!C2499*INDEX('Справочник по %'!C:C,(MATCH(A2499,'Справочник по %'!A:A,0))))/100</f>
        <v>530.20000000000005</v>
      </c>
      <c r="E2499" s="29">
        <f>IF(ОТЧЕТ!A2499="SKU3",C2499+ОТЧЕТ!C2499*0.2,C2499+ОТЧЕТ!C2499*0.15)</f>
        <v>609.5</v>
      </c>
      <c r="F2499" s="7" t="s">
        <v>4810</v>
      </c>
      <c r="G2499" s="7">
        <v>7706795062</v>
      </c>
      <c r="H2499" s="20" t="s">
        <v>99</v>
      </c>
      <c r="I2499" s="22" t="str">
        <f>INDEX('Справочник Сети'!B:B,(MATCH(G2499,'Справочник Сети'!C:C,0)))</f>
        <v>Планета здоровья</v>
      </c>
      <c r="J2499" s="7" t="s">
        <v>87</v>
      </c>
      <c r="K2499" s="7" t="s">
        <v>4483</v>
      </c>
      <c r="L2499" s="7" t="s">
        <v>87</v>
      </c>
      <c r="M2499" s="31">
        <v>45691</v>
      </c>
      <c r="N2499" s="7" t="s">
        <v>4820</v>
      </c>
      <c r="O2499" s="8">
        <v>1603</v>
      </c>
      <c r="P2499" s="24">
        <v>9196</v>
      </c>
      <c r="Q2499" s="22">
        <f>IF(COUNTIFS(A$2:A2499,A2499,I$2:I2499,I2499)=1,1,0)</f>
        <v>0</v>
      </c>
      <c r="R2499" s="22">
        <f t="shared" ref="R2499:R2562" si="39">COUNTIF(O:O,O2499)</f>
        <v>3</v>
      </c>
      <c r="S2499" s="33">
        <f>IF(COUNTIF(O$2:O2499,O2499)=1,R2499,0)/2.5</f>
        <v>0</v>
      </c>
    </row>
    <row r="2500" spans="1:19" ht="18" customHeight="1" x14ac:dyDescent="0.25">
      <c r="A2500" s="7" t="s">
        <v>37</v>
      </c>
      <c r="B2500" s="8">
        <v>1</v>
      </c>
      <c r="C2500" s="9">
        <v>493.9</v>
      </c>
      <c r="D2500" s="29">
        <f>C2500+IF(INDEX('Справочник по %'!B:B,(MATCH(A2500,'Справочник по %'!A:A,0)))="кол-во",B2500*INDEX('Справочник по %'!C:C,(MATCH(A2500,'Справочник по %'!A:A,0))),ОТЧЕТ!C2500*INDEX('Справочник по %'!C:C,(MATCH(A2500,'Справочник по %'!A:A,0))))/100</f>
        <v>494.09999999999997</v>
      </c>
      <c r="E2500" s="29">
        <f>IF(ОТЧЕТ!A2500="SKU3",C2500+ОТЧЕТ!C2500*0.2,C2500+ОТЧЕТ!C2500*0.15)</f>
        <v>567.98500000000001</v>
      </c>
      <c r="F2500" s="7" t="s">
        <v>4821</v>
      </c>
      <c r="G2500" s="7">
        <v>7204146152</v>
      </c>
      <c r="H2500" s="20" t="s">
        <v>1009</v>
      </c>
      <c r="I2500" s="22" t="str">
        <f>INDEX('Справочник Сети'!B:B,(MATCH(G2500,'Справочник Сети'!C:C,0)))</f>
        <v>36,6</v>
      </c>
      <c r="J2500" s="7" t="s">
        <v>104</v>
      </c>
      <c r="K2500" s="7" t="s">
        <v>373</v>
      </c>
      <c r="L2500" s="7" t="s">
        <v>104</v>
      </c>
      <c r="M2500" s="31">
        <v>45693</v>
      </c>
      <c r="N2500" s="7" t="s">
        <v>4822</v>
      </c>
      <c r="O2500" s="8">
        <v>1188</v>
      </c>
      <c r="P2500" s="24">
        <v>9197</v>
      </c>
      <c r="Q2500" s="22">
        <f>IF(COUNTIFS(A$2:A2500,A2500,I$2:I2500,I2500)=1,1,0)</f>
        <v>0</v>
      </c>
      <c r="R2500" s="22">
        <f t="shared" si="39"/>
        <v>14</v>
      </c>
      <c r="S2500" s="33">
        <f>IF(COUNTIF(O$2:O2500,O2500)=1,R2500,0)/2.5</f>
        <v>0</v>
      </c>
    </row>
    <row r="2501" spans="1:19" ht="18" customHeight="1" x14ac:dyDescent="0.25">
      <c r="A2501" s="7" t="s">
        <v>43</v>
      </c>
      <c r="B2501" s="8">
        <v>1</v>
      </c>
      <c r="C2501" s="9">
        <v>395</v>
      </c>
      <c r="D2501" s="29">
        <f>C2501+IF(INDEX('Справочник по %'!B:B,(MATCH(A2501,'Справочник по %'!A:A,0)))="кол-во",B2501*INDEX('Справочник по %'!C:C,(MATCH(A2501,'Справочник по %'!A:A,0))),ОТЧЕТ!C2501*INDEX('Справочник по %'!C:C,(MATCH(A2501,'Справочник по %'!A:A,0))))/100</f>
        <v>434.5</v>
      </c>
      <c r="E2501" s="29">
        <f>IF(ОТЧЕТ!A2501="SKU3",C2501+ОТЧЕТ!C2501*0.2,C2501+ОТЧЕТ!C2501*0.15)</f>
        <v>454.25</v>
      </c>
      <c r="F2501" s="7" t="s">
        <v>4823</v>
      </c>
      <c r="G2501" s="7">
        <v>5610067407</v>
      </c>
      <c r="H2501" s="20" t="s">
        <v>2183</v>
      </c>
      <c r="I2501" s="22" t="str">
        <f>INDEX('Справочник Сети'!B:B,(MATCH(G2501,'Справочник Сети'!C:C,0)))</f>
        <v>Ригла</v>
      </c>
      <c r="J2501" s="7" t="s">
        <v>255</v>
      </c>
      <c r="K2501" s="7" t="s">
        <v>1639</v>
      </c>
      <c r="L2501" s="7" t="s">
        <v>255</v>
      </c>
      <c r="M2501" s="31">
        <v>45713</v>
      </c>
      <c r="N2501" s="7" t="s">
        <v>4824</v>
      </c>
      <c r="O2501" s="8">
        <v>2546</v>
      </c>
      <c r="P2501" s="24">
        <v>9198</v>
      </c>
      <c r="Q2501" s="22">
        <f>IF(COUNTIFS(A$2:A2501,A2501,I$2:I2501,I2501)=1,1,0)</f>
        <v>0</v>
      </c>
      <c r="R2501" s="22">
        <f t="shared" si="39"/>
        <v>2</v>
      </c>
      <c r="S2501" s="33">
        <f>IF(COUNTIF(O$2:O2501,O2501)=1,R2501,0)/2.5</f>
        <v>0</v>
      </c>
    </row>
    <row r="2502" spans="1:19" ht="18" customHeight="1" x14ac:dyDescent="0.25">
      <c r="A2502" s="7" t="s">
        <v>2436</v>
      </c>
      <c r="B2502" s="8">
        <v>1</v>
      </c>
      <c r="C2502" s="9">
        <v>444</v>
      </c>
      <c r="D2502" s="29">
        <f>C2502+IF(INDEX('Справочник по %'!B:B,(MATCH(A2502,'Справочник по %'!A:A,0)))="кол-во",B2502*INDEX('Справочник по %'!C:C,(MATCH(A2502,'Справочник по %'!A:A,0))),ОТЧЕТ!C2502*INDEX('Справочник по %'!C:C,(MATCH(A2502,'Справочник по %'!A:A,0))))/100</f>
        <v>488.4</v>
      </c>
      <c r="E2502" s="29">
        <f>IF(ОТЧЕТ!A2502="SKU3",C2502+ОТЧЕТ!C2502*0.2,C2502+ОТЧЕТ!C2502*0.15)</f>
        <v>510.6</v>
      </c>
      <c r="F2502" s="7" t="s">
        <v>4825</v>
      </c>
      <c r="G2502" s="7">
        <v>2224212012</v>
      </c>
      <c r="H2502" s="20" t="s">
        <v>50</v>
      </c>
      <c r="I2502" s="22">
        <f>INDEX('Справочник Сети'!B:B,(MATCH(G2502,'Справочник Сети'!C:C,0)))</f>
        <v>0</v>
      </c>
      <c r="J2502" s="7" t="s">
        <v>372</v>
      </c>
      <c r="K2502" s="7" t="s">
        <v>644</v>
      </c>
      <c r="L2502" s="7" t="s">
        <v>372</v>
      </c>
      <c r="M2502" s="31">
        <v>45730</v>
      </c>
      <c r="N2502" s="7" t="s">
        <v>4826</v>
      </c>
      <c r="O2502" s="8">
        <v>154</v>
      </c>
      <c r="P2502" s="24">
        <v>9202</v>
      </c>
      <c r="Q2502" s="22">
        <f>IF(COUNTIFS(A$2:A2502,A2502,I$2:I2502,I2502)=1,1,0)</f>
        <v>1</v>
      </c>
      <c r="R2502" s="22">
        <f t="shared" si="39"/>
        <v>1</v>
      </c>
      <c r="S2502" s="33">
        <f>IF(COUNTIF(O$2:O2502,O2502)=1,R2502,0)/2.5</f>
        <v>0.4</v>
      </c>
    </row>
    <row r="2503" spans="1:19" ht="18" customHeight="1" x14ac:dyDescent="0.25">
      <c r="A2503" s="7" t="s">
        <v>43</v>
      </c>
      <c r="B2503" s="8">
        <v>1</v>
      </c>
      <c r="C2503" s="9">
        <v>399</v>
      </c>
      <c r="D2503" s="29">
        <f>C2503+IF(INDEX('Справочник по %'!B:B,(MATCH(A2503,'Справочник по %'!A:A,0)))="кол-во",B2503*INDEX('Справочник по %'!C:C,(MATCH(A2503,'Справочник по %'!A:A,0))),ОТЧЕТ!C2503*INDEX('Справочник по %'!C:C,(MATCH(A2503,'Справочник по %'!A:A,0))))/100</f>
        <v>438.9</v>
      </c>
      <c r="E2503" s="29">
        <f>IF(ОТЧЕТ!A2503="SKU3",C2503+ОТЧЕТ!C2503*0.2,C2503+ОТЧЕТ!C2503*0.15)</f>
        <v>458.85</v>
      </c>
      <c r="F2503" s="7" t="s">
        <v>4825</v>
      </c>
      <c r="G2503" s="7">
        <v>3123296586</v>
      </c>
      <c r="H2503" s="20" t="s">
        <v>192</v>
      </c>
      <c r="I2503" s="22" t="str">
        <f>INDEX('Справочник Сети'!B:B,(MATCH(G2503,'Справочник Сети'!C:C,0)))</f>
        <v>Столички</v>
      </c>
      <c r="J2503" s="7" t="s">
        <v>193</v>
      </c>
      <c r="K2503" s="7" t="s">
        <v>4240</v>
      </c>
      <c r="L2503" s="7" t="s">
        <v>193</v>
      </c>
      <c r="M2503" s="31">
        <v>45718</v>
      </c>
      <c r="N2503" s="7" t="s">
        <v>2417</v>
      </c>
      <c r="O2503" s="8">
        <v>3050</v>
      </c>
      <c r="P2503" s="24">
        <v>9209</v>
      </c>
      <c r="Q2503" s="22">
        <f>IF(COUNTIFS(A$2:A2503,A2503,I$2:I2503,I2503)=1,1,0)</f>
        <v>0</v>
      </c>
      <c r="R2503" s="22">
        <f t="shared" si="39"/>
        <v>10</v>
      </c>
      <c r="S2503" s="33">
        <f>IF(COUNTIF(O$2:O2503,O2503)=1,R2503,0)/2.5</f>
        <v>0</v>
      </c>
    </row>
    <row r="2504" spans="1:19" ht="18" customHeight="1" x14ac:dyDescent="0.25">
      <c r="A2504" s="7" t="s">
        <v>43</v>
      </c>
      <c r="B2504" s="8">
        <v>1</v>
      </c>
      <c r="C2504" s="9">
        <v>451.2</v>
      </c>
      <c r="D2504" s="29">
        <f>C2504+IF(INDEX('Справочник по %'!B:B,(MATCH(A2504,'Справочник по %'!A:A,0)))="кол-во",B2504*INDEX('Справочник по %'!C:C,(MATCH(A2504,'Справочник по %'!A:A,0))),ОТЧЕТ!C2504*INDEX('Справочник по %'!C:C,(MATCH(A2504,'Справочник по %'!A:A,0))))/100</f>
        <v>496.32</v>
      </c>
      <c r="E2504" s="29">
        <f>IF(ОТЧЕТ!A2504="SKU3",C2504+ОТЧЕТ!C2504*0.2,C2504+ОТЧЕТ!C2504*0.15)</f>
        <v>518.88</v>
      </c>
      <c r="F2504" s="7" t="s">
        <v>4825</v>
      </c>
      <c r="G2504" s="7">
        <v>4632170357</v>
      </c>
      <c r="H2504" s="20" t="s">
        <v>153</v>
      </c>
      <c r="I2504" s="22" t="str">
        <f>INDEX('Справочник Сети'!B:B,(MATCH(G2504,'Справочник Сети'!C:C,0)))</f>
        <v>Столички</v>
      </c>
      <c r="J2504" s="7" t="s">
        <v>83</v>
      </c>
      <c r="K2504" s="7" t="s">
        <v>1793</v>
      </c>
      <c r="L2504" s="7" t="s">
        <v>155</v>
      </c>
      <c r="M2504" s="31">
        <v>45716</v>
      </c>
      <c r="N2504" s="7" t="s">
        <v>4827</v>
      </c>
      <c r="O2504" s="8">
        <v>190</v>
      </c>
      <c r="P2504" s="24">
        <v>9210</v>
      </c>
      <c r="Q2504" s="22">
        <f>IF(COUNTIFS(A$2:A2504,A2504,I$2:I2504,I2504)=1,1,0)</f>
        <v>0</v>
      </c>
      <c r="R2504" s="22">
        <f t="shared" si="39"/>
        <v>4</v>
      </c>
      <c r="S2504" s="33">
        <f>IF(COUNTIF(O$2:O2504,O2504)=1,R2504,0)/2.5</f>
        <v>0</v>
      </c>
    </row>
    <row r="2505" spans="1:19" ht="18" customHeight="1" x14ac:dyDescent="0.25">
      <c r="A2505" s="7" t="s">
        <v>43</v>
      </c>
      <c r="B2505" s="8">
        <v>1</v>
      </c>
      <c r="C2505" s="9">
        <v>460</v>
      </c>
      <c r="D2505" s="29">
        <f>C2505+IF(INDEX('Справочник по %'!B:B,(MATCH(A2505,'Справочник по %'!A:A,0)))="кол-во",B2505*INDEX('Справочник по %'!C:C,(MATCH(A2505,'Справочник по %'!A:A,0))),ОТЧЕТ!C2505*INDEX('Справочник по %'!C:C,(MATCH(A2505,'Справочник по %'!A:A,0))))/100</f>
        <v>506</v>
      </c>
      <c r="E2505" s="29">
        <f>IF(ОТЧЕТ!A2505="SKU3",C2505+ОТЧЕТ!C2505*0.2,C2505+ОТЧЕТ!C2505*0.15)</f>
        <v>529</v>
      </c>
      <c r="F2505" s="7" t="s">
        <v>4828</v>
      </c>
      <c r="G2505" s="7">
        <v>910800091897</v>
      </c>
      <c r="H2505" s="20" t="s">
        <v>1046</v>
      </c>
      <c r="I2505" s="22">
        <f>INDEX('Справочник Сети'!B:B,(MATCH(G2505,'Справочник Сети'!C:C,0)))</f>
        <v>0</v>
      </c>
      <c r="J2505" s="7" t="s">
        <v>322</v>
      </c>
      <c r="K2505" s="7" t="s">
        <v>1793</v>
      </c>
      <c r="L2505" s="7" t="s">
        <v>322</v>
      </c>
      <c r="M2505" s="31">
        <v>45658</v>
      </c>
      <c r="N2505" s="7" t="s">
        <v>4829</v>
      </c>
      <c r="O2505" s="8">
        <v>3806</v>
      </c>
      <c r="P2505" s="24">
        <v>9211</v>
      </c>
      <c r="Q2505" s="22">
        <f>IF(COUNTIFS(A$2:A2505,A2505,I$2:I2505,I2505)=1,1,0)</f>
        <v>0</v>
      </c>
      <c r="R2505" s="22">
        <f t="shared" si="39"/>
        <v>6</v>
      </c>
      <c r="S2505" s="33">
        <f>IF(COUNTIF(O$2:O2505,O2505)=1,R2505,0)/2.5</f>
        <v>0</v>
      </c>
    </row>
    <row r="2506" spans="1:19" ht="18" customHeight="1" x14ac:dyDescent="0.25">
      <c r="A2506" s="7" t="s">
        <v>43</v>
      </c>
      <c r="B2506" s="8">
        <v>1</v>
      </c>
      <c r="C2506" s="9">
        <v>404.06</v>
      </c>
      <c r="D2506" s="29">
        <f>C2506+IF(INDEX('Справочник по %'!B:B,(MATCH(A2506,'Справочник по %'!A:A,0)))="кол-во",B2506*INDEX('Справочник по %'!C:C,(MATCH(A2506,'Справочник по %'!A:A,0))),ОТЧЕТ!C2506*INDEX('Справочник по %'!C:C,(MATCH(A2506,'Справочник по %'!A:A,0))))/100</f>
        <v>444.46600000000001</v>
      </c>
      <c r="E2506" s="29">
        <f>IF(ОТЧЕТ!A2506="SKU3",C2506+ОТЧЕТ!C2506*0.2,C2506+ОТЧЕТ!C2506*0.15)</f>
        <v>464.66899999999998</v>
      </c>
      <c r="F2506" s="7" t="s">
        <v>4828</v>
      </c>
      <c r="G2506" s="7">
        <v>7705947629</v>
      </c>
      <c r="H2506" s="20" t="s">
        <v>50</v>
      </c>
      <c r="I2506" s="22" t="str">
        <f>INDEX('Справочник Сети'!B:B,(MATCH(G2506,'Справочник Сети'!C:C,0)))</f>
        <v>36,6</v>
      </c>
      <c r="J2506" s="7" t="s">
        <v>116</v>
      </c>
      <c r="K2506" s="7" t="s">
        <v>4830</v>
      </c>
      <c r="L2506" s="7" t="s">
        <v>104</v>
      </c>
      <c r="M2506" s="31">
        <v>45693</v>
      </c>
      <c r="N2506" s="7" t="s">
        <v>4831</v>
      </c>
      <c r="O2506" s="8">
        <v>2993</v>
      </c>
      <c r="P2506" s="24">
        <v>9213</v>
      </c>
      <c r="Q2506" s="22">
        <f>IF(COUNTIFS(A$2:A2506,A2506,I$2:I2506,I2506)=1,1,0)</f>
        <v>0</v>
      </c>
      <c r="R2506" s="22">
        <f t="shared" si="39"/>
        <v>1</v>
      </c>
      <c r="S2506" s="33">
        <f>IF(COUNTIF(O$2:O2506,O2506)=1,R2506,0)/2.5</f>
        <v>0.4</v>
      </c>
    </row>
    <row r="2507" spans="1:19" ht="18" customHeight="1" x14ac:dyDescent="0.25">
      <c r="A2507" s="7" t="s">
        <v>43</v>
      </c>
      <c r="B2507" s="8">
        <v>1</v>
      </c>
      <c r="C2507" s="9">
        <v>444.6</v>
      </c>
      <c r="D2507" s="29">
        <f>C2507+IF(INDEX('Справочник по %'!B:B,(MATCH(A2507,'Справочник по %'!A:A,0)))="кол-во",B2507*INDEX('Справочник по %'!C:C,(MATCH(A2507,'Справочник по %'!A:A,0))),ОТЧЕТ!C2507*INDEX('Справочник по %'!C:C,(MATCH(A2507,'Справочник по %'!A:A,0))))/100</f>
        <v>489.06</v>
      </c>
      <c r="E2507" s="29">
        <f>IF(ОТЧЕТ!A2507="SKU3",C2507+ОТЧЕТ!C2507*0.2,C2507+ОТЧЕТ!C2507*0.15)</f>
        <v>511.29</v>
      </c>
      <c r="F2507" s="7" t="s">
        <v>4828</v>
      </c>
      <c r="G2507" s="7">
        <v>253804596643</v>
      </c>
      <c r="H2507" s="20" t="s">
        <v>50</v>
      </c>
      <c r="I2507" s="22" t="str">
        <f>INDEX('Справочник Сети'!B:B,(MATCH(G2507,'Справочник Сети'!C:C,0)))</f>
        <v>Ригла</v>
      </c>
      <c r="J2507" s="7" t="s">
        <v>110</v>
      </c>
      <c r="K2507" s="7" t="s">
        <v>2158</v>
      </c>
      <c r="L2507" s="7" t="s">
        <v>74</v>
      </c>
      <c r="M2507" s="31">
        <v>45661</v>
      </c>
      <c r="N2507" s="7" t="s">
        <v>4832</v>
      </c>
      <c r="O2507" s="8">
        <v>941</v>
      </c>
      <c r="P2507" s="24">
        <v>9214</v>
      </c>
      <c r="Q2507" s="22">
        <f>IF(COUNTIFS(A$2:A2507,A2507,I$2:I2507,I2507)=1,1,0)</f>
        <v>0</v>
      </c>
      <c r="R2507" s="22">
        <f t="shared" si="39"/>
        <v>1</v>
      </c>
      <c r="S2507" s="33">
        <f>IF(COUNTIF(O$2:O2507,O2507)=1,R2507,0)/2.5</f>
        <v>0.4</v>
      </c>
    </row>
    <row r="2508" spans="1:19" ht="18" customHeight="1" x14ac:dyDescent="0.25">
      <c r="A2508" s="7" t="s">
        <v>43</v>
      </c>
      <c r="B2508" s="8">
        <v>1</v>
      </c>
      <c r="C2508" s="9">
        <v>383</v>
      </c>
      <c r="D2508" s="29">
        <f>C2508+IF(INDEX('Справочник по %'!B:B,(MATCH(A2508,'Справочник по %'!A:A,0)))="кол-во",B2508*INDEX('Справочник по %'!C:C,(MATCH(A2508,'Справочник по %'!A:A,0))),ОТЧЕТ!C2508*INDEX('Справочник по %'!C:C,(MATCH(A2508,'Справочник по %'!A:A,0))))/100</f>
        <v>421.3</v>
      </c>
      <c r="E2508" s="29">
        <f>IF(ОТЧЕТ!A2508="SKU3",C2508+ОТЧЕТ!C2508*0.2,C2508+ОТЧЕТ!C2508*0.15)</f>
        <v>440.45</v>
      </c>
      <c r="F2508" s="7" t="s">
        <v>4828</v>
      </c>
      <c r="G2508" s="7">
        <v>7706795062</v>
      </c>
      <c r="H2508" s="20" t="s">
        <v>2243</v>
      </c>
      <c r="I2508" s="22" t="str">
        <f>INDEX('Справочник Сети'!B:B,(MATCH(G2508,'Справочник Сети'!C:C,0)))</f>
        <v>Планета здоровья</v>
      </c>
      <c r="J2508" s="7" t="s">
        <v>87</v>
      </c>
      <c r="K2508" s="7" t="s">
        <v>169</v>
      </c>
      <c r="L2508" s="7" t="s">
        <v>87</v>
      </c>
      <c r="M2508" s="31">
        <v>45691</v>
      </c>
      <c r="N2508" s="7" t="s">
        <v>4833</v>
      </c>
      <c r="O2508" s="8">
        <v>1803</v>
      </c>
      <c r="P2508" s="24">
        <v>9216</v>
      </c>
      <c r="Q2508" s="22">
        <f>IF(COUNTIFS(A$2:A2508,A2508,I$2:I2508,I2508)=1,1,0)</f>
        <v>0</v>
      </c>
      <c r="R2508" s="22">
        <f t="shared" si="39"/>
        <v>2</v>
      </c>
      <c r="S2508" s="33">
        <f>IF(COUNTIF(O$2:O2508,O2508)=1,R2508,0)/2.5</f>
        <v>0.8</v>
      </c>
    </row>
    <row r="2509" spans="1:19" ht="18" customHeight="1" x14ac:dyDescent="0.25">
      <c r="A2509" s="7" t="s">
        <v>43</v>
      </c>
      <c r="B2509" s="8">
        <v>1</v>
      </c>
      <c r="C2509" s="9">
        <v>383.49</v>
      </c>
      <c r="D2509" s="29">
        <f>C2509+IF(INDEX('Справочник по %'!B:B,(MATCH(A2509,'Справочник по %'!A:A,0)))="кол-во",B2509*INDEX('Справочник по %'!C:C,(MATCH(A2509,'Справочник по %'!A:A,0))),ОТЧЕТ!C2509*INDEX('Справочник по %'!C:C,(MATCH(A2509,'Справочник по %'!A:A,0))))/100</f>
        <v>421.839</v>
      </c>
      <c r="E2509" s="29">
        <f>IF(ОТЧЕТ!A2509="SKU3",C2509+ОТЧЕТ!C2509*0.2,C2509+ОТЧЕТ!C2509*0.15)</f>
        <v>441.01350000000002</v>
      </c>
      <c r="F2509" s="7" t="s">
        <v>4834</v>
      </c>
      <c r="G2509" s="7">
        <v>5260406072</v>
      </c>
      <c r="H2509" s="20" t="s">
        <v>69</v>
      </c>
      <c r="I2509" s="22">
        <f>INDEX('Справочник Сети'!B:B,(MATCH(G2509,'Справочник Сети'!C:C,0)))</f>
        <v>0</v>
      </c>
      <c r="J2509" s="7" t="s">
        <v>92</v>
      </c>
      <c r="K2509" s="7" t="s">
        <v>1480</v>
      </c>
      <c r="L2509" s="7" t="s">
        <v>92</v>
      </c>
      <c r="M2509" s="31">
        <v>45714</v>
      </c>
      <c r="N2509" s="7" t="s">
        <v>4835</v>
      </c>
      <c r="O2509" s="8">
        <v>2688</v>
      </c>
      <c r="P2509" s="24">
        <v>9221</v>
      </c>
      <c r="Q2509" s="22">
        <f>IF(COUNTIFS(A$2:A2509,A2509,I$2:I2509,I2509)=1,1,0)</f>
        <v>0</v>
      </c>
      <c r="R2509" s="22">
        <f t="shared" si="39"/>
        <v>1</v>
      </c>
      <c r="S2509" s="33">
        <f>IF(COUNTIF(O$2:O2509,O2509)=1,R2509,0)/2.5</f>
        <v>0.4</v>
      </c>
    </row>
    <row r="2510" spans="1:19" ht="18" customHeight="1" x14ac:dyDescent="0.25">
      <c r="A2510" s="7" t="s">
        <v>43</v>
      </c>
      <c r="B2510" s="8">
        <v>1</v>
      </c>
      <c r="C2510" s="9">
        <v>469.2</v>
      </c>
      <c r="D2510" s="29">
        <f>C2510+IF(INDEX('Справочник по %'!B:B,(MATCH(A2510,'Справочник по %'!A:A,0)))="кол-во",B2510*INDEX('Справочник по %'!C:C,(MATCH(A2510,'Справочник по %'!A:A,0))),ОТЧЕТ!C2510*INDEX('Справочник по %'!C:C,(MATCH(A2510,'Справочник по %'!A:A,0))))/100</f>
        <v>516.12</v>
      </c>
      <c r="E2510" s="29">
        <f>IF(ОТЧЕТ!A2510="SKU3",C2510+ОТЧЕТ!C2510*0.2,C2510+ОТЧЕТ!C2510*0.15)</f>
        <v>539.57999999999993</v>
      </c>
      <c r="F2510" s="7" t="s">
        <v>4836</v>
      </c>
      <c r="G2510" s="7">
        <v>5258128981</v>
      </c>
      <c r="H2510" s="20" t="s">
        <v>50</v>
      </c>
      <c r="I2510" s="22">
        <f>INDEX('Справочник Сети'!B:B,(MATCH(G2510,'Справочник Сети'!C:C,0)))</f>
        <v>0</v>
      </c>
      <c r="J2510" s="7" t="s">
        <v>92</v>
      </c>
      <c r="K2510" s="7" t="s">
        <v>925</v>
      </c>
      <c r="L2510" s="7" t="s">
        <v>92</v>
      </c>
      <c r="M2510" s="31">
        <v>45714</v>
      </c>
      <c r="N2510" s="7" t="s">
        <v>4837</v>
      </c>
      <c r="O2510" s="8">
        <v>432</v>
      </c>
      <c r="P2510" s="24">
        <v>9224</v>
      </c>
      <c r="Q2510" s="22">
        <f>IF(COUNTIFS(A$2:A2510,A2510,I$2:I2510,I2510)=1,1,0)</f>
        <v>0</v>
      </c>
      <c r="R2510" s="22">
        <f t="shared" si="39"/>
        <v>1</v>
      </c>
      <c r="S2510" s="33">
        <f>IF(COUNTIF(O$2:O2510,O2510)=1,R2510,0)/2.5</f>
        <v>0.4</v>
      </c>
    </row>
    <row r="2511" spans="1:19" ht="18" customHeight="1" x14ac:dyDescent="0.25">
      <c r="A2511" s="7" t="s">
        <v>43</v>
      </c>
      <c r="B2511" s="8">
        <v>1</v>
      </c>
      <c r="C2511" s="9">
        <v>446</v>
      </c>
      <c r="D2511" s="29">
        <f>C2511+IF(INDEX('Справочник по %'!B:B,(MATCH(A2511,'Справочник по %'!A:A,0)))="кол-во",B2511*INDEX('Справочник по %'!C:C,(MATCH(A2511,'Справочник по %'!A:A,0))),ОТЧЕТ!C2511*INDEX('Справочник по %'!C:C,(MATCH(A2511,'Справочник по %'!A:A,0))))/100</f>
        <v>490.6</v>
      </c>
      <c r="E2511" s="29">
        <f>IF(ОТЧЕТ!A2511="SKU3",C2511+ОТЧЕТ!C2511*0.2,C2511+ОТЧЕТ!C2511*0.15)</f>
        <v>512.9</v>
      </c>
      <c r="F2511" s="7" t="s">
        <v>4836</v>
      </c>
      <c r="G2511" s="7">
        <v>910900095729</v>
      </c>
      <c r="H2511" s="20" t="s">
        <v>1046</v>
      </c>
      <c r="I2511" s="22">
        <f>INDEX('Справочник Сети'!B:B,(MATCH(G2511,'Справочник Сети'!C:C,0)))</f>
        <v>0</v>
      </c>
      <c r="J2511" s="7" t="s">
        <v>322</v>
      </c>
      <c r="K2511" s="7" t="s">
        <v>823</v>
      </c>
      <c r="L2511" s="7" t="s">
        <v>322</v>
      </c>
      <c r="M2511" s="31">
        <v>45658</v>
      </c>
      <c r="N2511" s="7" t="s">
        <v>4838</v>
      </c>
      <c r="O2511" s="8">
        <v>3564</v>
      </c>
      <c r="P2511" s="24">
        <v>9230</v>
      </c>
      <c r="Q2511" s="22">
        <f>IF(COUNTIFS(A$2:A2511,A2511,I$2:I2511,I2511)=1,1,0)</f>
        <v>0</v>
      </c>
      <c r="R2511" s="22">
        <f t="shared" si="39"/>
        <v>1</v>
      </c>
      <c r="S2511" s="33">
        <f>IF(COUNTIF(O$2:O2511,O2511)=1,R2511,0)/2.5</f>
        <v>0.4</v>
      </c>
    </row>
    <row r="2512" spans="1:19" ht="18" customHeight="1" x14ac:dyDescent="0.25">
      <c r="A2512" s="7" t="s">
        <v>43</v>
      </c>
      <c r="B2512" s="8">
        <v>1</v>
      </c>
      <c r="C2512" s="9">
        <v>465.5</v>
      </c>
      <c r="D2512" s="29">
        <f>C2512+IF(INDEX('Справочник по %'!B:B,(MATCH(A2512,'Справочник по %'!A:A,0)))="кол-во",B2512*INDEX('Справочник по %'!C:C,(MATCH(A2512,'Справочник по %'!A:A,0))),ОТЧЕТ!C2512*INDEX('Справочник по %'!C:C,(MATCH(A2512,'Справочник по %'!A:A,0))))/100</f>
        <v>512.04999999999995</v>
      </c>
      <c r="E2512" s="29">
        <f>IF(ОТЧЕТ!A2512="SKU3",C2512+ОТЧЕТ!C2512*0.2,C2512+ОТЧЕТ!C2512*0.15)</f>
        <v>535.32500000000005</v>
      </c>
      <c r="F2512" s="7" t="s">
        <v>4836</v>
      </c>
      <c r="G2512" s="7">
        <v>7743897369</v>
      </c>
      <c r="H2512" s="20" t="s">
        <v>549</v>
      </c>
      <c r="I2512" s="22" t="str">
        <f>INDEX('Справочник Сети'!B:B,(MATCH(G2512,'Справочник Сети'!C:C,0)))</f>
        <v>Ригла</v>
      </c>
      <c r="J2512" s="7" t="s">
        <v>353</v>
      </c>
      <c r="K2512" s="7" t="s">
        <v>748</v>
      </c>
      <c r="L2512" s="7" t="s">
        <v>353</v>
      </c>
      <c r="M2512" s="31">
        <v>45672</v>
      </c>
      <c r="N2512" s="7" t="s">
        <v>3585</v>
      </c>
      <c r="O2512" s="8">
        <v>2669</v>
      </c>
      <c r="P2512" s="24">
        <v>9234</v>
      </c>
      <c r="Q2512" s="22">
        <f>IF(COUNTIFS(A$2:A2512,A2512,I$2:I2512,I2512)=1,1,0)</f>
        <v>0</v>
      </c>
      <c r="R2512" s="22">
        <f t="shared" si="39"/>
        <v>2</v>
      </c>
      <c r="S2512" s="33">
        <f>IF(COUNTIF(O$2:O2512,O2512)=1,R2512,0)/2.5</f>
        <v>0</v>
      </c>
    </row>
    <row r="2513" spans="1:19" ht="18" customHeight="1" x14ac:dyDescent="0.25">
      <c r="A2513" s="7" t="s">
        <v>37</v>
      </c>
      <c r="B2513" s="8">
        <v>1</v>
      </c>
      <c r="C2513" s="9">
        <v>682</v>
      </c>
      <c r="D2513" s="29">
        <f>C2513+IF(INDEX('Справочник по %'!B:B,(MATCH(A2513,'Справочник по %'!A:A,0)))="кол-во",B2513*INDEX('Справочник по %'!C:C,(MATCH(A2513,'Справочник по %'!A:A,0))),ОТЧЕТ!C2513*INDEX('Справочник по %'!C:C,(MATCH(A2513,'Справочник по %'!A:A,0))))/100</f>
        <v>682.2</v>
      </c>
      <c r="E2513" s="29">
        <f>IF(ОТЧЕТ!A2513="SKU3",C2513+ОТЧЕТ!C2513*0.2,C2513+ОТЧЕТ!C2513*0.15)</f>
        <v>784.3</v>
      </c>
      <c r="F2513" s="7" t="s">
        <v>4836</v>
      </c>
      <c r="G2513" s="7">
        <v>7802194843</v>
      </c>
      <c r="H2513" s="20" t="s">
        <v>50</v>
      </c>
      <c r="I2513" s="22" t="str">
        <f>INDEX('Справочник Сети'!B:B,(MATCH(G2513,'Справочник Сети'!C:C,0)))</f>
        <v>Столички</v>
      </c>
      <c r="J2513" s="7" t="s">
        <v>353</v>
      </c>
      <c r="K2513" s="7" t="s">
        <v>3118</v>
      </c>
      <c r="L2513" s="7" t="s">
        <v>353</v>
      </c>
      <c r="M2513" s="31">
        <v>45672</v>
      </c>
      <c r="N2513" s="7" t="s">
        <v>4839</v>
      </c>
      <c r="O2513" s="8">
        <v>3775</v>
      </c>
      <c r="P2513" s="24">
        <v>9236</v>
      </c>
      <c r="Q2513" s="22">
        <f>IF(COUNTIFS(A$2:A2513,A2513,I$2:I2513,I2513)=1,1,0)</f>
        <v>0</v>
      </c>
      <c r="R2513" s="22">
        <f t="shared" si="39"/>
        <v>3</v>
      </c>
      <c r="S2513" s="33">
        <f>IF(COUNTIF(O$2:O2513,O2513)=1,R2513,0)/2.5</f>
        <v>0</v>
      </c>
    </row>
    <row r="2514" spans="1:19" ht="18" customHeight="1" x14ac:dyDescent="0.25">
      <c r="A2514" s="7" t="s">
        <v>43</v>
      </c>
      <c r="B2514" s="8">
        <v>1</v>
      </c>
      <c r="C2514" s="9">
        <v>425</v>
      </c>
      <c r="D2514" s="29">
        <f>C2514+IF(INDEX('Справочник по %'!B:B,(MATCH(A2514,'Справочник по %'!A:A,0)))="кол-во",B2514*INDEX('Справочник по %'!C:C,(MATCH(A2514,'Справочник по %'!A:A,0))),ОТЧЕТ!C2514*INDEX('Справочник по %'!C:C,(MATCH(A2514,'Справочник по %'!A:A,0))))/100</f>
        <v>467.5</v>
      </c>
      <c r="E2514" s="29">
        <f>IF(ОТЧЕТ!A2514="SKU3",C2514+ОТЧЕТ!C2514*0.2,C2514+ОТЧЕТ!C2514*0.15)</f>
        <v>488.75</v>
      </c>
      <c r="F2514" s="7" t="s">
        <v>4840</v>
      </c>
      <c r="G2514" s="7">
        <v>4632054054</v>
      </c>
      <c r="H2514" s="20" t="s">
        <v>2437</v>
      </c>
      <c r="I2514" s="22" t="str">
        <f>INDEX('Справочник Сети'!B:B,(MATCH(G2514,'Справочник Сети'!C:C,0)))</f>
        <v>Ригла</v>
      </c>
      <c r="J2514" s="7" t="s">
        <v>155</v>
      </c>
      <c r="K2514" s="7" t="s">
        <v>2441</v>
      </c>
      <c r="L2514" s="7" t="s">
        <v>155</v>
      </c>
      <c r="M2514" s="31">
        <v>45716</v>
      </c>
      <c r="N2514" s="7" t="s">
        <v>4841</v>
      </c>
      <c r="O2514" s="8">
        <v>3602</v>
      </c>
      <c r="P2514" s="24">
        <v>9241</v>
      </c>
      <c r="Q2514" s="22">
        <f>IF(COUNTIFS(A$2:A2514,A2514,I$2:I2514,I2514)=1,1,0)</f>
        <v>0</v>
      </c>
      <c r="R2514" s="22">
        <f t="shared" si="39"/>
        <v>3</v>
      </c>
      <c r="S2514" s="33">
        <f>IF(COUNTIF(O$2:O2514,O2514)=1,R2514,0)/2.5</f>
        <v>0</v>
      </c>
    </row>
    <row r="2515" spans="1:19" ht="18" customHeight="1" x14ac:dyDescent="0.25">
      <c r="A2515" s="7" t="s">
        <v>43</v>
      </c>
      <c r="B2515" s="8">
        <v>1</v>
      </c>
      <c r="C2515" s="9">
        <v>407</v>
      </c>
      <c r="D2515" s="29">
        <f>C2515+IF(INDEX('Справочник по %'!B:B,(MATCH(A2515,'Справочник по %'!A:A,0)))="кол-во",B2515*INDEX('Справочник по %'!C:C,(MATCH(A2515,'Справочник по %'!A:A,0))),ОТЧЕТ!C2515*INDEX('Справочник по %'!C:C,(MATCH(A2515,'Справочник по %'!A:A,0))))/100</f>
        <v>447.7</v>
      </c>
      <c r="E2515" s="29">
        <f>IF(ОТЧЕТ!A2515="SKU3",C2515+ОТЧЕТ!C2515*0.2,C2515+ОТЧЕТ!C2515*0.15)</f>
        <v>468.05</v>
      </c>
      <c r="F2515" s="7" t="s">
        <v>4842</v>
      </c>
      <c r="G2515" s="7">
        <v>7728339546</v>
      </c>
      <c r="H2515" s="20" t="s">
        <v>4843</v>
      </c>
      <c r="I2515" s="22" t="str">
        <f>INDEX('Справочник Сети'!B:B,(MATCH(G2515,'Справочник Сети'!C:C,0)))</f>
        <v>Планета здоровья</v>
      </c>
      <c r="J2515" s="7" t="s">
        <v>142</v>
      </c>
      <c r="K2515" s="7" t="s">
        <v>200</v>
      </c>
      <c r="L2515" s="7" t="s">
        <v>142</v>
      </c>
      <c r="M2515" s="31">
        <v>45674</v>
      </c>
      <c r="N2515" s="7" t="s">
        <v>1814</v>
      </c>
      <c r="O2515" s="8">
        <v>1826</v>
      </c>
      <c r="P2515" s="24">
        <v>9244</v>
      </c>
      <c r="Q2515" s="22">
        <f>IF(COUNTIFS(A$2:A2515,A2515,I$2:I2515,I2515)=1,1,0)</f>
        <v>0</v>
      </c>
      <c r="R2515" s="22">
        <f t="shared" si="39"/>
        <v>1</v>
      </c>
      <c r="S2515" s="33">
        <f>IF(COUNTIF(O$2:O2515,O2515)=1,R2515,0)/2.5</f>
        <v>0.4</v>
      </c>
    </row>
    <row r="2516" spans="1:19" ht="18" customHeight="1" x14ac:dyDescent="0.25">
      <c r="A2516" s="7" t="s">
        <v>43</v>
      </c>
      <c r="B2516" s="8">
        <v>1</v>
      </c>
      <c r="C2516" s="9">
        <v>384</v>
      </c>
      <c r="D2516" s="29">
        <f>C2516+IF(INDEX('Справочник по %'!B:B,(MATCH(A2516,'Справочник по %'!A:A,0)))="кол-во",B2516*INDEX('Справочник по %'!C:C,(MATCH(A2516,'Справочник по %'!A:A,0))),ОТЧЕТ!C2516*INDEX('Справочник по %'!C:C,(MATCH(A2516,'Справочник по %'!A:A,0))))/100</f>
        <v>422.4</v>
      </c>
      <c r="E2516" s="29">
        <f>IF(ОТЧЕТ!A2516="SKU3",C2516+ОТЧЕТ!C2516*0.2,C2516+ОТЧЕТ!C2516*0.15)</f>
        <v>441.6</v>
      </c>
      <c r="F2516" s="7" t="s">
        <v>4842</v>
      </c>
      <c r="G2516" s="7">
        <v>7706795062</v>
      </c>
      <c r="H2516" s="20" t="s">
        <v>816</v>
      </c>
      <c r="I2516" s="22" t="str">
        <f>INDEX('Справочник Сети'!B:B,(MATCH(G2516,'Справочник Сети'!C:C,0)))</f>
        <v>Планета здоровья</v>
      </c>
      <c r="J2516" s="7" t="s">
        <v>87</v>
      </c>
      <c r="K2516" s="7" t="s">
        <v>1815</v>
      </c>
      <c r="L2516" s="7" t="s">
        <v>87</v>
      </c>
      <c r="M2516" s="31">
        <v>45691</v>
      </c>
      <c r="N2516" s="7" t="s">
        <v>4844</v>
      </c>
      <c r="O2516" s="8">
        <v>2510</v>
      </c>
      <c r="P2516" s="24">
        <v>9245</v>
      </c>
      <c r="Q2516" s="22">
        <f>IF(COUNTIFS(A$2:A2516,A2516,I$2:I2516,I2516)=1,1,0)</f>
        <v>0</v>
      </c>
      <c r="R2516" s="22">
        <f t="shared" si="39"/>
        <v>2</v>
      </c>
      <c r="S2516" s="33">
        <f>IF(COUNTIF(O$2:O2516,O2516)=1,R2516,0)/2.5</f>
        <v>0</v>
      </c>
    </row>
    <row r="2517" spans="1:19" ht="18" customHeight="1" x14ac:dyDescent="0.25">
      <c r="A2517" s="7" t="s">
        <v>43</v>
      </c>
      <c r="B2517" s="8">
        <v>1</v>
      </c>
      <c r="C2517" s="9">
        <v>529</v>
      </c>
      <c r="D2517" s="29">
        <f>C2517+IF(INDEX('Справочник по %'!B:B,(MATCH(A2517,'Справочник по %'!A:A,0)))="кол-во",B2517*INDEX('Справочник по %'!C:C,(MATCH(A2517,'Справочник по %'!A:A,0))),ОТЧЕТ!C2517*INDEX('Справочник по %'!C:C,(MATCH(A2517,'Справочник по %'!A:A,0))))/100</f>
        <v>581.9</v>
      </c>
      <c r="E2517" s="29">
        <f>IF(ОТЧЕТ!A2517="SKU3",C2517+ОТЧЕТ!C2517*0.2,C2517+ОТЧЕТ!C2517*0.15)</f>
        <v>608.35</v>
      </c>
      <c r="F2517" s="7" t="s">
        <v>4842</v>
      </c>
      <c r="G2517" s="7">
        <v>6658371284</v>
      </c>
      <c r="H2517" s="20" t="s">
        <v>69</v>
      </c>
      <c r="I2517" s="22" t="str">
        <f>INDEX('Справочник Сети'!B:B,(MATCH(G2517,'Справочник Сети'!C:C,0)))</f>
        <v>Планета здоровья</v>
      </c>
      <c r="J2517" s="7" t="s">
        <v>133</v>
      </c>
      <c r="K2517" s="7" t="s">
        <v>863</v>
      </c>
      <c r="L2517" s="7" t="s">
        <v>133</v>
      </c>
      <c r="M2517" s="31">
        <v>45695</v>
      </c>
      <c r="N2517" s="7" t="s">
        <v>4845</v>
      </c>
      <c r="O2517" s="8">
        <v>910</v>
      </c>
      <c r="P2517" s="24">
        <v>9249</v>
      </c>
      <c r="Q2517" s="22">
        <f>IF(COUNTIFS(A$2:A2517,A2517,I$2:I2517,I2517)=1,1,0)</f>
        <v>0</v>
      </c>
      <c r="R2517" s="22">
        <f t="shared" si="39"/>
        <v>4</v>
      </c>
      <c r="S2517" s="33">
        <f>IF(COUNTIF(O$2:O2517,O2517)=1,R2517,0)/2.5</f>
        <v>0</v>
      </c>
    </row>
    <row r="2518" spans="1:19" ht="18" customHeight="1" x14ac:dyDescent="0.25">
      <c r="A2518" s="7" t="s">
        <v>37</v>
      </c>
      <c r="B2518" s="8">
        <v>1</v>
      </c>
      <c r="C2518" s="9">
        <v>720</v>
      </c>
      <c r="D2518" s="29">
        <f>C2518+IF(INDEX('Справочник по %'!B:B,(MATCH(A2518,'Справочник по %'!A:A,0)))="кол-во",B2518*INDEX('Справочник по %'!C:C,(MATCH(A2518,'Справочник по %'!A:A,0))),ОТЧЕТ!C2518*INDEX('Справочник по %'!C:C,(MATCH(A2518,'Справочник по %'!A:A,0))))/100</f>
        <v>720.2</v>
      </c>
      <c r="E2518" s="29">
        <f>IF(ОТЧЕТ!A2518="SKU3",C2518+ОТЧЕТ!C2518*0.2,C2518+ОТЧЕТ!C2518*0.15)</f>
        <v>828</v>
      </c>
      <c r="F2518" s="7" t="s">
        <v>4842</v>
      </c>
      <c r="G2518" s="7">
        <v>4632054054</v>
      </c>
      <c r="H2518" s="20" t="s">
        <v>2437</v>
      </c>
      <c r="I2518" s="22" t="str">
        <f>INDEX('Справочник Сети'!B:B,(MATCH(G2518,'Справочник Сети'!C:C,0)))</f>
        <v>Ригла</v>
      </c>
      <c r="J2518" s="7" t="s">
        <v>155</v>
      </c>
      <c r="K2518" s="7" t="s">
        <v>1788</v>
      </c>
      <c r="L2518" s="7" t="s">
        <v>155</v>
      </c>
      <c r="M2518" s="31">
        <v>45716</v>
      </c>
      <c r="N2518" s="7" t="s">
        <v>4846</v>
      </c>
      <c r="O2518" s="8">
        <v>3006</v>
      </c>
      <c r="P2518" s="24">
        <v>9251</v>
      </c>
      <c r="Q2518" s="22">
        <f>IF(COUNTIFS(A$2:A2518,A2518,I$2:I2518,I2518)=1,1,0)</f>
        <v>0</v>
      </c>
      <c r="R2518" s="22">
        <f t="shared" si="39"/>
        <v>4</v>
      </c>
      <c r="S2518" s="33">
        <f>IF(COUNTIF(O$2:O2518,O2518)=1,R2518,0)/2.5</f>
        <v>0</v>
      </c>
    </row>
    <row r="2519" spans="1:19" ht="18" customHeight="1" x14ac:dyDescent="0.25">
      <c r="A2519" s="7" t="s">
        <v>37</v>
      </c>
      <c r="B2519" s="8">
        <v>1</v>
      </c>
      <c r="C2519" s="9">
        <v>649</v>
      </c>
      <c r="D2519" s="29">
        <f>C2519+IF(INDEX('Справочник по %'!B:B,(MATCH(A2519,'Справочник по %'!A:A,0)))="кол-во",B2519*INDEX('Справочник по %'!C:C,(MATCH(A2519,'Справочник по %'!A:A,0))),ОТЧЕТ!C2519*INDEX('Справочник по %'!C:C,(MATCH(A2519,'Справочник по %'!A:A,0))))/100</f>
        <v>649.20000000000005</v>
      </c>
      <c r="E2519" s="29">
        <f>IF(ОТЧЕТ!A2519="SKU3",C2519+ОТЧЕТ!C2519*0.2,C2519+ОТЧЕТ!C2519*0.15)</f>
        <v>746.35</v>
      </c>
      <c r="F2519" s="7" t="s">
        <v>4842</v>
      </c>
      <c r="G2519" s="7">
        <v>5904196645</v>
      </c>
      <c r="H2519" s="20" t="s">
        <v>39</v>
      </c>
      <c r="I2519" s="22" t="str">
        <f>INDEX('Справочник Сети'!B:B,(MATCH(G2519,'Справочник Сети'!C:C,0)))</f>
        <v>36,6</v>
      </c>
      <c r="J2519" s="7" t="s">
        <v>40</v>
      </c>
      <c r="K2519" s="7" t="s">
        <v>2043</v>
      </c>
      <c r="L2519" s="7" t="s">
        <v>40</v>
      </c>
      <c r="M2519" s="31">
        <v>45712</v>
      </c>
      <c r="N2519" s="7" t="s">
        <v>4847</v>
      </c>
      <c r="O2519" s="8">
        <v>3612</v>
      </c>
      <c r="P2519" s="24">
        <v>9253</v>
      </c>
      <c r="Q2519" s="22">
        <f>IF(COUNTIFS(A$2:A2519,A2519,I$2:I2519,I2519)=1,1,0)</f>
        <v>0</v>
      </c>
      <c r="R2519" s="22">
        <f t="shared" si="39"/>
        <v>2</v>
      </c>
      <c r="S2519" s="33">
        <f>IF(COUNTIF(O$2:O2519,O2519)=1,R2519,0)/2.5</f>
        <v>0</v>
      </c>
    </row>
    <row r="2520" spans="1:19" ht="18" customHeight="1" x14ac:dyDescent="0.25">
      <c r="A2520" s="7" t="s">
        <v>37</v>
      </c>
      <c r="B2520" s="8">
        <v>1</v>
      </c>
      <c r="C2520" s="9">
        <v>715</v>
      </c>
      <c r="D2520" s="29">
        <f>C2520+IF(INDEX('Справочник по %'!B:B,(MATCH(A2520,'Справочник по %'!A:A,0)))="кол-во",B2520*INDEX('Справочник по %'!C:C,(MATCH(A2520,'Справочник по %'!A:A,0))),ОТЧЕТ!C2520*INDEX('Справочник по %'!C:C,(MATCH(A2520,'Справочник по %'!A:A,0))))/100</f>
        <v>715.2</v>
      </c>
      <c r="E2520" s="29">
        <f>IF(ОТЧЕТ!A2520="SKU3",C2520+ОТЧЕТ!C2520*0.2,C2520+ОТЧЕТ!C2520*0.15)</f>
        <v>822.25</v>
      </c>
      <c r="F2520" s="7" t="s">
        <v>4842</v>
      </c>
      <c r="G2520" s="7">
        <v>7732121736</v>
      </c>
      <c r="H2520" s="20" t="s">
        <v>4848</v>
      </c>
      <c r="I2520" s="22" t="str">
        <f>INDEX('Справочник Сети'!B:B,(MATCH(G2520,'Справочник Сети'!C:C,0)))</f>
        <v>Планета здоровья</v>
      </c>
      <c r="J2520" s="7" t="s">
        <v>149</v>
      </c>
      <c r="K2520" s="7" t="s">
        <v>1825</v>
      </c>
      <c r="L2520" s="7" t="s">
        <v>142</v>
      </c>
      <c r="M2520" s="31">
        <v>45674</v>
      </c>
      <c r="N2520" s="7" t="s">
        <v>4849</v>
      </c>
      <c r="O2520" s="8">
        <v>404</v>
      </c>
      <c r="P2520" s="24">
        <v>9254</v>
      </c>
      <c r="Q2520" s="22">
        <f>IF(COUNTIFS(A$2:A2520,A2520,I$2:I2520,I2520)=1,1,0)</f>
        <v>0</v>
      </c>
      <c r="R2520" s="22">
        <f t="shared" si="39"/>
        <v>1</v>
      </c>
      <c r="S2520" s="33">
        <f>IF(COUNTIF(O$2:O2520,O2520)=1,R2520,0)/2.5</f>
        <v>0.4</v>
      </c>
    </row>
    <row r="2521" spans="1:19" ht="18" customHeight="1" x14ac:dyDescent="0.25">
      <c r="A2521" s="7" t="s">
        <v>43</v>
      </c>
      <c r="B2521" s="8">
        <v>1</v>
      </c>
      <c r="C2521" s="9">
        <v>460</v>
      </c>
      <c r="D2521" s="29">
        <f>C2521+IF(INDEX('Справочник по %'!B:B,(MATCH(A2521,'Справочник по %'!A:A,0)))="кол-во",B2521*INDEX('Справочник по %'!C:C,(MATCH(A2521,'Справочник по %'!A:A,0))),ОТЧЕТ!C2521*INDEX('Справочник по %'!C:C,(MATCH(A2521,'Справочник по %'!A:A,0))))/100</f>
        <v>506</v>
      </c>
      <c r="E2521" s="29">
        <f>IF(ОТЧЕТ!A2521="SKU3",C2521+ОТЧЕТ!C2521*0.2,C2521+ОТЧЕТ!C2521*0.15)</f>
        <v>529</v>
      </c>
      <c r="F2521" s="7" t="s">
        <v>4850</v>
      </c>
      <c r="G2521" s="7">
        <v>910800091897</v>
      </c>
      <c r="H2521" s="20" t="s">
        <v>1046</v>
      </c>
      <c r="I2521" s="22">
        <f>INDEX('Справочник Сети'!B:B,(MATCH(G2521,'Справочник Сети'!C:C,0)))</f>
        <v>0</v>
      </c>
      <c r="J2521" s="7" t="s">
        <v>322</v>
      </c>
      <c r="K2521" s="7" t="s">
        <v>1277</v>
      </c>
      <c r="L2521" s="7" t="s">
        <v>322</v>
      </c>
      <c r="M2521" s="31">
        <v>45658</v>
      </c>
      <c r="N2521" s="7" t="s">
        <v>4851</v>
      </c>
      <c r="O2521" s="8">
        <v>2630</v>
      </c>
      <c r="P2521" s="24">
        <v>9257</v>
      </c>
      <c r="Q2521" s="22">
        <f>IF(COUNTIFS(A$2:A2521,A2521,I$2:I2521,I2521)=1,1,0)</f>
        <v>0</v>
      </c>
      <c r="R2521" s="22">
        <f t="shared" si="39"/>
        <v>23</v>
      </c>
      <c r="S2521" s="33">
        <f>IF(COUNTIF(O$2:O2521,O2521)=1,R2521,0)/2.5</f>
        <v>0</v>
      </c>
    </row>
    <row r="2522" spans="1:19" ht="18" customHeight="1" x14ac:dyDescent="0.25">
      <c r="A2522" s="7" t="s">
        <v>43</v>
      </c>
      <c r="B2522" s="8">
        <v>1</v>
      </c>
      <c r="C2522" s="9">
        <v>370</v>
      </c>
      <c r="D2522" s="29">
        <f>C2522+IF(INDEX('Справочник по %'!B:B,(MATCH(A2522,'Справочник по %'!A:A,0)))="кол-во",B2522*INDEX('Справочник по %'!C:C,(MATCH(A2522,'Справочник по %'!A:A,0))),ОТЧЕТ!C2522*INDEX('Справочник по %'!C:C,(MATCH(A2522,'Справочник по %'!A:A,0))))/100</f>
        <v>407</v>
      </c>
      <c r="E2522" s="29">
        <f>IF(ОТЧЕТ!A2522="SKU3",C2522+ОТЧЕТ!C2522*0.2,C2522+ОТЧЕТ!C2522*0.15)</f>
        <v>425.5</v>
      </c>
      <c r="F2522" s="7" t="s">
        <v>4852</v>
      </c>
      <c r="G2522" s="7">
        <v>7706795062</v>
      </c>
      <c r="H2522" s="20" t="s">
        <v>2243</v>
      </c>
      <c r="I2522" s="22" t="str">
        <f>INDEX('Справочник Сети'!B:B,(MATCH(G2522,'Справочник Сети'!C:C,0)))</f>
        <v>Планета здоровья</v>
      </c>
      <c r="J2522" s="7" t="s">
        <v>87</v>
      </c>
      <c r="K2522" s="7" t="s">
        <v>1277</v>
      </c>
      <c r="L2522" s="7" t="s">
        <v>87</v>
      </c>
      <c r="M2522" s="31">
        <v>45691</v>
      </c>
      <c r="N2522" s="7" t="s">
        <v>4853</v>
      </c>
      <c r="O2522" s="8">
        <v>1803</v>
      </c>
      <c r="P2522" s="24">
        <v>9260</v>
      </c>
      <c r="Q2522" s="22">
        <f>IF(COUNTIFS(A$2:A2522,A2522,I$2:I2522,I2522)=1,1,0)</f>
        <v>0</v>
      </c>
      <c r="R2522" s="22">
        <f t="shared" si="39"/>
        <v>2</v>
      </c>
      <c r="S2522" s="33">
        <f>IF(COUNTIF(O$2:O2522,O2522)=1,R2522,0)/2.5</f>
        <v>0</v>
      </c>
    </row>
    <row r="2523" spans="1:19" ht="18" customHeight="1" x14ac:dyDescent="0.25">
      <c r="A2523" s="7" t="s">
        <v>43</v>
      </c>
      <c r="B2523" s="8">
        <v>1</v>
      </c>
      <c r="C2523" s="9">
        <v>431</v>
      </c>
      <c r="D2523" s="29">
        <f>C2523+IF(INDEX('Справочник по %'!B:B,(MATCH(A2523,'Справочник по %'!A:A,0)))="кол-во",B2523*INDEX('Справочник по %'!C:C,(MATCH(A2523,'Справочник по %'!A:A,0))),ОТЧЕТ!C2523*INDEX('Справочник по %'!C:C,(MATCH(A2523,'Справочник по %'!A:A,0))))/100</f>
        <v>474.1</v>
      </c>
      <c r="E2523" s="29">
        <f>IF(ОТЧЕТ!A2523="SKU3",C2523+ОТЧЕТ!C2523*0.2,C2523+ОТЧЕТ!C2523*0.15)</f>
        <v>495.65</v>
      </c>
      <c r="F2523" s="7" t="s">
        <v>4854</v>
      </c>
      <c r="G2523" s="7">
        <v>6321330629</v>
      </c>
      <c r="H2523" s="20" t="s">
        <v>50</v>
      </c>
      <c r="I2523" s="22">
        <f>INDEX('Справочник Сети'!B:B,(MATCH(G2523,'Справочник Сети'!C:C,0)))</f>
        <v>0</v>
      </c>
      <c r="J2523" s="7" t="s">
        <v>133</v>
      </c>
      <c r="K2523" s="7" t="s">
        <v>2215</v>
      </c>
      <c r="L2523" s="7" t="s">
        <v>133</v>
      </c>
      <c r="M2523" s="31">
        <v>45695</v>
      </c>
      <c r="N2523" s="7" t="s">
        <v>4855</v>
      </c>
      <c r="O2523" s="8">
        <v>407</v>
      </c>
      <c r="P2523" s="24">
        <v>9263</v>
      </c>
      <c r="Q2523" s="22">
        <f>IF(COUNTIFS(A$2:A2523,A2523,I$2:I2523,I2523)=1,1,0)</f>
        <v>0</v>
      </c>
      <c r="R2523" s="22">
        <f t="shared" si="39"/>
        <v>1</v>
      </c>
      <c r="S2523" s="33">
        <f>IF(COUNTIF(O$2:O2523,O2523)=1,R2523,0)/2.5</f>
        <v>0.4</v>
      </c>
    </row>
    <row r="2524" spans="1:19" ht="18" customHeight="1" x14ac:dyDescent="0.25">
      <c r="A2524" s="7" t="s">
        <v>37</v>
      </c>
      <c r="B2524" s="8">
        <v>1</v>
      </c>
      <c r="C2524" s="9">
        <v>575</v>
      </c>
      <c r="D2524" s="29">
        <f>C2524+IF(INDEX('Справочник по %'!B:B,(MATCH(A2524,'Справочник по %'!A:A,0)))="кол-во",B2524*INDEX('Справочник по %'!C:C,(MATCH(A2524,'Справочник по %'!A:A,0))),ОТЧЕТ!C2524*INDEX('Справочник по %'!C:C,(MATCH(A2524,'Справочник по %'!A:A,0))))/100</f>
        <v>575.20000000000005</v>
      </c>
      <c r="E2524" s="29">
        <f>IF(ОТЧЕТ!A2524="SKU3",C2524+ОТЧЕТ!C2524*0.2,C2524+ОТЧЕТ!C2524*0.15)</f>
        <v>661.25</v>
      </c>
      <c r="F2524" s="7" t="s">
        <v>4854</v>
      </c>
      <c r="G2524" s="7">
        <v>5906086550</v>
      </c>
      <c r="H2524" s="20" t="s">
        <v>39</v>
      </c>
      <c r="I2524" s="22" t="str">
        <f>INDEX('Справочник Сети'!B:B,(MATCH(G2524,'Справочник Сети'!C:C,0)))</f>
        <v>Планета здоровья</v>
      </c>
      <c r="J2524" s="7" t="s">
        <v>79</v>
      </c>
      <c r="K2524" s="7" t="s">
        <v>3456</v>
      </c>
      <c r="L2524" s="7" t="s">
        <v>40</v>
      </c>
      <c r="M2524" s="31">
        <v>45712</v>
      </c>
      <c r="N2524" s="7" t="s">
        <v>4856</v>
      </c>
      <c r="O2524" s="8">
        <v>3609</v>
      </c>
      <c r="P2524" s="24">
        <v>9264</v>
      </c>
      <c r="Q2524" s="22">
        <f>IF(COUNTIFS(A$2:A2524,A2524,I$2:I2524,I2524)=1,1,0)</f>
        <v>0</v>
      </c>
      <c r="R2524" s="22">
        <f t="shared" si="39"/>
        <v>2</v>
      </c>
      <c r="S2524" s="33">
        <f>IF(COUNTIF(O$2:O2524,O2524)=1,R2524,0)/2.5</f>
        <v>0</v>
      </c>
    </row>
    <row r="2525" spans="1:19" ht="18" customHeight="1" x14ac:dyDescent="0.25">
      <c r="A2525" s="7" t="s">
        <v>43</v>
      </c>
      <c r="B2525" s="8">
        <v>1</v>
      </c>
      <c r="C2525" s="9">
        <v>450</v>
      </c>
      <c r="D2525" s="29">
        <f>C2525+IF(INDEX('Справочник по %'!B:B,(MATCH(A2525,'Справочник по %'!A:A,0)))="кол-во",B2525*INDEX('Справочник по %'!C:C,(MATCH(A2525,'Справочник по %'!A:A,0))),ОТЧЕТ!C2525*INDEX('Справочник по %'!C:C,(MATCH(A2525,'Справочник по %'!A:A,0))))/100</f>
        <v>495</v>
      </c>
      <c r="E2525" s="29">
        <f>IF(ОТЧЕТ!A2525="SKU3",C2525+ОТЧЕТ!C2525*0.2,C2525+ОТЧЕТ!C2525*0.15)</f>
        <v>517.5</v>
      </c>
      <c r="F2525" s="7" t="s">
        <v>4857</v>
      </c>
      <c r="G2525" s="7">
        <v>910800091897</v>
      </c>
      <c r="H2525" s="20" t="s">
        <v>1046</v>
      </c>
      <c r="I2525" s="22">
        <f>INDEX('Справочник Сети'!B:B,(MATCH(G2525,'Справочник Сети'!C:C,0)))</f>
        <v>0</v>
      </c>
      <c r="J2525" s="7" t="s">
        <v>322</v>
      </c>
      <c r="K2525" s="7" t="s">
        <v>545</v>
      </c>
      <c r="L2525" s="7" t="s">
        <v>322</v>
      </c>
      <c r="M2525" s="31">
        <v>45658</v>
      </c>
      <c r="N2525" s="7" t="s">
        <v>4858</v>
      </c>
      <c r="O2525" s="8">
        <v>2630</v>
      </c>
      <c r="P2525" s="24">
        <v>9266</v>
      </c>
      <c r="Q2525" s="22">
        <f>IF(COUNTIFS(A$2:A2525,A2525,I$2:I2525,I2525)=1,1,0)</f>
        <v>0</v>
      </c>
      <c r="R2525" s="22">
        <f t="shared" si="39"/>
        <v>23</v>
      </c>
      <c r="S2525" s="33">
        <f>IF(COUNTIF(O$2:O2525,O2525)=1,R2525,0)/2.5</f>
        <v>0</v>
      </c>
    </row>
    <row r="2526" spans="1:19" ht="18" customHeight="1" x14ac:dyDescent="0.25">
      <c r="A2526" s="7" t="s">
        <v>37</v>
      </c>
      <c r="B2526" s="8">
        <v>1</v>
      </c>
      <c r="C2526" s="9">
        <v>592</v>
      </c>
      <c r="D2526" s="29">
        <f>C2526+IF(INDEX('Справочник по %'!B:B,(MATCH(A2526,'Справочник по %'!A:A,0)))="кол-во",B2526*INDEX('Справочник по %'!C:C,(MATCH(A2526,'Справочник по %'!A:A,0))),ОТЧЕТ!C2526*INDEX('Справочник по %'!C:C,(MATCH(A2526,'Справочник по %'!A:A,0))))/100</f>
        <v>592.20000000000005</v>
      </c>
      <c r="E2526" s="29">
        <f>IF(ОТЧЕТ!A2526="SKU3",C2526+ОТЧЕТ!C2526*0.2,C2526+ОТЧЕТ!C2526*0.15)</f>
        <v>680.8</v>
      </c>
      <c r="F2526" s="7" t="s">
        <v>4857</v>
      </c>
      <c r="G2526" s="7">
        <v>2310200444</v>
      </c>
      <c r="H2526" s="20" t="s">
        <v>69</v>
      </c>
      <c r="I2526" s="22" t="str">
        <f>INDEX('Справочник Сети'!B:B,(MATCH(G2526,'Справочник Сети'!C:C,0)))</f>
        <v>Планета здоровья</v>
      </c>
      <c r="J2526" s="7" t="s">
        <v>70</v>
      </c>
      <c r="K2526" s="7" t="s">
        <v>2241</v>
      </c>
      <c r="L2526" s="7" t="s">
        <v>57</v>
      </c>
      <c r="M2526" s="31">
        <v>45729</v>
      </c>
      <c r="N2526" s="7" t="s">
        <v>4859</v>
      </c>
      <c r="O2526" s="8">
        <v>548</v>
      </c>
      <c r="P2526" s="24">
        <v>9268</v>
      </c>
      <c r="Q2526" s="22">
        <f>IF(COUNTIFS(A$2:A2526,A2526,I$2:I2526,I2526)=1,1,0)</f>
        <v>0</v>
      </c>
      <c r="R2526" s="22">
        <f t="shared" si="39"/>
        <v>4</v>
      </c>
      <c r="S2526" s="33">
        <f>IF(COUNTIF(O$2:O2526,O2526)=1,R2526,0)/2.5</f>
        <v>0</v>
      </c>
    </row>
    <row r="2527" spans="1:19" ht="18" customHeight="1" x14ac:dyDescent="0.25">
      <c r="A2527" s="7" t="s">
        <v>43</v>
      </c>
      <c r="B2527" s="8">
        <v>1</v>
      </c>
      <c r="C2527" s="9">
        <v>450</v>
      </c>
      <c r="D2527" s="29">
        <f>C2527+IF(INDEX('Справочник по %'!B:B,(MATCH(A2527,'Справочник по %'!A:A,0)))="кол-во",B2527*INDEX('Справочник по %'!C:C,(MATCH(A2527,'Справочник по %'!A:A,0))),ОТЧЕТ!C2527*INDEX('Справочник по %'!C:C,(MATCH(A2527,'Справочник по %'!A:A,0))))/100</f>
        <v>495</v>
      </c>
      <c r="E2527" s="29">
        <f>IF(ОТЧЕТ!A2527="SKU3",C2527+ОТЧЕТ!C2527*0.2,C2527+ОТЧЕТ!C2527*0.15)</f>
        <v>517.5</v>
      </c>
      <c r="F2527" s="7" t="s">
        <v>4857</v>
      </c>
      <c r="G2527" s="7">
        <v>9203545630</v>
      </c>
      <c r="H2527" s="20" t="s">
        <v>4860</v>
      </c>
      <c r="I2527" s="22">
        <f>INDEX('Справочник Сети'!B:B,(MATCH(G2527,'Справочник Сети'!C:C,0)))</f>
        <v>0</v>
      </c>
      <c r="J2527" s="7" t="s">
        <v>239</v>
      </c>
      <c r="K2527" s="7" t="s">
        <v>1163</v>
      </c>
      <c r="L2527" s="7" t="s">
        <v>239</v>
      </c>
      <c r="M2527" s="31">
        <v>45662</v>
      </c>
      <c r="N2527" s="7" t="s">
        <v>4861</v>
      </c>
      <c r="O2527" s="8">
        <v>2422</v>
      </c>
      <c r="P2527" s="24">
        <v>9270</v>
      </c>
      <c r="Q2527" s="22">
        <f>IF(COUNTIFS(A$2:A2527,A2527,I$2:I2527,I2527)=1,1,0)</f>
        <v>0</v>
      </c>
      <c r="R2527" s="22">
        <f t="shared" si="39"/>
        <v>1</v>
      </c>
      <c r="S2527" s="33">
        <f>IF(COUNTIF(O$2:O2527,O2527)=1,R2527,0)/2.5</f>
        <v>0.4</v>
      </c>
    </row>
    <row r="2528" spans="1:19" ht="18" customHeight="1" x14ac:dyDescent="0.25">
      <c r="A2528" s="7" t="s">
        <v>43</v>
      </c>
      <c r="B2528" s="8">
        <v>1</v>
      </c>
      <c r="C2528" s="9">
        <v>436</v>
      </c>
      <c r="D2528" s="29">
        <f>C2528+IF(INDEX('Справочник по %'!B:B,(MATCH(A2528,'Справочник по %'!A:A,0)))="кол-во",B2528*INDEX('Справочник по %'!C:C,(MATCH(A2528,'Справочник по %'!A:A,0))),ОТЧЕТ!C2528*INDEX('Справочник по %'!C:C,(MATCH(A2528,'Справочник по %'!A:A,0))))/100</f>
        <v>479.6</v>
      </c>
      <c r="E2528" s="29">
        <f>IF(ОТЧЕТ!A2528="SKU3",C2528+ОТЧЕТ!C2528*0.2,C2528+ОТЧЕТ!C2528*0.15)</f>
        <v>501.4</v>
      </c>
      <c r="F2528" s="7" t="s">
        <v>4862</v>
      </c>
      <c r="G2528" s="7">
        <v>6679109841</v>
      </c>
      <c r="H2528" s="20" t="s">
        <v>1039</v>
      </c>
      <c r="I2528" s="22">
        <f>INDEX('Справочник Сети'!B:B,(MATCH(G2528,'Справочник Сети'!C:C,0)))</f>
        <v>0</v>
      </c>
      <c r="J2528" s="7" t="s">
        <v>106</v>
      </c>
      <c r="K2528" s="7" t="s">
        <v>1821</v>
      </c>
      <c r="L2528" s="7" t="s">
        <v>133</v>
      </c>
      <c r="M2528" s="31">
        <v>45695</v>
      </c>
      <c r="N2528" s="7" t="s">
        <v>4863</v>
      </c>
      <c r="O2528" s="8">
        <v>1145</v>
      </c>
      <c r="P2528" s="24">
        <v>9275</v>
      </c>
      <c r="Q2528" s="22">
        <f>IF(COUNTIFS(A$2:A2528,A2528,I$2:I2528,I2528)=1,1,0)</f>
        <v>0</v>
      </c>
      <c r="R2528" s="22">
        <f t="shared" si="39"/>
        <v>2</v>
      </c>
      <c r="S2528" s="33">
        <f>IF(COUNTIF(O$2:O2528,O2528)=1,R2528,0)/2.5</f>
        <v>0</v>
      </c>
    </row>
    <row r="2529" spans="1:19" ht="18" customHeight="1" x14ac:dyDescent="0.25">
      <c r="A2529" s="7" t="s">
        <v>43</v>
      </c>
      <c r="B2529" s="8">
        <v>1</v>
      </c>
      <c r="C2529" s="9">
        <v>418</v>
      </c>
      <c r="D2529" s="29">
        <f>C2529+IF(INDEX('Справочник по %'!B:B,(MATCH(A2529,'Справочник по %'!A:A,0)))="кол-во",B2529*INDEX('Справочник по %'!C:C,(MATCH(A2529,'Справочник по %'!A:A,0))),ОТЧЕТ!C2529*INDEX('Справочник по %'!C:C,(MATCH(A2529,'Справочник по %'!A:A,0))))/100</f>
        <v>459.8</v>
      </c>
      <c r="E2529" s="29">
        <f>IF(ОТЧЕТ!A2529="SKU3",C2529+ОТЧЕТ!C2529*0.2,C2529+ОТЧЕТ!C2529*0.15)</f>
        <v>480.7</v>
      </c>
      <c r="F2529" s="7" t="s">
        <v>4864</v>
      </c>
      <c r="G2529" s="7">
        <v>3446042846</v>
      </c>
      <c r="H2529" s="20" t="s">
        <v>319</v>
      </c>
      <c r="I2529" s="22" t="str">
        <f>INDEX('Справочник Сети'!B:B,(MATCH(G2529,'Справочник Сети'!C:C,0)))</f>
        <v>Столички</v>
      </c>
      <c r="J2529" s="7" t="s">
        <v>193</v>
      </c>
      <c r="K2529" s="7" t="s">
        <v>4291</v>
      </c>
      <c r="L2529" s="7" t="s">
        <v>193</v>
      </c>
      <c r="M2529" s="31">
        <v>45718</v>
      </c>
      <c r="N2529" s="7" t="s">
        <v>4865</v>
      </c>
      <c r="O2529" s="8">
        <v>2581</v>
      </c>
      <c r="P2529" s="24">
        <v>9281</v>
      </c>
      <c r="Q2529" s="22">
        <f>IF(COUNTIFS(A$2:A2529,A2529,I$2:I2529,I2529)=1,1,0)</f>
        <v>0</v>
      </c>
      <c r="R2529" s="22">
        <f t="shared" si="39"/>
        <v>7</v>
      </c>
      <c r="S2529" s="33">
        <f>IF(COUNTIF(O$2:O2529,O2529)=1,R2529,0)/2.5</f>
        <v>0</v>
      </c>
    </row>
    <row r="2530" spans="1:19" ht="18" customHeight="1" x14ac:dyDescent="0.25">
      <c r="A2530" s="7" t="s">
        <v>43</v>
      </c>
      <c r="B2530" s="8">
        <v>1</v>
      </c>
      <c r="C2530" s="9">
        <v>450</v>
      </c>
      <c r="D2530" s="29">
        <f>C2530+IF(INDEX('Справочник по %'!B:B,(MATCH(A2530,'Справочник по %'!A:A,0)))="кол-во",B2530*INDEX('Справочник по %'!C:C,(MATCH(A2530,'Справочник по %'!A:A,0))),ОТЧЕТ!C2530*INDEX('Справочник по %'!C:C,(MATCH(A2530,'Справочник по %'!A:A,0))))/100</f>
        <v>495</v>
      </c>
      <c r="E2530" s="29">
        <f>IF(ОТЧЕТ!A2530="SKU3",C2530+ОТЧЕТ!C2530*0.2,C2530+ОТЧЕТ!C2530*0.15)</f>
        <v>517.5</v>
      </c>
      <c r="F2530" s="7" t="s">
        <v>4864</v>
      </c>
      <c r="G2530" s="7">
        <v>4726002975</v>
      </c>
      <c r="H2530" s="20" t="s">
        <v>1315</v>
      </c>
      <c r="I2530" s="22">
        <f>INDEX('Справочник Сети'!B:B,(MATCH(G2530,'Справочник Сети'!C:C,0)))</f>
        <v>0</v>
      </c>
      <c r="J2530" s="7" t="s">
        <v>83</v>
      </c>
      <c r="K2530" s="7" t="s">
        <v>1798</v>
      </c>
      <c r="L2530" s="7" t="s">
        <v>83</v>
      </c>
      <c r="M2530" s="31">
        <v>45715</v>
      </c>
      <c r="N2530" s="7" t="s">
        <v>4866</v>
      </c>
      <c r="O2530" s="8">
        <v>3829</v>
      </c>
      <c r="P2530" s="24">
        <v>9282</v>
      </c>
      <c r="Q2530" s="22">
        <f>IF(COUNTIFS(A$2:A2530,A2530,I$2:I2530,I2530)=1,1,0)</f>
        <v>0</v>
      </c>
      <c r="R2530" s="22">
        <f t="shared" si="39"/>
        <v>2</v>
      </c>
      <c r="S2530" s="33">
        <f>IF(COUNTIF(O$2:O2530,O2530)=1,R2530,0)/2.5</f>
        <v>0</v>
      </c>
    </row>
    <row r="2531" spans="1:19" ht="18" customHeight="1" x14ac:dyDescent="0.25">
      <c r="A2531" s="7" t="s">
        <v>43</v>
      </c>
      <c r="B2531" s="8">
        <v>1</v>
      </c>
      <c r="C2531" s="9">
        <v>445.9</v>
      </c>
      <c r="D2531" s="29">
        <f>C2531+IF(INDEX('Справочник по %'!B:B,(MATCH(A2531,'Справочник по %'!A:A,0)))="кол-во",B2531*INDEX('Справочник по %'!C:C,(MATCH(A2531,'Справочник по %'!A:A,0))),ОТЧЕТ!C2531*INDEX('Справочник по %'!C:C,(MATCH(A2531,'Справочник по %'!A:A,0))))/100</f>
        <v>490.49</v>
      </c>
      <c r="E2531" s="29">
        <f>IF(ОТЧЕТ!A2531="SKU3",C2531+ОТЧЕТ!C2531*0.2,C2531+ОТЧЕТ!C2531*0.15)</f>
        <v>512.78499999999997</v>
      </c>
      <c r="F2531" s="7" t="s">
        <v>4864</v>
      </c>
      <c r="G2531" s="7">
        <v>7204146152</v>
      </c>
      <c r="H2531" s="20" t="s">
        <v>4867</v>
      </c>
      <c r="I2531" s="22" t="str">
        <f>INDEX('Справочник Сети'!B:B,(MATCH(G2531,'Справочник Сети'!C:C,0)))</f>
        <v>36,6</v>
      </c>
      <c r="J2531" s="7" t="s">
        <v>104</v>
      </c>
      <c r="K2531" s="7" t="s">
        <v>197</v>
      </c>
      <c r="L2531" s="7" t="s">
        <v>106</v>
      </c>
      <c r="M2531" s="31">
        <v>45694</v>
      </c>
      <c r="N2531" s="7" t="s">
        <v>4868</v>
      </c>
      <c r="O2531" s="8">
        <v>1699</v>
      </c>
      <c r="P2531" s="24">
        <v>9283</v>
      </c>
      <c r="Q2531" s="22">
        <f>IF(COUNTIFS(A$2:A2531,A2531,I$2:I2531,I2531)=1,1,0)</f>
        <v>0</v>
      </c>
      <c r="R2531" s="22">
        <f t="shared" si="39"/>
        <v>1</v>
      </c>
      <c r="S2531" s="33">
        <f>IF(COUNTIF(O$2:O2531,O2531)=1,R2531,0)/2.5</f>
        <v>0.4</v>
      </c>
    </row>
    <row r="2532" spans="1:19" ht="18" customHeight="1" x14ac:dyDescent="0.25">
      <c r="A2532" s="7" t="s">
        <v>43</v>
      </c>
      <c r="B2532" s="8">
        <v>1</v>
      </c>
      <c r="C2532" s="9">
        <v>333</v>
      </c>
      <c r="D2532" s="29">
        <f>C2532+IF(INDEX('Справочник по %'!B:B,(MATCH(A2532,'Справочник по %'!A:A,0)))="кол-во",B2532*INDEX('Справочник по %'!C:C,(MATCH(A2532,'Справочник по %'!A:A,0))),ОТЧЕТ!C2532*INDEX('Справочник по %'!C:C,(MATCH(A2532,'Справочник по %'!A:A,0))))/100</f>
        <v>366.3</v>
      </c>
      <c r="E2532" s="29">
        <f>IF(ОТЧЕТ!A2532="SKU3",C2532+ОТЧЕТ!C2532*0.2,C2532+ОТЧЕТ!C2532*0.15)</f>
        <v>382.95</v>
      </c>
      <c r="F2532" s="7" t="s">
        <v>4864</v>
      </c>
      <c r="G2532" s="7">
        <v>2311242609</v>
      </c>
      <c r="H2532" s="20" t="s">
        <v>50</v>
      </c>
      <c r="I2532" s="22">
        <f>INDEX('Справочник Сети'!B:B,(MATCH(G2532,'Справочник Сети'!C:C,0)))</f>
        <v>0</v>
      </c>
      <c r="J2532" s="7" t="s">
        <v>70</v>
      </c>
      <c r="K2532" s="7" t="s">
        <v>1124</v>
      </c>
      <c r="L2532" s="7" t="s">
        <v>70</v>
      </c>
      <c r="M2532" s="31">
        <v>45728</v>
      </c>
      <c r="N2532" s="7" t="s">
        <v>4869</v>
      </c>
      <c r="O2532" s="8">
        <v>3045</v>
      </c>
      <c r="P2532" s="24">
        <v>9284</v>
      </c>
      <c r="Q2532" s="22">
        <f>IF(COUNTIFS(A$2:A2532,A2532,I$2:I2532,I2532)=1,1,0)</f>
        <v>0</v>
      </c>
      <c r="R2532" s="22">
        <f t="shared" si="39"/>
        <v>3</v>
      </c>
      <c r="S2532" s="33">
        <f>IF(COUNTIF(O$2:O2532,O2532)=1,R2532,0)/2.5</f>
        <v>0</v>
      </c>
    </row>
    <row r="2533" spans="1:19" ht="18" customHeight="1" x14ac:dyDescent="0.25">
      <c r="A2533" s="7" t="s">
        <v>37</v>
      </c>
      <c r="B2533" s="8">
        <v>1</v>
      </c>
      <c r="C2533" s="9">
        <v>611</v>
      </c>
      <c r="D2533" s="29">
        <f>C2533+IF(INDEX('Справочник по %'!B:B,(MATCH(A2533,'Справочник по %'!A:A,0)))="кол-во",B2533*INDEX('Справочник по %'!C:C,(MATCH(A2533,'Справочник по %'!A:A,0))),ОТЧЕТ!C2533*INDEX('Справочник по %'!C:C,(MATCH(A2533,'Справочник по %'!A:A,0))))/100</f>
        <v>611.20000000000005</v>
      </c>
      <c r="E2533" s="29">
        <f>IF(ОТЧЕТ!A2533="SKU3",C2533+ОТЧЕТ!C2533*0.2,C2533+ОТЧЕТ!C2533*0.15)</f>
        <v>702.65</v>
      </c>
      <c r="F2533" s="7" t="s">
        <v>4870</v>
      </c>
      <c r="G2533" s="7">
        <v>6673189456</v>
      </c>
      <c r="H2533" s="20" t="s">
        <v>132</v>
      </c>
      <c r="I2533" s="22" t="str">
        <f>INDEX('Справочник Сети'!B:B,(MATCH(G2533,'Справочник Сети'!C:C,0)))</f>
        <v>Столички</v>
      </c>
      <c r="J2533" s="7" t="s">
        <v>133</v>
      </c>
      <c r="K2533" s="7" t="s">
        <v>2057</v>
      </c>
      <c r="L2533" s="7" t="s">
        <v>133</v>
      </c>
      <c r="M2533" s="31">
        <v>45695</v>
      </c>
      <c r="N2533" s="7" t="s">
        <v>4871</v>
      </c>
      <c r="O2533" s="8">
        <v>489</v>
      </c>
      <c r="P2533" s="24">
        <v>9298</v>
      </c>
      <c r="Q2533" s="22">
        <f>IF(COUNTIFS(A$2:A2533,A2533,I$2:I2533,I2533)=1,1,0)</f>
        <v>0</v>
      </c>
      <c r="R2533" s="22">
        <f t="shared" si="39"/>
        <v>1</v>
      </c>
      <c r="S2533" s="33">
        <f>IF(COUNTIF(O$2:O2533,O2533)=1,R2533,0)/2.5</f>
        <v>0.4</v>
      </c>
    </row>
    <row r="2534" spans="1:19" ht="18" customHeight="1" x14ac:dyDescent="0.25">
      <c r="A2534" s="7" t="s">
        <v>43</v>
      </c>
      <c r="B2534" s="8">
        <v>1</v>
      </c>
      <c r="C2534" s="9">
        <v>419</v>
      </c>
      <c r="D2534" s="29">
        <f>C2534+IF(INDEX('Справочник по %'!B:B,(MATCH(A2534,'Справочник по %'!A:A,0)))="кол-во",B2534*INDEX('Справочник по %'!C:C,(MATCH(A2534,'Справочник по %'!A:A,0))),ОТЧЕТ!C2534*INDEX('Справочник по %'!C:C,(MATCH(A2534,'Справочник по %'!A:A,0))))/100</f>
        <v>460.9</v>
      </c>
      <c r="E2534" s="29">
        <f>IF(ОТЧЕТ!A2534="SKU3",C2534+ОТЧЕТ!C2534*0.2,C2534+ОТЧЕТ!C2534*0.15)</f>
        <v>481.85</v>
      </c>
      <c r="F2534" s="7" t="s">
        <v>4872</v>
      </c>
      <c r="G2534" s="7">
        <v>5904279620</v>
      </c>
      <c r="H2534" s="20" t="s">
        <v>39</v>
      </c>
      <c r="I2534" s="22" t="str">
        <f>INDEX('Справочник Сети'!B:B,(MATCH(G2534,'Справочник Сети'!C:C,0)))</f>
        <v>Столички</v>
      </c>
      <c r="J2534" s="7" t="s">
        <v>40</v>
      </c>
      <c r="K2534" s="7" t="s">
        <v>3688</v>
      </c>
      <c r="L2534" s="7" t="s">
        <v>40</v>
      </c>
      <c r="M2534" s="31">
        <v>45712</v>
      </c>
      <c r="N2534" s="7" t="s">
        <v>4873</v>
      </c>
      <c r="O2534" s="8">
        <v>2071</v>
      </c>
      <c r="P2534" s="24">
        <v>9299</v>
      </c>
      <c r="Q2534" s="22">
        <f>IF(COUNTIFS(A$2:A2534,A2534,I$2:I2534,I2534)=1,1,0)</f>
        <v>0</v>
      </c>
      <c r="R2534" s="22">
        <f t="shared" si="39"/>
        <v>2</v>
      </c>
      <c r="S2534" s="33">
        <f>IF(COUNTIF(O$2:O2534,O2534)=1,R2534,0)/2.5</f>
        <v>0</v>
      </c>
    </row>
    <row r="2535" spans="1:19" ht="18" customHeight="1" x14ac:dyDescent="0.25">
      <c r="A2535" s="7" t="s">
        <v>43</v>
      </c>
      <c r="B2535" s="8">
        <v>1</v>
      </c>
      <c r="C2535" s="9">
        <v>422</v>
      </c>
      <c r="D2535" s="29">
        <f>C2535+IF(INDEX('Справочник по %'!B:B,(MATCH(A2535,'Справочник по %'!A:A,0)))="кол-во",B2535*INDEX('Справочник по %'!C:C,(MATCH(A2535,'Справочник по %'!A:A,0))),ОТЧЕТ!C2535*INDEX('Справочник по %'!C:C,(MATCH(A2535,'Справочник по %'!A:A,0))))/100</f>
        <v>464.2</v>
      </c>
      <c r="E2535" s="29">
        <f>IF(ОТЧЕТ!A2535="SKU3",C2535+ОТЧЕТ!C2535*0.2,C2535+ОТЧЕТ!C2535*0.15)</f>
        <v>485.3</v>
      </c>
      <c r="F2535" s="7" t="s">
        <v>4874</v>
      </c>
      <c r="G2535" s="7">
        <v>4710012294</v>
      </c>
      <c r="H2535" s="20" t="s">
        <v>50</v>
      </c>
      <c r="I2535" s="22" t="str">
        <f>INDEX('Справочник Сети'!B:B,(MATCH(G2535,'Справочник Сети'!C:C,0)))</f>
        <v>Планета здоровья</v>
      </c>
      <c r="J2535" s="7" t="s">
        <v>83</v>
      </c>
      <c r="K2535" s="7" t="s">
        <v>2487</v>
      </c>
      <c r="L2535" s="7" t="s">
        <v>83</v>
      </c>
      <c r="M2535" s="31">
        <v>45715</v>
      </c>
      <c r="N2535" s="7" t="s">
        <v>4875</v>
      </c>
      <c r="O2535" s="8">
        <v>3556</v>
      </c>
      <c r="P2535" s="24">
        <v>9301</v>
      </c>
      <c r="Q2535" s="22">
        <f>IF(COUNTIFS(A$2:A2535,A2535,I$2:I2535,I2535)=1,1,0)</f>
        <v>0</v>
      </c>
      <c r="R2535" s="22">
        <f t="shared" si="39"/>
        <v>1</v>
      </c>
      <c r="S2535" s="33">
        <f>IF(COUNTIF(O$2:O2535,O2535)=1,R2535,0)/2.5</f>
        <v>0.4</v>
      </c>
    </row>
    <row r="2536" spans="1:19" ht="18" customHeight="1" x14ac:dyDescent="0.25">
      <c r="A2536" s="7" t="s">
        <v>146</v>
      </c>
      <c r="B2536" s="8">
        <v>1</v>
      </c>
      <c r="C2536" s="9">
        <v>810</v>
      </c>
      <c r="D2536" s="29">
        <f>C2536+IF(INDEX('Справочник по %'!B:B,(MATCH(A2536,'Справочник по %'!A:A,0)))="кол-во",B2536*INDEX('Справочник по %'!C:C,(MATCH(A2536,'Справочник по %'!A:A,0))),ОТЧЕТ!C2536*INDEX('Справочник по %'!C:C,(MATCH(A2536,'Справочник по %'!A:A,0))))/100</f>
        <v>931.5</v>
      </c>
      <c r="E2536" s="29">
        <f>IF(ОТЧЕТ!A2536="SKU3",C2536+ОТЧЕТ!C2536*0.2,C2536+ОТЧЕТ!C2536*0.15)</f>
        <v>972</v>
      </c>
      <c r="F2536" s="7" t="s">
        <v>4874</v>
      </c>
      <c r="G2536" s="7">
        <v>7714844316</v>
      </c>
      <c r="H2536" s="20" t="s">
        <v>3571</v>
      </c>
      <c r="I2536" s="22" t="str">
        <f>INDEX('Справочник Сети'!B:B,(MATCH(G2536,'Справочник Сети'!C:C,0)))</f>
        <v>Планета здоровья</v>
      </c>
      <c r="J2536" s="7" t="s">
        <v>504</v>
      </c>
      <c r="K2536" s="7" t="s">
        <v>2484</v>
      </c>
      <c r="L2536" s="7" t="s">
        <v>504</v>
      </c>
      <c r="M2536" s="31">
        <v>45690</v>
      </c>
      <c r="N2536" s="7" t="s">
        <v>4876</v>
      </c>
      <c r="O2536" s="8">
        <v>2595</v>
      </c>
      <c r="P2536" s="24">
        <v>9304</v>
      </c>
      <c r="Q2536" s="22">
        <f>IF(COUNTIFS(A$2:A2536,A2536,I$2:I2536,I2536)=1,1,0)</f>
        <v>0</v>
      </c>
      <c r="R2536" s="22">
        <f t="shared" si="39"/>
        <v>1</v>
      </c>
      <c r="S2536" s="33">
        <f>IF(COUNTIF(O$2:O2536,O2536)=1,R2536,0)/2.5</f>
        <v>0.4</v>
      </c>
    </row>
    <row r="2537" spans="1:19" ht="18" customHeight="1" x14ac:dyDescent="0.25">
      <c r="A2537" s="7" t="s">
        <v>43</v>
      </c>
      <c r="B2537" s="8">
        <v>1</v>
      </c>
      <c r="C2537" s="9">
        <v>488</v>
      </c>
      <c r="D2537" s="29">
        <f>C2537+IF(INDEX('Справочник по %'!B:B,(MATCH(A2537,'Справочник по %'!A:A,0)))="кол-во",B2537*INDEX('Справочник по %'!C:C,(MATCH(A2537,'Справочник по %'!A:A,0))),ОТЧЕТ!C2537*INDEX('Справочник по %'!C:C,(MATCH(A2537,'Справочник по %'!A:A,0))))/100</f>
        <v>536.79999999999995</v>
      </c>
      <c r="E2537" s="29">
        <f>IF(ОТЧЕТ!A2537="SKU3",C2537+ОТЧЕТ!C2537*0.2,C2537+ОТЧЕТ!C2537*0.15)</f>
        <v>561.20000000000005</v>
      </c>
      <c r="F2537" s="7" t="s">
        <v>4877</v>
      </c>
      <c r="G2537" s="7">
        <v>7705947629</v>
      </c>
      <c r="H2537" s="20" t="s">
        <v>50</v>
      </c>
      <c r="I2537" s="22" t="str">
        <f>INDEX('Справочник Сети'!B:B,(MATCH(G2537,'Справочник Сети'!C:C,0)))</f>
        <v>36,6</v>
      </c>
      <c r="J2537" s="7" t="s">
        <v>116</v>
      </c>
      <c r="K2537" s="7" t="s">
        <v>1671</v>
      </c>
      <c r="L2537" s="7" t="s">
        <v>116</v>
      </c>
      <c r="M2537" s="31">
        <v>45692</v>
      </c>
      <c r="N2537" s="7" t="s">
        <v>4878</v>
      </c>
      <c r="O2537" s="8">
        <v>3554</v>
      </c>
      <c r="P2537" s="24">
        <v>9305</v>
      </c>
      <c r="Q2537" s="22">
        <f>IF(COUNTIFS(A$2:A2537,A2537,I$2:I2537,I2537)=1,1,0)</f>
        <v>0</v>
      </c>
      <c r="R2537" s="22">
        <f t="shared" si="39"/>
        <v>1</v>
      </c>
      <c r="S2537" s="33">
        <f>IF(COUNTIF(O$2:O2537,O2537)=1,R2537,0)/2.5</f>
        <v>0.4</v>
      </c>
    </row>
    <row r="2538" spans="1:19" ht="18" customHeight="1" x14ac:dyDescent="0.25">
      <c r="A2538" s="7" t="s">
        <v>43</v>
      </c>
      <c r="B2538" s="8">
        <v>1</v>
      </c>
      <c r="C2538" s="9">
        <v>500</v>
      </c>
      <c r="D2538" s="29">
        <f>C2538+IF(INDEX('Справочник по %'!B:B,(MATCH(A2538,'Справочник по %'!A:A,0)))="кол-во",B2538*INDEX('Справочник по %'!C:C,(MATCH(A2538,'Справочник по %'!A:A,0))),ОТЧЕТ!C2538*INDEX('Справочник по %'!C:C,(MATCH(A2538,'Справочник по %'!A:A,0))))/100</f>
        <v>550</v>
      </c>
      <c r="E2538" s="29">
        <f>IF(ОТЧЕТ!A2538="SKU3",C2538+ОТЧЕТ!C2538*0.2,C2538+ОТЧЕТ!C2538*0.15)</f>
        <v>575</v>
      </c>
      <c r="F2538" s="7" t="s">
        <v>4877</v>
      </c>
      <c r="G2538" s="7">
        <v>4632170357</v>
      </c>
      <c r="H2538" s="20" t="s">
        <v>153</v>
      </c>
      <c r="I2538" s="22" t="str">
        <f>INDEX('Справочник Сети'!B:B,(MATCH(G2538,'Справочник Сети'!C:C,0)))</f>
        <v>Столички</v>
      </c>
      <c r="J2538" s="7" t="s">
        <v>83</v>
      </c>
      <c r="K2538" s="7" t="s">
        <v>781</v>
      </c>
      <c r="L2538" s="7" t="s">
        <v>155</v>
      </c>
      <c r="M2538" s="31">
        <v>45716</v>
      </c>
      <c r="N2538" s="7" t="s">
        <v>4879</v>
      </c>
      <c r="O2538" s="8">
        <v>163</v>
      </c>
      <c r="P2538" s="24">
        <v>9306</v>
      </c>
      <c r="Q2538" s="22">
        <f>IF(COUNTIFS(A$2:A2538,A2538,I$2:I2538,I2538)=1,1,0)</f>
        <v>0</v>
      </c>
      <c r="R2538" s="22">
        <f t="shared" si="39"/>
        <v>5</v>
      </c>
      <c r="S2538" s="33">
        <f>IF(COUNTIF(O$2:O2538,O2538)=1,R2538,0)/2.5</f>
        <v>0</v>
      </c>
    </row>
    <row r="2539" spans="1:19" ht="18" customHeight="1" x14ac:dyDescent="0.25">
      <c r="A2539" s="7" t="s">
        <v>43</v>
      </c>
      <c r="B2539" s="8">
        <v>1</v>
      </c>
      <c r="C2539" s="9">
        <v>393</v>
      </c>
      <c r="D2539" s="29">
        <f>C2539+IF(INDEX('Справочник по %'!B:B,(MATCH(A2539,'Справочник по %'!A:A,0)))="кол-во",B2539*INDEX('Справочник по %'!C:C,(MATCH(A2539,'Справочник по %'!A:A,0))),ОТЧЕТ!C2539*INDEX('Справочник по %'!C:C,(MATCH(A2539,'Справочник по %'!A:A,0))))/100</f>
        <v>432.3</v>
      </c>
      <c r="E2539" s="29">
        <f>IF(ОТЧЕТ!A2539="SKU3",C2539+ОТЧЕТ!C2539*0.2,C2539+ОТЧЕТ!C2539*0.15)</f>
        <v>451.95</v>
      </c>
      <c r="F2539" s="7" t="s">
        <v>4880</v>
      </c>
      <c r="G2539" s="7">
        <v>7732121736</v>
      </c>
      <c r="H2539" s="20" t="s">
        <v>2743</v>
      </c>
      <c r="I2539" s="22" t="str">
        <f>INDEX('Справочник Сети'!B:B,(MATCH(G2539,'Справочник Сети'!C:C,0)))</f>
        <v>Планета здоровья</v>
      </c>
      <c r="J2539" s="7" t="s">
        <v>149</v>
      </c>
      <c r="K2539" s="7" t="s">
        <v>3987</v>
      </c>
      <c r="L2539" s="7" t="s">
        <v>149</v>
      </c>
      <c r="M2539" s="31">
        <v>45673</v>
      </c>
      <c r="N2539" s="7" t="s">
        <v>4881</v>
      </c>
      <c r="O2539" s="8">
        <v>1097</v>
      </c>
      <c r="P2539" s="24">
        <v>9308</v>
      </c>
      <c r="Q2539" s="22">
        <f>IF(COUNTIFS(A$2:A2539,A2539,I$2:I2539,I2539)=1,1,0)</f>
        <v>0</v>
      </c>
      <c r="R2539" s="22">
        <f t="shared" si="39"/>
        <v>2</v>
      </c>
      <c r="S2539" s="33">
        <f>IF(COUNTIF(O$2:O2539,O2539)=1,R2539,0)/2.5</f>
        <v>0.8</v>
      </c>
    </row>
    <row r="2540" spans="1:19" ht="18" customHeight="1" x14ac:dyDescent="0.25">
      <c r="A2540" s="7" t="s">
        <v>43</v>
      </c>
      <c r="B2540" s="8">
        <v>1</v>
      </c>
      <c r="C2540" s="9">
        <v>379</v>
      </c>
      <c r="D2540" s="29">
        <f>C2540+IF(INDEX('Справочник по %'!B:B,(MATCH(A2540,'Справочник по %'!A:A,0)))="кол-во",B2540*INDEX('Справочник по %'!C:C,(MATCH(A2540,'Справочник по %'!A:A,0))),ОТЧЕТ!C2540*INDEX('Справочник по %'!C:C,(MATCH(A2540,'Справочник по %'!A:A,0))))/100</f>
        <v>416.9</v>
      </c>
      <c r="E2540" s="29">
        <f>IF(ОТЧЕТ!A2540="SKU3",C2540+ОТЧЕТ!C2540*0.2,C2540+ОТЧЕТ!C2540*0.15)</f>
        <v>435.85</v>
      </c>
      <c r="F2540" s="7" t="s">
        <v>4882</v>
      </c>
      <c r="G2540" s="7">
        <v>7732121736</v>
      </c>
      <c r="H2540" s="20" t="s">
        <v>2743</v>
      </c>
      <c r="I2540" s="22" t="str">
        <f>INDEX('Справочник Сети'!B:B,(MATCH(G2540,'Справочник Сети'!C:C,0)))</f>
        <v>Планета здоровья</v>
      </c>
      <c r="J2540" s="7" t="s">
        <v>149</v>
      </c>
      <c r="K2540" s="7" t="s">
        <v>647</v>
      </c>
      <c r="L2540" s="7" t="s">
        <v>149</v>
      </c>
      <c r="M2540" s="31">
        <v>45673</v>
      </c>
      <c r="N2540" s="7" t="s">
        <v>4883</v>
      </c>
      <c r="O2540" s="8">
        <v>1097</v>
      </c>
      <c r="P2540" s="24">
        <v>9311</v>
      </c>
      <c r="Q2540" s="22">
        <f>IF(COUNTIFS(A$2:A2540,A2540,I$2:I2540,I2540)=1,1,0)</f>
        <v>0</v>
      </c>
      <c r="R2540" s="22">
        <f t="shared" si="39"/>
        <v>2</v>
      </c>
      <c r="S2540" s="33">
        <f>IF(COUNTIF(O$2:O2540,O2540)=1,R2540,0)/2.5</f>
        <v>0</v>
      </c>
    </row>
    <row r="2541" spans="1:19" ht="18" customHeight="1" x14ac:dyDescent="0.25">
      <c r="A2541" s="7" t="s">
        <v>43</v>
      </c>
      <c r="B2541" s="8">
        <v>1</v>
      </c>
      <c r="C2541" s="9">
        <v>490.8</v>
      </c>
      <c r="D2541" s="29">
        <f>C2541+IF(INDEX('Справочник по %'!B:B,(MATCH(A2541,'Справочник по %'!A:A,0)))="кол-во",B2541*INDEX('Справочник по %'!C:C,(MATCH(A2541,'Справочник по %'!A:A,0))),ОТЧЕТ!C2541*INDEX('Справочник по %'!C:C,(MATCH(A2541,'Справочник по %'!A:A,0))))/100</f>
        <v>539.88</v>
      </c>
      <c r="E2541" s="29">
        <f>IF(ОТЧЕТ!A2541="SKU3",C2541+ОТЧЕТ!C2541*0.2,C2541+ОТЧЕТ!C2541*0.15)</f>
        <v>564.42000000000007</v>
      </c>
      <c r="F2541" s="7" t="s">
        <v>4884</v>
      </c>
      <c r="G2541" s="7">
        <v>6800013017</v>
      </c>
      <c r="H2541" s="20" t="s">
        <v>91</v>
      </c>
      <c r="I2541" s="22">
        <f>INDEX('Справочник Сети'!B:B,(MATCH(G2541,'Справочник Сети'!C:C,0)))</f>
        <v>0</v>
      </c>
      <c r="J2541" s="7" t="s">
        <v>106</v>
      </c>
      <c r="K2541" s="7" t="s">
        <v>2261</v>
      </c>
      <c r="L2541" s="7" t="s">
        <v>106</v>
      </c>
      <c r="M2541" s="31">
        <v>45694</v>
      </c>
      <c r="N2541" s="7" t="s">
        <v>4885</v>
      </c>
      <c r="O2541" s="8">
        <v>2180</v>
      </c>
      <c r="P2541" s="24">
        <v>9322</v>
      </c>
      <c r="Q2541" s="22">
        <f>IF(COUNTIFS(A$2:A2541,A2541,I$2:I2541,I2541)=1,1,0)</f>
        <v>0</v>
      </c>
      <c r="R2541" s="22">
        <f t="shared" si="39"/>
        <v>2</v>
      </c>
      <c r="S2541" s="33">
        <f>IF(COUNTIF(O$2:O2541,O2541)=1,R2541,0)/2.5</f>
        <v>0</v>
      </c>
    </row>
    <row r="2542" spans="1:19" ht="18" customHeight="1" x14ac:dyDescent="0.25">
      <c r="A2542" s="7" t="s">
        <v>43</v>
      </c>
      <c r="B2542" s="8">
        <v>1</v>
      </c>
      <c r="C2542" s="9">
        <v>319</v>
      </c>
      <c r="D2542" s="29">
        <f>C2542+IF(INDEX('Справочник по %'!B:B,(MATCH(A2542,'Справочник по %'!A:A,0)))="кол-во",B2542*INDEX('Справочник по %'!C:C,(MATCH(A2542,'Справочник по %'!A:A,0))),ОТЧЕТ!C2542*INDEX('Справочник по %'!C:C,(MATCH(A2542,'Справочник по %'!A:A,0))))/100</f>
        <v>350.9</v>
      </c>
      <c r="E2542" s="29">
        <f>IF(ОТЧЕТ!A2542="SKU3",C2542+ОТЧЕТ!C2542*0.2,C2542+ОТЧЕТ!C2542*0.15)</f>
        <v>366.85</v>
      </c>
      <c r="F2542" s="7" t="s">
        <v>4884</v>
      </c>
      <c r="G2542" s="7">
        <v>5903110437</v>
      </c>
      <c r="H2542" s="20" t="s">
        <v>39</v>
      </c>
      <c r="I2542" s="22">
        <f>INDEX('Справочник Сети'!B:B,(MATCH(G2542,'Справочник Сети'!C:C,0)))</f>
        <v>0</v>
      </c>
      <c r="J2542" s="7" t="s">
        <v>40</v>
      </c>
      <c r="K2542" s="7" t="s">
        <v>2770</v>
      </c>
      <c r="L2542" s="7" t="s">
        <v>40</v>
      </c>
      <c r="M2542" s="31">
        <v>45712</v>
      </c>
      <c r="N2542" s="7" t="s">
        <v>4886</v>
      </c>
      <c r="O2542" s="8">
        <v>3210</v>
      </c>
      <c r="P2542" s="24">
        <v>9323</v>
      </c>
      <c r="Q2542" s="22">
        <f>IF(COUNTIFS(A$2:A2542,A2542,I$2:I2542,I2542)=1,1,0)</f>
        <v>0</v>
      </c>
      <c r="R2542" s="22">
        <f t="shared" si="39"/>
        <v>2</v>
      </c>
      <c r="S2542" s="33">
        <f>IF(COUNTIF(O$2:O2542,O2542)=1,R2542,0)/2.5</f>
        <v>0</v>
      </c>
    </row>
    <row r="2543" spans="1:19" ht="18" customHeight="1" x14ac:dyDescent="0.25">
      <c r="A2543" s="7" t="s">
        <v>37</v>
      </c>
      <c r="B2543" s="8">
        <v>1</v>
      </c>
      <c r="C2543" s="9">
        <v>595.29</v>
      </c>
      <c r="D2543" s="29">
        <f>C2543+IF(INDEX('Справочник по %'!B:B,(MATCH(A2543,'Справочник по %'!A:A,0)))="кол-во",B2543*INDEX('Справочник по %'!C:C,(MATCH(A2543,'Справочник по %'!A:A,0))),ОТЧЕТ!C2543*INDEX('Справочник по %'!C:C,(MATCH(A2543,'Справочник по %'!A:A,0))))/100</f>
        <v>595.49</v>
      </c>
      <c r="E2543" s="29">
        <f>IF(ОТЧЕТ!A2543="SKU3",C2543+ОТЧЕТ!C2543*0.2,C2543+ОТЧЕТ!C2543*0.15)</f>
        <v>684.58349999999996</v>
      </c>
      <c r="F2543" s="7" t="s">
        <v>4887</v>
      </c>
      <c r="G2543" s="7">
        <v>6730046175</v>
      </c>
      <c r="H2543" s="20" t="s">
        <v>4888</v>
      </c>
      <c r="I2543" s="22" t="str">
        <f>INDEX('Справочник Сети'!B:B,(MATCH(G2543,'Справочник Сети'!C:C,0)))</f>
        <v>Планета здоровья</v>
      </c>
      <c r="J2543" s="7" t="s">
        <v>106</v>
      </c>
      <c r="K2543" s="7" t="s">
        <v>228</v>
      </c>
      <c r="L2543" s="7" t="s">
        <v>106</v>
      </c>
      <c r="M2543" s="31">
        <v>45694</v>
      </c>
      <c r="N2543" s="7" t="s">
        <v>4889</v>
      </c>
      <c r="O2543" s="8">
        <v>2020</v>
      </c>
      <c r="P2543" s="24">
        <v>9324</v>
      </c>
      <c r="Q2543" s="22">
        <f>IF(COUNTIFS(A$2:A2543,A2543,I$2:I2543,I2543)=1,1,0)</f>
        <v>0</v>
      </c>
      <c r="R2543" s="22">
        <f t="shared" si="39"/>
        <v>1</v>
      </c>
      <c r="S2543" s="33">
        <f>IF(COUNTIF(O$2:O2543,O2543)=1,R2543,0)/2.5</f>
        <v>0.4</v>
      </c>
    </row>
    <row r="2544" spans="1:19" ht="18" customHeight="1" x14ac:dyDescent="0.25">
      <c r="A2544" s="7" t="s">
        <v>37</v>
      </c>
      <c r="B2544" s="8">
        <v>1</v>
      </c>
      <c r="C2544" s="9">
        <v>695</v>
      </c>
      <c r="D2544" s="29">
        <f>C2544+IF(INDEX('Справочник по %'!B:B,(MATCH(A2544,'Справочник по %'!A:A,0)))="кол-во",B2544*INDEX('Справочник по %'!C:C,(MATCH(A2544,'Справочник по %'!A:A,0))),ОТЧЕТ!C2544*INDEX('Справочник по %'!C:C,(MATCH(A2544,'Справочник по %'!A:A,0))))/100</f>
        <v>695.2</v>
      </c>
      <c r="E2544" s="29">
        <f>IF(ОТЧЕТ!A2544="SKU3",C2544+ОТЧЕТ!C2544*0.2,C2544+ОТЧЕТ!C2544*0.15)</f>
        <v>799.25</v>
      </c>
      <c r="F2544" s="7" t="s">
        <v>4890</v>
      </c>
      <c r="G2544" s="7">
        <v>5902058784</v>
      </c>
      <c r="H2544" s="20" t="s">
        <v>39</v>
      </c>
      <c r="I2544" s="22" t="str">
        <f>INDEX('Справочник Сети'!B:B,(MATCH(G2544,'Справочник Сети'!C:C,0)))</f>
        <v>Планета здоровья</v>
      </c>
      <c r="J2544" s="7" t="s">
        <v>40</v>
      </c>
      <c r="K2544" s="7" t="s">
        <v>531</v>
      </c>
      <c r="L2544" s="7" t="s">
        <v>40</v>
      </c>
      <c r="M2544" s="31">
        <v>45712</v>
      </c>
      <c r="N2544" s="7" t="s">
        <v>4891</v>
      </c>
      <c r="O2544" s="8">
        <v>2566</v>
      </c>
      <c r="P2544" s="24">
        <v>9327</v>
      </c>
      <c r="Q2544" s="22">
        <f>IF(COUNTIFS(A$2:A2544,A2544,I$2:I2544,I2544)=1,1,0)</f>
        <v>0</v>
      </c>
      <c r="R2544" s="22">
        <f t="shared" si="39"/>
        <v>2</v>
      </c>
      <c r="S2544" s="33">
        <f>IF(COUNTIF(O$2:O2544,O2544)=1,R2544,0)/2.5</f>
        <v>0.8</v>
      </c>
    </row>
    <row r="2545" spans="1:19" ht="18" customHeight="1" x14ac:dyDescent="0.25">
      <c r="A2545" s="7" t="s">
        <v>37</v>
      </c>
      <c r="B2545" s="8">
        <v>1</v>
      </c>
      <c r="C2545" s="9">
        <v>695</v>
      </c>
      <c r="D2545" s="29">
        <f>C2545+IF(INDEX('Справочник по %'!B:B,(MATCH(A2545,'Справочник по %'!A:A,0)))="кол-во",B2545*INDEX('Справочник по %'!C:C,(MATCH(A2545,'Справочник по %'!A:A,0))),ОТЧЕТ!C2545*INDEX('Справочник по %'!C:C,(MATCH(A2545,'Справочник по %'!A:A,0))))/100</f>
        <v>695.2</v>
      </c>
      <c r="E2545" s="29">
        <f>IF(ОТЧЕТ!A2545="SKU3",C2545+ОТЧЕТ!C2545*0.2,C2545+ОТЧЕТ!C2545*0.15)</f>
        <v>799.25</v>
      </c>
      <c r="F2545" s="7" t="s">
        <v>4892</v>
      </c>
      <c r="G2545" s="7">
        <v>5902058784</v>
      </c>
      <c r="H2545" s="20" t="s">
        <v>39</v>
      </c>
      <c r="I2545" s="22" t="str">
        <f>INDEX('Справочник Сети'!B:B,(MATCH(G2545,'Справочник Сети'!C:C,0)))</f>
        <v>Планета здоровья</v>
      </c>
      <c r="J2545" s="7" t="s">
        <v>40</v>
      </c>
      <c r="K2545" s="7" t="s">
        <v>531</v>
      </c>
      <c r="L2545" s="7" t="s">
        <v>40</v>
      </c>
      <c r="M2545" s="31">
        <v>45712</v>
      </c>
      <c r="N2545" s="7" t="s">
        <v>4891</v>
      </c>
      <c r="O2545" s="8">
        <v>2566</v>
      </c>
      <c r="P2545" s="24">
        <v>9327</v>
      </c>
      <c r="Q2545" s="22">
        <f>IF(COUNTIFS(A$2:A2545,A2545,I$2:I2545,I2545)=1,1,0)</f>
        <v>0</v>
      </c>
      <c r="R2545" s="22">
        <f t="shared" si="39"/>
        <v>2</v>
      </c>
      <c r="S2545" s="33">
        <f>IF(COUNTIF(O$2:O2545,O2545)=1,R2545,0)/2.5</f>
        <v>0</v>
      </c>
    </row>
    <row r="2546" spans="1:19" ht="18" customHeight="1" x14ac:dyDescent="0.25">
      <c r="A2546" s="7" t="s">
        <v>43</v>
      </c>
      <c r="B2546" s="8">
        <v>1</v>
      </c>
      <c r="C2546" s="9">
        <v>478.7</v>
      </c>
      <c r="D2546" s="29">
        <f>C2546+IF(INDEX('Справочник по %'!B:B,(MATCH(A2546,'Справочник по %'!A:A,0)))="кол-во",B2546*INDEX('Справочник по %'!C:C,(MATCH(A2546,'Справочник по %'!A:A,0))),ОТЧЕТ!C2546*INDEX('Справочник по %'!C:C,(MATCH(A2546,'Справочник по %'!A:A,0))))/100</f>
        <v>526.56999999999994</v>
      </c>
      <c r="E2546" s="29">
        <f>IF(ОТЧЕТ!A2546="SKU3",C2546+ОТЧЕТ!C2546*0.2,C2546+ОТЧЕТ!C2546*0.15)</f>
        <v>550.505</v>
      </c>
      <c r="F2546" s="7" t="s">
        <v>4892</v>
      </c>
      <c r="G2546" s="7">
        <v>7732121736</v>
      </c>
      <c r="H2546" s="20" t="s">
        <v>1089</v>
      </c>
      <c r="I2546" s="22" t="str">
        <f>INDEX('Справочник Сети'!B:B,(MATCH(G2546,'Справочник Сети'!C:C,0)))</f>
        <v>Планета здоровья</v>
      </c>
      <c r="J2546" s="7" t="s">
        <v>149</v>
      </c>
      <c r="K2546" s="7" t="s">
        <v>1110</v>
      </c>
      <c r="L2546" s="7" t="s">
        <v>149</v>
      </c>
      <c r="M2546" s="31">
        <v>45673</v>
      </c>
      <c r="N2546" s="7" t="s">
        <v>4893</v>
      </c>
      <c r="O2546" s="8">
        <v>2482</v>
      </c>
      <c r="P2546" s="24">
        <v>9328</v>
      </c>
      <c r="Q2546" s="22">
        <f>IF(COUNTIFS(A$2:A2546,A2546,I$2:I2546,I2546)=1,1,0)</f>
        <v>0</v>
      </c>
      <c r="R2546" s="22">
        <f t="shared" si="39"/>
        <v>9</v>
      </c>
      <c r="S2546" s="33">
        <f>IF(COUNTIF(O$2:O2546,O2546)=1,R2546,0)/2.5</f>
        <v>0</v>
      </c>
    </row>
    <row r="2547" spans="1:19" ht="18" customHeight="1" x14ac:dyDescent="0.25">
      <c r="A2547" s="7" t="s">
        <v>37</v>
      </c>
      <c r="B2547" s="8">
        <v>1</v>
      </c>
      <c r="C2547" s="9">
        <v>635</v>
      </c>
      <c r="D2547" s="29">
        <f>C2547+IF(INDEX('Справочник по %'!B:B,(MATCH(A2547,'Справочник по %'!A:A,0)))="кол-во",B2547*INDEX('Справочник по %'!C:C,(MATCH(A2547,'Справочник по %'!A:A,0))),ОТЧЕТ!C2547*INDEX('Справочник по %'!C:C,(MATCH(A2547,'Справочник по %'!A:A,0))))/100</f>
        <v>635.20000000000005</v>
      </c>
      <c r="E2547" s="29">
        <f>IF(ОТЧЕТ!A2547="SKU3",C2547+ОТЧЕТ!C2547*0.2,C2547+ОТЧЕТ!C2547*0.15)</f>
        <v>730.25</v>
      </c>
      <c r="F2547" s="7" t="s">
        <v>4894</v>
      </c>
      <c r="G2547" s="7">
        <v>7840411560</v>
      </c>
      <c r="H2547" s="20" t="s">
        <v>4793</v>
      </c>
      <c r="I2547" s="22" t="str">
        <f>INDEX('Справочник Сети'!B:B,(MATCH(G2547,'Справочник Сети'!C:C,0)))</f>
        <v>Столички</v>
      </c>
      <c r="J2547" s="7" t="s">
        <v>315</v>
      </c>
      <c r="K2547" s="7" t="s">
        <v>158</v>
      </c>
      <c r="L2547" s="7" t="s">
        <v>315</v>
      </c>
      <c r="M2547" s="31">
        <v>45670</v>
      </c>
      <c r="N2547" s="7" t="s">
        <v>4895</v>
      </c>
      <c r="O2547" s="8">
        <v>2500</v>
      </c>
      <c r="P2547" s="24">
        <v>9331</v>
      </c>
      <c r="Q2547" s="22">
        <f>IF(COUNTIFS(A$2:A2547,A2547,I$2:I2547,I2547)=1,1,0)</f>
        <v>0</v>
      </c>
      <c r="R2547" s="22">
        <f t="shared" si="39"/>
        <v>1</v>
      </c>
      <c r="S2547" s="33">
        <f>IF(COUNTIF(O$2:O2547,O2547)=1,R2547,0)/2.5</f>
        <v>0.4</v>
      </c>
    </row>
    <row r="2548" spans="1:19" ht="18" customHeight="1" x14ac:dyDescent="0.25">
      <c r="A2548" s="7" t="s">
        <v>43</v>
      </c>
      <c r="B2548" s="8">
        <v>1</v>
      </c>
      <c r="C2548" s="9">
        <v>387</v>
      </c>
      <c r="D2548" s="29">
        <f>C2548+IF(INDEX('Справочник по %'!B:B,(MATCH(A2548,'Справочник по %'!A:A,0)))="кол-во",B2548*INDEX('Справочник по %'!C:C,(MATCH(A2548,'Справочник по %'!A:A,0))),ОТЧЕТ!C2548*INDEX('Справочник по %'!C:C,(MATCH(A2548,'Справочник по %'!A:A,0))))/100</f>
        <v>425.7</v>
      </c>
      <c r="E2548" s="29">
        <f>IF(ОТЧЕТ!A2548="SKU3",C2548+ОТЧЕТ!C2548*0.2,C2548+ОТЧЕТ!C2548*0.15)</f>
        <v>445.05</v>
      </c>
      <c r="F2548" s="7" t="s">
        <v>4896</v>
      </c>
      <c r="G2548" s="7">
        <v>7706795062</v>
      </c>
      <c r="H2548" s="20" t="s">
        <v>487</v>
      </c>
      <c r="I2548" s="22" t="str">
        <f>INDEX('Справочник Сети'!B:B,(MATCH(G2548,'Справочник Сети'!C:C,0)))</f>
        <v>Планета здоровья</v>
      </c>
      <c r="J2548" s="7" t="s">
        <v>87</v>
      </c>
      <c r="K2548" s="7" t="s">
        <v>842</v>
      </c>
      <c r="L2548" s="7" t="s">
        <v>87</v>
      </c>
      <c r="M2548" s="31">
        <v>45691</v>
      </c>
      <c r="N2548" s="7" t="s">
        <v>4897</v>
      </c>
      <c r="O2548" s="8">
        <v>1549</v>
      </c>
      <c r="P2548" s="24">
        <v>9332</v>
      </c>
      <c r="Q2548" s="22">
        <f>IF(COUNTIFS(A$2:A2548,A2548,I$2:I2548,I2548)=1,1,0)</f>
        <v>0</v>
      </c>
      <c r="R2548" s="22">
        <f t="shared" si="39"/>
        <v>8</v>
      </c>
      <c r="S2548" s="33">
        <f>IF(COUNTIF(O$2:O2548,O2548)=1,R2548,0)/2.5</f>
        <v>0</v>
      </c>
    </row>
    <row r="2549" spans="1:19" ht="18" customHeight="1" x14ac:dyDescent="0.25">
      <c r="A2549" s="7" t="s">
        <v>43</v>
      </c>
      <c r="B2549" s="8">
        <v>1</v>
      </c>
      <c r="C2549" s="9">
        <v>447</v>
      </c>
      <c r="D2549" s="29">
        <f>C2549+IF(INDEX('Справочник по %'!B:B,(MATCH(A2549,'Справочник по %'!A:A,0)))="кол-во",B2549*INDEX('Справочник по %'!C:C,(MATCH(A2549,'Справочник по %'!A:A,0))),ОТЧЕТ!C2549*INDEX('Справочник по %'!C:C,(MATCH(A2549,'Справочник по %'!A:A,0))))/100</f>
        <v>491.7</v>
      </c>
      <c r="E2549" s="29">
        <f>IF(ОТЧЕТ!A2549="SKU3",C2549+ОТЧЕТ!C2549*0.2,C2549+ОТЧЕТ!C2549*0.15)</f>
        <v>514.04999999999995</v>
      </c>
      <c r="F2549" s="7" t="s">
        <v>4898</v>
      </c>
      <c r="G2549" s="7">
        <v>5260406072</v>
      </c>
      <c r="H2549" s="20" t="s">
        <v>69</v>
      </c>
      <c r="I2549" s="22">
        <f>INDEX('Справочник Сети'!B:B,(MATCH(G2549,'Справочник Сети'!C:C,0)))</f>
        <v>0</v>
      </c>
      <c r="J2549" s="7" t="s">
        <v>92</v>
      </c>
      <c r="K2549" s="7" t="s">
        <v>231</v>
      </c>
      <c r="L2549" s="7" t="s">
        <v>92</v>
      </c>
      <c r="M2549" s="31">
        <v>45714</v>
      </c>
      <c r="N2549" s="7" t="s">
        <v>4899</v>
      </c>
      <c r="O2549" s="8">
        <v>2858</v>
      </c>
      <c r="P2549" s="24">
        <v>9336</v>
      </c>
      <c r="Q2549" s="22">
        <f>IF(COUNTIFS(A$2:A2549,A2549,I$2:I2549,I2549)=1,1,0)</f>
        <v>0</v>
      </c>
      <c r="R2549" s="22">
        <f t="shared" si="39"/>
        <v>1</v>
      </c>
      <c r="S2549" s="33">
        <f>IF(COUNTIF(O$2:O2549,O2549)=1,R2549,0)/2.5</f>
        <v>0.4</v>
      </c>
    </row>
    <row r="2550" spans="1:19" ht="18" customHeight="1" x14ac:dyDescent="0.25">
      <c r="A2550" s="7" t="s">
        <v>43</v>
      </c>
      <c r="B2550" s="8">
        <v>1</v>
      </c>
      <c r="C2550" s="9">
        <v>378</v>
      </c>
      <c r="D2550" s="29">
        <f>C2550+IF(INDEX('Справочник по %'!B:B,(MATCH(A2550,'Справочник по %'!A:A,0)))="кол-во",B2550*INDEX('Справочник по %'!C:C,(MATCH(A2550,'Справочник по %'!A:A,0))),ОТЧЕТ!C2550*INDEX('Справочник по %'!C:C,(MATCH(A2550,'Справочник по %'!A:A,0))))/100</f>
        <v>415.8</v>
      </c>
      <c r="E2550" s="29">
        <f>IF(ОТЧЕТ!A2550="SKU3",C2550+ОТЧЕТ!C2550*0.2,C2550+ОТЧЕТ!C2550*0.15)</f>
        <v>434.7</v>
      </c>
      <c r="F2550" s="7" t="s">
        <v>4898</v>
      </c>
      <c r="G2550" s="7">
        <v>7731334851</v>
      </c>
      <c r="H2550" s="20" t="s">
        <v>2578</v>
      </c>
      <c r="I2550" s="22" t="str">
        <f>INDEX('Справочник Сети'!B:B,(MATCH(G2550,'Справочник Сети'!C:C,0)))</f>
        <v>Планета здоровья</v>
      </c>
      <c r="J2550" s="7" t="s">
        <v>142</v>
      </c>
      <c r="K2550" s="7" t="s">
        <v>385</v>
      </c>
      <c r="L2550" s="7" t="s">
        <v>142</v>
      </c>
      <c r="M2550" s="31">
        <v>45674</v>
      </c>
      <c r="N2550" s="7" t="s">
        <v>4900</v>
      </c>
      <c r="O2550" s="8">
        <v>658</v>
      </c>
      <c r="P2550" s="24">
        <v>9338</v>
      </c>
      <c r="Q2550" s="22">
        <f>IF(COUNTIFS(A$2:A2550,A2550,I$2:I2550,I2550)=1,1,0)</f>
        <v>0</v>
      </c>
      <c r="R2550" s="22">
        <f t="shared" si="39"/>
        <v>3</v>
      </c>
      <c r="S2550" s="33">
        <f>IF(COUNTIF(O$2:O2550,O2550)=1,R2550,0)/2.5</f>
        <v>0</v>
      </c>
    </row>
    <row r="2551" spans="1:19" ht="18" customHeight="1" x14ac:dyDescent="0.25">
      <c r="A2551" s="7" t="s">
        <v>43</v>
      </c>
      <c r="B2551" s="8">
        <v>1</v>
      </c>
      <c r="C2551" s="9">
        <v>463</v>
      </c>
      <c r="D2551" s="29">
        <f>C2551+IF(INDEX('Справочник по %'!B:B,(MATCH(A2551,'Справочник по %'!A:A,0)))="кол-во",B2551*INDEX('Справочник по %'!C:C,(MATCH(A2551,'Справочник по %'!A:A,0))),ОТЧЕТ!C2551*INDEX('Справочник по %'!C:C,(MATCH(A2551,'Справочник по %'!A:A,0))))/100</f>
        <v>509.3</v>
      </c>
      <c r="E2551" s="29">
        <f>IF(ОТЧЕТ!A2551="SKU3",C2551+ОТЧЕТ!C2551*0.2,C2551+ОТЧЕТ!C2551*0.15)</f>
        <v>532.45000000000005</v>
      </c>
      <c r="F2551" s="7" t="s">
        <v>4898</v>
      </c>
      <c r="G2551" s="7">
        <v>9722020820</v>
      </c>
      <c r="H2551" s="20" t="s">
        <v>4901</v>
      </c>
      <c r="I2551" s="22" t="str">
        <f>INDEX('Справочник Сети'!B:B,(MATCH(G2551,'Справочник Сети'!C:C,0)))</f>
        <v>Ригла</v>
      </c>
      <c r="J2551" s="7" t="s">
        <v>74</v>
      </c>
      <c r="K2551" s="7" t="s">
        <v>264</v>
      </c>
      <c r="L2551" s="7" t="s">
        <v>239</v>
      </c>
      <c r="M2551" s="31">
        <v>45662</v>
      </c>
      <c r="N2551" s="7" t="s">
        <v>4902</v>
      </c>
      <c r="O2551" s="8">
        <v>2154</v>
      </c>
      <c r="P2551" s="24">
        <v>9343</v>
      </c>
      <c r="Q2551" s="22">
        <f>IF(COUNTIFS(A$2:A2551,A2551,I$2:I2551,I2551)=1,1,0)</f>
        <v>0</v>
      </c>
      <c r="R2551" s="22">
        <f t="shared" si="39"/>
        <v>1</v>
      </c>
      <c r="S2551" s="33">
        <f>IF(COUNTIF(O$2:O2551,O2551)=1,R2551,0)/2.5</f>
        <v>0.4</v>
      </c>
    </row>
    <row r="2552" spans="1:19" ht="18" customHeight="1" x14ac:dyDescent="0.25">
      <c r="A2552" s="7" t="s">
        <v>43</v>
      </c>
      <c r="B2552" s="8">
        <v>1</v>
      </c>
      <c r="C2552" s="9">
        <v>392.09</v>
      </c>
      <c r="D2552" s="29">
        <f>C2552+IF(INDEX('Справочник по %'!B:B,(MATCH(A2552,'Справочник по %'!A:A,0)))="кол-во",B2552*INDEX('Справочник по %'!C:C,(MATCH(A2552,'Справочник по %'!A:A,0))),ОТЧЕТ!C2552*INDEX('Справочник по %'!C:C,(MATCH(A2552,'Справочник по %'!A:A,0))))/100</f>
        <v>431.29899999999998</v>
      </c>
      <c r="E2552" s="29">
        <f>IF(ОТЧЕТ!A2552="SKU3",C2552+ОТЧЕТ!C2552*0.2,C2552+ОТЧЕТ!C2552*0.15)</f>
        <v>450.90349999999995</v>
      </c>
      <c r="F2552" s="7" t="s">
        <v>4898</v>
      </c>
      <c r="G2552" s="7">
        <v>7840411560</v>
      </c>
      <c r="H2552" s="20" t="s">
        <v>1193</v>
      </c>
      <c r="I2552" s="22" t="str">
        <f>INDEX('Справочник Сети'!B:B,(MATCH(G2552,'Справочник Сети'!C:C,0)))</f>
        <v>Столички</v>
      </c>
      <c r="J2552" s="7" t="s">
        <v>315</v>
      </c>
      <c r="K2552" s="7" t="s">
        <v>249</v>
      </c>
      <c r="L2552" s="7" t="s">
        <v>315</v>
      </c>
      <c r="M2552" s="31">
        <v>45670</v>
      </c>
      <c r="N2552" s="7" t="s">
        <v>4903</v>
      </c>
      <c r="O2552" s="8">
        <v>807</v>
      </c>
      <c r="P2552" s="24">
        <v>9344</v>
      </c>
      <c r="Q2552" s="22">
        <f>IF(COUNTIFS(A$2:A2552,A2552,I$2:I2552,I2552)=1,1,0)</f>
        <v>0</v>
      </c>
      <c r="R2552" s="22">
        <f t="shared" si="39"/>
        <v>1</v>
      </c>
      <c r="S2552" s="33">
        <f>IF(COUNTIF(O$2:O2552,O2552)=1,R2552,0)/2.5</f>
        <v>0.4</v>
      </c>
    </row>
    <row r="2553" spans="1:19" ht="18" customHeight="1" x14ac:dyDescent="0.25">
      <c r="A2553" s="7" t="s">
        <v>43</v>
      </c>
      <c r="B2553" s="8">
        <v>1</v>
      </c>
      <c r="C2553" s="9">
        <v>476.1</v>
      </c>
      <c r="D2553" s="29">
        <f>C2553+IF(INDEX('Справочник по %'!B:B,(MATCH(A2553,'Справочник по %'!A:A,0)))="кол-во",B2553*INDEX('Справочник по %'!C:C,(MATCH(A2553,'Справочник по %'!A:A,0))),ОТЧЕТ!C2553*INDEX('Справочник по %'!C:C,(MATCH(A2553,'Справочник по %'!A:A,0))))/100</f>
        <v>523.71</v>
      </c>
      <c r="E2553" s="29">
        <f>IF(ОТЧЕТ!A2553="SKU3",C2553+ОТЧЕТ!C2553*0.2,C2553+ОТЧЕТ!C2553*0.15)</f>
        <v>547.51499999999999</v>
      </c>
      <c r="F2553" s="7" t="s">
        <v>4898</v>
      </c>
      <c r="G2553" s="7">
        <v>7732121736</v>
      </c>
      <c r="H2553" s="20" t="s">
        <v>1089</v>
      </c>
      <c r="I2553" s="22" t="str">
        <f>INDEX('Справочник Сети'!B:B,(MATCH(G2553,'Справочник Сети'!C:C,0)))</f>
        <v>Планета здоровья</v>
      </c>
      <c r="J2553" s="7" t="s">
        <v>149</v>
      </c>
      <c r="K2553" s="7" t="s">
        <v>1887</v>
      </c>
      <c r="L2553" s="7" t="s">
        <v>149</v>
      </c>
      <c r="M2553" s="31">
        <v>45673</v>
      </c>
      <c r="N2553" s="7" t="s">
        <v>4904</v>
      </c>
      <c r="O2553" s="8">
        <v>2482</v>
      </c>
      <c r="P2553" s="24">
        <v>9346</v>
      </c>
      <c r="Q2553" s="22">
        <f>IF(COUNTIFS(A$2:A2553,A2553,I$2:I2553,I2553)=1,1,0)</f>
        <v>0</v>
      </c>
      <c r="R2553" s="22">
        <f t="shared" si="39"/>
        <v>9</v>
      </c>
      <c r="S2553" s="33">
        <f>IF(COUNTIF(O$2:O2553,O2553)=1,R2553,0)/2.5</f>
        <v>0</v>
      </c>
    </row>
    <row r="2554" spans="1:19" ht="18" customHeight="1" x14ac:dyDescent="0.25">
      <c r="A2554" s="7" t="s">
        <v>43</v>
      </c>
      <c r="B2554" s="8">
        <v>1</v>
      </c>
      <c r="C2554" s="9">
        <v>397</v>
      </c>
      <c r="D2554" s="29">
        <f>C2554+IF(INDEX('Справочник по %'!B:B,(MATCH(A2554,'Справочник по %'!A:A,0)))="кол-во",B2554*INDEX('Справочник по %'!C:C,(MATCH(A2554,'Справочник по %'!A:A,0))),ОТЧЕТ!C2554*INDEX('Справочник по %'!C:C,(MATCH(A2554,'Справочник по %'!A:A,0))))/100</f>
        <v>436.7</v>
      </c>
      <c r="E2554" s="29">
        <f>IF(ОТЧЕТ!A2554="SKU3",C2554+ОТЧЕТ!C2554*0.2,C2554+ОТЧЕТ!C2554*0.15)</f>
        <v>456.55</v>
      </c>
      <c r="F2554" s="7" t="s">
        <v>4898</v>
      </c>
      <c r="G2554" s="7">
        <v>7732121736</v>
      </c>
      <c r="H2554" s="20" t="s">
        <v>4905</v>
      </c>
      <c r="I2554" s="22" t="str">
        <f>INDEX('Справочник Сети'!B:B,(MATCH(G2554,'Справочник Сети'!C:C,0)))</f>
        <v>Планета здоровья</v>
      </c>
      <c r="J2554" s="7" t="s">
        <v>149</v>
      </c>
      <c r="K2554" s="7" t="s">
        <v>3755</v>
      </c>
      <c r="L2554" s="7" t="s">
        <v>149</v>
      </c>
      <c r="M2554" s="31">
        <v>45673</v>
      </c>
      <c r="N2554" s="7" t="s">
        <v>4906</v>
      </c>
      <c r="O2554" s="8">
        <v>2671</v>
      </c>
      <c r="P2554" s="24">
        <v>9347</v>
      </c>
      <c r="Q2554" s="22">
        <f>IF(COUNTIFS(A$2:A2554,A2554,I$2:I2554,I2554)=1,1,0)</f>
        <v>0</v>
      </c>
      <c r="R2554" s="22">
        <f t="shared" si="39"/>
        <v>1</v>
      </c>
      <c r="S2554" s="33">
        <f>IF(COUNTIF(O$2:O2554,O2554)=1,R2554,0)/2.5</f>
        <v>0.4</v>
      </c>
    </row>
    <row r="2555" spans="1:19" ht="18" customHeight="1" x14ac:dyDescent="0.25">
      <c r="A2555" s="7" t="s">
        <v>37</v>
      </c>
      <c r="B2555" s="8">
        <v>1</v>
      </c>
      <c r="C2555" s="9">
        <v>720</v>
      </c>
      <c r="D2555" s="29">
        <f>C2555+IF(INDEX('Справочник по %'!B:B,(MATCH(A2555,'Справочник по %'!A:A,0)))="кол-во",B2555*INDEX('Справочник по %'!C:C,(MATCH(A2555,'Справочник по %'!A:A,0))),ОТЧЕТ!C2555*INDEX('Справочник по %'!C:C,(MATCH(A2555,'Справочник по %'!A:A,0))))/100</f>
        <v>720.2</v>
      </c>
      <c r="E2555" s="29">
        <f>IF(ОТЧЕТ!A2555="SKU3",C2555+ОТЧЕТ!C2555*0.2,C2555+ОТЧЕТ!C2555*0.15)</f>
        <v>828</v>
      </c>
      <c r="F2555" s="7" t="s">
        <v>4907</v>
      </c>
      <c r="G2555" s="7">
        <v>4632170357</v>
      </c>
      <c r="H2555" s="20" t="s">
        <v>153</v>
      </c>
      <c r="I2555" s="22" t="str">
        <f>INDEX('Справочник Сети'!B:B,(MATCH(G2555,'Справочник Сети'!C:C,0)))</f>
        <v>Столички</v>
      </c>
      <c r="J2555" s="7" t="s">
        <v>83</v>
      </c>
      <c r="K2555" s="7" t="s">
        <v>3160</v>
      </c>
      <c r="L2555" s="7" t="s">
        <v>155</v>
      </c>
      <c r="M2555" s="31">
        <v>45716</v>
      </c>
      <c r="N2555" s="7" t="s">
        <v>4908</v>
      </c>
      <c r="O2555" s="8">
        <v>707</v>
      </c>
      <c r="P2555" s="24">
        <v>9352</v>
      </c>
      <c r="Q2555" s="22">
        <f>IF(COUNTIFS(A$2:A2555,A2555,I$2:I2555,I2555)=1,1,0)</f>
        <v>0</v>
      </c>
      <c r="R2555" s="22">
        <f t="shared" si="39"/>
        <v>4</v>
      </c>
      <c r="S2555" s="33">
        <f>IF(COUNTIF(O$2:O2555,O2555)=1,R2555,0)/2.5</f>
        <v>0</v>
      </c>
    </row>
    <row r="2556" spans="1:19" ht="18" customHeight="1" x14ac:dyDescent="0.25">
      <c r="A2556" s="7" t="s">
        <v>43</v>
      </c>
      <c r="B2556" s="8">
        <v>1</v>
      </c>
      <c r="C2556" s="9">
        <v>618</v>
      </c>
      <c r="D2556" s="29">
        <f>C2556+IF(INDEX('Справочник по %'!B:B,(MATCH(A2556,'Справочник по %'!A:A,0)))="кол-во",B2556*INDEX('Справочник по %'!C:C,(MATCH(A2556,'Справочник по %'!A:A,0))),ОТЧЕТ!C2556*INDEX('Справочник по %'!C:C,(MATCH(A2556,'Справочник по %'!A:A,0))))/100</f>
        <v>679.8</v>
      </c>
      <c r="E2556" s="29">
        <f>IF(ОТЧЕТ!A2556="SKU3",C2556+ОТЧЕТ!C2556*0.2,C2556+ОТЧЕТ!C2556*0.15)</f>
        <v>710.7</v>
      </c>
      <c r="F2556" s="7" t="s">
        <v>4907</v>
      </c>
      <c r="G2556" s="7">
        <v>7714844316</v>
      </c>
      <c r="H2556" s="20" t="s">
        <v>50</v>
      </c>
      <c r="I2556" s="22" t="str">
        <f>INDEX('Справочник Сети'!B:B,(MATCH(G2556,'Справочник Сети'!C:C,0)))</f>
        <v>Планета здоровья</v>
      </c>
      <c r="J2556" s="7" t="s">
        <v>504</v>
      </c>
      <c r="K2556" s="7" t="s">
        <v>2770</v>
      </c>
      <c r="L2556" s="7" t="s">
        <v>504</v>
      </c>
      <c r="M2556" s="31">
        <v>45690</v>
      </c>
      <c r="N2556" s="7" t="s">
        <v>4909</v>
      </c>
      <c r="O2556" s="8">
        <v>2297</v>
      </c>
      <c r="P2556" s="24">
        <v>9353</v>
      </c>
      <c r="Q2556" s="22">
        <f>IF(COUNTIFS(A$2:A2556,A2556,I$2:I2556,I2556)=1,1,0)</f>
        <v>0</v>
      </c>
      <c r="R2556" s="22">
        <f t="shared" si="39"/>
        <v>6</v>
      </c>
      <c r="S2556" s="33">
        <f>IF(COUNTIF(O$2:O2556,O2556)=1,R2556,0)/2.5</f>
        <v>0</v>
      </c>
    </row>
    <row r="2557" spans="1:19" ht="18" customHeight="1" x14ac:dyDescent="0.25">
      <c r="A2557" s="7" t="s">
        <v>37</v>
      </c>
      <c r="B2557" s="8">
        <v>1</v>
      </c>
      <c r="C2557" s="9">
        <v>682.6</v>
      </c>
      <c r="D2557" s="29">
        <f>C2557+IF(INDEX('Справочник по %'!B:B,(MATCH(A2557,'Справочник по %'!A:A,0)))="кол-во",B2557*INDEX('Справочник по %'!C:C,(MATCH(A2557,'Справочник по %'!A:A,0))),ОТЧЕТ!C2557*INDEX('Справочник по %'!C:C,(MATCH(A2557,'Справочник по %'!A:A,0))))/100</f>
        <v>682.80000000000007</v>
      </c>
      <c r="E2557" s="29">
        <f>IF(ОТЧЕТ!A2557="SKU3",C2557+ОТЧЕТ!C2557*0.2,C2557+ОТЧЕТ!C2557*0.15)</f>
        <v>784.99</v>
      </c>
      <c r="F2557" s="7" t="s">
        <v>4907</v>
      </c>
      <c r="G2557" s="7">
        <v>5050136454</v>
      </c>
      <c r="H2557" s="20" t="s">
        <v>50</v>
      </c>
      <c r="I2557" s="22" t="str">
        <f>INDEX('Справочник Сети'!B:B,(MATCH(G2557,'Справочник Сети'!C:C,0)))</f>
        <v>Нео-фарм</v>
      </c>
      <c r="J2557" s="7" t="s">
        <v>92</v>
      </c>
      <c r="K2557" s="7" t="s">
        <v>414</v>
      </c>
      <c r="L2557" s="7" t="s">
        <v>92</v>
      </c>
      <c r="M2557" s="31">
        <v>45714</v>
      </c>
      <c r="N2557" s="7" t="s">
        <v>4910</v>
      </c>
      <c r="O2557" s="8">
        <v>1499</v>
      </c>
      <c r="P2557" s="24">
        <v>9363</v>
      </c>
      <c r="Q2557" s="22">
        <f>IF(COUNTIFS(A$2:A2557,A2557,I$2:I2557,I2557)=1,1,0)</f>
        <v>0</v>
      </c>
      <c r="R2557" s="22">
        <f t="shared" si="39"/>
        <v>14</v>
      </c>
      <c r="S2557" s="33">
        <f>IF(COUNTIF(O$2:O2557,O2557)=1,R2557,0)/2.5</f>
        <v>0</v>
      </c>
    </row>
    <row r="2558" spans="1:19" ht="18" customHeight="1" x14ac:dyDescent="0.25">
      <c r="A2558" s="7" t="s">
        <v>43</v>
      </c>
      <c r="B2558" s="8">
        <v>1</v>
      </c>
      <c r="C2558" s="9">
        <v>448</v>
      </c>
      <c r="D2558" s="29">
        <f>C2558+IF(INDEX('Справочник по %'!B:B,(MATCH(A2558,'Справочник по %'!A:A,0)))="кол-во",B2558*INDEX('Справочник по %'!C:C,(MATCH(A2558,'Справочник по %'!A:A,0))),ОТЧЕТ!C2558*INDEX('Справочник по %'!C:C,(MATCH(A2558,'Справочник по %'!A:A,0))))/100</f>
        <v>492.8</v>
      </c>
      <c r="E2558" s="29">
        <f>IF(ОТЧЕТ!A2558="SKU3",C2558+ОТЧЕТ!C2558*0.2,C2558+ОТЧЕТ!C2558*0.15)</f>
        <v>515.20000000000005</v>
      </c>
      <c r="F2558" s="7" t="s">
        <v>4911</v>
      </c>
      <c r="G2558" s="7">
        <v>7728395276</v>
      </c>
      <c r="H2558" s="20" t="s">
        <v>50</v>
      </c>
      <c r="I2558" s="22">
        <f>INDEX('Справочник Сети'!B:B,(MATCH(G2558,'Справочник Сети'!C:C,0)))</f>
        <v>0</v>
      </c>
      <c r="J2558" s="7" t="s">
        <v>142</v>
      </c>
      <c r="K2558" s="7" t="s">
        <v>2261</v>
      </c>
      <c r="L2558" s="7" t="s">
        <v>142</v>
      </c>
      <c r="M2558" s="31">
        <v>45674</v>
      </c>
      <c r="N2558" s="7" t="s">
        <v>4912</v>
      </c>
      <c r="O2558" s="8">
        <v>1534</v>
      </c>
      <c r="P2558" s="24">
        <v>9366</v>
      </c>
      <c r="Q2558" s="22">
        <f>IF(COUNTIFS(A$2:A2558,A2558,I$2:I2558,I2558)=1,1,0)</f>
        <v>0</v>
      </c>
      <c r="R2558" s="22">
        <f t="shared" si="39"/>
        <v>4</v>
      </c>
      <c r="S2558" s="33">
        <f>IF(COUNTIF(O$2:O2558,O2558)=1,R2558,0)/2.5</f>
        <v>0</v>
      </c>
    </row>
    <row r="2559" spans="1:19" ht="18" customHeight="1" x14ac:dyDescent="0.25">
      <c r="A2559" s="7" t="s">
        <v>43</v>
      </c>
      <c r="B2559" s="8">
        <v>1</v>
      </c>
      <c r="C2559" s="9">
        <v>450</v>
      </c>
      <c r="D2559" s="29">
        <f>C2559+IF(INDEX('Справочник по %'!B:B,(MATCH(A2559,'Справочник по %'!A:A,0)))="кол-во",B2559*INDEX('Справочник по %'!C:C,(MATCH(A2559,'Справочник по %'!A:A,0))),ОТЧЕТ!C2559*INDEX('Справочник по %'!C:C,(MATCH(A2559,'Справочник по %'!A:A,0))))/100</f>
        <v>495</v>
      </c>
      <c r="E2559" s="29">
        <f>IF(ОТЧЕТ!A2559="SKU3",C2559+ОТЧЕТ!C2559*0.2,C2559+ОТЧЕТ!C2559*0.15)</f>
        <v>517.5</v>
      </c>
      <c r="F2559" s="7" t="s">
        <v>4913</v>
      </c>
      <c r="G2559" s="7">
        <v>910800091897</v>
      </c>
      <c r="H2559" s="20" t="s">
        <v>1046</v>
      </c>
      <c r="I2559" s="22">
        <f>INDEX('Справочник Сети'!B:B,(MATCH(G2559,'Справочник Сети'!C:C,0)))</f>
        <v>0</v>
      </c>
      <c r="J2559" s="7" t="s">
        <v>322</v>
      </c>
      <c r="K2559" s="7" t="s">
        <v>4914</v>
      </c>
      <c r="L2559" s="7" t="s">
        <v>322</v>
      </c>
      <c r="M2559" s="31">
        <v>45658</v>
      </c>
      <c r="N2559" s="7" t="s">
        <v>4915</v>
      </c>
      <c r="O2559" s="8">
        <v>2630</v>
      </c>
      <c r="P2559" s="24">
        <v>9377</v>
      </c>
      <c r="Q2559" s="22">
        <f>IF(COUNTIFS(A$2:A2559,A2559,I$2:I2559,I2559)=1,1,0)</f>
        <v>0</v>
      </c>
      <c r="R2559" s="22">
        <f t="shared" si="39"/>
        <v>23</v>
      </c>
      <c r="S2559" s="33">
        <f>IF(COUNTIF(O$2:O2559,O2559)=1,R2559,0)/2.5</f>
        <v>0</v>
      </c>
    </row>
    <row r="2560" spans="1:19" ht="18" customHeight="1" x14ac:dyDescent="0.25">
      <c r="A2560" s="7" t="s">
        <v>37</v>
      </c>
      <c r="B2560" s="8">
        <v>1</v>
      </c>
      <c r="C2560" s="9">
        <v>663</v>
      </c>
      <c r="D2560" s="29">
        <f>C2560+IF(INDEX('Справочник по %'!B:B,(MATCH(A2560,'Справочник по %'!A:A,0)))="кол-во",B2560*INDEX('Справочник по %'!C:C,(MATCH(A2560,'Справочник по %'!A:A,0))),ОТЧЕТ!C2560*INDEX('Справочник по %'!C:C,(MATCH(A2560,'Справочник по %'!A:A,0))))/100</f>
        <v>663.2</v>
      </c>
      <c r="E2560" s="29">
        <f>IF(ОТЧЕТ!A2560="SKU3",C2560+ОТЧЕТ!C2560*0.2,C2560+ОТЧЕТ!C2560*0.15)</f>
        <v>762.45</v>
      </c>
      <c r="F2560" s="7" t="s">
        <v>4916</v>
      </c>
      <c r="G2560" s="7">
        <v>7726423062</v>
      </c>
      <c r="H2560" s="20" t="s">
        <v>50</v>
      </c>
      <c r="I2560" s="22" t="str">
        <f>INDEX('Справочник Сети'!B:B,(MATCH(G2560,'Справочник Сети'!C:C,0)))</f>
        <v>Ригла</v>
      </c>
      <c r="J2560" s="7" t="s">
        <v>185</v>
      </c>
      <c r="K2560" s="7" t="s">
        <v>1937</v>
      </c>
      <c r="L2560" s="7" t="s">
        <v>185</v>
      </c>
      <c r="M2560" s="31">
        <v>45675</v>
      </c>
      <c r="N2560" s="7" t="s">
        <v>4917</v>
      </c>
      <c r="O2560" s="8">
        <v>2113</v>
      </c>
      <c r="P2560" s="24">
        <v>9383</v>
      </c>
      <c r="Q2560" s="22">
        <f>IF(COUNTIFS(A$2:A2560,A2560,I$2:I2560,I2560)=1,1,0)</f>
        <v>0</v>
      </c>
      <c r="R2560" s="22">
        <f t="shared" si="39"/>
        <v>3</v>
      </c>
      <c r="S2560" s="33">
        <f>IF(COUNTIF(O$2:O2560,O2560)=1,R2560,0)/2.5</f>
        <v>0</v>
      </c>
    </row>
    <row r="2561" spans="1:19" ht="18" customHeight="1" x14ac:dyDescent="0.25">
      <c r="A2561" s="7" t="s">
        <v>37</v>
      </c>
      <c r="B2561" s="8">
        <v>1</v>
      </c>
      <c r="C2561" s="9">
        <v>670</v>
      </c>
      <c r="D2561" s="29">
        <f>C2561+IF(INDEX('Справочник по %'!B:B,(MATCH(A2561,'Справочник по %'!A:A,0)))="кол-во",B2561*INDEX('Справочник по %'!C:C,(MATCH(A2561,'Справочник по %'!A:A,0))),ОТЧЕТ!C2561*INDEX('Справочник по %'!C:C,(MATCH(A2561,'Справочник по %'!A:A,0))))/100</f>
        <v>670.2</v>
      </c>
      <c r="E2561" s="29">
        <f>IF(ОТЧЕТ!A2561="SKU3",C2561+ОТЧЕТ!C2561*0.2,C2561+ОТЧЕТ!C2561*0.15)</f>
        <v>770.5</v>
      </c>
      <c r="F2561" s="7" t="s">
        <v>4916</v>
      </c>
      <c r="G2561" s="7">
        <v>462901346416</v>
      </c>
      <c r="H2561" s="20" t="s">
        <v>50</v>
      </c>
      <c r="I2561" s="22" t="str">
        <f>INDEX('Справочник Сети'!B:B,(MATCH(G2561,'Справочник Сети'!C:C,0)))</f>
        <v>Планета здоровья</v>
      </c>
      <c r="J2561" s="7" t="s">
        <v>110</v>
      </c>
      <c r="K2561" s="7" t="s">
        <v>3176</v>
      </c>
      <c r="L2561" s="7" t="s">
        <v>110</v>
      </c>
      <c r="M2561" s="31">
        <v>45660</v>
      </c>
      <c r="N2561" s="7" t="s">
        <v>4918</v>
      </c>
      <c r="O2561" s="8">
        <v>347</v>
      </c>
      <c r="P2561" s="24">
        <v>9387</v>
      </c>
      <c r="Q2561" s="22">
        <f>IF(COUNTIFS(A$2:A2561,A2561,I$2:I2561,I2561)=1,1,0)</f>
        <v>0</v>
      </c>
      <c r="R2561" s="22">
        <f t="shared" si="39"/>
        <v>4</v>
      </c>
      <c r="S2561" s="33">
        <f>IF(COUNTIF(O$2:O2561,O2561)=1,R2561,0)/2.5</f>
        <v>0</v>
      </c>
    </row>
    <row r="2562" spans="1:19" ht="18" customHeight="1" x14ac:dyDescent="0.25">
      <c r="A2562" s="7" t="s">
        <v>43</v>
      </c>
      <c r="B2562" s="8">
        <v>1</v>
      </c>
      <c r="C2562" s="9">
        <v>429</v>
      </c>
      <c r="D2562" s="29">
        <f>C2562+IF(INDEX('Справочник по %'!B:B,(MATCH(A2562,'Справочник по %'!A:A,0)))="кол-во",B2562*INDEX('Справочник по %'!C:C,(MATCH(A2562,'Справочник по %'!A:A,0))),ОТЧЕТ!C2562*INDEX('Справочник по %'!C:C,(MATCH(A2562,'Справочник по %'!A:A,0))))/100</f>
        <v>471.9</v>
      </c>
      <c r="E2562" s="29">
        <f>IF(ОТЧЕТ!A2562="SKU3",C2562+ОТЧЕТ!C2562*0.2,C2562+ОТЧЕТ!C2562*0.15)</f>
        <v>493.35</v>
      </c>
      <c r="F2562" s="7" t="s">
        <v>4916</v>
      </c>
      <c r="G2562" s="7">
        <v>7724854659</v>
      </c>
      <c r="H2562" s="20" t="s">
        <v>39</v>
      </c>
      <c r="I2562" s="22">
        <f>INDEX('Справочник Сети'!B:B,(MATCH(G2562,'Справочник Сети'!C:C,0)))</f>
        <v>0</v>
      </c>
      <c r="J2562" s="7" t="s">
        <v>185</v>
      </c>
      <c r="K2562" s="7" t="s">
        <v>1868</v>
      </c>
      <c r="L2562" s="7" t="s">
        <v>185</v>
      </c>
      <c r="M2562" s="31">
        <v>45675</v>
      </c>
      <c r="N2562" s="7" t="s">
        <v>4919</v>
      </c>
      <c r="O2562" s="8">
        <v>395</v>
      </c>
      <c r="P2562" s="24">
        <v>9390</v>
      </c>
      <c r="Q2562" s="22">
        <f>IF(COUNTIFS(A$2:A2562,A2562,I$2:I2562,I2562)=1,1,0)</f>
        <v>0</v>
      </c>
      <c r="R2562" s="22">
        <f t="shared" si="39"/>
        <v>1</v>
      </c>
      <c r="S2562" s="33">
        <f>IF(COUNTIF(O$2:O2562,O2562)=1,R2562,0)/2.5</f>
        <v>0.4</v>
      </c>
    </row>
    <row r="2563" spans="1:19" ht="18" customHeight="1" x14ac:dyDescent="0.25">
      <c r="A2563" s="7" t="s">
        <v>43</v>
      </c>
      <c r="B2563" s="8">
        <v>1</v>
      </c>
      <c r="C2563" s="9">
        <v>407</v>
      </c>
      <c r="D2563" s="29">
        <f>C2563+IF(INDEX('Справочник по %'!B:B,(MATCH(A2563,'Справочник по %'!A:A,0)))="кол-во",B2563*INDEX('Справочник по %'!C:C,(MATCH(A2563,'Справочник по %'!A:A,0))),ОТЧЕТ!C2563*INDEX('Справочник по %'!C:C,(MATCH(A2563,'Справочник по %'!A:A,0))))/100</f>
        <v>447.7</v>
      </c>
      <c r="E2563" s="29">
        <f>IF(ОТЧЕТ!A2563="SKU3",C2563+ОТЧЕТ!C2563*0.2,C2563+ОТЧЕТ!C2563*0.15)</f>
        <v>468.05</v>
      </c>
      <c r="F2563" s="7" t="s">
        <v>4920</v>
      </c>
      <c r="G2563" s="7">
        <v>7706795062</v>
      </c>
      <c r="H2563" s="20" t="s">
        <v>99</v>
      </c>
      <c r="I2563" s="22" t="str">
        <f>INDEX('Справочник Сети'!B:B,(MATCH(G2563,'Справочник Сети'!C:C,0)))</f>
        <v>Планета здоровья</v>
      </c>
      <c r="J2563" s="7" t="s">
        <v>87</v>
      </c>
      <c r="K2563" s="7" t="s">
        <v>2663</v>
      </c>
      <c r="L2563" s="7" t="s">
        <v>87</v>
      </c>
      <c r="M2563" s="31">
        <v>45691</v>
      </c>
      <c r="N2563" s="7" t="s">
        <v>4921</v>
      </c>
      <c r="O2563" s="8">
        <v>1603</v>
      </c>
      <c r="P2563" s="24">
        <v>9391</v>
      </c>
      <c r="Q2563" s="22">
        <f>IF(COUNTIFS(A$2:A2563,A2563,I$2:I2563,I2563)=1,1,0)</f>
        <v>0</v>
      </c>
      <c r="R2563" s="22">
        <f t="shared" ref="R2563:R2626" si="40">COUNTIF(O:O,O2563)</f>
        <v>3</v>
      </c>
      <c r="S2563" s="33">
        <f>IF(COUNTIF(O$2:O2563,O2563)=1,R2563,0)/2.5</f>
        <v>0</v>
      </c>
    </row>
    <row r="2564" spans="1:19" ht="18" customHeight="1" x14ac:dyDescent="0.25">
      <c r="A2564" s="7" t="s">
        <v>37</v>
      </c>
      <c r="B2564" s="8">
        <v>1</v>
      </c>
      <c r="C2564" s="9">
        <v>690</v>
      </c>
      <c r="D2564" s="29">
        <f>C2564+IF(INDEX('Справочник по %'!B:B,(MATCH(A2564,'Справочник по %'!A:A,0)))="кол-во",B2564*INDEX('Справочник по %'!C:C,(MATCH(A2564,'Справочник по %'!A:A,0))),ОТЧЕТ!C2564*INDEX('Справочник по %'!C:C,(MATCH(A2564,'Справочник по %'!A:A,0))))/100</f>
        <v>690.2</v>
      </c>
      <c r="E2564" s="29">
        <f>IF(ОТЧЕТ!A2564="SKU3",C2564+ОТЧЕТ!C2564*0.2,C2564+ОТЧЕТ!C2564*0.15)</f>
        <v>793.5</v>
      </c>
      <c r="F2564" s="7" t="s">
        <v>4922</v>
      </c>
      <c r="G2564" s="7">
        <v>7814139847</v>
      </c>
      <c r="H2564" s="20" t="s">
        <v>50</v>
      </c>
      <c r="I2564" s="22" t="str">
        <f>INDEX('Справочник Сети'!B:B,(MATCH(G2564,'Справочник Сети'!C:C,0)))</f>
        <v>Планета здоровья</v>
      </c>
      <c r="J2564" s="7" t="s">
        <v>121</v>
      </c>
      <c r="K2564" s="7" t="s">
        <v>4377</v>
      </c>
      <c r="L2564" s="7" t="s">
        <v>121</v>
      </c>
      <c r="M2564" s="31">
        <v>45671</v>
      </c>
      <c r="N2564" s="7" t="s">
        <v>4923</v>
      </c>
      <c r="O2564" s="8">
        <v>2633</v>
      </c>
      <c r="P2564" s="24">
        <v>9394</v>
      </c>
      <c r="Q2564" s="22">
        <f>IF(COUNTIFS(A$2:A2564,A2564,I$2:I2564,I2564)=1,1,0)</f>
        <v>0</v>
      </c>
      <c r="R2564" s="22">
        <f t="shared" si="40"/>
        <v>3</v>
      </c>
      <c r="S2564" s="33">
        <f>IF(COUNTIF(O$2:O2564,O2564)=1,R2564,0)/2.5</f>
        <v>0</v>
      </c>
    </row>
    <row r="2565" spans="1:19" ht="18" customHeight="1" x14ac:dyDescent="0.25">
      <c r="A2565" s="7" t="s">
        <v>43</v>
      </c>
      <c r="B2565" s="8">
        <v>1</v>
      </c>
      <c r="C2565" s="9">
        <v>480</v>
      </c>
      <c r="D2565" s="29">
        <f>C2565+IF(INDEX('Справочник по %'!B:B,(MATCH(A2565,'Справочник по %'!A:A,0)))="кол-во",B2565*INDEX('Справочник по %'!C:C,(MATCH(A2565,'Справочник по %'!A:A,0))),ОТЧЕТ!C2565*INDEX('Справочник по %'!C:C,(MATCH(A2565,'Справочник по %'!A:A,0))))/100</f>
        <v>528</v>
      </c>
      <c r="E2565" s="29">
        <f>IF(ОТЧЕТ!A2565="SKU3",C2565+ОТЧЕТ!C2565*0.2,C2565+ОТЧЕТ!C2565*0.15)</f>
        <v>552</v>
      </c>
      <c r="F2565" s="7" t="s">
        <v>4924</v>
      </c>
      <c r="G2565" s="7">
        <v>5024140567</v>
      </c>
      <c r="H2565" s="20" t="s">
        <v>50</v>
      </c>
      <c r="I2565" s="22">
        <f>INDEX('Справочник Сети'!B:B,(MATCH(G2565,'Справочник Сети'!C:C,0)))</f>
        <v>0</v>
      </c>
      <c r="J2565" s="7" t="s">
        <v>83</v>
      </c>
      <c r="K2565" s="7" t="s">
        <v>4925</v>
      </c>
      <c r="L2565" s="7" t="s">
        <v>83</v>
      </c>
      <c r="M2565" s="31">
        <v>45715</v>
      </c>
      <c r="N2565" s="7" t="s">
        <v>4926</v>
      </c>
      <c r="O2565" s="8">
        <v>1042</v>
      </c>
      <c r="P2565" s="24">
        <v>9409</v>
      </c>
      <c r="Q2565" s="22">
        <f>IF(COUNTIFS(A$2:A2565,A2565,I$2:I2565,I2565)=1,1,0)</f>
        <v>0</v>
      </c>
      <c r="R2565" s="22">
        <f t="shared" si="40"/>
        <v>3</v>
      </c>
      <c r="S2565" s="33">
        <f>IF(COUNTIF(O$2:O2565,O2565)=1,R2565,0)/2.5</f>
        <v>0</v>
      </c>
    </row>
    <row r="2566" spans="1:19" ht="18" customHeight="1" x14ac:dyDescent="0.25">
      <c r="A2566" s="7" t="s">
        <v>43</v>
      </c>
      <c r="B2566" s="8">
        <v>1</v>
      </c>
      <c r="C2566" s="9">
        <v>487</v>
      </c>
      <c r="D2566" s="29">
        <f>C2566+IF(INDEX('Справочник по %'!B:B,(MATCH(A2566,'Справочник по %'!A:A,0)))="кол-во",B2566*INDEX('Справочник по %'!C:C,(MATCH(A2566,'Справочник по %'!A:A,0))),ОТЧЕТ!C2566*INDEX('Справочник по %'!C:C,(MATCH(A2566,'Справочник по %'!A:A,0))))/100</f>
        <v>535.70000000000005</v>
      </c>
      <c r="E2566" s="29">
        <f>IF(ОТЧЕТ!A2566="SKU3",C2566+ОТЧЕТ!C2566*0.2,C2566+ОТЧЕТ!C2566*0.15)</f>
        <v>560.04999999999995</v>
      </c>
      <c r="F2566" s="7" t="s">
        <v>4924</v>
      </c>
      <c r="G2566" s="7">
        <v>7722710108</v>
      </c>
      <c r="H2566" s="20" t="s">
        <v>1326</v>
      </c>
      <c r="I2566" s="22">
        <f>INDEX('Справочник Сети'!B:B,(MATCH(G2566,'Справочник Сети'!C:C,0)))</f>
        <v>0</v>
      </c>
      <c r="J2566" s="7" t="s">
        <v>185</v>
      </c>
      <c r="K2566" s="7" t="s">
        <v>842</v>
      </c>
      <c r="L2566" s="7" t="s">
        <v>185</v>
      </c>
      <c r="M2566" s="31">
        <v>45675</v>
      </c>
      <c r="N2566" s="7" t="s">
        <v>4927</v>
      </c>
      <c r="O2566" s="8">
        <v>1424</v>
      </c>
      <c r="P2566" s="24">
        <v>9411</v>
      </c>
      <c r="Q2566" s="22">
        <f>IF(COUNTIFS(A$2:A2566,A2566,I$2:I2566,I2566)=1,1,0)</f>
        <v>0</v>
      </c>
      <c r="R2566" s="22">
        <f t="shared" si="40"/>
        <v>2</v>
      </c>
      <c r="S2566" s="33">
        <f>IF(COUNTIF(O$2:O2566,O2566)=1,R2566,0)/2.5</f>
        <v>0</v>
      </c>
    </row>
    <row r="2567" spans="1:19" ht="18" customHeight="1" x14ac:dyDescent="0.25">
      <c r="A2567" s="7" t="s">
        <v>43</v>
      </c>
      <c r="B2567" s="8">
        <v>1</v>
      </c>
      <c r="C2567" s="9">
        <v>422</v>
      </c>
      <c r="D2567" s="29">
        <f>C2567+IF(INDEX('Справочник по %'!B:B,(MATCH(A2567,'Справочник по %'!A:A,0)))="кол-во",B2567*INDEX('Справочник по %'!C:C,(MATCH(A2567,'Справочник по %'!A:A,0))),ОТЧЕТ!C2567*INDEX('Справочник по %'!C:C,(MATCH(A2567,'Справочник по %'!A:A,0))))/100</f>
        <v>464.2</v>
      </c>
      <c r="E2567" s="29">
        <f>IF(ОТЧЕТ!A2567="SKU3",C2567+ОТЧЕТ!C2567*0.2,C2567+ОТЧЕТ!C2567*0.15)</f>
        <v>485.3</v>
      </c>
      <c r="F2567" s="7" t="s">
        <v>4928</v>
      </c>
      <c r="G2567" s="7">
        <v>2320091240</v>
      </c>
      <c r="H2567" s="20" t="s">
        <v>50</v>
      </c>
      <c r="I2567" s="22" t="str">
        <f>INDEX('Справочник Сети'!B:B,(MATCH(G2567,'Справочник Сети'!C:C,0)))</f>
        <v>Ригла</v>
      </c>
      <c r="J2567" s="7" t="s">
        <v>70</v>
      </c>
      <c r="K2567" s="7" t="s">
        <v>1998</v>
      </c>
      <c r="L2567" s="7" t="s">
        <v>70</v>
      </c>
      <c r="M2567" s="31">
        <v>45728</v>
      </c>
      <c r="N2567" s="7" t="s">
        <v>4929</v>
      </c>
      <c r="O2567" s="8">
        <v>2319</v>
      </c>
      <c r="P2567" s="24">
        <v>9417</v>
      </c>
      <c r="Q2567" s="22">
        <f>IF(COUNTIFS(A$2:A2567,A2567,I$2:I2567,I2567)=1,1,0)</f>
        <v>0</v>
      </c>
      <c r="R2567" s="22">
        <f t="shared" si="40"/>
        <v>1</v>
      </c>
      <c r="S2567" s="33">
        <f>IF(COUNTIF(O$2:O2567,O2567)=1,R2567,0)/2.5</f>
        <v>0.4</v>
      </c>
    </row>
    <row r="2568" spans="1:19" ht="18" customHeight="1" x14ac:dyDescent="0.25">
      <c r="A2568" s="7" t="s">
        <v>43</v>
      </c>
      <c r="B2568" s="8">
        <v>1</v>
      </c>
      <c r="C2568" s="9">
        <v>340.22</v>
      </c>
      <c r="D2568" s="29">
        <f>C2568+IF(INDEX('Справочник по %'!B:B,(MATCH(A2568,'Справочник по %'!A:A,0)))="кол-во",B2568*INDEX('Справочник по %'!C:C,(MATCH(A2568,'Справочник по %'!A:A,0))),ОТЧЕТ!C2568*INDEX('Справочник по %'!C:C,(MATCH(A2568,'Справочник по %'!A:A,0))))/100</f>
        <v>374.24200000000002</v>
      </c>
      <c r="E2568" s="29">
        <f>IF(ОТЧЕТ!A2568="SKU3",C2568+ОТЧЕТ!C2568*0.2,C2568+ОТЧЕТ!C2568*0.15)</f>
        <v>391.25300000000004</v>
      </c>
      <c r="F2568" s="7" t="s">
        <v>4930</v>
      </c>
      <c r="G2568" s="7">
        <v>7732121736</v>
      </c>
      <c r="H2568" s="20" t="s">
        <v>4931</v>
      </c>
      <c r="I2568" s="22" t="str">
        <f>INDEX('Справочник Сети'!B:B,(MATCH(G2568,'Справочник Сети'!C:C,0)))</f>
        <v>Планета здоровья</v>
      </c>
      <c r="J2568" s="7" t="s">
        <v>149</v>
      </c>
      <c r="K2568" s="7" t="s">
        <v>1274</v>
      </c>
      <c r="L2568" s="7" t="s">
        <v>142</v>
      </c>
      <c r="M2568" s="31">
        <v>45674</v>
      </c>
      <c r="N2568" s="7" t="s">
        <v>4932</v>
      </c>
      <c r="O2568" s="8">
        <v>427</v>
      </c>
      <c r="P2568" s="24">
        <v>9419</v>
      </c>
      <c r="Q2568" s="22">
        <f>IF(COUNTIFS(A$2:A2568,A2568,I$2:I2568,I2568)=1,1,0)</f>
        <v>0</v>
      </c>
      <c r="R2568" s="22">
        <f t="shared" si="40"/>
        <v>1</v>
      </c>
      <c r="S2568" s="33">
        <f>IF(COUNTIF(O$2:O2568,O2568)=1,R2568,0)/2.5</f>
        <v>0.4</v>
      </c>
    </row>
    <row r="2569" spans="1:19" ht="18" customHeight="1" x14ac:dyDescent="0.25">
      <c r="A2569" s="7" t="s">
        <v>43</v>
      </c>
      <c r="B2569" s="8">
        <v>1</v>
      </c>
      <c r="C2569" s="9">
        <v>440</v>
      </c>
      <c r="D2569" s="29">
        <f>C2569+IF(INDEX('Справочник по %'!B:B,(MATCH(A2569,'Справочник по %'!A:A,0)))="кол-во",B2569*INDEX('Справочник по %'!C:C,(MATCH(A2569,'Справочник по %'!A:A,0))),ОТЧЕТ!C2569*INDEX('Справочник по %'!C:C,(MATCH(A2569,'Справочник по %'!A:A,0))))/100</f>
        <v>484</v>
      </c>
      <c r="E2569" s="29">
        <f>IF(ОТЧЕТ!A2569="SKU3",C2569+ОТЧЕТ!C2569*0.2,C2569+ОТЧЕТ!C2569*0.15)</f>
        <v>506</v>
      </c>
      <c r="F2569" s="7" t="s">
        <v>4933</v>
      </c>
      <c r="G2569" s="7">
        <v>910914952765</v>
      </c>
      <c r="H2569" s="20" t="s">
        <v>167</v>
      </c>
      <c r="I2569" s="22" t="str">
        <f>INDEX('Справочник Сети'!B:B,(MATCH(G2569,'Справочник Сети'!C:C,0)))</f>
        <v>Ригла</v>
      </c>
      <c r="J2569" s="7" t="s">
        <v>322</v>
      </c>
      <c r="K2569" s="7" t="s">
        <v>1352</v>
      </c>
      <c r="L2569" s="7" t="s">
        <v>322</v>
      </c>
      <c r="M2569" s="31">
        <v>45658</v>
      </c>
      <c r="N2569" s="7" t="s">
        <v>4934</v>
      </c>
      <c r="O2569" s="8">
        <v>1729</v>
      </c>
      <c r="P2569" s="24">
        <v>9422</v>
      </c>
      <c r="Q2569" s="22">
        <f>IF(COUNTIFS(A$2:A2569,A2569,I$2:I2569,I2569)=1,1,0)</f>
        <v>0</v>
      </c>
      <c r="R2569" s="22">
        <f t="shared" si="40"/>
        <v>2</v>
      </c>
      <c r="S2569" s="33">
        <f>IF(COUNTIF(O$2:O2569,O2569)=1,R2569,0)/2.5</f>
        <v>0</v>
      </c>
    </row>
    <row r="2570" spans="1:19" ht="18" customHeight="1" x14ac:dyDescent="0.25">
      <c r="A2570" s="7" t="s">
        <v>43</v>
      </c>
      <c r="B2570" s="8">
        <v>1</v>
      </c>
      <c r="C2570" s="9">
        <v>550</v>
      </c>
      <c r="D2570" s="29">
        <f>C2570+IF(INDEX('Справочник по %'!B:B,(MATCH(A2570,'Справочник по %'!A:A,0)))="кол-во",B2570*INDEX('Справочник по %'!C:C,(MATCH(A2570,'Справочник по %'!A:A,0))),ОТЧЕТ!C2570*INDEX('Справочник по %'!C:C,(MATCH(A2570,'Справочник по %'!A:A,0))))/100</f>
        <v>605</v>
      </c>
      <c r="E2570" s="29">
        <f>IF(ОТЧЕТ!A2570="SKU3",C2570+ОТЧЕТ!C2570*0.2,C2570+ОТЧЕТ!C2570*0.15)</f>
        <v>632.5</v>
      </c>
      <c r="F2570" s="7" t="s">
        <v>4935</v>
      </c>
      <c r="G2570" s="7">
        <v>2502053747</v>
      </c>
      <c r="H2570" s="20" t="s">
        <v>50</v>
      </c>
      <c r="I2570" s="22">
        <f>INDEX('Справочник Сети'!B:B,(MATCH(G2570,'Справочник Сети'!C:C,0)))</f>
        <v>0</v>
      </c>
      <c r="J2570" s="7" t="s">
        <v>96</v>
      </c>
      <c r="K2570" s="7" t="s">
        <v>4534</v>
      </c>
      <c r="L2570" s="7" t="s">
        <v>96</v>
      </c>
      <c r="M2570" s="31">
        <v>45727</v>
      </c>
      <c r="N2570" s="7" t="s">
        <v>4936</v>
      </c>
      <c r="O2570" s="8">
        <v>2544</v>
      </c>
      <c r="P2570" s="24">
        <v>9429</v>
      </c>
      <c r="Q2570" s="22">
        <f>IF(COUNTIFS(A$2:A2570,A2570,I$2:I2570,I2570)=1,1,0)</f>
        <v>0</v>
      </c>
      <c r="R2570" s="22">
        <f t="shared" si="40"/>
        <v>6</v>
      </c>
      <c r="S2570" s="33">
        <f>IF(COUNTIF(O$2:O2570,O2570)=1,R2570,0)/2.5</f>
        <v>0</v>
      </c>
    </row>
    <row r="2571" spans="1:19" ht="18" customHeight="1" x14ac:dyDescent="0.25">
      <c r="A2571" s="7" t="s">
        <v>43</v>
      </c>
      <c r="B2571" s="8">
        <v>1</v>
      </c>
      <c r="C2571" s="9">
        <v>400.5</v>
      </c>
      <c r="D2571" s="29">
        <f>C2571+IF(INDEX('Справочник по %'!B:B,(MATCH(A2571,'Справочник по %'!A:A,0)))="кол-во",B2571*INDEX('Справочник по %'!C:C,(MATCH(A2571,'Справочник по %'!A:A,0))),ОТЧЕТ!C2571*INDEX('Справочник по %'!C:C,(MATCH(A2571,'Справочник по %'!A:A,0))))/100</f>
        <v>440.55</v>
      </c>
      <c r="E2571" s="29">
        <f>IF(ОТЧЕТ!A2571="SKU3",C2571+ОТЧЕТ!C2571*0.2,C2571+ОТЧЕТ!C2571*0.15)</f>
        <v>460.57499999999999</v>
      </c>
      <c r="F2571" s="7" t="s">
        <v>4937</v>
      </c>
      <c r="G2571" s="7">
        <v>5507102175</v>
      </c>
      <c r="H2571" s="20" t="s">
        <v>91</v>
      </c>
      <c r="I2571" s="22" t="str">
        <f>INDEX('Справочник Сети'!B:B,(MATCH(G2571,'Справочник Сети'!C:C,0)))</f>
        <v>Столички</v>
      </c>
      <c r="J2571" s="7" t="s">
        <v>255</v>
      </c>
      <c r="K2571" s="7" t="s">
        <v>969</v>
      </c>
      <c r="L2571" s="7" t="s">
        <v>255</v>
      </c>
      <c r="M2571" s="31">
        <v>45713</v>
      </c>
      <c r="N2571" s="7" t="s">
        <v>4938</v>
      </c>
      <c r="O2571" s="8">
        <v>2912</v>
      </c>
      <c r="P2571" s="24">
        <v>9441</v>
      </c>
      <c r="Q2571" s="22">
        <f>IF(COUNTIFS(A$2:A2571,A2571,I$2:I2571,I2571)=1,1,0)</f>
        <v>0</v>
      </c>
      <c r="R2571" s="22">
        <f t="shared" si="40"/>
        <v>3</v>
      </c>
      <c r="S2571" s="33">
        <f>IF(COUNTIF(O$2:O2571,O2571)=1,R2571,0)/2.5</f>
        <v>0</v>
      </c>
    </row>
    <row r="2572" spans="1:19" ht="18" customHeight="1" x14ac:dyDescent="0.25">
      <c r="A2572" s="7" t="s">
        <v>43</v>
      </c>
      <c r="B2572" s="8">
        <v>1</v>
      </c>
      <c r="C2572" s="9">
        <v>492</v>
      </c>
      <c r="D2572" s="29">
        <f>C2572+IF(INDEX('Справочник по %'!B:B,(MATCH(A2572,'Справочник по %'!A:A,0)))="кол-во",B2572*INDEX('Справочник по %'!C:C,(MATCH(A2572,'Справочник по %'!A:A,0))),ОТЧЕТ!C2572*INDEX('Справочник по %'!C:C,(MATCH(A2572,'Справочник по %'!A:A,0))))/100</f>
        <v>541.20000000000005</v>
      </c>
      <c r="E2572" s="29">
        <f>IF(ОТЧЕТ!A2572="SKU3",C2572+ОТЧЕТ!C2572*0.2,C2572+ОТЧЕТ!C2572*0.15)</f>
        <v>565.79999999999995</v>
      </c>
      <c r="F2572" s="7" t="s">
        <v>4939</v>
      </c>
      <c r="G2572" s="7">
        <v>2539096225</v>
      </c>
      <c r="H2572" s="20" t="s">
        <v>4940</v>
      </c>
      <c r="I2572" s="22" t="str">
        <f>INDEX('Справочник Сети'!B:B,(MATCH(G2572,'Справочник Сети'!C:C,0)))</f>
        <v>36,6</v>
      </c>
      <c r="J2572" s="7" t="s">
        <v>46</v>
      </c>
      <c r="K2572" s="7" t="s">
        <v>244</v>
      </c>
      <c r="L2572" s="7" t="s">
        <v>46</v>
      </c>
      <c r="M2572" s="31">
        <v>45726</v>
      </c>
      <c r="N2572" s="7" t="s">
        <v>2233</v>
      </c>
      <c r="O2572" s="8">
        <v>1674</v>
      </c>
      <c r="P2572" s="24">
        <v>9444</v>
      </c>
      <c r="Q2572" s="22">
        <f>IF(COUNTIFS(A$2:A2572,A2572,I$2:I2572,I2572)=1,1,0)</f>
        <v>0</v>
      </c>
      <c r="R2572" s="22">
        <f t="shared" si="40"/>
        <v>3</v>
      </c>
      <c r="S2572" s="33">
        <f>IF(COUNTIF(O$2:O2572,O2572)=1,R2572,0)/2.5</f>
        <v>0</v>
      </c>
    </row>
    <row r="2573" spans="1:19" ht="18" customHeight="1" x14ac:dyDescent="0.25">
      <c r="A2573" s="7" t="s">
        <v>37</v>
      </c>
      <c r="B2573" s="8">
        <v>1</v>
      </c>
      <c r="C2573" s="9">
        <v>555</v>
      </c>
      <c r="D2573" s="29">
        <f>C2573+IF(INDEX('Справочник по %'!B:B,(MATCH(A2573,'Справочник по %'!A:A,0)))="кол-во",B2573*INDEX('Справочник по %'!C:C,(MATCH(A2573,'Справочник по %'!A:A,0))),ОТЧЕТ!C2573*INDEX('Справочник по %'!C:C,(MATCH(A2573,'Справочник по %'!A:A,0))))/100</f>
        <v>555.20000000000005</v>
      </c>
      <c r="E2573" s="29">
        <f>IF(ОТЧЕТ!A2573="SKU3",C2573+ОТЧЕТ!C2573*0.2,C2573+ОТЧЕТ!C2573*0.15)</f>
        <v>638.25</v>
      </c>
      <c r="F2573" s="7" t="s">
        <v>4941</v>
      </c>
      <c r="G2573" s="7">
        <v>7732121736</v>
      </c>
      <c r="H2573" s="20" t="s">
        <v>4942</v>
      </c>
      <c r="I2573" s="22" t="str">
        <f>INDEX('Справочник Сети'!B:B,(MATCH(G2573,'Справочник Сети'!C:C,0)))</f>
        <v>Планета здоровья</v>
      </c>
      <c r="J2573" s="7" t="s">
        <v>149</v>
      </c>
      <c r="K2573" s="7" t="s">
        <v>651</v>
      </c>
      <c r="L2573" s="7" t="s">
        <v>142</v>
      </c>
      <c r="M2573" s="31">
        <v>45674</v>
      </c>
      <c r="N2573" s="7" t="s">
        <v>4943</v>
      </c>
      <c r="O2573" s="8">
        <v>604</v>
      </c>
      <c r="P2573" s="24">
        <v>9445</v>
      </c>
      <c r="Q2573" s="22">
        <f>IF(COUNTIFS(A$2:A2573,A2573,I$2:I2573,I2573)=1,1,0)</f>
        <v>0</v>
      </c>
      <c r="R2573" s="22">
        <f t="shared" si="40"/>
        <v>1</v>
      </c>
      <c r="S2573" s="33">
        <f>IF(COUNTIF(O$2:O2573,O2573)=1,R2573,0)/2.5</f>
        <v>0.4</v>
      </c>
    </row>
    <row r="2574" spans="1:19" ht="18" customHeight="1" x14ac:dyDescent="0.25">
      <c r="A2574" s="7" t="s">
        <v>43</v>
      </c>
      <c r="B2574" s="8">
        <v>1</v>
      </c>
      <c r="C2574" s="9">
        <v>488</v>
      </c>
      <c r="D2574" s="29">
        <f>C2574+IF(INDEX('Справочник по %'!B:B,(MATCH(A2574,'Справочник по %'!A:A,0)))="кол-во",B2574*INDEX('Справочник по %'!C:C,(MATCH(A2574,'Справочник по %'!A:A,0))),ОТЧЕТ!C2574*INDEX('Справочник по %'!C:C,(MATCH(A2574,'Справочник по %'!A:A,0))))/100</f>
        <v>536.79999999999995</v>
      </c>
      <c r="E2574" s="29">
        <f>IF(ОТЧЕТ!A2574="SKU3",C2574+ОТЧЕТ!C2574*0.2,C2574+ОТЧЕТ!C2574*0.15)</f>
        <v>561.20000000000005</v>
      </c>
      <c r="F2574" s="7" t="s">
        <v>4941</v>
      </c>
      <c r="G2574" s="7">
        <v>7714844316</v>
      </c>
      <c r="H2574" s="20" t="s">
        <v>50</v>
      </c>
      <c r="I2574" s="22" t="str">
        <f>INDEX('Справочник Сети'!B:B,(MATCH(G2574,'Справочник Сети'!C:C,0)))</f>
        <v>Планета здоровья</v>
      </c>
      <c r="J2574" s="7" t="s">
        <v>504</v>
      </c>
      <c r="K2574" s="7" t="s">
        <v>1545</v>
      </c>
      <c r="L2574" s="7" t="s">
        <v>504</v>
      </c>
      <c r="M2574" s="31">
        <v>45690</v>
      </c>
      <c r="N2574" s="7" t="s">
        <v>4944</v>
      </c>
      <c r="O2574" s="8">
        <v>1048</v>
      </c>
      <c r="P2574" s="24">
        <v>9449</v>
      </c>
      <c r="Q2574" s="22">
        <f>IF(COUNTIFS(A$2:A2574,A2574,I$2:I2574,I2574)=1,1,0)</f>
        <v>0</v>
      </c>
      <c r="R2574" s="22">
        <f t="shared" si="40"/>
        <v>5</v>
      </c>
      <c r="S2574" s="33">
        <f>IF(COUNTIF(O$2:O2574,O2574)=1,R2574,0)/2.5</f>
        <v>0</v>
      </c>
    </row>
    <row r="2575" spans="1:19" ht="18" customHeight="1" x14ac:dyDescent="0.25">
      <c r="A2575" s="7" t="s">
        <v>43</v>
      </c>
      <c r="B2575" s="8">
        <v>1</v>
      </c>
      <c r="C2575" s="9">
        <v>586</v>
      </c>
      <c r="D2575" s="29">
        <f>C2575+IF(INDEX('Справочник по %'!B:B,(MATCH(A2575,'Справочник по %'!A:A,0)))="кол-во",B2575*INDEX('Справочник по %'!C:C,(MATCH(A2575,'Справочник по %'!A:A,0))),ОТЧЕТ!C2575*INDEX('Справочник по %'!C:C,(MATCH(A2575,'Справочник по %'!A:A,0))))/100</f>
        <v>644.6</v>
      </c>
      <c r="E2575" s="29">
        <f>IF(ОТЧЕТ!A2575="SKU3",C2575+ОТЧЕТ!C2575*0.2,C2575+ОТЧЕТ!C2575*0.15)</f>
        <v>673.9</v>
      </c>
      <c r="F2575" s="7" t="s">
        <v>4945</v>
      </c>
      <c r="G2575" s="7">
        <v>2457069284</v>
      </c>
      <c r="H2575" s="20" t="s">
        <v>4946</v>
      </c>
      <c r="I2575" s="22">
        <f>INDEX('Справочник Сети'!B:B,(MATCH(G2575,'Справочник Сети'!C:C,0)))</f>
        <v>0</v>
      </c>
      <c r="J2575" s="7" t="s">
        <v>96</v>
      </c>
      <c r="K2575" s="7" t="s">
        <v>158</v>
      </c>
      <c r="L2575" s="7" t="s">
        <v>96</v>
      </c>
      <c r="M2575" s="31">
        <v>45727</v>
      </c>
      <c r="N2575" s="7" t="s">
        <v>4947</v>
      </c>
      <c r="O2575" s="8">
        <v>3601</v>
      </c>
      <c r="P2575" s="24">
        <v>9453</v>
      </c>
      <c r="Q2575" s="22">
        <f>IF(COUNTIFS(A$2:A2575,A2575,I$2:I2575,I2575)=1,1,0)</f>
        <v>0</v>
      </c>
      <c r="R2575" s="22">
        <f t="shared" si="40"/>
        <v>1</v>
      </c>
      <c r="S2575" s="33">
        <f>IF(COUNTIF(O$2:O2575,O2575)=1,R2575,0)/2.5</f>
        <v>0.4</v>
      </c>
    </row>
    <row r="2576" spans="1:19" ht="18" customHeight="1" x14ac:dyDescent="0.25">
      <c r="A2576" s="7" t="s">
        <v>43</v>
      </c>
      <c r="B2576" s="8">
        <v>1</v>
      </c>
      <c r="C2576" s="9">
        <v>533.5</v>
      </c>
      <c r="D2576" s="29">
        <f>C2576+IF(INDEX('Справочник по %'!B:B,(MATCH(A2576,'Справочник по %'!A:A,0)))="кол-во",B2576*INDEX('Справочник по %'!C:C,(MATCH(A2576,'Справочник по %'!A:A,0))),ОТЧЕТ!C2576*INDEX('Справочник по %'!C:C,(MATCH(A2576,'Справочник по %'!A:A,0))))/100</f>
        <v>586.85</v>
      </c>
      <c r="E2576" s="29">
        <f>IF(ОТЧЕТ!A2576="SKU3",C2576+ОТЧЕТ!C2576*0.2,C2576+ОТЧЕТ!C2576*0.15)</f>
        <v>613.52499999999998</v>
      </c>
      <c r="F2576" s="7" t="s">
        <v>4948</v>
      </c>
      <c r="G2576" s="7">
        <v>231703122520</v>
      </c>
      <c r="H2576" s="20" t="s">
        <v>161</v>
      </c>
      <c r="I2576" s="22" t="str">
        <f>INDEX('Справочник Сети'!B:B,(MATCH(G2576,'Справочник Сети'!C:C,0)))</f>
        <v>Столички</v>
      </c>
      <c r="J2576" s="7" t="s">
        <v>74</v>
      </c>
      <c r="K2576" s="7" t="s">
        <v>2371</v>
      </c>
      <c r="L2576" s="7" t="s">
        <v>74</v>
      </c>
      <c r="M2576" s="31">
        <v>45661</v>
      </c>
      <c r="N2576" s="7" t="s">
        <v>4949</v>
      </c>
      <c r="O2576" s="8">
        <v>784</v>
      </c>
      <c r="P2576" s="24">
        <v>9458</v>
      </c>
      <c r="Q2576" s="22">
        <f>IF(COUNTIFS(A$2:A2576,A2576,I$2:I2576,I2576)=1,1,0)</f>
        <v>0</v>
      </c>
      <c r="R2576" s="22">
        <f t="shared" si="40"/>
        <v>1</v>
      </c>
      <c r="S2576" s="33">
        <f>IF(COUNTIF(O$2:O2576,O2576)=1,R2576,0)/2.5</f>
        <v>0.4</v>
      </c>
    </row>
    <row r="2577" spans="1:19" ht="18" customHeight="1" x14ac:dyDescent="0.25">
      <c r="A2577" s="7" t="s">
        <v>43</v>
      </c>
      <c r="B2577" s="8">
        <v>1</v>
      </c>
      <c r="C2577" s="9">
        <v>392</v>
      </c>
      <c r="D2577" s="29">
        <f>C2577+IF(INDEX('Справочник по %'!B:B,(MATCH(A2577,'Справочник по %'!A:A,0)))="кол-во",B2577*INDEX('Справочник по %'!C:C,(MATCH(A2577,'Справочник по %'!A:A,0))),ОТЧЕТ!C2577*INDEX('Справочник по %'!C:C,(MATCH(A2577,'Справочник по %'!A:A,0))))/100</f>
        <v>431.2</v>
      </c>
      <c r="E2577" s="29">
        <f>IF(ОТЧЕТ!A2577="SKU3",C2577+ОТЧЕТ!C2577*0.2,C2577+ОТЧЕТ!C2577*0.15)</f>
        <v>450.8</v>
      </c>
      <c r="F2577" s="7" t="s">
        <v>4950</v>
      </c>
      <c r="G2577" s="7">
        <v>7731334851</v>
      </c>
      <c r="H2577" s="20" t="s">
        <v>1168</v>
      </c>
      <c r="I2577" s="22" t="str">
        <f>INDEX('Справочник Сети'!B:B,(MATCH(G2577,'Справочник Сети'!C:C,0)))</f>
        <v>Планета здоровья</v>
      </c>
      <c r="J2577" s="7" t="s">
        <v>142</v>
      </c>
      <c r="K2577" s="7" t="s">
        <v>1639</v>
      </c>
      <c r="L2577" s="7" t="s">
        <v>142</v>
      </c>
      <c r="M2577" s="31">
        <v>45674</v>
      </c>
      <c r="N2577" s="7" t="s">
        <v>4951</v>
      </c>
      <c r="O2577" s="8">
        <v>2200</v>
      </c>
      <c r="P2577" s="24">
        <v>9462</v>
      </c>
      <c r="Q2577" s="22">
        <f>IF(COUNTIFS(A$2:A2577,A2577,I$2:I2577,I2577)=1,1,0)</f>
        <v>0</v>
      </c>
      <c r="R2577" s="22">
        <f t="shared" si="40"/>
        <v>5</v>
      </c>
      <c r="S2577" s="33">
        <f>IF(COUNTIF(O$2:O2577,O2577)=1,R2577,0)/2.5</f>
        <v>0</v>
      </c>
    </row>
    <row r="2578" spans="1:19" ht="18" customHeight="1" x14ac:dyDescent="0.25">
      <c r="A2578" s="7" t="s">
        <v>37</v>
      </c>
      <c r="B2578" s="8">
        <v>1</v>
      </c>
      <c r="C2578" s="9">
        <v>589</v>
      </c>
      <c r="D2578" s="29">
        <f>C2578+IF(INDEX('Справочник по %'!B:B,(MATCH(A2578,'Справочник по %'!A:A,0)))="кол-во",B2578*INDEX('Справочник по %'!C:C,(MATCH(A2578,'Справочник по %'!A:A,0))),ОТЧЕТ!C2578*INDEX('Справочник по %'!C:C,(MATCH(A2578,'Справочник по %'!A:A,0))))/100</f>
        <v>589.20000000000005</v>
      </c>
      <c r="E2578" s="29">
        <f>IF(ОТЧЕТ!A2578="SKU3",C2578+ОТЧЕТ!C2578*0.2,C2578+ОТЧЕТ!C2578*0.15)</f>
        <v>677.35</v>
      </c>
      <c r="F2578" s="7" t="s">
        <v>4950</v>
      </c>
      <c r="G2578" s="7">
        <v>312825165467</v>
      </c>
      <c r="H2578" s="20" t="s">
        <v>1778</v>
      </c>
      <c r="I2578" s="22">
        <f>INDEX('Справочник Сети'!B:B,(MATCH(G2578,'Справочник Сети'!C:C,0)))</f>
        <v>0</v>
      </c>
      <c r="J2578" s="7" t="s">
        <v>110</v>
      </c>
      <c r="K2578" s="7" t="s">
        <v>899</v>
      </c>
      <c r="L2578" s="7" t="s">
        <v>110</v>
      </c>
      <c r="M2578" s="31">
        <v>45660</v>
      </c>
      <c r="N2578" s="7" t="s">
        <v>4952</v>
      </c>
      <c r="O2578" s="8">
        <v>136</v>
      </c>
      <c r="P2578" s="24">
        <v>9466</v>
      </c>
      <c r="Q2578" s="22">
        <f>IF(COUNTIFS(A$2:A2578,A2578,I$2:I2578,I2578)=1,1,0)</f>
        <v>0</v>
      </c>
      <c r="R2578" s="22">
        <f t="shared" si="40"/>
        <v>3</v>
      </c>
      <c r="S2578" s="33">
        <f>IF(COUNTIF(O$2:O2578,O2578)=1,R2578,0)/2.5</f>
        <v>0</v>
      </c>
    </row>
    <row r="2579" spans="1:19" ht="18" customHeight="1" x14ac:dyDescent="0.25">
      <c r="A2579" s="7" t="s">
        <v>43</v>
      </c>
      <c r="B2579" s="8">
        <v>1</v>
      </c>
      <c r="C2579" s="9">
        <v>471</v>
      </c>
      <c r="D2579" s="29">
        <f>C2579+IF(INDEX('Справочник по %'!B:B,(MATCH(A2579,'Справочник по %'!A:A,0)))="кол-во",B2579*INDEX('Справочник по %'!C:C,(MATCH(A2579,'Справочник по %'!A:A,0))),ОТЧЕТ!C2579*INDEX('Справочник по %'!C:C,(MATCH(A2579,'Справочник по %'!A:A,0))))/100</f>
        <v>518.1</v>
      </c>
      <c r="E2579" s="29">
        <f>IF(ОТЧЕТ!A2579="SKU3",C2579+ОТЧЕТ!C2579*0.2,C2579+ОТЧЕТ!C2579*0.15)</f>
        <v>541.65</v>
      </c>
      <c r="F2579" s="7" t="s">
        <v>4950</v>
      </c>
      <c r="G2579" s="7">
        <v>9705147513</v>
      </c>
      <c r="H2579" s="20" t="s">
        <v>50</v>
      </c>
      <c r="I2579" s="22" t="str">
        <f>INDEX('Справочник Сети'!B:B,(MATCH(G2579,'Справочник Сети'!C:C,0)))</f>
        <v>Столички</v>
      </c>
      <c r="J2579" s="7" t="s">
        <v>239</v>
      </c>
      <c r="K2579" s="7" t="s">
        <v>3831</v>
      </c>
      <c r="L2579" s="7" t="s">
        <v>239</v>
      </c>
      <c r="M2579" s="31">
        <v>45662</v>
      </c>
      <c r="N2579" s="7" t="s">
        <v>4953</v>
      </c>
      <c r="O2579" s="8">
        <v>3104</v>
      </c>
      <c r="P2579" s="24">
        <v>9471</v>
      </c>
      <c r="Q2579" s="22">
        <f>IF(COUNTIFS(A$2:A2579,A2579,I$2:I2579,I2579)=1,1,0)</f>
        <v>0</v>
      </c>
      <c r="R2579" s="22">
        <f t="shared" si="40"/>
        <v>6</v>
      </c>
      <c r="S2579" s="33">
        <f>IF(COUNTIF(O$2:O2579,O2579)=1,R2579,0)/2.5</f>
        <v>0</v>
      </c>
    </row>
    <row r="2580" spans="1:19" ht="18" customHeight="1" x14ac:dyDescent="0.25">
      <c r="A2580" s="7" t="s">
        <v>43</v>
      </c>
      <c r="B2580" s="8">
        <v>1</v>
      </c>
      <c r="C2580" s="9">
        <v>455</v>
      </c>
      <c r="D2580" s="29">
        <f>C2580+IF(INDEX('Справочник по %'!B:B,(MATCH(A2580,'Справочник по %'!A:A,0)))="кол-во",B2580*INDEX('Справочник по %'!C:C,(MATCH(A2580,'Справочник по %'!A:A,0))),ОТЧЕТ!C2580*INDEX('Справочник по %'!C:C,(MATCH(A2580,'Справочник по %'!A:A,0))))/100</f>
        <v>500.5</v>
      </c>
      <c r="E2580" s="29">
        <f>IF(ОТЧЕТ!A2580="SKU3",C2580+ОТЧЕТ!C2580*0.2,C2580+ОТЧЕТ!C2580*0.15)</f>
        <v>523.25</v>
      </c>
      <c r="F2580" s="7" t="s">
        <v>4950</v>
      </c>
      <c r="G2580" s="7">
        <v>323374846</v>
      </c>
      <c r="H2580" s="20" t="s">
        <v>2356</v>
      </c>
      <c r="I2580" s="22">
        <f>INDEX('Справочник Сети'!B:B,(MATCH(G2580,'Справочник Сети'!C:C,0)))</f>
        <v>0</v>
      </c>
      <c r="J2580" s="7" t="s">
        <v>362</v>
      </c>
      <c r="K2580" s="7" t="s">
        <v>4954</v>
      </c>
      <c r="L2580" s="7" t="s">
        <v>362</v>
      </c>
      <c r="M2580" s="31">
        <v>45732</v>
      </c>
      <c r="N2580" s="7" t="s">
        <v>4955</v>
      </c>
      <c r="O2580" s="8">
        <v>3259</v>
      </c>
      <c r="P2580" s="24">
        <v>9473</v>
      </c>
      <c r="Q2580" s="22">
        <f>IF(COUNTIFS(A$2:A2580,A2580,I$2:I2580,I2580)=1,1,0)</f>
        <v>0</v>
      </c>
      <c r="R2580" s="22">
        <f t="shared" si="40"/>
        <v>3</v>
      </c>
      <c r="S2580" s="33">
        <f>IF(COUNTIF(O$2:O2580,O2580)=1,R2580,0)/2.5</f>
        <v>0</v>
      </c>
    </row>
    <row r="2581" spans="1:19" ht="18" customHeight="1" x14ac:dyDescent="0.25">
      <c r="A2581" s="7" t="s">
        <v>43</v>
      </c>
      <c r="B2581" s="8">
        <v>1</v>
      </c>
      <c r="C2581" s="9">
        <v>540</v>
      </c>
      <c r="D2581" s="29">
        <f>C2581+IF(INDEX('Справочник по %'!B:B,(MATCH(A2581,'Справочник по %'!A:A,0)))="кол-во",B2581*INDEX('Справочник по %'!C:C,(MATCH(A2581,'Справочник по %'!A:A,0))),ОТЧЕТ!C2581*INDEX('Справочник по %'!C:C,(MATCH(A2581,'Справочник по %'!A:A,0))))/100</f>
        <v>594</v>
      </c>
      <c r="E2581" s="29">
        <f>IF(ОТЧЕТ!A2581="SKU3",C2581+ОТЧЕТ!C2581*0.2,C2581+ОТЧЕТ!C2581*0.15)</f>
        <v>621</v>
      </c>
      <c r="F2581" s="7" t="s">
        <v>4950</v>
      </c>
      <c r="G2581" s="7">
        <v>2801226275</v>
      </c>
      <c r="H2581" s="20" t="s">
        <v>50</v>
      </c>
      <c r="I2581" s="22" t="str">
        <f>INDEX('Справочник Сети'!B:B,(MATCH(G2581,'Справочник Сети'!C:C,0)))</f>
        <v>Столички</v>
      </c>
      <c r="J2581" s="7" t="s">
        <v>193</v>
      </c>
      <c r="K2581" s="7" t="s">
        <v>3242</v>
      </c>
      <c r="L2581" s="7" t="s">
        <v>193</v>
      </c>
      <c r="M2581" s="31">
        <v>45718</v>
      </c>
      <c r="N2581" s="7" t="s">
        <v>4956</v>
      </c>
      <c r="O2581" s="8">
        <v>1273</v>
      </c>
      <c r="P2581" s="24">
        <v>9475</v>
      </c>
      <c r="Q2581" s="22">
        <f>IF(COUNTIFS(A$2:A2581,A2581,I$2:I2581,I2581)=1,1,0)</f>
        <v>0</v>
      </c>
      <c r="R2581" s="22">
        <f t="shared" si="40"/>
        <v>1</v>
      </c>
      <c r="S2581" s="33">
        <f>IF(COUNTIF(O$2:O2581,O2581)=1,R2581,0)/2.5</f>
        <v>0.4</v>
      </c>
    </row>
    <row r="2582" spans="1:19" ht="18" customHeight="1" x14ac:dyDescent="0.25">
      <c r="A2582" s="7" t="s">
        <v>43</v>
      </c>
      <c r="B2582" s="8">
        <v>1</v>
      </c>
      <c r="C2582" s="9">
        <v>415.9</v>
      </c>
      <c r="D2582" s="29">
        <f>C2582+IF(INDEX('Справочник по %'!B:B,(MATCH(A2582,'Справочник по %'!A:A,0)))="кол-во",B2582*INDEX('Справочник по %'!C:C,(MATCH(A2582,'Справочник по %'!A:A,0))),ОТЧЕТ!C2582*INDEX('Справочник по %'!C:C,(MATCH(A2582,'Справочник по %'!A:A,0))))/100</f>
        <v>457.49</v>
      </c>
      <c r="E2582" s="29">
        <f>IF(ОТЧЕТ!A2582="SKU3",C2582+ОТЧЕТ!C2582*0.2,C2582+ОТЧЕТ!C2582*0.15)</f>
        <v>478.28499999999997</v>
      </c>
      <c r="F2582" s="7" t="s">
        <v>4950</v>
      </c>
      <c r="G2582" s="7">
        <v>7204146152</v>
      </c>
      <c r="H2582" s="20" t="s">
        <v>3994</v>
      </c>
      <c r="I2582" s="22" t="str">
        <f>INDEX('Справочник Сети'!B:B,(MATCH(G2582,'Справочник Сети'!C:C,0)))</f>
        <v>36,6</v>
      </c>
      <c r="J2582" s="7" t="s">
        <v>104</v>
      </c>
      <c r="K2582" s="7" t="s">
        <v>4957</v>
      </c>
      <c r="L2582" s="7" t="s">
        <v>106</v>
      </c>
      <c r="M2582" s="31">
        <v>45694</v>
      </c>
      <c r="N2582" s="7" t="s">
        <v>4958</v>
      </c>
      <c r="O2582" s="8">
        <v>836</v>
      </c>
      <c r="P2582" s="24">
        <v>9480</v>
      </c>
      <c r="Q2582" s="22">
        <f>IF(COUNTIFS(A$2:A2582,A2582,I$2:I2582,I2582)=1,1,0)</f>
        <v>0</v>
      </c>
      <c r="R2582" s="22">
        <f t="shared" si="40"/>
        <v>11</v>
      </c>
      <c r="S2582" s="33">
        <f>IF(COUNTIF(O$2:O2582,O2582)=1,R2582,0)/2.5</f>
        <v>0</v>
      </c>
    </row>
    <row r="2583" spans="1:19" ht="18" customHeight="1" x14ac:dyDescent="0.25">
      <c r="A2583" s="7" t="s">
        <v>43</v>
      </c>
      <c r="B2583" s="8">
        <v>1</v>
      </c>
      <c r="C2583" s="9">
        <v>391</v>
      </c>
      <c r="D2583" s="29">
        <f>C2583+IF(INDEX('Справочник по %'!B:B,(MATCH(A2583,'Справочник по %'!A:A,0)))="кол-во",B2583*INDEX('Справочник по %'!C:C,(MATCH(A2583,'Справочник по %'!A:A,0))),ОТЧЕТ!C2583*INDEX('Справочник по %'!C:C,(MATCH(A2583,'Справочник по %'!A:A,0))))/100</f>
        <v>430.1</v>
      </c>
      <c r="E2583" s="29">
        <f>IF(ОТЧЕТ!A2583="SKU3",C2583+ОТЧЕТ!C2583*0.2,C2583+ОТЧЕТ!C2583*0.15)</f>
        <v>449.65</v>
      </c>
      <c r="F2583" s="7" t="s">
        <v>4950</v>
      </c>
      <c r="G2583" s="7">
        <v>2227026014</v>
      </c>
      <c r="H2583" s="20" t="s">
        <v>4959</v>
      </c>
      <c r="I2583" s="22">
        <f>INDEX('Справочник Сети'!B:B,(MATCH(G2583,'Справочник Сети'!C:C,0)))</f>
        <v>0</v>
      </c>
      <c r="J2583" s="7" t="s">
        <v>372</v>
      </c>
      <c r="K2583" s="7" t="s">
        <v>2136</v>
      </c>
      <c r="L2583" s="7" t="s">
        <v>372</v>
      </c>
      <c r="M2583" s="31">
        <v>45730</v>
      </c>
      <c r="N2583" s="7" t="s">
        <v>4960</v>
      </c>
      <c r="O2583" s="8">
        <v>1638</v>
      </c>
      <c r="P2583" s="24">
        <v>9485</v>
      </c>
      <c r="Q2583" s="22">
        <f>IF(COUNTIFS(A$2:A2583,A2583,I$2:I2583,I2583)=1,1,0)</f>
        <v>0</v>
      </c>
      <c r="R2583" s="22">
        <f t="shared" si="40"/>
        <v>1</v>
      </c>
      <c r="S2583" s="33">
        <f>IF(COUNTIF(O$2:O2583,O2583)=1,R2583,0)/2.5</f>
        <v>0.4</v>
      </c>
    </row>
    <row r="2584" spans="1:19" ht="18" customHeight="1" x14ac:dyDescent="0.25">
      <c r="A2584" s="7" t="s">
        <v>37</v>
      </c>
      <c r="B2584" s="8">
        <v>1</v>
      </c>
      <c r="C2584" s="9">
        <v>640</v>
      </c>
      <c r="D2584" s="29">
        <f>C2584+IF(INDEX('Справочник по %'!B:B,(MATCH(A2584,'Справочник по %'!A:A,0)))="кол-во",B2584*INDEX('Справочник по %'!C:C,(MATCH(A2584,'Справочник по %'!A:A,0))),ОТЧЕТ!C2584*INDEX('Справочник по %'!C:C,(MATCH(A2584,'Справочник по %'!A:A,0))))/100</f>
        <v>640.20000000000005</v>
      </c>
      <c r="E2584" s="29">
        <f>IF(ОТЧЕТ!A2584="SKU3",C2584+ОТЧЕТ!C2584*0.2,C2584+ОТЧЕТ!C2584*0.15)</f>
        <v>736</v>
      </c>
      <c r="F2584" s="7" t="s">
        <v>4950</v>
      </c>
      <c r="G2584" s="7">
        <v>2456004196</v>
      </c>
      <c r="H2584" s="20" t="s">
        <v>50</v>
      </c>
      <c r="I2584" s="22" t="str">
        <f>INDEX('Справочник Сети'!B:B,(MATCH(G2584,'Справочник Сети'!C:C,0)))</f>
        <v>Нео-фарм</v>
      </c>
      <c r="J2584" s="7" t="s">
        <v>96</v>
      </c>
      <c r="K2584" s="7" t="s">
        <v>607</v>
      </c>
      <c r="L2584" s="7" t="s">
        <v>96</v>
      </c>
      <c r="M2584" s="31">
        <v>45727</v>
      </c>
      <c r="N2584" s="7" t="s">
        <v>4961</v>
      </c>
      <c r="O2584" s="8">
        <v>295</v>
      </c>
      <c r="P2584" s="24">
        <v>9490</v>
      </c>
      <c r="Q2584" s="22">
        <f>IF(COUNTIFS(A$2:A2584,A2584,I$2:I2584,I2584)=1,1,0)</f>
        <v>0</v>
      </c>
      <c r="R2584" s="22">
        <f t="shared" si="40"/>
        <v>1</v>
      </c>
      <c r="S2584" s="33">
        <f>IF(COUNTIF(O$2:O2584,O2584)=1,R2584,0)/2.5</f>
        <v>0.4</v>
      </c>
    </row>
    <row r="2585" spans="1:19" ht="18" customHeight="1" x14ac:dyDescent="0.25">
      <c r="A2585" s="7" t="s">
        <v>37</v>
      </c>
      <c r="B2585" s="8">
        <v>1</v>
      </c>
      <c r="C2585" s="9">
        <v>565</v>
      </c>
      <c r="D2585" s="29">
        <f>C2585+IF(INDEX('Справочник по %'!B:B,(MATCH(A2585,'Справочник по %'!A:A,0)))="кол-во",B2585*INDEX('Справочник по %'!C:C,(MATCH(A2585,'Справочник по %'!A:A,0))),ОТЧЕТ!C2585*INDEX('Справочник по %'!C:C,(MATCH(A2585,'Справочник по %'!A:A,0))))/100</f>
        <v>565.20000000000005</v>
      </c>
      <c r="E2585" s="29">
        <f>IF(ОТЧЕТ!A2585="SKU3",C2585+ОТЧЕТ!C2585*0.2,C2585+ОТЧЕТ!C2585*0.15)</f>
        <v>649.75</v>
      </c>
      <c r="F2585" s="7" t="s">
        <v>4962</v>
      </c>
      <c r="G2585" s="7">
        <v>7706795062</v>
      </c>
      <c r="H2585" s="20" t="s">
        <v>114</v>
      </c>
      <c r="I2585" s="22" t="str">
        <f>INDEX('Справочник Сети'!B:B,(MATCH(G2585,'Справочник Сети'!C:C,0)))</f>
        <v>Планета здоровья</v>
      </c>
      <c r="J2585" s="7" t="s">
        <v>87</v>
      </c>
      <c r="K2585" s="7" t="s">
        <v>1469</v>
      </c>
      <c r="L2585" s="7" t="s">
        <v>116</v>
      </c>
      <c r="M2585" s="31">
        <v>45692</v>
      </c>
      <c r="N2585" s="7" t="s">
        <v>4963</v>
      </c>
      <c r="O2585" s="8">
        <v>1120</v>
      </c>
      <c r="P2585" s="24">
        <v>9497</v>
      </c>
      <c r="Q2585" s="22">
        <f>IF(COUNTIFS(A$2:A2585,A2585,I$2:I2585,I2585)=1,1,0)</f>
        <v>0</v>
      </c>
      <c r="R2585" s="22">
        <f t="shared" si="40"/>
        <v>5</v>
      </c>
      <c r="S2585" s="33">
        <f>IF(COUNTIF(O$2:O2585,O2585)=1,R2585,0)/2.5</f>
        <v>0</v>
      </c>
    </row>
    <row r="2586" spans="1:19" ht="18" customHeight="1" x14ac:dyDescent="0.25">
      <c r="A2586" s="7" t="s">
        <v>43</v>
      </c>
      <c r="B2586" s="8">
        <v>1</v>
      </c>
      <c r="C2586" s="9">
        <v>417</v>
      </c>
      <c r="D2586" s="29">
        <f>C2586+IF(INDEX('Справочник по %'!B:B,(MATCH(A2586,'Справочник по %'!A:A,0)))="кол-во",B2586*INDEX('Справочник по %'!C:C,(MATCH(A2586,'Справочник по %'!A:A,0))),ОТЧЕТ!C2586*INDEX('Справочник по %'!C:C,(MATCH(A2586,'Справочник по %'!A:A,0))))/100</f>
        <v>458.7</v>
      </c>
      <c r="E2586" s="29">
        <f>IF(ОТЧЕТ!A2586="SKU3",C2586+ОТЧЕТ!C2586*0.2,C2586+ОТЧЕТ!C2586*0.15)</f>
        <v>479.55</v>
      </c>
      <c r="F2586" s="7" t="s">
        <v>4962</v>
      </c>
      <c r="G2586" s="7">
        <v>6722022100</v>
      </c>
      <c r="H2586" s="20" t="s">
        <v>50</v>
      </c>
      <c r="I2586" s="22">
        <f>INDEX('Справочник Сети'!B:B,(MATCH(G2586,'Справочник Сети'!C:C,0)))</f>
        <v>0</v>
      </c>
      <c r="J2586" s="7" t="s">
        <v>106</v>
      </c>
      <c r="K2586" s="7" t="s">
        <v>2125</v>
      </c>
      <c r="L2586" s="7" t="s">
        <v>106</v>
      </c>
      <c r="M2586" s="31">
        <v>45694</v>
      </c>
      <c r="N2586" s="7" t="s">
        <v>4964</v>
      </c>
      <c r="O2586" s="8">
        <v>1700</v>
      </c>
      <c r="P2586" s="24">
        <v>9500</v>
      </c>
      <c r="Q2586" s="22">
        <f>IF(COUNTIFS(A$2:A2586,A2586,I$2:I2586,I2586)=1,1,0)</f>
        <v>0</v>
      </c>
      <c r="R2586" s="22">
        <f t="shared" si="40"/>
        <v>5</v>
      </c>
      <c r="S2586" s="33">
        <f>IF(COUNTIF(O$2:O2586,O2586)=1,R2586,0)/2.5</f>
        <v>0</v>
      </c>
    </row>
    <row r="2587" spans="1:19" ht="18" customHeight="1" x14ac:dyDescent="0.25">
      <c r="A2587" s="7" t="s">
        <v>43</v>
      </c>
      <c r="B2587" s="8">
        <v>1</v>
      </c>
      <c r="C2587" s="9">
        <v>400.68</v>
      </c>
      <c r="D2587" s="29">
        <f>C2587+IF(INDEX('Справочник по %'!B:B,(MATCH(A2587,'Справочник по %'!A:A,0)))="кол-во",B2587*INDEX('Справочник по %'!C:C,(MATCH(A2587,'Справочник по %'!A:A,0))),ОТЧЕТ!C2587*INDEX('Справочник по %'!C:C,(MATCH(A2587,'Справочник по %'!A:A,0))))/100</f>
        <v>440.74799999999999</v>
      </c>
      <c r="E2587" s="29">
        <f>IF(ОТЧЕТ!A2587="SKU3",C2587+ОТЧЕТ!C2587*0.2,C2587+ОТЧЕТ!C2587*0.15)</f>
        <v>460.78199999999998</v>
      </c>
      <c r="F2587" s="7" t="s">
        <v>4962</v>
      </c>
      <c r="G2587" s="7">
        <v>5507102175</v>
      </c>
      <c r="H2587" s="20" t="s">
        <v>50</v>
      </c>
      <c r="I2587" s="22" t="str">
        <f>INDEX('Справочник Сети'!B:B,(MATCH(G2587,'Справочник Сети'!C:C,0)))</f>
        <v>Столички</v>
      </c>
      <c r="J2587" s="7" t="s">
        <v>255</v>
      </c>
      <c r="K2587" s="7" t="s">
        <v>2893</v>
      </c>
      <c r="L2587" s="7" t="s">
        <v>255</v>
      </c>
      <c r="M2587" s="31">
        <v>45713</v>
      </c>
      <c r="N2587" s="7" t="s">
        <v>4965</v>
      </c>
      <c r="O2587" s="8">
        <v>525</v>
      </c>
      <c r="P2587" s="24">
        <v>9501</v>
      </c>
      <c r="Q2587" s="22">
        <f>IF(COUNTIFS(A$2:A2587,A2587,I$2:I2587,I2587)=1,1,0)</f>
        <v>0</v>
      </c>
      <c r="R2587" s="22">
        <f t="shared" si="40"/>
        <v>3</v>
      </c>
      <c r="S2587" s="33">
        <f>IF(COUNTIF(O$2:O2587,O2587)=1,R2587,0)/2.5</f>
        <v>0</v>
      </c>
    </row>
    <row r="2588" spans="1:19" ht="18" customHeight="1" x14ac:dyDescent="0.25">
      <c r="A2588" s="7" t="s">
        <v>43</v>
      </c>
      <c r="B2588" s="8">
        <v>1</v>
      </c>
      <c r="C2588" s="9">
        <v>456.13</v>
      </c>
      <c r="D2588" s="29">
        <f>C2588+IF(INDEX('Справочник по %'!B:B,(MATCH(A2588,'Справочник по %'!A:A,0)))="кол-во",B2588*INDEX('Справочник по %'!C:C,(MATCH(A2588,'Справочник по %'!A:A,0))),ОТЧЕТ!C2588*INDEX('Справочник по %'!C:C,(MATCH(A2588,'Справочник по %'!A:A,0))))/100</f>
        <v>501.74299999999999</v>
      </c>
      <c r="E2588" s="29">
        <f>IF(ОТЧЕТ!A2588="SKU3",C2588+ОТЧЕТ!C2588*0.2,C2588+ОТЧЕТ!C2588*0.15)</f>
        <v>524.54949999999997</v>
      </c>
      <c r="F2588" s="7" t="s">
        <v>4962</v>
      </c>
      <c r="G2588" s="7">
        <v>5501207372</v>
      </c>
      <c r="H2588" s="20" t="s">
        <v>50</v>
      </c>
      <c r="I2588" s="22" t="str">
        <f>INDEX('Справочник Сети'!B:B,(MATCH(G2588,'Справочник Сети'!C:C,0)))</f>
        <v>Ригла</v>
      </c>
      <c r="J2588" s="7" t="s">
        <v>255</v>
      </c>
      <c r="K2588" s="7" t="s">
        <v>2301</v>
      </c>
      <c r="L2588" s="7" t="s">
        <v>255</v>
      </c>
      <c r="M2588" s="31">
        <v>45713</v>
      </c>
      <c r="N2588" s="7" t="s">
        <v>3389</v>
      </c>
      <c r="O2588" s="8">
        <v>324</v>
      </c>
      <c r="P2588" s="24">
        <v>9504</v>
      </c>
      <c r="Q2588" s="22">
        <f>IF(COUNTIFS(A$2:A2588,A2588,I$2:I2588,I2588)=1,1,0)</f>
        <v>0</v>
      </c>
      <c r="R2588" s="22">
        <f t="shared" si="40"/>
        <v>8</v>
      </c>
      <c r="S2588" s="33">
        <f>IF(COUNTIF(O$2:O2588,O2588)=1,R2588,0)/2.5</f>
        <v>0</v>
      </c>
    </row>
    <row r="2589" spans="1:19" ht="18" customHeight="1" x14ac:dyDescent="0.25">
      <c r="A2589" s="7" t="s">
        <v>43</v>
      </c>
      <c r="B2589" s="8">
        <v>1</v>
      </c>
      <c r="C2589" s="9">
        <v>430</v>
      </c>
      <c r="D2589" s="29">
        <f>C2589+IF(INDEX('Справочник по %'!B:B,(MATCH(A2589,'Справочник по %'!A:A,0)))="кол-во",B2589*INDEX('Справочник по %'!C:C,(MATCH(A2589,'Справочник по %'!A:A,0))),ОТЧЕТ!C2589*INDEX('Справочник по %'!C:C,(MATCH(A2589,'Справочник по %'!A:A,0))))/100</f>
        <v>473</v>
      </c>
      <c r="E2589" s="29">
        <f>IF(ОТЧЕТ!A2589="SKU3",C2589+ОТЧЕТ!C2589*0.2,C2589+ОТЧЕТ!C2589*0.15)</f>
        <v>494.5</v>
      </c>
      <c r="F2589" s="7" t="s">
        <v>4962</v>
      </c>
      <c r="G2589" s="7">
        <v>7017210094</v>
      </c>
      <c r="H2589" s="20" t="s">
        <v>50</v>
      </c>
      <c r="I2589" s="22">
        <f>INDEX('Справочник Сети'!B:B,(MATCH(G2589,'Справочник Сети'!C:C,0)))</f>
        <v>0</v>
      </c>
      <c r="J2589" s="7" t="s">
        <v>106</v>
      </c>
      <c r="K2589" s="7" t="s">
        <v>4966</v>
      </c>
      <c r="L2589" s="7" t="s">
        <v>106</v>
      </c>
      <c r="M2589" s="31">
        <v>45694</v>
      </c>
      <c r="N2589" s="7" t="s">
        <v>4967</v>
      </c>
      <c r="O2589" s="8">
        <v>617</v>
      </c>
      <c r="P2589" s="24">
        <v>9505</v>
      </c>
      <c r="Q2589" s="22">
        <f>IF(COUNTIFS(A$2:A2589,A2589,I$2:I2589,I2589)=1,1,0)</f>
        <v>0</v>
      </c>
      <c r="R2589" s="22">
        <f t="shared" si="40"/>
        <v>2</v>
      </c>
      <c r="S2589" s="33">
        <f>IF(COUNTIF(O$2:O2589,O2589)=1,R2589,0)/2.5</f>
        <v>0</v>
      </c>
    </row>
    <row r="2590" spans="1:19" ht="18" customHeight="1" x14ac:dyDescent="0.25">
      <c r="A2590" s="7" t="s">
        <v>43</v>
      </c>
      <c r="B2590" s="8">
        <v>1</v>
      </c>
      <c r="C2590" s="9">
        <v>446</v>
      </c>
      <c r="D2590" s="29">
        <f>C2590+IF(INDEX('Справочник по %'!B:B,(MATCH(A2590,'Справочник по %'!A:A,0)))="кол-во",B2590*INDEX('Справочник по %'!C:C,(MATCH(A2590,'Справочник по %'!A:A,0))),ОТЧЕТ!C2590*INDEX('Справочник по %'!C:C,(MATCH(A2590,'Справочник по %'!A:A,0))))/100</f>
        <v>490.6</v>
      </c>
      <c r="E2590" s="29">
        <f>IF(ОТЧЕТ!A2590="SKU3",C2590+ОТЧЕТ!C2590*0.2,C2590+ОТЧЕТ!C2590*0.15)</f>
        <v>512.9</v>
      </c>
      <c r="F2590" s="7" t="s">
        <v>4962</v>
      </c>
      <c r="G2590" s="7">
        <v>9204011303</v>
      </c>
      <c r="H2590" s="20" t="s">
        <v>4095</v>
      </c>
      <c r="I2590" s="22">
        <f>INDEX('Справочник Сети'!B:B,(MATCH(G2590,'Справочник Сети'!C:C,0)))</f>
        <v>0</v>
      </c>
      <c r="J2590" s="7" t="s">
        <v>239</v>
      </c>
      <c r="K2590" s="7" t="s">
        <v>963</v>
      </c>
      <c r="L2590" s="7" t="s">
        <v>239</v>
      </c>
      <c r="M2590" s="31">
        <v>45662</v>
      </c>
      <c r="N2590" s="7" t="s">
        <v>4968</v>
      </c>
      <c r="O2590" s="8">
        <v>764</v>
      </c>
      <c r="P2590" s="24">
        <v>9506</v>
      </c>
      <c r="Q2590" s="22">
        <f>IF(COUNTIFS(A$2:A2590,A2590,I$2:I2590,I2590)=1,1,0)</f>
        <v>0</v>
      </c>
      <c r="R2590" s="22">
        <f t="shared" si="40"/>
        <v>1</v>
      </c>
      <c r="S2590" s="33">
        <f>IF(COUNTIF(O$2:O2590,O2590)=1,R2590,0)/2.5</f>
        <v>0.4</v>
      </c>
    </row>
    <row r="2591" spans="1:19" ht="18" customHeight="1" x14ac:dyDescent="0.25">
      <c r="A2591" s="7" t="s">
        <v>43</v>
      </c>
      <c r="B2591" s="8">
        <v>1</v>
      </c>
      <c r="C2591" s="9">
        <v>421</v>
      </c>
      <c r="D2591" s="29">
        <f>C2591+IF(INDEX('Справочник по %'!B:B,(MATCH(A2591,'Справочник по %'!A:A,0)))="кол-во",B2591*INDEX('Справочник по %'!C:C,(MATCH(A2591,'Справочник по %'!A:A,0))),ОТЧЕТ!C2591*INDEX('Справочник по %'!C:C,(MATCH(A2591,'Справочник по %'!A:A,0))))/100</f>
        <v>463.1</v>
      </c>
      <c r="E2591" s="29">
        <f>IF(ОТЧЕТ!A2591="SKU3",C2591+ОТЧЕТ!C2591*0.2,C2591+ОТЧЕТ!C2591*0.15)</f>
        <v>484.15</v>
      </c>
      <c r="F2591" s="7" t="s">
        <v>4962</v>
      </c>
      <c r="G2591" s="7">
        <v>1504034650</v>
      </c>
      <c r="H2591" s="20" t="s">
        <v>4969</v>
      </c>
      <c r="I2591" s="22">
        <f>INDEX('Справочник Сети'!B:B,(MATCH(G2591,'Справочник Сети'!C:C,0)))</f>
        <v>0</v>
      </c>
      <c r="J2591" s="7" t="s">
        <v>335</v>
      </c>
      <c r="K2591" s="7" t="s">
        <v>976</v>
      </c>
      <c r="L2591" s="7" t="s">
        <v>335</v>
      </c>
      <c r="M2591" s="31">
        <v>45731</v>
      </c>
      <c r="N2591" s="7" t="s">
        <v>4970</v>
      </c>
      <c r="O2591" s="8">
        <v>1283</v>
      </c>
      <c r="P2591" s="24">
        <v>9510</v>
      </c>
      <c r="Q2591" s="22">
        <f>IF(COUNTIFS(A$2:A2591,A2591,I$2:I2591,I2591)=1,1,0)</f>
        <v>0</v>
      </c>
      <c r="R2591" s="22">
        <f t="shared" si="40"/>
        <v>1</v>
      </c>
      <c r="S2591" s="33">
        <f>IF(COUNTIF(O$2:O2591,O2591)=1,R2591,0)/2.5</f>
        <v>0.4</v>
      </c>
    </row>
    <row r="2592" spans="1:19" ht="18" customHeight="1" x14ac:dyDescent="0.25">
      <c r="A2592" s="7" t="s">
        <v>43</v>
      </c>
      <c r="B2592" s="8">
        <v>1</v>
      </c>
      <c r="C2592" s="9">
        <v>424</v>
      </c>
      <c r="D2592" s="29">
        <f>C2592+IF(INDEX('Справочник по %'!B:B,(MATCH(A2592,'Справочник по %'!A:A,0)))="кол-во",B2592*INDEX('Справочник по %'!C:C,(MATCH(A2592,'Справочник по %'!A:A,0))),ОТЧЕТ!C2592*INDEX('Справочник по %'!C:C,(MATCH(A2592,'Справочник по %'!A:A,0))))/100</f>
        <v>466.4</v>
      </c>
      <c r="E2592" s="29">
        <f>IF(ОТЧЕТ!A2592="SKU3",C2592+ОТЧЕТ!C2592*0.2,C2592+ОТЧЕТ!C2592*0.15)</f>
        <v>487.6</v>
      </c>
      <c r="F2592" s="7" t="s">
        <v>4962</v>
      </c>
      <c r="G2592" s="7">
        <v>2465327355</v>
      </c>
      <c r="H2592" s="20" t="s">
        <v>50</v>
      </c>
      <c r="I2592" s="22" t="str">
        <f>INDEX('Справочник Сети'!B:B,(MATCH(G2592,'Справочник Сети'!C:C,0)))</f>
        <v>Планета здоровья</v>
      </c>
      <c r="J2592" s="7" t="s">
        <v>96</v>
      </c>
      <c r="K2592" s="7" t="s">
        <v>4971</v>
      </c>
      <c r="L2592" s="7" t="s">
        <v>96</v>
      </c>
      <c r="M2592" s="31">
        <v>45727</v>
      </c>
      <c r="N2592" s="7" t="s">
        <v>4972</v>
      </c>
      <c r="O2592" s="8">
        <v>3069</v>
      </c>
      <c r="P2592" s="24">
        <v>9511</v>
      </c>
      <c r="Q2592" s="22">
        <f>IF(COUNTIFS(A$2:A2592,A2592,I$2:I2592,I2592)=1,1,0)</f>
        <v>0</v>
      </c>
      <c r="R2592" s="22">
        <f t="shared" si="40"/>
        <v>4</v>
      </c>
      <c r="S2592" s="33">
        <f>IF(COUNTIF(O$2:O2592,O2592)=1,R2592,0)/2.5</f>
        <v>0</v>
      </c>
    </row>
    <row r="2593" spans="1:19" ht="18" customHeight="1" x14ac:dyDescent="0.25">
      <c r="A2593" s="7" t="s">
        <v>37</v>
      </c>
      <c r="B2593" s="8">
        <v>1</v>
      </c>
      <c r="C2593" s="9">
        <v>795</v>
      </c>
      <c r="D2593" s="29">
        <f>C2593+IF(INDEX('Справочник по %'!B:B,(MATCH(A2593,'Справочник по %'!A:A,0)))="кол-во",B2593*INDEX('Справочник по %'!C:C,(MATCH(A2593,'Справочник по %'!A:A,0))),ОТЧЕТ!C2593*INDEX('Справочник по %'!C:C,(MATCH(A2593,'Справочник по %'!A:A,0))))/100</f>
        <v>795.2</v>
      </c>
      <c r="E2593" s="29">
        <f>IF(ОТЧЕТ!A2593="SKU3",C2593+ОТЧЕТ!C2593*0.2,C2593+ОТЧЕТ!C2593*0.15)</f>
        <v>914.25</v>
      </c>
      <c r="F2593" s="7" t="s">
        <v>4962</v>
      </c>
      <c r="G2593" s="7">
        <v>1435170472</v>
      </c>
      <c r="H2593" s="20" t="s">
        <v>4973</v>
      </c>
      <c r="I2593" s="22">
        <f>INDEX('Справочник Сети'!B:B,(MATCH(G2593,'Справочник Сети'!C:C,0)))</f>
        <v>0</v>
      </c>
      <c r="J2593" s="7" t="s">
        <v>335</v>
      </c>
      <c r="K2593" s="7" t="s">
        <v>3195</v>
      </c>
      <c r="L2593" s="7" t="s">
        <v>335</v>
      </c>
      <c r="M2593" s="31">
        <v>45731</v>
      </c>
      <c r="N2593" s="7" t="s">
        <v>4974</v>
      </c>
      <c r="O2593" s="8">
        <v>496</v>
      </c>
      <c r="P2593" s="24">
        <v>9512</v>
      </c>
      <c r="Q2593" s="22">
        <f>IF(COUNTIFS(A$2:A2593,A2593,I$2:I2593,I2593)=1,1,0)</f>
        <v>0</v>
      </c>
      <c r="R2593" s="22">
        <f t="shared" si="40"/>
        <v>1</v>
      </c>
      <c r="S2593" s="33">
        <f>IF(COUNTIF(O$2:O2593,O2593)=1,R2593,0)/2.5</f>
        <v>0.4</v>
      </c>
    </row>
    <row r="2594" spans="1:19" ht="18" customHeight="1" x14ac:dyDescent="0.25">
      <c r="A2594" s="7" t="s">
        <v>43</v>
      </c>
      <c r="B2594" s="8">
        <v>1</v>
      </c>
      <c r="C2594" s="9">
        <v>461</v>
      </c>
      <c r="D2594" s="29">
        <f>C2594+IF(INDEX('Справочник по %'!B:B,(MATCH(A2594,'Справочник по %'!A:A,0)))="кол-во",B2594*INDEX('Справочник по %'!C:C,(MATCH(A2594,'Справочник по %'!A:A,0))),ОТЧЕТ!C2594*INDEX('Справочник по %'!C:C,(MATCH(A2594,'Справочник по %'!A:A,0))))/100</f>
        <v>507.1</v>
      </c>
      <c r="E2594" s="29">
        <f>IF(ОТЧЕТ!A2594="SKU3",C2594+ОТЧЕТ!C2594*0.2,C2594+ОТЧЕТ!C2594*0.15)</f>
        <v>530.15</v>
      </c>
      <c r="F2594" s="7" t="s">
        <v>4962</v>
      </c>
      <c r="G2594" s="7">
        <v>7726423062</v>
      </c>
      <c r="H2594" s="20" t="s">
        <v>50</v>
      </c>
      <c r="I2594" s="22" t="str">
        <f>INDEX('Справочник Сети'!B:B,(MATCH(G2594,'Справочник Сети'!C:C,0)))</f>
        <v>Ригла</v>
      </c>
      <c r="J2594" s="7" t="s">
        <v>185</v>
      </c>
      <c r="K2594" s="7" t="s">
        <v>1238</v>
      </c>
      <c r="L2594" s="7" t="s">
        <v>185</v>
      </c>
      <c r="M2594" s="31">
        <v>45675</v>
      </c>
      <c r="N2594" s="7" t="s">
        <v>4975</v>
      </c>
      <c r="O2594" s="8">
        <v>32</v>
      </c>
      <c r="P2594" s="24">
        <v>9513</v>
      </c>
      <c r="Q2594" s="22">
        <f>IF(COUNTIFS(A$2:A2594,A2594,I$2:I2594,I2594)=1,1,0)</f>
        <v>0</v>
      </c>
      <c r="R2594" s="22">
        <f t="shared" si="40"/>
        <v>3</v>
      </c>
      <c r="S2594" s="33">
        <f>IF(COUNTIF(O$2:O2594,O2594)=1,R2594,0)/2.5</f>
        <v>0</v>
      </c>
    </row>
    <row r="2595" spans="1:19" ht="18" customHeight="1" x14ac:dyDescent="0.25">
      <c r="A2595" s="7" t="s">
        <v>43</v>
      </c>
      <c r="B2595" s="8">
        <v>1</v>
      </c>
      <c r="C2595" s="9">
        <v>599</v>
      </c>
      <c r="D2595" s="29">
        <f>C2595+IF(INDEX('Справочник по %'!B:B,(MATCH(A2595,'Справочник по %'!A:A,0)))="кол-во",B2595*INDEX('Справочник по %'!C:C,(MATCH(A2595,'Справочник по %'!A:A,0))),ОТЧЕТ!C2595*INDEX('Справочник по %'!C:C,(MATCH(A2595,'Справочник по %'!A:A,0))))/100</f>
        <v>658.9</v>
      </c>
      <c r="E2595" s="29">
        <f>IF(ОТЧЕТ!A2595="SKU3",C2595+ОТЧЕТ!C2595*0.2,C2595+ОТЧЕТ!C2595*0.15)</f>
        <v>688.85</v>
      </c>
      <c r="F2595" s="7" t="s">
        <v>4962</v>
      </c>
      <c r="G2595" s="7">
        <v>7714844316</v>
      </c>
      <c r="H2595" s="20" t="s">
        <v>50</v>
      </c>
      <c r="I2595" s="22" t="str">
        <f>INDEX('Справочник Сети'!B:B,(MATCH(G2595,'Справочник Сети'!C:C,0)))</f>
        <v>Планета здоровья</v>
      </c>
      <c r="J2595" s="7" t="s">
        <v>504</v>
      </c>
      <c r="K2595" s="7" t="s">
        <v>1535</v>
      </c>
      <c r="L2595" s="7" t="s">
        <v>504</v>
      </c>
      <c r="M2595" s="31">
        <v>45690</v>
      </c>
      <c r="N2595" s="7" t="s">
        <v>4976</v>
      </c>
      <c r="O2595" s="8">
        <v>2496</v>
      </c>
      <c r="P2595" s="24">
        <v>9514</v>
      </c>
      <c r="Q2595" s="22">
        <f>IF(COUNTIFS(A$2:A2595,A2595,I$2:I2595,I2595)=1,1,0)</f>
        <v>0</v>
      </c>
      <c r="R2595" s="22">
        <f t="shared" si="40"/>
        <v>6</v>
      </c>
      <c r="S2595" s="33">
        <f>IF(COUNTIF(O$2:O2595,O2595)=1,R2595,0)/2.5</f>
        <v>0</v>
      </c>
    </row>
    <row r="2596" spans="1:19" ht="18" customHeight="1" x14ac:dyDescent="0.25">
      <c r="A2596" s="7" t="s">
        <v>43</v>
      </c>
      <c r="B2596" s="8">
        <v>1</v>
      </c>
      <c r="C2596" s="9">
        <v>394.25</v>
      </c>
      <c r="D2596" s="29">
        <f>C2596+IF(INDEX('Справочник по %'!B:B,(MATCH(A2596,'Справочник по %'!A:A,0)))="кол-во",B2596*INDEX('Справочник по %'!C:C,(MATCH(A2596,'Справочник по %'!A:A,0))),ОТЧЕТ!C2596*INDEX('Справочник по %'!C:C,(MATCH(A2596,'Справочник по %'!A:A,0))))/100</f>
        <v>433.67500000000001</v>
      </c>
      <c r="E2596" s="29">
        <f>IF(ОТЧЕТ!A2596="SKU3",C2596+ОТЧЕТ!C2596*0.2,C2596+ОТЧЕТ!C2596*0.15)</f>
        <v>453.38749999999999</v>
      </c>
      <c r="F2596" s="7" t="s">
        <v>4962</v>
      </c>
      <c r="G2596" s="7">
        <v>2801016937</v>
      </c>
      <c r="H2596" s="20" t="s">
        <v>4977</v>
      </c>
      <c r="I2596" s="22" t="str">
        <f>INDEX('Справочник Сети'!B:B,(MATCH(G2596,'Справочник Сети'!C:C,0)))</f>
        <v>Столички</v>
      </c>
      <c r="J2596" s="7" t="s">
        <v>193</v>
      </c>
      <c r="K2596" s="7" t="s">
        <v>3063</v>
      </c>
      <c r="L2596" s="7" t="s">
        <v>193</v>
      </c>
      <c r="M2596" s="31">
        <v>45718</v>
      </c>
      <c r="N2596" s="7" t="s">
        <v>4978</v>
      </c>
      <c r="O2596" s="8">
        <v>3098</v>
      </c>
      <c r="P2596" s="24">
        <v>9516</v>
      </c>
      <c r="Q2596" s="22">
        <f>IF(COUNTIFS(A$2:A2596,A2596,I$2:I2596,I2596)=1,1,0)</f>
        <v>0</v>
      </c>
      <c r="R2596" s="22">
        <f t="shared" si="40"/>
        <v>1</v>
      </c>
      <c r="S2596" s="33">
        <f>IF(COUNTIF(O$2:O2596,O2596)=1,R2596,0)/2.5</f>
        <v>0.4</v>
      </c>
    </row>
    <row r="2597" spans="1:19" ht="18" customHeight="1" x14ac:dyDescent="0.25">
      <c r="A2597" s="7" t="s">
        <v>43</v>
      </c>
      <c r="B2597" s="8">
        <v>1</v>
      </c>
      <c r="C2597" s="9">
        <v>445.5</v>
      </c>
      <c r="D2597" s="29">
        <f>C2597+IF(INDEX('Справочник по %'!B:B,(MATCH(A2597,'Справочник по %'!A:A,0)))="кол-во",B2597*INDEX('Справочник по %'!C:C,(MATCH(A2597,'Справочник по %'!A:A,0))),ОТЧЕТ!C2597*INDEX('Справочник по %'!C:C,(MATCH(A2597,'Справочник по %'!A:A,0))))/100</f>
        <v>490.05</v>
      </c>
      <c r="E2597" s="29">
        <f>IF(ОТЧЕТ!A2597="SKU3",C2597+ОТЧЕТ!C2597*0.2,C2597+ОТЧЕТ!C2597*0.15)</f>
        <v>512.32500000000005</v>
      </c>
      <c r="F2597" s="7" t="s">
        <v>4962</v>
      </c>
      <c r="G2597" s="7">
        <v>7840411560</v>
      </c>
      <c r="H2597" s="20" t="s">
        <v>2112</v>
      </c>
      <c r="I2597" s="22" t="str">
        <f>INDEX('Справочник Сети'!B:B,(MATCH(G2597,'Справочник Сети'!C:C,0)))</f>
        <v>Столички</v>
      </c>
      <c r="J2597" s="7" t="s">
        <v>315</v>
      </c>
      <c r="K2597" s="7" t="s">
        <v>2031</v>
      </c>
      <c r="L2597" s="7" t="s">
        <v>315</v>
      </c>
      <c r="M2597" s="31">
        <v>45670</v>
      </c>
      <c r="N2597" s="7" t="s">
        <v>4979</v>
      </c>
      <c r="O2597" s="8">
        <v>919</v>
      </c>
      <c r="P2597" s="24">
        <v>9518</v>
      </c>
      <c r="Q2597" s="22">
        <f>IF(COUNTIFS(A$2:A2597,A2597,I$2:I2597,I2597)=1,1,0)</f>
        <v>0</v>
      </c>
      <c r="R2597" s="22">
        <f t="shared" si="40"/>
        <v>2</v>
      </c>
      <c r="S2597" s="33">
        <f>IF(COUNTIF(O$2:O2597,O2597)=1,R2597,0)/2.5</f>
        <v>0</v>
      </c>
    </row>
    <row r="2598" spans="1:19" ht="18" customHeight="1" x14ac:dyDescent="0.25">
      <c r="A2598" s="7" t="s">
        <v>43</v>
      </c>
      <c r="B2598" s="8">
        <v>1</v>
      </c>
      <c r="C2598" s="9">
        <v>588</v>
      </c>
      <c r="D2598" s="29">
        <f>C2598+IF(INDEX('Справочник по %'!B:B,(MATCH(A2598,'Справочник по %'!A:A,0)))="кол-во",B2598*INDEX('Справочник по %'!C:C,(MATCH(A2598,'Справочник по %'!A:A,0))),ОТЧЕТ!C2598*INDEX('Справочник по %'!C:C,(MATCH(A2598,'Справочник по %'!A:A,0))))/100</f>
        <v>646.79999999999995</v>
      </c>
      <c r="E2598" s="29">
        <f>IF(ОТЧЕТ!A2598="SKU3",C2598+ОТЧЕТ!C2598*0.2,C2598+ОТЧЕТ!C2598*0.15)</f>
        <v>676.2</v>
      </c>
      <c r="F2598" s="7" t="s">
        <v>4962</v>
      </c>
      <c r="G2598" s="7">
        <v>5008036897</v>
      </c>
      <c r="H2598" s="20" t="s">
        <v>4980</v>
      </c>
      <c r="I2598" s="22" t="str">
        <f>INDEX('Справочник Сети'!B:B,(MATCH(G2598,'Справочник Сети'!C:C,0)))</f>
        <v>Столички</v>
      </c>
      <c r="J2598" s="7" t="s">
        <v>83</v>
      </c>
      <c r="K2598" s="7" t="s">
        <v>2218</v>
      </c>
      <c r="L2598" s="7" t="s">
        <v>83</v>
      </c>
      <c r="M2598" s="31">
        <v>45715</v>
      </c>
      <c r="N2598" s="7" t="s">
        <v>4981</v>
      </c>
      <c r="O2598" s="8">
        <v>1446</v>
      </c>
      <c r="P2598" s="24">
        <v>9521</v>
      </c>
      <c r="Q2598" s="22">
        <f>IF(COUNTIFS(A$2:A2598,A2598,I$2:I2598,I2598)=1,1,0)</f>
        <v>0</v>
      </c>
      <c r="R2598" s="22">
        <f t="shared" si="40"/>
        <v>1</v>
      </c>
      <c r="S2598" s="33">
        <f>IF(COUNTIF(O$2:O2598,O2598)=1,R2598,0)/2.5</f>
        <v>0.4</v>
      </c>
    </row>
    <row r="2599" spans="1:19" ht="18" customHeight="1" x14ac:dyDescent="0.25">
      <c r="A2599" s="7" t="s">
        <v>43</v>
      </c>
      <c r="B2599" s="8">
        <v>1</v>
      </c>
      <c r="C2599" s="9">
        <v>495</v>
      </c>
      <c r="D2599" s="29">
        <f>C2599+IF(INDEX('Справочник по %'!B:B,(MATCH(A2599,'Справочник по %'!A:A,0)))="кол-во",B2599*INDEX('Справочник по %'!C:C,(MATCH(A2599,'Справочник по %'!A:A,0))),ОТЧЕТ!C2599*INDEX('Справочник по %'!C:C,(MATCH(A2599,'Справочник по %'!A:A,0))))/100</f>
        <v>544.5</v>
      </c>
      <c r="E2599" s="29">
        <f>IF(ОТЧЕТ!A2599="SKU3",C2599+ОТЧЕТ!C2599*0.2,C2599+ОТЧЕТ!C2599*0.15)</f>
        <v>569.25</v>
      </c>
      <c r="F2599" s="7" t="s">
        <v>4962</v>
      </c>
      <c r="G2599" s="7">
        <v>7723622609</v>
      </c>
      <c r="H2599" s="20" t="s">
        <v>4982</v>
      </c>
      <c r="I2599" s="22">
        <f>INDEX('Справочник Сети'!B:B,(MATCH(G2599,'Справочник Сети'!C:C,0)))</f>
        <v>0</v>
      </c>
      <c r="J2599" s="7" t="s">
        <v>185</v>
      </c>
      <c r="K2599" s="7" t="s">
        <v>2218</v>
      </c>
      <c r="L2599" s="7" t="s">
        <v>185</v>
      </c>
      <c r="M2599" s="31">
        <v>45675</v>
      </c>
      <c r="N2599" s="7" t="s">
        <v>4983</v>
      </c>
      <c r="O2599" s="8">
        <v>1681</v>
      </c>
      <c r="P2599" s="24">
        <v>9522</v>
      </c>
      <c r="Q2599" s="22">
        <f>IF(COUNTIFS(A$2:A2599,A2599,I$2:I2599,I2599)=1,1,0)</f>
        <v>0</v>
      </c>
      <c r="R2599" s="22">
        <f t="shared" si="40"/>
        <v>1</v>
      </c>
      <c r="S2599" s="33">
        <f>IF(COUNTIF(O$2:O2599,O2599)=1,R2599,0)/2.5</f>
        <v>0.4</v>
      </c>
    </row>
    <row r="2600" spans="1:19" ht="18" customHeight="1" x14ac:dyDescent="0.25">
      <c r="A2600" s="7" t="s">
        <v>43</v>
      </c>
      <c r="B2600" s="8">
        <v>1</v>
      </c>
      <c r="C2600" s="9">
        <v>397</v>
      </c>
      <c r="D2600" s="29">
        <f>C2600+IF(INDEX('Справочник по %'!B:B,(MATCH(A2600,'Справочник по %'!A:A,0)))="кол-во",B2600*INDEX('Справочник по %'!C:C,(MATCH(A2600,'Справочник по %'!A:A,0))),ОТЧЕТ!C2600*INDEX('Справочник по %'!C:C,(MATCH(A2600,'Справочник по %'!A:A,0))))/100</f>
        <v>436.7</v>
      </c>
      <c r="E2600" s="29">
        <f>IF(ОТЧЕТ!A2600="SKU3",C2600+ОТЧЕТ!C2600*0.2,C2600+ОТЧЕТ!C2600*0.15)</f>
        <v>456.55</v>
      </c>
      <c r="F2600" s="7" t="s">
        <v>4962</v>
      </c>
      <c r="G2600" s="7">
        <v>7732121736</v>
      </c>
      <c r="H2600" s="20" t="s">
        <v>4984</v>
      </c>
      <c r="I2600" s="22" t="str">
        <f>INDEX('Справочник Сети'!B:B,(MATCH(G2600,'Справочник Сети'!C:C,0)))</f>
        <v>Планета здоровья</v>
      </c>
      <c r="J2600" s="7" t="s">
        <v>149</v>
      </c>
      <c r="K2600" s="7" t="s">
        <v>632</v>
      </c>
      <c r="L2600" s="7" t="s">
        <v>149</v>
      </c>
      <c r="M2600" s="31">
        <v>45673</v>
      </c>
      <c r="N2600" s="7" t="s">
        <v>4985</v>
      </c>
      <c r="O2600" s="8">
        <v>2697</v>
      </c>
      <c r="P2600" s="24">
        <v>9525</v>
      </c>
      <c r="Q2600" s="22">
        <f>IF(COUNTIFS(A$2:A2600,A2600,I$2:I2600,I2600)=1,1,0)</f>
        <v>0</v>
      </c>
      <c r="R2600" s="22">
        <f t="shared" si="40"/>
        <v>1</v>
      </c>
      <c r="S2600" s="33">
        <f>IF(COUNTIF(O$2:O2600,O2600)=1,R2600,0)/2.5</f>
        <v>0.4</v>
      </c>
    </row>
    <row r="2601" spans="1:19" ht="18" customHeight="1" x14ac:dyDescent="0.25">
      <c r="A2601" s="7" t="s">
        <v>43</v>
      </c>
      <c r="B2601" s="8">
        <v>1</v>
      </c>
      <c r="C2601" s="9">
        <v>407</v>
      </c>
      <c r="D2601" s="29">
        <f>C2601+IF(INDEX('Справочник по %'!B:B,(MATCH(A2601,'Справочник по %'!A:A,0)))="кол-во",B2601*INDEX('Справочник по %'!C:C,(MATCH(A2601,'Справочник по %'!A:A,0))),ОТЧЕТ!C2601*INDEX('Справочник по %'!C:C,(MATCH(A2601,'Справочник по %'!A:A,0))))/100</f>
        <v>447.7</v>
      </c>
      <c r="E2601" s="29">
        <f>IF(ОТЧЕТ!A2601="SKU3",C2601+ОТЧЕТ!C2601*0.2,C2601+ОТЧЕТ!C2601*0.15)</f>
        <v>468.05</v>
      </c>
      <c r="F2601" s="7" t="s">
        <v>4986</v>
      </c>
      <c r="G2601" s="7">
        <v>3812987851</v>
      </c>
      <c r="H2601" s="20" t="s">
        <v>2344</v>
      </c>
      <c r="I2601" s="22" t="str">
        <f>INDEX('Справочник Сети'!B:B,(MATCH(G2601,'Справочник Сети'!C:C,0)))</f>
        <v>Планета здоровья</v>
      </c>
      <c r="J2601" s="7" t="s">
        <v>155</v>
      </c>
      <c r="K2601" s="7" t="s">
        <v>1283</v>
      </c>
      <c r="L2601" s="7" t="s">
        <v>155</v>
      </c>
      <c r="M2601" s="31">
        <v>45716</v>
      </c>
      <c r="N2601" s="7" t="s">
        <v>4987</v>
      </c>
      <c r="O2601" s="8">
        <v>1919</v>
      </c>
      <c r="P2601" s="24">
        <v>9531</v>
      </c>
      <c r="Q2601" s="22">
        <f>IF(COUNTIFS(A$2:A2601,A2601,I$2:I2601,I2601)=1,1,0)</f>
        <v>0</v>
      </c>
      <c r="R2601" s="22">
        <f t="shared" si="40"/>
        <v>2</v>
      </c>
      <c r="S2601" s="33">
        <f>IF(COUNTIF(O$2:O2601,O2601)=1,R2601,0)/2.5</f>
        <v>0</v>
      </c>
    </row>
    <row r="2602" spans="1:19" ht="18" customHeight="1" x14ac:dyDescent="0.25">
      <c r="A2602" s="7" t="s">
        <v>43</v>
      </c>
      <c r="B2602" s="8">
        <v>1</v>
      </c>
      <c r="C2602" s="9">
        <v>421</v>
      </c>
      <c r="D2602" s="29">
        <f>C2602+IF(INDEX('Справочник по %'!B:B,(MATCH(A2602,'Справочник по %'!A:A,0)))="кол-во",B2602*INDEX('Справочник по %'!C:C,(MATCH(A2602,'Справочник по %'!A:A,0))),ОТЧЕТ!C2602*INDEX('Справочник по %'!C:C,(MATCH(A2602,'Справочник по %'!A:A,0))))/100</f>
        <v>463.1</v>
      </c>
      <c r="E2602" s="29">
        <f>IF(ОТЧЕТ!A2602="SKU3",C2602+ОТЧЕТ!C2602*0.2,C2602+ОТЧЕТ!C2602*0.15)</f>
        <v>484.15</v>
      </c>
      <c r="F2602" s="7" t="s">
        <v>4986</v>
      </c>
      <c r="G2602" s="7">
        <v>2310200444</v>
      </c>
      <c r="H2602" s="20" t="s">
        <v>69</v>
      </c>
      <c r="I2602" s="22" t="str">
        <f>INDEX('Справочник Сети'!B:B,(MATCH(G2602,'Справочник Сети'!C:C,0)))</f>
        <v>Планета здоровья</v>
      </c>
      <c r="J2602" s="7" t="s">
        <v>70</v>
      </c>
      <c r="K2602" s="7" t="s">
        <v>1063</v>
      </c>
      <c r="L2602" s="7" t="s">
        <v>57</v>
      </c>
      <c r="M2602" s="31">
        <v>45729</v>
      </c>
      <c r="N2602" s="7" t="s">
        <v>4988</v>
      </c>
      <c r="O2602" s="8">
        <v>3660</v>
      </c>
      <c r="P2602" s="24">
        <v>9533</v>
      </c>
      <c r="Q2602" s="22">
        <f>IF(COUNTIFS(A$2:A2602,A2602,I$2:I2602,I2602)=1,1,0)</f>
        <v>0</v>
      </c>
      <c r="R2602" s="22">
        <f t="shared" si="40"/>
        <v>2</v>
      </c>
      <c r="S2602" s="33">
        <f>IF(COUNTIF(O$2:O2602,O2602)=1,R2602,0)/2.5</f>
        <v>0</v>
      </c>
    </row>
    <row r="2603" spans="1:19" ht="18" customHeight="1" x14ac:dyDescent="0.25">
      <c r="A2603" s="7" t="s">
        <v>43</v>
      </c>
      <c r="B2603" s="8">
        <v>1</v>
      </c>
      <c r="C2603" s="9">
        <v>422.62</v>
      </c>
      <c r="D2603" s="29">
        <f>C2603+IF(INDEX('Справочник по %'!B:B,(MATCH(A2603,'Справочник по %'!A:A,0)))="кол-во",B2603*INDEX('Справочник по %'!C:C,(MATCH(A2603,'Справочник по %'!A:A,0))),ОТЧЕТ!C2603*INDEX('Справочник по %'!C:C,(MATCH(A2603,'Справочник по %'!A:A,0))))/100</f>
        <v>464.88200000000001</v>
      </c>
      <c r="E2603" s="29">
        <f>IF(ОТЧЕТ!A2603="SKU3",C2603+ОТЧЕТ!C2603*0.2,C2603+ОТЧЕТ!C2603*0.15)</f>
        <v>486.01300000000003</v>
      </c>
      <c r="F2603" s="7" t="s">
        <v>4986</v>
      </c>
      <c r="G2603" s="7">
        <v>2629011770</v>
      </c>
      <c r="H2603" s="20" t="s">
        <v>1578</v>
      </c>
      <c r="I2603" s="22" t="str">
        <f>INDEX('Справочник Сети'!B:B,(MATCH(G2603,'Справочник Сети'!C:C,0)))</f>
        <v>Столички</v>
      </c>
      <c r="J2603" s="7" t="s">
        <v>46</v>
      </c>
      <c r="K2603" s="7" t="s">
        <v>290</v>
      </c>
      <c r="L2603" s="7" t="s">
        <v>46</v>
      </c>
      <c r="M2603" s="31">
        <v>45726</v>
      </c>
      <c r="N2603" s="7" t="s">
        <v>4989</v>
      </c>
      <c r="O2603" s="8">
        <v>3483</v>
      </c>
      <c r="P2603" s="24">
        <v>9535</v>
      </c>
      <c r="Q2603" s="22">
        <f>IF(COUNTIFS(A$2:A2603,A2603,I$2:I2603,I2603)=1,1,0)</f>
        <v>0</v>
      </c>
      <c r="R2603" s="22">
        <f t="shared" si="40"/>
        <v>3</v>
      </c>
      <c r="S2603" s="33">
        <f>IF(COUNTIF(O$2:O2603,O2603)=1,R2603,0)/2.5</f>
        <v>0</v>
      </c>
    </row>
    <row r="2604" spans="1:19" ht="18" customHeight="1" x14ac:dyDescent="0.25">
      <c r="A2604" s="7" t="s">
        <v>43</v>
      </c>
      <c r="B2604" s="8">
        <v>1</v>
      </c>
      <c r="C2604" s="9">
        <v>370</v>
      </c>
      <c r="D2604" s="29">
        <f>C2604+IF(INDEX('Справочник по %'!B:B,(MATCH(A2604,'Справочник по %'!A:A,0)))="кол-во",B2604*INDEX('Справочник по %'!C:C,(MATCH(A2604,'Справочник по %'!A:A,0))),ОТЧЕТ!C2604*INDEX('Справочник по %'!C:C,(MATCH(A2604,'Справочник по %'!A:A,0))))/100</f>
        <v>407</v>
      </c>
      <c r="E2604" s="29">
        <f>IF(ОТЧЕТ!A2604="SKU3",C2604+ОТЧЕТ!C2604*0.2,C2604+ОТЧЕТ!C2604*0.15)</f>
        <v>425.5</v>
      </c>
      <c r="F2604" s="7" t="s">
        <v>4986</v>
      </c>
      <c r="G2604" s="7">
        <v>2225105670</v>
      </c>
      <c r="H2604" s="20" t="s">
        <v>69</v>
      </c>
      <c r="I2604" s="22" t="str">
        <f>INDEX('Справочник Сети'!B:B,(MATCH(G2604,'Справочник Сети'!C:C,0)))</f>
        <v>Столички</v>
      </c>
      <c r="J2604" s="7" t="s">
        <v>372</v>
      </c>
      <c r="K2604" s="7" t="s">
        <v>154</v>
      </c>
      <c r="L2604" s="7" t="s">
        <v>372</v>
      </c>
      <c r="M2604" s="31">
        <v>45730</v>
      </c>
      <c r="N2604" s="7" t="s">
        <v>4990</v>
      </c>
      <c r="O2604" s="8">
        <v>1261</v>
      </c>
      <c r="P2604" s="24">
        <v>9540</v>
      </c>
      <c r="Q2604" s="22">
        <f>IF(COUNTIFS(A$2:A2604,A2604,I$2:I2604,I2604)=1,1,0)</f>
        <v>0</v>
      </c>
      <c r="R2604" s="22">
        <f t="shared" si="40"/>
        <v>5</v>
      </c>
      <c r="S2604" s="33">
        <f>IF(COUNTIF(O$2:O2604,O2604)=1,R2604,0)/2.5</f>
        <v>0</v>
      </c>
    </row>
    <row r="2605" spans="1:19" ht="18" customHeight="1" x14ac:dyDescent="0.25">
      <c r="A2605" s="7" t="s">
        <v>43</v>
      </c>
      <c r="B2605" s="8">
        <v>1</v>
      </c>
      <c r="C2605" s="9">
        <v>395</v>
      </c>
      <c r="D2605" s="29">
        <f>C2605+IF(INDEX('Справочник по %'!B:B,(MATCH(A2605,'Справочник по %'!A:A,0)))="кол-во",B2605*INDEX('Справочник по %'!C:C,(MATCH(A2605,'Справочник по %'!A:A,0))),ОТЧЕТ!C2605*INDEX('Справочник по %'!C:C,(MATCH(A2605,'Справочник по %'!A:A,0))))/100</f>
        <v>434.5</v>
      </c>
      <c r="E2605" s="29">
        <f>IF(ОТЧЕТ!A2605="SKU3",C2605+ОТЧЕТ!C2605*0.2,C2605+ОТЧЕТ!C2605*0.15)</f>
        <v>454.25</v>
      </c>
      <c r="F2605" s="7" t="s">
        <v>4986</v>
      </c>
      <c r="G2605" s="7">
        <v>7732121736</v>
      </c>
      <c r="H2605" s="20" t="s">
        <v>4472</v>
      </c>
      <c r="I2605" s="22" t="str">
        <f>INDEX('Справочник Сети'!B:B,(MATCH(G2605,'Справочник Сети'!C:C,0)))</f>
        <v>Планета здоровья</v>
      </c>
      <c r="J2605" s="7" t="s">
        <v>149</v>
      </c>
      <c r="K2605" s="7" t="s">
        <v>305</v>
      </c>
      <c r="L2605" s="7" t="s">
        <v>149</v>
      </c>
      <c r="M2605" s="31">
        <v>45673</v>
      </c>
      <c r="N2605" s="7" t="s">
        <v>4991</v>
      </c>
      <c r="O2605" s="8">
        <v>3542</v>
      </c>
      <c r="P2605" s="24">
        <v>9543</v>
      </c>
      <c r="Q2605" s="22">
        <f>IF(COUNTIFS(A$2:A2605,A2605,I$2:I2605,I2605)=1,1,0)</f>
        <v>0</v>
      </c>
      <c r="R2605" s="22">
        <f t="shared" si="40"/>
        <v>2</v>
      </c>
      <c r="S2605" s="33">
        <f>IF(COUNTIF(O$2:O2605,O2605)=1,R2605,0)/2.5</f>
        <v>0</v>
      </c>
    </row>
    <row r="2606" spans="1:19" ht="18" customHeight="1" x14ac:dyDescent="0.25">
      <c r="A2606" s="7" t="s">
        <v>37</v>
      </c>
      <c r="B2606" s="8">
        <v>1</v>
      </c>
      <c r="C2606" s="9">
        <v>653</v>
      </c>
      <c r="D2606" s="29">
        <f>C2606+IF(INDEX('Справочник по %'!B:B,(MATCH(A2606,'Справочник по %'!A:A,0)))="кол-во",B2606*INDEX('Справочник по %'!C:C,(MATCH(A2606,'Справочник по %'!A:A,0))),ОТЧЕТ!C2606*INDEX('Справочник по %'!C:C,(MATCH(A2606,'Справочник по %'!A:A,0))))/100</f>
        <v>653.20000000000005</v>
      </c>
      <c r="E2606" s="29">
        <f>IF(ОТЧЕТ!A2606="SKU3",C2606+ОТЧЕТ!C2606*0.2,C2606+ОТЧЕТ!C2606*0.15)</f>
        <v>750.95</v>
      </c>
      <c r="F2606" s="7" t="s">
        <v>4992</v>
      </c>
      <c r="G2606" s="7">
        <v>6673189463</v>
      </c>
      <c r="H2606" s="20" t="s">
        <v>4993</v>
      </c>
      <c r="I2606" s="22" t="str">
        <f>INDEX('Справочник Сети'!B:B,(MATCH(G2606,'Справочник Сети'!C:C,0)))</f>
        <v>Нео-фарм</v>
      </c>
      <c r="J2606" s="7" t="s">
        <v>133</v>
      </c>
      <c r="K2606" s="7" t="s">
        <v>1602</v>
      </c>
      <c r="L2606" s="7" t="s">
        <v>133</v>
      </c>
      <c r="M2606" s="31">
        <v>45695</v>
      </c>
      <c r="N2606" s="7" t="s">
        <v>4994</v>
      </c>
      <c r="O2606" s="8">
        <v>2274</v>
      </c>
      <c r="P2606" s="24">
        <v>9552</v>
      </c>
      <c r="Q2606" s="22">
        <f>IF(COUNTIFS(A$2:A2606,A2606,I$2:I2606,I2606)=1,1,0)</f>
        <v>0</v>
      </c>
      <c r="R2606" s="22">
        <f t="shared" si="40"/>
        <v>1</v>
      </c>
      <c r="S2606" s="33">
        <f>IF(COUNTIF(O$2:O2606,O2606)=1,R2606,0)/2.5</f>
        <v>0.4</v>
      </c>
    </row>
    <row r="2607" spans="1:19" ht="18" customHeight="1" x14ac:dyDescent="0.25">
      <c r="A2607" s="7" t="s">
        <v>43</v>
      </c>
      <c r="B2607" s="8">
        <v>1</v>
      </c>
      <c r="C2607" s="9">
        <v>400</v>
      </c>
      <c r="D2607" s="29">
        <f>C2607+IF(INDEX('Справочник по %'!B:B,(MATCH(A2607,'Справочник по %'!A:A,0)))="кол-во",B2607*INDEX('Справочник по %'!C:C,(MATCH(A2607,'Справочник по %'!A:A,0))),ОТЧЕТ!C2607*INDEX('Справочник по %'!C:C,(MATCH(A2607,'Справочник по %'!A:A,0))))/100</f>
        <v>440</v>
      </c>
      <c r="E2607" s="29">
        <f>IF(ОТЧЕТ!A2607="SKU3",C2607+ОТЧЕТ!C2607*0.2,C2607+ОТЧЕТ!C2607*0.15)</f>
        <v>460</v>
      </c>
      <c r="F2607" s="7" t="s">
        <v>4992</v>
      </c>
      <c r="G2607" s="7">
        <v>7732121736</v>
      </c>
      <c r="H2607" s="20" t="s">
        <v>1035</v>
      </c>
      <c r="I2607" s="22" t="str">
        <f>INDEX('Справочник Сети'!B:B,(MATCH(G2607,'Справочник Сети'!C:C,0)))</f>
        <v>Планета здоровья</v>
      </c>
      <c r="J2607" s="7" t="s">
        <v>149</v>
      </c>
      <c r="K2607" s="7" t="s">
        <v>1584</v>
      </c>
      <c r="L2607" s="7" t="s">
        <v>149</v>
      </c>
      <c r="M2607" s="31">
        <v>45673</v>
      </c>
      <c r="N2607" s="7" t="s">
        <v>4995</v>
      </c>
      <c r="O2607" s="8">
        <v>1091</v>
      </c>
      <c r="P2607" s="24">
        <v>9555</v>
      </c>
      <c r="Q2607" s="22">
        <f>IF(COUNTIFS(A$2:A2607,A2607,I$2:I2607,I2607)=1,1,0)</f>
        <v>0</v>
      </c>
      <c r="R2607" s="22">
        <f t="shared" si="40"/>
        <v>5</v>
      </c>
      <c r="S2607" s="33">
        <f>IF(COUNTIF(O$2:O2607,O2607)=1,R2607,0)/2.5</f>
        <v>0</v>
      </c>
    </row>
    <row r="2608" spans="1:19" ht="18" customHeight="1" x14ac:dyDescent="0.25">
      <c r="A2608" s="7" t="s">
        <v>43</v>
      </c>
      <c r="B2608" s="8">
        <v>1</v>
      </c>
      <c r="C2608" s="9">
        <v>372</v>
      </c>
      <c r="D2608" s="29">
        <f>C2608+IF(INDEX('Справочник по %'!B:B,(MATCH(A2608,'Справочник по %'!A:A,0)))="кол-во",B2608*INDEX('Справочник по %'!C:C,(MATCH(A2608,'Справочник по %'!A:A,0))),ОТЧЕТ!C2608*INDEX('Справочник по %'!C:C,(MATCH(A2608,'Справочник по %'!A:A,0))))/100</f>
        <v>409.2</v>
      </c>
      <c r="E2608" s="29">
        <f>IF(ОТЧЕТ!A2608="SKU3",C2608+ОТЧЕТ!C2608*0.2,C2608+ОТЧЕТ!C2608*0.15)</f>
        <v>427.8</v>
      </c>
      <c r="F2608" s="7" t="s">
        <v>4996</v>
      </c>
      <c r="G2608" s="7">
        <v>7807048010</v>
      </c>
      <c r="H2608" s="20" t="s">
        <v>50</v>
      </c>
      <c r="I2608" s="22" t="str">
        <f>INDEX('Справочник Сети'!B:B,(MATCH(G2608,'Справочник Сети'!C:C,0)))</f>
        <v>Планета здоровья</v>
      </c>
      <c r="J2608" s="7" t="s">
        <v>353</v>
      </c>
      <c r="K2608" s="7" t="s">
        <v>1730</v>
      </c>
      <c r="L2608" s="7" t="s">
        <v>353</v>
      </c>
      <c r="M2608" s="31">
        <v>45672</v>
      </c>
      <c r="N2608" s="7" t="s">
        <v>4997</v>
      </c>
      <c r="O2608" s="8">
        <v>2887</v>
      </c>
      <c r="P2608" s="24">
        <v>9557</v>
      </c>
      <c r="Q2608" s="22">
        <f>IF(COUNTIFS(A$2:A2608,A2608,I$2:I2608,I2608)=1,1,0)</f>
        <v>0</v>
      </c>
      <c r="R2608" s="22">
        <f t="shared" si="40"/>
        <v>1</v>
      </c>
      <c r="S2608" s="33">
        <f>IF(COUNTIF(O$2:O2608,O2608)=1,R2608,0)/2.5</f>
        <v>0.4</v>
      </c>
    </row>
    <row r="2609" spans="1:19" ht="18" customHeight="1" x14ac:dyDescent="0.25">
      <c r="A2609" s="7" t="s">
        <v>43</v>
      </c>
      <c r="B2609" s="8">
        <v>1</v>
      </c>
      <c r="C2609" s="9">
        <v>448</v>
      </c>
      <c r="D2609" s="29">
        <f>C2609+IF(INDEX('Справочник по %'!B:B,(MATCH(A2609,'Справочник по %'!A:A,0)))="кол-во",B2609*INDEX('Справочник по %'!C:C,(MATCH(A2609,'Справочник по %'!A:A,0))),ОТЧЕТ!C2609*INDEX('Справочник по %'!C:C,(MATCH(A2609,'Справочник по %'!A:A,0))))/100</f>
        <v>492.8</v>
      </c>
      <c r="E2609" s="29">
        <f>IF(ОТЧЕТ!A2609="SKU3",C2609+ОТЧЕТ!C2609*0.2,C2609+ОТЧЕТ!C2609*0.15)</f>
        <v>515.20000000000005</v>
      </c>
      <c r="F2609" s="7" t="s">
        <v>4998</v>
      </c>
      <c r="G2609" s="7">
        <v>9203545831</v>
      </c>
      <c r="H2609" s="20" t="s">
        <v>4231</v>
      </c>
      <c r="I2609" s="22">
        <f>INDEX('Справочник Сети'!B:B,(MATCH(G2609,'Справочник Сети'!C:C,0)))</f>
        <v>0</v>
      </c>
      <c r="J2609" s="7" t="s">
        <v>239</v>
      </c>
      <c r="K2609" s="7" t="s">
        <v>118</v>
      </c>
      <c r="L2609" s="7" t="s">
        <v>239</v>
      </c>
      <c r="M2609" s="31">
        <v>45662</v>
      </c>
      <c r="N2609" s="7" t="s">
        <v>4999</v>
      </c>
      <c r="O2609" s="8">
        <v>2424</v>
      </c>
      <c r="P2609" s="24">
        <v>9564</v>
      </c>
      <c r="Q2609" s="22">
        <f>IF(COUNTIFS(A$2:A2609,A2609,I$2:I2609,I2609)=1,1,0)</f>
        <v>0</v>
      </c>
      <c r="R2609" s="22">
        <f t="shared" si="40"/>
        <v>2</v>
      </c>
      <c r="S2609" s="33">
        <f>IF(COUNTIF(O$2:O2609,O2609)=1,R2609,0)/2.5</f>
        <v>0</v>
      </c>
    </row>
    <row r="2610" spans="1:19" ht="18" customHeight="1" x14ac:dyDescent="0.25">
      <c r="A2610" s="7" t="s">
        <v>37</v>
      </c>
      <c r="B2610" s="8">
        <v>1</v>
      </c>
      <c r="C2610" s="9">
        <v>589</v>
      </c>
      <c r="D2610" s="29">
        <f>C2610+IF(INDEX('Справочник по %'!B:B,(MATCH(A2610,'Справочник по %'!A:A,0)))="кол-во",B2610*INDEX('Справочник по %'!C:C,(MATCH(A2610,'Справочник по %'!A:A,0))),ОТЧЕТ!C2610*INDEX('Справочник по %'!C:C,(MATCH(A2610,'Справочник по %'!A:A,0))))/100</f>
        <v>589.20000000000005</v>
      </c>
      <c r="E2610" s="29">
        <f>IF(ОТЧЕТ!A2610="SKU3",C2610+ОТЧЕТ!C2610*0.2,C2610+ОТЧЕТ!C2610*0.15)</f>
        <v>677.35</v>
      </c>
      <c r="F2610" s="7" t="s">
        <v>4998</v>
      </c>
      <c r="G2610" s="7">
        <v>6166045261</v>
      </c>
      <c r="H2610" s="20" t="s">
        <v>2088</v>
      </c>
      <c r="I2610" s="22" t="str">
        <f>INDEX('Справочник Сети'!B:B,(MATCH(G2610,'Справочник Сети'!C:C,0)))</f>
        <v>Столички</v>
      </c>
      <c r="J2610" s="7" t="s">
        <v>203</v>
      </c>
      <c r="K2610" s="7" t="s">
        <v>2434</v>
      </c>
      <c r="L2610" s="7" t="s">
        <v>520</v>
      </c>
      <c r="M2610" s="31">
        <v>45697</v>
      </c>
      <c r="N2610" s="7" t="s">
        <v>5000</v>
      </c>
      <c r="O2610" s="8">
        <v>2079</v>
      </c>
      <c r="P2610" s="24">
        <v>9565</v>
      </c>
      <c r="Q2610" s="22">
        <f>IF(COUNTIFS(A$2:A2610,A2610,I$2:I2610,I2610)=1,1,0)</f>
        <v>0</v>
      </c>
      <c r="R2610" s="22">
        <f t="shared" si="40"/>
        <v>2</v>
      </c>
      <c r="S2610" s="33">
        <f>IF(COUNTIF(O$2:O2610,O2610)=1,R2610,0)/2.5</f>
        <v>0</v>
      </c>
    </row>
    <row r="2611" spans="1:19" ht="18" customHeight="1" x14ac:dyDescent="0.25">
      <c r="A2611" s="7" t="s">
        <v>37</v>
      </c>
      <c r="B2611" s="8">
        <v>1</v>
      </c>
      <c r="C2611" s="9">
        <v>682.6</v>
      </c>
      <c r="D2611" s="29">
        <f>C2611+IF(INDEX('Справочник по %'!B:B,(MATCH(A2611,'Справочник по %'!A:A,0)))="кол-во",B2611*INDEX('Справочник по %'!C:C,(MATCH(A2611,'Справочник по %'!A:A,0))),ОТЧЕТ!C2611*INDEX('Справочник по %'!C:C,(MATCH(A2611,'Справочник по %'!A:A,0))))/100</f>
        <v>682.80000000000007</v>
      </c>
      <c r="E2611" s="29">
        <f>IF(ОТЧЕТ!A2611="SKU3",C2611+ОТЧЕТ!C2611*0.2,C2611+ОТЧЕТ!C2611*0.15)</f>
        <v>784.99</v>
      </c>
      <c r="F2611" s="7" t="s">
        <v>4998</v>
      </c>
      <c r="G2611" s="7">
        <v>5050136454</v>
      </c>
      <c r="H2611" s="20" t="s">
        <v>50</v>
      </c>
      <c r="I2611" s="22" t="str">
        <f>INDEX('Справочник Сети'!B:B,(MATCH(G2611,'Справочник Сети'!C:C,0)))</f>
        <v>Нео-фарм</v>
      </c>
      <c r="J2611" s="7" t="s">
        <v>92</v>
      </c>
      <c r="K2611" s="7" t="s">
        <v>2248</v>
      </c>
      <c r="L2611" s="7" t="s">
        <v>92</v>
      </c>
      <c r="M2611" s="31">
        <v>45714</v>
      </c>
      <c r="N2611" s="7" t="s">
        <v>5001</v>
      </c>
      <c r="O2611" s="8">
        <v>1499</v>
      </c>
      <c r="P2611" s="24">
        <v>9569</v>
      </c>
      <c r="Q2611" s="22">
        <f>IF(COUNTIFS(A$2:A2611,A2611,I$2:I2611,I2611)=1,1,0)</f>
        <v>0</v>
      </c>
      <c r="R2611" s="22">
        <f t="shared" si="40"/>
        <v>14</v>
      </c>
      <c r="S2611" s="33">
        <f>IF(COUNTIF(O$2:O2611,O2611)=1,R2611,0)/2.5</f>
        <v>0</v>
      </c>
    </row>
    <row r="2612" spans="1:19" ht="18" customHeight="1" x14ac:dyDescent="0.25">
      <c r="A2612" s="7" t="s">
        <v>43</v>
      </c>
      <c r="B2612" s="8">
        <v>1</v>
      </c>
      <c r="C2612" s="9">
        <v>399</v>
      </c>
      <c r="D2612" s="29">
        <f>C2612+IF(INDEX('Справочник по %'!B:B,(MATCH(A2612,'Справочник по %'!A:A,0)))="кол-во",B2612*INDEX('Справочник по %'!C:C,(MATCH(A2612,'Справочник по %'!A:A,0))),ОТЧЕТ!C2612*INDEX('Справочник по %'!C:C,(MATCH(A2612,'Справочник по %'!A:A,0))))/100</f>
        <v>438.9</v>
      </c>
      <c r="E2612" s="29">
        <f>IF(ОТЧЕТ!A2612="SKU3",C2612+ОТЧЕТ!C2612*0.2,C2612+ОТЧЕТ!C2612*0.15)</f>
        <v>458.85</v>
      </c>
      <c r="F2612" s="7" t="s">
        <v>4998</v>
      </c>
      <c r="G2612" s="7">
        <v>7203473252</v>
      </c>
      <c r="H2612" s="20" t="s">
        <v>3533</v>
      </c>
      <c r="I2612" s="22" t="str">
        <f>INDEX('Справочник Сети'!B:B,(MATCH(G2612,'Справочник Сети'!C:C,0)))</f>
        <v>Столички</v>
      </c>
      <c r="J2612" s="7" t="s">
        <v>106</v>
      </c>
      <c r="K2612" s="7" t="s">
        <v>5002</v>
      </c>
      <c r="L2612" s="7" t="s">
        <v>106</v>
      </c>
      <c r="M2612" s="31">
        <v>45694</v>
      </c>
      <c r="N2612" s="7" t="s">
        <v>5003</v>
      </c>
      <c r="O2612" s="8">
        <v>1490</v>
      </c>
      <c r="P2612" s="24">
        <v>9571</v>
      </c>
      <c r="Q2612" s="22">
        <f>IF(COUNTIFS(A$2:A2612,A2612,I$2:I2612,I2612)=1,1,0)</f>
        <v>0</v>
      </c>
      <c r="R2612" s="22">
        <f t="shared" si="40"/>
        <v>3</v>
      </c>
      <c r="S2612" s="33">
        <f>IF(COUNTIF(O$2:O2612,O2612)=1,R2612,0)/2.5</f>
        <v>0</v>
      </c>
    </row>
    <row r="2613" spans="1:19" ht="18" customHeight="1" x14ac:dyDescent="0.25">
      <c r="A2613" s="7" t="s">
        <v>43</v>
      </c>
      <c r="B2613" s="8">
        <v>1</v>
      </c>
      <c r="C2613" s="9">
        <v>343</v>
      </c>
      <c r="D2613" s="29">
        <f>C2613+IF(INDEX('Справочник по %'!B:B,(MATCH(A2613,'Справочник по %'!A:A,0)))="кол-во",B2613*INDEX('Справочник по %'!C:C,(MATCH(A2613,'Справочник по %'!A:A,0))),ОТЧЕТ!C2613*INDEX('Справочник по %'!C:C,(MATCH(A2613,'Справочник по %'!A:A,0))))/100</f>
        <v>377.3</v>
      </c>
      <c r="E2613" s="29">
        <f>IF(ОТЧЕТ!A2613="SKU3",C2613+ОТЧЕТ!C2613*0.2,C2613+ОТЧЕТ!C2613*0.15)</f>
        <v>394.45</v>
      </c>
      <c r="F2613" s="7" t="s">
        <v>5004</v>
      </c>
      <c r="G2613" s="7">
        <v>2310174811</v>
      </c>
      <c r="H2613" s="20" t="s">
        <v>50</v>
      </c>
      <c r="I2613" s="22" t="str">
        <f>INDEX('Справочник Сети'!B:B,(MATCH(G2613,'Справочник Сети'!C:C,0)))</f>
        <v>Нео-фарм</v>
      </c>
      <c r="J2613" s="7" t="s">
        <v>57</v>
      </c>
      <c r="K2613" s="7" t="s">
        <v>751</v>
      </c>
      <c r="L2613" s="7" t="s">
        <v>57</v>
      </c>
      <c r="M2613" s="31">
        <v>45729</v>
      </c>
      <c r="N2613" s="7" t="s">
        <v>5005</v>
      </c>
      <c r="O2613" s="8">
        <v>1482</v>
      </c>
      <c r="P2613" s="24">
        <v>9573</v>
      </c>
      <c r="Q2613" s="22">
        <f>IF(COUNTIFS(A$2:A2613,A2613,I$2:I2613,I2613)=1,1,0)</f>
        <v>0</v>
      </c>
      <c r="R2613" s="22">
        <f t="shared" si="40"/>
        <v>1</v>
      </c>
      <c r="S2613" s="33">
        <f>IF(COUNTIF(O$2:O2613,O2613)=1,R2613,0)/2.5</f>
        <v>0.4</v>
      </c>
    </row>
    <row r="2614" spans="1:19" ht="18" customHeight="1" x14ac:dyDescent="0.25">
      <c r="A2614" s="7" t="s">
        <v>43</v>
      </c>
      <c r="B2614" s="8">
        <v>1</v>
      </c>
      <c r="C2614" s="9">
        <v>400</v>
      </c>
      <c r="D2614" s="29">
        <f>C2614+IF(INDEX('Справочник по %'!B:B,(MATCH(A2614,'Справочник по %'!A:A,0)))="кол-во",B2614*INDEX('Справочник по %'!C:C,(MATCH(A2614,'Справочник по %'!A:A,0))),ОТЧЕТ!C2614*INDEX('Справочник по %'!C:C,(MATCH(A2614,'Справочник по %'!A:A,0))))/100</f>
        <v>440</v>
      </c>
      <c r="E2614" s="29">
        <f>IF(ОТЧЕТ!A2614="SKU3",C2614+ОТЧЕТ!C2614*0.2,C2614+ОТЧЕТ!C2614*0.15)</f>
        <v>460</v>
      </c>
      <c r="F2614" s="7" t="s">
        <v>5006</v>
      </c>
      <c r="G2614" s="7">
        <v>6166125005</v>
      </c>
      <c r="H2614" s="20" t="s">
        <v>5007</v>
      </c>
      <c r="I2614" s="22" t="str">
        <f>INDEX('Справочник Сети'!B:B,(MATCH(G2614,'Справочник Сети'!C:C,0)))</f>
        <v>Столички</v>
      </c>
      <c r="J2614" s="7" t="s">
        <v>203</v>
      </c>
      <c r="K2614" s="7" t="s">
        <v>4240</v>
      </c>
      <c r="L2614" s="7" t="s">
        <v>203</v>
      </c>
      <c r="M2614" s="31">
        <v>45696</v>
      </c>
      <c r="N2614" s="7" t="s">
        <v>5008</v>
      </c>
      <c r="O2614" s="8">
        <v>740</v>
      </c>
      <c r="P2614" s="24">
        <v>9576</v>
      </c>
      <c r="Q2614" s="22">
        <f>IF(COUNTIFS(A$2:A2614,A2614,I$2:I2614,I2614)=1,1,0)</f>
        <v>0</v>
      </c>
      <c r="R2614" s="22">
        <f t="shared" si="40"/>
        <v>1</v>
      </c>
      <c r="S2614" s="33">
        <f>IF(COUNTIF(O$2:O2614,O2614)=1,R2614,0)/2.5</f>
        <v>0.4</v>
      </c>
    </row>
    <row r="2615" spans="1:19" ht="18" customHeight="1" x14ac:dyDescent="0.25">
      <c r="A2615" s="7" t="s">
        <v>43</v>
      </c>
      <c r="B2615" s="8">
        <v>1</v>
      </c>
      <c r="C2615" s="9">
        <v>431.35</v>
      </c>
      <c r="D2615" s="29">
        <f>C2615+IF(INDEX('Справочник по %'!B:B,(MATCH(A2615,'Справочник по %'!A:A,0)))="кол-во",B2615*INDEX('Справочник по %'!C:C,(MATCH(A2615,'Справочник по %'!A:A,0))),ОТЧЕТ!C2615*INDEX('Справочник по %'!C:C,(MATCH(A2615,'Справочник по %'!A:A,0))))/100</f>
        <v>474.48500000000001</v>
      </c>
      <c r="E2615" s="29">
        <f>IF(ОТЧЕТ!A2615="SKU3",C2615+ОТЧЕТ!C2615*0.2,C2615+ОТЧЕТ!C2615*0.15)</f>
        <v>496.05250000000001</v>
      </c>
      <c r="F2615" s="7" t="s">
        <v>5009</v>
      </c>
      <c r="G2615" s="7">
        <v>6730046175</v>
      </c>
      <c r="H2615" s="20" t="s">
        <v>4888</v>
      </c>
      <c r="I2615" s="22" t="str">
        <f>INDEX('Справочник Сети'!B:B,(MATCH(G2615,'Справочник Сети'!C:C,0)))</f>
        <v>Планета здоровья</v>
      </c>
      <c r="J2615" s="7" t="s">
        <v>106</v>
      </c>
      <c r="K2615" s="7" t="s">
        <v>1673</v>
      </c>
      <c r="L2615" s="7" t="s">
        <v>106</v>
      </c>
      <c r="M2615" s="31">
        <v>45694</v>
      </c>
      <c r="N2615" s="7" t="s">
        <v>5010</v>
      </c>
      <c r="O2615" s="8">
        <v>2085</v>
      </c>
      <c r="P2615" s="24">
        <v>9581</v>
      </c>
      <c r="Q2615" s="22">
        <f>IF(COUNTIFS(A$2:A2615,A2615,I$2:I2615,I2615)=1,1,0)</f>
        <v>0</v>
      </c>
      <c r="R2615" s="22">
        <f t="shared" si="40"/>
        <v>1</v>
      </c>
      <c r="S2615" s="33">
        <f>IF(COUNTIF(O$2:O2615,O2615)=1,R2615,0)/2.5</f>
        <v>0.4</v>
      </c>
    </row>
    <row r="2616" spans="1:19" ht="18" customHeight="1" x14ac:dyDescent="0.25">
      <c r="A2616" s="7" t="s">
        <v>43</v>
      </c>
      <c r="B2616" s="8">
        <v>1</v>
      </c>
      <c r="C2616" s="9">
        <v>533</v>
      </c>
      <c r="D2616" s="29">
        <f>C2616+IF(INDEX('Справочник по %'!B:B,(MATCH(A2616,'Справочник по %'!A:A,0)))="кол-во",B2616*INDEX('Справочник по %'!C:C,(MATCH(A2616,'Справочник по %'!A:A,0))),ОТЧЕТ!C2616*INDEX('Справочник по %'!C:C,(MATCH(A2616,'Справочник по %'!A:A,0))))/100</f>
        <v>586.29999999999995</v>
      </c>
      <c r="E2616" s="29">
        <f>IF(ОТЧЕТ!A2616="SKU3",C2616+ОТЧЕТ!C2616*0.2,C2616+ОТЧЕТ!C2616*0.15)</f>
        <v>612.95000000000005</v>
      </c>
      <c r="F2616" s="7" t="s">
        <v>5011</v>
      </c>
      <c r="G2616" s="7">
        <v>7732121736</v>
      </c>
      <c r="H2616" s="20" t="s">
        <v>1089</v>
      </c>
      <c r="I2616" s="22" t="str">
        <f>INDEX('Справочник Сети'!B:B,(MATCH(G2616,'Справочник Сети'!C:C,0)))</f>
        <v>Планета здоровья</v>
      </c>
      <c r="J2616" s="7" t="s">
        <v>149</v>
      </c>
      <c r="K2616" s="7" t="s">
        <v>214</v>
      </c>
      <c r="L2616" s="7" t="s">
        <v>149</v>
      </c>
      <c r="M2616" s="31">
        <v>45673</v>
      </c>
      <c r="N2616" s="7" t="s">
        <v>5012</v>
      </c>
      <c r="O2616" s="8">
        <v>2482</v>
      </c>
      <c r="P2616" s="24">
        <v>9584</v>
      </c>
      <c r="Q2616" s="22">
        <f>IF(COUNTIFS(A$2:A2616,A2616,I$2:I2616,I2616)=1,1,0)</f>
        <v>0</v>
      </c>
      <c r="R2616" s="22">
        <f t="shared" si="40"/>
        <v>9</v>
      </c>
      <c r="S2616" s="33">
        <f>IF(COUNTIF(O$2:O2616,O2616)=1,R2616,0)/2.5</f>
        <v>0</v>
      </c>
    </row>
    <row r="2617" spans="1:19" ht="18" customHeight="1" x14ac:dyDescent="0.25">
      <c r="A2617" s="7" t="s">
        <v>43</v>
      </c>
      <c r="B2617" s="8">
        <v>1</v>
      </c>
      <c r="C2617" s="9">
        <v>533</v>
      </c>
      <c r="D2617" s="29">
        <f>C2617+IF(INDEX('Справочник по %'!B:B,(MATCH(A2617,'Справочник по %'!A:A,0)))="кол-во",B2617*INDEX('Справочник по %'!C:C,(MATCH(A2617,'Справочник по %'!A:A,0))),ОТЧЕТ!C2617*INDEX('Справочник по %'!C:C,(MATCH(A2617,'Справочник по %'!A:A,0))))/100</f>
        <v>586.29999999999995</v>
      </c>
      <c r="E2617" s="29">
        <f>IF(ОТЧЕТ!A2617="SKU3",C2617+ОТЧЕТ!C2617*0.2,C2617+ОТЧЕТ!C2617*0.15)</f>
        <v>612.95000000000005</v>
      </c>
      <c r="F2617" s="7" t="s">
        <v>5013</v>
      </c>
      <c r="G2617" s="7">
        <v>7732121736</v>
      </c>
      <c r="H2617" s="20" t="s">
        <v>1089</v>
      </c>
      <c r="I2617" s="22" t="str">
        <f>INDEX('Справочник Сети'!B:B,(MATCH(G2617,'Справочник Сети'!C:C,0)))</f>
        <v>Планета здоровья</v>
      </c>
      <c r="J2617" s="7" t="s">
        <v>149</v>
      </c>
      <c r="K2617" s="7" t="s">
        <v>214</v>
      </c>
      <c r="L2617" s="7" t="s">
        <v>149</v>
      </c>
      <c r="M2617" s="31">
        <v>45673</v>
      </c>
      <c r="N2617" s="7" t="s">
        <v>5012</v>
      </c>
      <c r="O2617" s="8">
        <v>2482</v>
      </c>
      <c r="P2617" s="24">
        <v>9584</v>
      </c>
      <c r="Q2617" s="22">
        <f>IF(COUNTIFS(A$2:A2617,A2617,I$2:I2617,I2617)=1,1,0)</f>
        <v>0</v>
      </c>
      <c r="R2617" s="22">
        <f t="shared" si="40"/>
        <v>9</v>
      </c>
      <c r="S2617" s="33">
        <f>IF(COUNTIF(O$2:O2617,O2617)=1,R2617,0)/2.5</f>
        <v>0</v>
      </c>
    </row>
    <row r="2618" spans="1:19" ht="18" customHeight="1" x14ac:dyDescent="0.25">
      <c r="A2618" s="7" t="s">
        <v>43</v>
      </c>
      <c r="B2618" s="8">
        <v>1</v>
      </c>
      <c r="C2618" s="9">
        <v>529</v>
      </c>
      <c r="D2618" s="29">
        <f>C2618+IF(INDEX('Справочник по %'!B:B,(MATCH(A2618,'Справочник по %'!A:A,0)))="кол-во",B2618*INDEX('Справочник по %'!C:C,(MATCH(A2618,'Справочник по %'!A:A,0))),ОТЧЕТ!C2618*INDEX('Справочник по %'!C:C,(MATCH(A2618,'Справочник по %'!A:A,0))))/100</f>
        <v>581.9</v>
      </c>
      <c r="E2618" s="29">
        <f>IF(ОТЧЕТ!A2618="SKU3",C2618+ОТЧЕТ!C2618*0.2,C2618+ОТЧЕТ!C2618*0.15)</f>
        <v>608.35</v>
      </c>
      <c r="F2618" s="7" t="s">
        <v>5013</v>
      </c>
      <c r="G2618" s="7">
        <v>7732121736</v>
      </c>
      <c r="H2618" s="20" t="s">
        <v>1089</v>
      </c>
      <c r="I2618" s="22" t="str">
        <f>INDEX('Справочник Сети'!B:B,(MATCH(G2618,'Справочник Сети'!C:C,0)))</f>
        <v>Планета здоровья</v>
      </c>
      <c r="J2618" s="7" t="s">
        <v>149</v>
      </c>
      <c r="K2618" s="7" t="s">
        <v>214</v>
      </c>
      <c r="L2618" s="7" t="s">
        <v>149</v>
      </c>
      <c r="M2618" s="31">
        <v>45673</v>
      </c>
      <c r="N2618" s="7" t="s">
        <v>5012</v>
      </c>
      <c r="O2618" s="8">
        <v>2482</v>
      </c>
      <c r="P2618" s="24">
        <v>9584</v>
      </c>
      <c r="Q2618" s="22">
        <f>IF(COUNTIFS(A$2:A2618,A2618,I$2:I2618,I2618)=1,1,0)</f>
        <v>0</v>
      </c>
      <c r="R2618" s="22">
        <f t="shared" si="40"/>
        <v>9</v>
      </c>
      <c r="S2618" s="33">
        <f>IF(COUNTIF(O$2:O2618,O2618)=1,R2618,0)/2.5</f>
        <v>0</v>
      </c>
    </row>
    <row r="2619" spans="1:19" ht="18" customHeight="1" x14ac:dyDescent="0.25">
      <c r="A2619" s="7" t="s">
        <v>43</v>
      </c>
      <c r="B2619" s="8">
        <v>1</v>
      </c>
      <c r="C2619" s="9">
        <v>532</v>
      </c>
      <c r="D2619" s="29">
        <f>C2619+IF(INDEX('Справочник по %'!B:B,(MATCH(A2619,'Справочник по %'!A:A,0)))="кол-во",B2619*INDEX('Справочник по %'!C:C,(MATCH(A2619,'Справочник по %'!A:A,0))),ОТЧЕТ!C2619*INDEX('Справочник по %'!C:C,(MATCH(A2619,'Справочник по %'!A:A,0))))/100</f>
        <v>585.20000000000005</v>
      </c>
      <c r="E2619" s="29">
        <f>IF(ОТЧЕТ!A2619="SKU3",C2619+ОТЧЕТ!C2619*0.2,C2619+ОТЧЕТ!C2619*0.15)</f>
        <v>611.79999999999995</v>
      </c>
      <c r="F2619" s="7" t="s">
        <v>5013</v>
      </c>
      <c r="G2619" s="7">
        <v>7732121736</v>
      </c>
      <c r="H2619" s="20" t="s">
        <v>1089</v>
      </c>
      <c r="I2619" s="22" t="str">
        <f>INDEX('Справочник Сети'!B:B,(MATCH(G2619,'Справочник Сети'!C:C,0)))</f>
        <v>Планета здоровья</v>
      </c>
      <c r="J2619" s="7" t="s">
        <v>149</v>
      </c>
      <c r="K2619" s="7" t="s">
        <v>214</v>
      </c>
      <c r="L2619" s="7" t="s">
        <v>149</v>
      </c>
      <c r="M2619" s="31">
        <v>45673</v>
      </c>
      <c r="N2619" s="7" t="s">
        <v>5012</v>
      </c>
      <c r="O2619" s="8">
        <v>2482</v>
      </c>
      <c r="P2619" s="24">
        <v>9584</v>
      </c>
      <c r="Q2619" s="22">
        <f>IF(COUNTIFS(A$2:A2619,A2619,I$2:I2619,I2619)=1,1,0)</f>
        <v>0</v>
      </c>
      <c r="R2619" s="22">
        <f t="shared" si="40"/>
        <v>9</v>
      </c>
      <c r="S2619" s="33">
        <f>IF(COUNTIF(O$2:O2619,O2619)=1,R2619,0)/2.5</f>
        <v>0</v>
      </c>
    </row>
    <row r="2620" spans="1:19" ht="18" customHeight="1" x14ac:dyDescent="0.25">
      <c r="A2620" s="7" t="s">
        <v>43</v>
      </c>
      <c r="B2620" s="8">
        <v>1</v>
      </c>
      <c r="C2620" s="9">
        <v>362</v>
      </c>
      <c r="D2620" s="29">
        <f>C2620+IF(INDEX('Справочник по %'!B:B,(MATCH(A2620,'Справочник по %'!A:A,0)))="кол-во",B2620*INDEX('Справочник по %'!C:C,(MATCH(A2620,'Справочник по %'!A:A,0))),ОТЧЕТ!C2620*INDEX('Справочник по %'!C:C,(MATCH(A2620,'Справочник по %'!A:A,0))))/100</f>
        <v>398.2</v>
      </c>
      <c r="E2620" s="29">
        <f>IF(ОТЧЕТ!A2620="SKU3",C2620+ОТЧЕТ!C2620*0.2,C2620+ОТЧЕТ!C2620*0.15)</f>
        <v>416.3</v>
      </c>
      <c r="F2620" s="7" t="s">
        <v>5013</v>
      </c>
      <c r="G2620" s="7">
        <v>7731334851</v>
      </c>
      <c r="H2620" s="20" t="s">
        <v>841</v>
      </c>
      <c r="I2620" s="22" t="str">
        <f>INDEX('Справочник Сети'!B:B,(MATCH(G2620,'Справочник Сети'!C:C,0)))</f>
        <v>Планета здоровья</v>
      </c>
      <c r="J2620" s="7" t="s">
        <v>142</v>
      </c>
      <c r="K2620" s="7" t="s">
        <v>1782</v>
      </c>
      <c r="L2620" s="7" t="s">
        <v>142</v>
      </c>
      <c r="M2620" s="31">
        <v>45674</v>
      </c>
      <c r="N2620" s="7" t="s">
        <v>5014</v>
      </c>
      <c r="O2620" s="8">
        <v>1361</v>
      </c>
      <c r="P2620" s="24">
        <v>9586</v>
      </c>
      <c r="Q2620" s="22">
        <f>IF(COUNTIFS(A$2:A2620,A2620,I$2:I2620,I2620)=1,1,0)</f>
        <v>0</v>
      </c>
      <c r="R2620" s="22">
        <f t="shared" si="40"/>
        <v>4</v>
      </c>
      <c r="S2620" s="33">
        <f>IF(COUNTIF(O$2:O2620,O2620)=1,R2620,0)/2.5</f>
        <v>0</v>
      </c>
    </row>
    <row r="2621" spans="1:19" ht="18" customHeight="1" x14ac:dyDescent="0.25">
      <c r="A2621" s="7" t="s">
        <v>43</v>
      </c>
      <c r="B2621" s="8">
        <v>1</v>
      </c>
      <c r="C2621" s="9">
        <v>473</v>
      </c>
      <c r="D2621" s="29">
        <f>C2621+IF(INDEX('Справочник по %'!B:B,(MATCH(A2621,'Справочник по %'!A:A,0)))="кол-во",B2621*INDEX('Справочник по %'!C:C,(MATCH(A2621,'Справочник по %'!A:A,0))),ОТЧЕТ!C2621*INDEX('Справочник по %'!C:C,(MATCH(A2621,'Справочник по %'!A:A,0))))/100</f>
        <v>520.29999999999995</v>
      </c>
      <c r="E2621" s="29">
        <f>IF(ОТЧЕТ!A2621="SKU3",C2621+ОТЧЕТ!C2621*0.2,C2621+ОТЧЕТ!C2621*0.15)</f>
        <v>543.95000000000005</v>
      </c>
      <c r="F2621" s="7" t="s">
        <v>5013</v>
      </c>
      <c r="G2621" s="7">
        <v>7732121736</v>
      </c>
      <c r="H2621" s="20" t="s">
        <v>1379</v>
      </c>
      <c r="I2621" s="22" t="str">
        <f>INDEX('Справочник Сети'!B:B,(MATCH(G2621,'Справочник Сети'!C:C,0)))</f>
        <v>Планета здоровья</v>
      </c>
      <c r="J2621" s="7" t="s">
        <v>149</v>
      </c>
      <c r="K2621" s="7" t="s">
        <v>3116</v>
      </c>
      <c r="L2621" s="7" t="s">
        <v>149</v>
      </c>
      <c r="M2621" s="31">
        <v>45673</v>
      </c>
      <c r="N2621" s="7" t="s">
        <v>5015</v>
      </c>
      <c r="O2621" s="8">
        <v>1396</v>
      </c>
      <c r="P2621" s="24">
        <v>9587</v>
      </c>
      <c r="Q2621" s="22">
        <f>IF(COUNTIFS(A$2:A2621,A2621,I$2:I2621,I2621)=1,1,0)</f>
        <v>0</v>
      </c>
      <c r="R2621" s="22">
        <f t="shared" si="40"/>
        <v>6</v>
      </c>
      <c r="S2621" s="33">
        <f>IF(COUNTIF(O$2:O2621,O2621)=1,R2621,0)/2.5</f>
        <v>0</v>
      </c>
    </row>
    <row r="2622" spans="1:19" ht="18" customHeight="1" x14ac:dyDescent="0.25">
      <c r="A2622" s="7" t="s">
        <v>43</v>
      </c>
      <c r="B2622" s="8">
        <v>1</v>
      </c>
      <c r="C2622" s="9">
        <v>407</v>
      </c>
      <c r="D2622" s="29">
        <f>C2622+IF(INDEX('Справочник по %'!B:B,(MATCH(A2622,'Справочник по %'!A:A,0)))="кол-во",B2622*INDEX('Справочник по %'!C:C,(MATCH(A2622,'Справочник по %'!A:A,0))),ОТЧЕТ!C2622*INDEX('Справочник по %'!C:C,(MATCH(A2622,'Справочник по %'!A:A,0))))/100</f>
        <v>447.7</v>
      </c>
      <c r="E2622" s="29">
        <f>IF(ОТЧЕТ!A2622="SKU3",C2622+ОТЧЕТ!C2622*0.2,C2622+ОТЧЕТ!C2622*0.15)</f>
        <v>468.05</v>
      </c>
      <c r="F2622" s="7" t="s">
        <v>5013</v>
      </c>
      <c r="G2622" s="7">
        <v>4619005114</v>
      </c>
      <c r="H2622" s="20" t="s">
        <v>167</v>
      </c>
      <c r="I2622" s="22">
        <f>INDEX('Справочник Сети'!B:B,(MATCH(G2622,'Справочник Сети'!C:C,0)))</f>
        <v>0</v>
      </c>
      <c r="J2622" s="7" t="s">
        <v>155</v>
      </c>
      <c r="K2622" s="7" t="s">
        <v>3116</v>
      </c>
      <c r="L2622" s="7" t="s">
        <v>155</v>
      </c>
      <c r="M2622" s="31">
        <v>45716</v>
      </c>
      <c r="N2622" s="7" t="s">
        <v>5016</v>
      </c>
      <c r="O2622" s="8">
        <v>1778</v>
      </c>
      <c r="P2622" s="24">
        <v>9588</v>
      </c>
      <c r="Q2622" s="22">
        <f>IF(COUNTIFS(A$2:A2622,A2622,I$2:I2622,I2622)=1,1,0)</f>
        <v>0</v>
      </c>
      <c r="R2622" s="22">
        <f t="shared" si="40"/>
        <v>1</v>
      </c>
      <c r="S2622" s="33">
        <f>IF(COUNTIF(O$2:O2622,O2622)=1,R2622,0)/2.5</f>
        <v>0.4</v>
      </c>
    </row>
    <row r="2623" spans="1:19" ht="18" customHeight="1" x14ac:dyDescent="0.25">
      <c r="A2623" s="7" t="s">
        <v>43</v>
      </c>
      <c r="B2623" s="8">
        <v>1</v>
      </c>
      <c r="C2623" s="9">
        <v>415.9</v>
      </c>
      <c r="D2623" s="29">
        <f>C2623+IF(INDEX('Справочник по %'!B:B,(MATCH(A2623,'Справочник по %'!A:A,0)))="кол-во",B2623*INDEX('Справочник по %'!C:C,(MATCH(A2623,'Справочник по %'!A:A,0))),ОТЧЕТ!C2623*INDEX('Справочник по %'!C:C,(MATCH(A2623,'Справочник по %'!A:A,0))))/100</f>
        <v>457.49</v>
      </c>
      <c r="E2623" s="29">
        <f>IF(ОТЧЕТ!A2623="SKU3",C2623+ОТЧЕТ!C2623*0.2,C2623+ОТЧЕТ!C2623*0.15)</f>
        <v>478.28499999999997</v>
      </c>
      <c r="F2623" s="7" t="s">
        <v>5013</v>
      </c>
      <c r="G2623" s="7">
        <v>275912643</v>
      </c>
      <c r="H2623" s="20" t="s">
        <v>2297</v>
      </c>
      <c r="I2623" s="22">
        <f>INDEX('Справочник Сети'!B:B,(MATCH(G2623,'Справочник Сети'!C:C,0)))</f>
        <v>0</v>
      </c>
      <c r="J2623" s="7" t="s">
        <v>362</v>
      </c>
      <c r="K2623" s="7" t="s">
        <v>2997</v>
      </c>
      <c r="L2623" s="7" t="s">
        <v>362</v>
      </c>
      <c r="M2623" s="31">
        <v>45732</v>
      </c>
      <c r="N2623" s="7" t="s">
        <v>5017</v>
      </c>
      <c r="O2623" s="8">
        <v>2778</v>
      </c>
      <c r="P2623" s="24">
        <v>9589</v>
      </c>
      <c r="Q2623" s="22">
        <f>IF(COUNTIFS(A$2:A2623,A2623,I$2:I2623,I2623)=1,1,0)</f>
        <v>0</v>
      </c>
      <c r="R2623" s="22">
        <f t="shared" si="40"/>
        <v>3</v>
      </c>
      <c r="S2623" s="33">
        <f>IF(COUNTIF(O$2:O2623,O2623)=1,R2623,0)/2.5</f>
        <v>0</v>
      </c>
    </row>
    <row r="2624" spans="1:19" ht="18" customHeight="1" x14ac:dyDescent="0.25">
      <c r="A2624" s="7" t="s">
        <v>43</v>
      </c>
      <c r="B2624" s="8">
        <v>1</v>
      </c>
      <c r="C2624" s="9">
        <v>373</v>
      </c>
      <c r="D2624" s="29">
        <f>C2624+IF(INDEX('Справочник по %'!B:B,(MATCH(A2624,'Справочник по %'!A:A,0)))="кол-во",B2624*INDEX('Справочник по %'!C:C,(MATCH(A2624,'Справочник по %'!A:A,0))),ОТЧЕТ!C2624*INDEX('Справочник по %'!C:C,(MATCH(A2624,'Справочник по %'!A:A,0))))/100</f>
        <v>410.3</v>
      </c>
      <c r="E2624" s="29">
        <f>IF(ОТЧЕТ!A2624="SKU3",C2624+ОТЧЕТ!C2624*0.2,C2624+ОТЧЕТ!C2624*0.15)</f>
        <v>428.95</v>
      </c>
      <c r="F2624" s="7" t="s">
        <v>5013</v>
      </c>
      <c r="G2624" s="7">
        <v>7731334851</v>
      </c>
      <c r="H2624" s="20" t="s">
        <v>841</v>
      </c>
      <c r="I2624" s="22" t="str">
        <f>INDEX('Справочник Сети'!B:B,(MATCH(G2624,'Справочник Сети'!C:C,0)))</f>
        <v>Планета здоровья</v>
      </c>
      <c r="J2624" s="7" t="s">
        <v>142</v>
      </c>
      <c r="K2624" s="7" t="s">
        <v>1277</v>
      </c>
      <c r="L2624" s="7" t="s">
        <v>142</v>
      </c>
      <c r="M2624" s="31">
        <v>45674</v>
      </c>
      <c r="N2624" s="7" t="s">
        <v>5018</v>
      </c>
      <c r="O2624" s="8">
        <v>1361</v>
      </c>
      <c r="P2624" s="24">
        <v>9590</v>
      </c>
      <c r="Q2624" s="22">
        <f>IF(COUNTIFS(A$2:A2624,A2624,I$2:I2624,I2624)=1,1,0)</f>
        <v>0</v>
      </c>
      <c r="R2624" s="22">
        <f t="shared" si="40"/>
        <v>4</v>
      </c>
      <c r="S2624" s="33">
        <f>IF(COUNTIF(O$2:O2624,O2624)=1,R2624,0)/2.5</f>
        <v>0</v>
      </c>
    </row>
    <row r="2625" spans="1:19" ht="18" customHeight="1" x14ac:dyDescent="0.25">
      <c r="A2625" s="7" t="s">
        <v>43</v>
      </c>
      <c r="B2625" s="8">
        <v>1</v>
      </c>
      <c r="C2625" s="9">
        <v>375</v>
      </c>
      <c r="D2625" s="29">
        <f>C2625+IF(INDEX('Справочник по %'!B:B,(MATCH(A2625,'Справочник по %'!A:A,0)))="кол-во",B2625*INDEX('Справочник по %'!C:C,(MATCH(A2625,'Справочник по %'!A:A,0))),ОТЧЕТ!C2625*INDEX('Справочник по %'!C:C,(MATCH(A2625,'Справочник по %'!A:A,0))))/100</f>
        <v>412.5</v>
      </c>
      <c r="E2625" s="29">
        <f>IF(ОТЧЕТ!A2625="SKU3",C2625+ОТЧЕТ!C2625*0.2,C2625+ОТЧЕТ!C2625*0.15)</f>
        <v>431.25</v>
      </c>
      <c r="F2625" s="7" t="s">
        <v>5013</v>
      </c>
      <c r="G2625" s="7">
        <v>7722316430</v>
      </c>
      <c r="H2625" s="20" t="s">
        <v>1840</v>
      </c>
      <c r="I2625" s="22">
        <f>INDEX('Справочник Сети'!B:B,(MATCH(G2625,'Справочник Сети'!C:C,0)))</f>
        <v>0</v>
      </c>
      <c r="J2625" s="7" t="s">
        <v>185</v>
      </c>
      <c r="K2625" s="7" t="s">
        <v>244</v>
      </c>
      <c r="L2625" s="7" t="s">
        <v>185</v>
      </c>
      <c r="M2625" s="31">
        <v>45675</v>
      </c>
      <c r="N2625" s="7" t="s">
        <v>5019</v>
      </c>
      <c r="O2625" s="8">
        <v>390</v>
      </c>
      <c r="P2625" s="24">
        <v>9591</v>
      </c>
      <c r="Q2625" s="22">
        <f>IF(COUNTIFS(A$2:A2625,A2625,I$2:I2625,I2625)=1,1,0)</f>
        <v>0</v>
      </c>
      <c r="R2625" s="22">
        <f t="shared" si="40"/>
        <v>1</v>
      </c>
      <c r="S2625" s="33">
        <f>IF(COUNTIF(O$2:O2625,O2625)=1,R2625,0)/2.5</f>
        <v>0.4</v>
      </c>
    </row>
    <row r="2626" spans="1:19" ht="18" customHeight="1" x14ac:dyDescent="0.25">
      <c r="A2626" s="7" t="s">
        <v>43</v>
      </c>
      <c r="B2626" s="8">
        <v>1</v>
      </c>
      <c r="C2626" s="9">
        <v>396.2</v>
      </c>
      <c r="D2626" s="29">
        <f>C2626+IF(INDEX('Справочник по %'!B:B,(MATCH(A2626,'Справочник по %'!A:A,0)))="кол-во",B2626*INDEX('Справочник по %'!C:C,(MATCH(A2626,'Справочник по %'!A:A,0))),ОТЧЕТ!C2626*INDEX('Справочник по %'!C:C,(MATCH(A2626,'Справочник по %'!A:A,0))))/100</f>
        <v>435.82</v>
      </c>
      <c r="E2626" s="29">
        <f>IF(ОТЧЕТ!A2626="SKU3",C2626+ОТЧЕТ!C2626*0.2,C2626+ОТЧЕТ!C2626*0.15)</f>
        <v>455.63</v>
      </c>
      <c r="F2626" s="7" t="s">
        <v>5013</v>
      </c>
      <c r="G2626" s="7">
        <v>360300674906</v>
      </c>
      <c r="H2626" s="20" t="s">
        <v>298</v>
      </c>
      <c r="I2626" s="22" t="str">
        <f>INDEX('Справочник Сети'!B:B,(MATCH(G2626,'Справочник Сети'!C:C,0)))</f>
        <v>Столички</v>
      </c>
      <c r="J2626" s="7" t="s">
        <v>110</v>
      </c>
      <c r="K2626" s="7" t="s">
        <v>1293</v>
      </c>
      <c r="L2626" s="7" t="s">
        <v>110</v>
      </c>
      <c r="M2626" s="31">
        <v>45660</v>
      </c>
      <c r="N2626" s="7" t="s">
        <v>5020</v>
      </c>
      <c r="O2626" s="8">
        <v>1058</v>
      </c>
      <c r="P2626" s="24">
        <v>9593</v>
      </c>
      <c r="Q2626" s="22">
        <f>IF(COUNTIFS(A$2:A2626,A2626,I$2:I2626,I2626)=1,1,0)</f>
        <v>0</v>
      </c>
      <c r="R2626" s="22">
        <f t="shared" si="40"/>
        <v>4</v>
      </c>
      <c r="S2626" s="33">
        <f>IF(COUNTIF(O$2:O2626,O2626)=1,R2626,0)/2.5</f>
        <v>0</v>
      </c>
    </row>
    <row r="2627" spans="1:19" ht="18" customHeight="1" x14ac:dyDescent="0.25">
      <c r="A2627" s="7" t="s">
        <v>43</v>
      </c>
      <c r="B2627" s="8">
        <v>1</v>
      </c>
      <c r="C2627" s="9">
        <v>383.07</v>
      </c>
      <c r="D2627" s="29">
        <f>C2627+IF(INDEX('Справочник по %'!B:B,(MATCH(A2627,'Справочник по %'!A:A,0)))="кол-во",B2627*INDEX('Справочник по %'!C:C,(MATCH(A2627,'Справочник по %'!A:A,0))),ОТЧЕТ!C2627*INDEX('Справочник по %'!C:C,(MATCH(A2627,'Справочник по %'!A:A,0))))/100</f>
        <v>421.37700000000001</v>
      </c>
      <c r="E2627" s="29">
        <f>IF(ОТЧЕТ!A2627="SKU3",C2627+ОТЧЕТ!C2627*0.2,C2627+ОТЧЕТ!C2627*0.15)</f>
        <v>440.53049999999996</v>
      </c>
      <c r="F2627" s="7" t="s">
        <v>5013</v>
      </c>
      <c r="G2627" s="7">
        <v>7732121736</v>
      </c>
      <c r="H2627" s="20" t="s">
        <v>5021</v>
      </c>
      <c r="I2627" s="22" t="str">
        <f>INDEX('Справочник Сети'!B:B,(MATCH(G2627,'Справочник Сети'!C:C,0)))</f>
        <v>Планета здоровья</v>
      </c>
      <c r="J2627" s="7" t="s">
        <v>149</v>
      </c>
      <c r="K2627" s="7" t="s">
        <v>214</v>
      </c>
      <c r="L2627" s="7" t="s">
        <v>149</v>
      </c>
      <c r="M2627" s="31">
        <v>45673</v>
      </c>
      <c r="N2627" s="7" t="s">
        <v>5022</v>
      </c>
      <c r="O2627" s="8">
        <v>1941</v>
      </c>
      <c r="P2627" s="24">
        <v>9594</v>
      </c>
      <c r="Q2627" s="22">
        <f>IF(COUNTIFS(A$2:A2627,A2627,I$2:I2627,I2627)=1,1,0)</f>
        <v>0</v>
      </c>
      <c r="R2627" s="22">
        <f t="shared" ref="R2627:R2690" si="41">COUNTIF(O:O,O2627)</f>
        <v>2</v>
      </c>
      <c r="S2627" s="33">
        <f>IF(COUNTIF(O$2:O2627,O2627)=1,R2627,0)/2.5</f>
        <v>0.8</v>
      </c>
    </row>
    <row r="2628" spans="1:19" ht="18" customHeight="1" x14ac:dyDescent="0.25">
      <c r="A2628" s="7" t="s">
        <v>43</v>
      </c>
      <c r="B2628" s="8">
        <v>1</v>
      </c>
      <c r="C2628" s="9">
        <v>391.93</v>
      </c>
      <c r="D2628" s="29">
        <f>C2628+IF(INDEX('Справочник по %'!B:B,(MATCH(A2628,'Справочник по %'!A:A,0)))="кол-во",B2628*INDEX('Справочник по %'!C:C,(MATCH(A2628,'Справочник по %'!A:A,0))),ОТЧЕТ!C2628*INDEX('Справочник по %'!C:C,(MATCH(A2628,'Справочник по %'!A:A,0))))/100</f>
        <v>431.12299999999999</v>
      </c>
      <c r="E2628" s="29">
        <f>IF(ОТЧЕТ!A2628="SKU3",C2628+ОТЧЕТ!C2628*0.2,C2628+ОТЧЕТ!C2628*0.15)</f>
        <v>450.71949999999998</v>
      </c>
      <c r="F2628" s="7" t="s">
        <v>5013</v>
      </c>
      <c r="G2628" s="7">
        <v>7732121736</v>
      </c>
      <c r="H2628" s="20" t="s">
        <v>5021</v>
      </c>
      <c r="I2628" s="22" t="str">
        <f>INDEX('Справочник Сети'!B:B,(MATCH(G2628,'Справочник Сети'!C:C,0)))</f>
        <v>Планета здоровья</v>
      </c>
      <c r="J2628" s="7" t="s">
        <v>149</v>
      </c>
      <c r="K2628" s="7" t="s">
        <v>214</v>
      </c>
      <c r="L2628" s="7" t="s">
        <v>149</v>
      </c>
      <c r="M2628" s="31">
        <v>45673</v>
      </c>
      <c r="N2628" s="7" t="s">
        <v>5022</v>
      </c>
      <c r="O2628" s="8">
        <v>1941</v>
      </c>
      <c r="P2628" s="24">
        <v>9594</v>
      </c>
      <c r="Q2628" s="22">
        <f>IF(COUNTIFS(A$2:A2628,A2628,I$2:I2628,I2628)=1,1,0)</f>
        <v>0</v>
      </c>
      <c r="R2628" s="22">
        <f t="shared" si="41"/>
        <v>2</v>
      </c>
      <c r="S2628" s="33">
        <f>IF(COUNTIF(O$2:O2628,O2628)=1,R2628,0)/2.5</f>
        <v>0</v>
      </c>
    </row>
    <row r="2629" spans="1:19" ht="18" customHeight="1" x14ac:dyDescent="0.25">
      <c r="A2629" s="7" t="s">
        <v>43</v>
      </c>
      <c r="B2629" s="8">
        <v>1</v>
      </c>
      <c r="C2629" s="9">
        <v>425</v>
      </c>
      <c r="D2629" s="29">
        <f>C2629+IF(INDEX('Справочник по %'!B:B,(MATCH(A2629,'Справочник по %'!A:A,0)))="кол-во",B2629*INDEX('Справочник по %'!C:C,(MATCH(A2629,'Справочник по %'!A:A,0))),ОТЧЕТ!C2629*INDEX('Справочник по %'!C:C,(MATCH(A2629,'Справочник по %'!A:A,0))))/100</f>
        <v>467.5</v>
      </c>
      <c r="E2629" s="29">
        <f>IF(ОТЧЕТ!A2629="SKU3",C2629+ОТЧЕТ!C2629*0.2,C2629+ОТЧЕТ!C2629*0.15)</f>
        <v>488.75</v>
      </c>
      <c r="F2629" s="7" t="s">
        <v>5013</v>
      </c>
      <c r="G2629" s="7">
        <v>800018631</v>
      </c>
      <c r="H2629" s="20" t="s">
        <v>91</v>
      </c>
      <c r="I2629" s="22">
        <f>INDEX('Справочник Сети'!B:B,(MATCH(G2629,'Справочник Сети'!C:C,0)))</f>
        <v>0</v>
      </c>
      <c r="J2629" s="7" t="s">
        <v>362</v>
      </c>
      <c r="K2629" s="7" t="s">
        <v>414</v>
      </c>
      <c r="L2629" s="7" t="s">
        <v>362</v>
      </c>
      <c r="M2629" s="31">
        <v>45732</v>
      </c>
      <c r="N2629" s="7" t="s">
        <v>5023</v>
      </c>
      <c r="O2629" s="8">
        <v>3422</v>
      </c>
      <c r="P2629" s="24">
        <v>9599</v>
      </c>
      <c r="Q2629" s="22">
        <f>IF(COUNTIFS(A$2:A2629,A2629,I$2:I2629,I2629)=1,1,0)</f>
        <v>0</v>
      </c>
      <c r="R2629" s="22">
        <f t="shared" si="41"/>
        <v>1</v>
      </c>
      <c r="S2629" s="33">
        <f>IF(COUNTIF(O$2:O2629,O2629)=1,R2629,0)/2.5</f>
        <v>0.4</v>
      </c>
    </row>
    <row r="2630" spans="1:19" ht="18" customHeight="1" x14ac:dyDescent="0.25">
      <c r="A2630" s="7" t="s">
        <v>37</v>
      </c>
      <c r="B2630" s="8">
        <v>1</v>
      </c>
      <c r="C2630" s="9">
        <v>678</v>
      </c>
      <c r="D2630" s="29">
        <f>C2630+IF(INDEX('Справочник по %'!B:B,(MATCH(A2630,'Справочник по %'!A:A,0)))="кол-во",B2630*INDEX('Справочник по %'!C:C,(MATCH(A2630,'Справочник по %'!A:A,0))),ОТЧЕТ!C2630*INDEX('Справочник по %'!C:C,(MATCH(A2630,'Справочник по %'!A:A,0))))/100</f>
        <v>678.2</v>
      </c>
      <c r="E2630" s="29">
        <f>IF(ОТЧЕТ!A2630="SKU3",C2630+ОТЧЕТ!C2630*0.2,C2630+ОТЧЕТ!C2630*0.15)</f>
        <v>779.7</v>
      </c>
      <c r="F2630" s="7" t="s">
        <v>5024</v>
      </c>
      <c r="G2630" s="7">
        <v>2537037591</v>
      </c>
      <c r="H2630" s="20" t="s">
        <v>5025</v>
      </c>
      <c r="I2630" s="22">
        <f>INDEX('Справочник Сети'!B:B,(MATCH(G2630,'Справочник Сети'!C:C,0)))</f>
        <v>0</v>
      </c>
      <c r="J2630" s="7" t="s">
        <v>46</v>
      </c>
      <c r="K2630" s="7" t="s">
        <v>1457</v>
      </c>
      <c r="L2630" s="7" t="s">
        <v>96</v>
      </c>
      <c r="M2630" s="31">
        <v>45727</v>
      </c>
      <c r="N2630" s="7" t="s">
        <v>5026</v>
      </c>
      <c r="O2630" s="8">
        <v>1135</v>
      </c>
      <c r="P2630" s="24">
        <v>9612</v>
      </c>
      <c r="Q2630" s="22">
        <f>IF(COUNTIFS(A$2:A2630,A2630,I$2:I2630,I2630)=1,1,0)</f>
        <v>0</v>
      </c>
      <c r="R2630" s="22">
        <f t="shared" si="41"/>
        <v>1</v>
      </c>
      <c r="S2630" s="33">
        <f>IF(COUNTIF(O$2:O2630,O2630)=1,R2630,0)/2.5</f>
        <v>0.4</v>
      </c>
    </row>
    <row r="2631" spans="1:19" ht="18" customHeight="1" x14ac:dyDescent="0.25">
      <c r="A2631" s="7" t="s">
        <v>43</v>
      </c>
      <c r="B2631" s="8">
        <v>1</v>
      </c>
      <c r="C2631" s="9">
        <v>410.85</v>
      </c>
      <c r="D2631" s="29">
        <f>C2631+IF(INDEX('Справочник по %'!B:B,(MATCH(A2631,'Справочник по %'!A:A,0)))="кол-во",B2631*INDEX('Справочник по %'!C:C,(MATCH(A2631,'Справочник по %'!A:A,0))),ОТЧЕТ!C2631*INDEX('Справочник по %'!C:C,(MATCH(A2631,'Справочник по %'!A:A,0))))/100</f>
        <v>451.935</v>
      </c>
      <c r="E2631" s="29">
        <f>IF(ОТЧЕТ!A2631="SKU3",C2631+ОТЧЕТ!C2631*0.2,C2631+ОТЧЕТ!C2631*0.15)</f>
        <v>472.47750000000002</v>
      </c>
      <c r="F2631" s="7" t="s">
        <v>5027</v>
      </c>
      <c r="G2631" s="7">
        <v>2723197553</v>
      </c>
      <c r="H2631" s="20" t="s">
        <v>50</v>
      </c>
      <c r="I2631" s="22" t="str">
        <f>INDEX('Справочник Сети'!B:B,(MATCH(G2631,'Справочник Сети'!C:C,0)))</f>
        <v>Ригла</v>
      </c>
      <c r="J2631" s="7" t="s">
        <v>51</v>
      </c>
      <c r="K2631" s="7" t="s">
        <v>5028</v>
      </c>
      <c r="L2631" s="7" t="s">
        <v>46</v>
      </c>
      <c r="M2631" s="31">
        <v>45726</v>
      </c>
      <c r="N2631" s="7" t="s">
        <v>5029</v>
      </c>
      <c r="O2631" s="8">
        <v>1152</v>
      </c>
      <c r="P2631" s="24">
        <v>9618</v>
      </c>
      <c r="Q2631" s="22">
        <f>IF(COUNTIFS(A$2:A2631,A2631,I$2:I2631,I2631)=1,1,0)</f>
        <v>0</v>
      </c>
      <c r="R2631" s="22">
        <f t="shared" si="41"/>
        <v>1</v>
      </c>
      <c r="S2631" s="33">
        <f>IF(COUNTIF(O$2:O2631,O2631)=1,R2631,0)/2.5</f>
        <v>0.4</v>
      </c>
    </row>
    <row r="2632" spans="1:19" ht="18" customHeight="1" x14ac:dyDescent="0.25">
      <c r="A2632" s="7" t="s">
        <v>43</v>
      </c>
      <c r="B2632" s="8">
        <v>1</v>
      </c>
      <c r="C2632" s="9">
        <v>413.7</v>
      </c>
      <c r="D2632" s="29">
        <f>C2632+IF(INDEX('Справочник по %'!B:B,(MATCH(A2632,'Справочник по %'!A:A,0)))="кол-во",B2632*INDEX('Справочник по %'!C:C,(MATCH(A2632,'Справочник по %'!A:A,0))),ОТЧЕТ!C2632*INDEX('Справочник по %'!C:C,(MATCH(A2632,'Справочник по %'!A:A,0))))/100</f>
        <v>455.07</v>
      </c>
      <c r="E2632" s="29">
        <f>IF(ОТЧЕТ!A2632="SKU3",C2632+ОТЧЕТ!C2632*0.2,C2632+ОТЧЕТ!C2632*0.15)</f>
        <v>475.755</v>
      </c>
      <c r="F2632" s="7" t="s">
        <v>5030</v>
      </c>
      <c r="G2632" s="7">
        <v>2539096225</v>
      </c>
      <c r="H2632" s="20" t="s">
        <v>593</v>
      </c>
      <c r="I2632" s="22" t="str">
        <f>INDEX('Справочник Сети'!B:B,(MATCH(G2632,'Справочник Сети'!C:C,0)))</f>
        <v>36,6</v>
      </c>
      <c r="J2632" s="7" t="s">
        <v>46</v>
      </c>
      <c r="K2632" s="7" t="s">
        <v>2136</v>
      </c>
      <c r="L2632" s="7" t="s">
        <v>46</v>
      </c>
      <c r="M2632" s="31">
        <v>45726</v>
      </c>
      <c r="N2632" s="7" t="s">
        <v>5031</v>
      </c>
      <c r="O2632" s="8">
        <v>1705</v>
      </c>
      <c r="P2632" s="24">
        <v>9619</v>
      </c>
      <c r="Q2632" s="22">
        <f>IF(COUNTIFS(A$2:A2632,A2632,I$2:I2632,I2632)=1,1,0)</f>
        <v>0</v>
      </c>
      <c r="R2632" s="22">
        <f t="shared" si="41"/>
        <v>4</v>
      </c>
      <c r="S2632" s="33">
        <f>IF(COUNTIF(O$2:O2632,O2632)=1,R2632,0)/2.5</f>
        <v>0</v>
      </c>
    </row>
    <row r="2633" spans="1:19" ht="18" customHeight="1" x14ac:dyDescent="0.25">
      <c r="A2633" s="7" t="s">
        <v>43</v>
      </c>
      <c r="B2633" s="8">
        <v>1</v>
      </c>
      <c r="C2633" s="9">
        <v>380.7</v>
      </c>
      <c r="D2633" s="29">
        <f>C2633+IF(INDEX('Справочник по %'!B:B,(MATCH(A2633,'Справочник по %'!A:A,0)))="кол-во",B2633*INDEX('Справочник по %'!C:C,(MATCH(A2633,'Справочник по %'!A:A,0))),ОТЧЕТ!C2633*INDEX('Справочник по %'!C:C,(MATCH(A2633,'Справочник по %'!A:A,0))))/100</f>
        <v>418.77</v>
      </c>
      <c r="E2633" s="29">
        <f>IF(ОТЧЕТ!A2633="SKU3",C2633+ОТЧЕТ!C2633*0.2,C2633+ОТЧЕТ!C2633*0.15)</f>
        <v>437.80500000000001</v>
      </c>
      <c r="F2633" s="7" t="s">
        <v>5032</v>
      </c>
      <c r="G2633" s="7">
        <v>2466189073</v>
      </c>
      <c r="H2633" s="20" t="s">
        <v>5033</v>
      </c>
      <c r="I2633" s="22" t="str">
        <f>INDEX('Справочник Сети'!B:B,(MATCH(G2633,'Справочник Сети'!C:C,0)))</f>
        <v>Нео-фарм</v>
      </c>
      <c r="J2633" s="7" t="s">
        <v>96</v>
      </c>
      <c r="K2633" s="7" t="s">
        <v>1426</v>
      </c>
      <c r="L2633" s="7" t="s">
        <v>96</v>
      </c>
      <c r="M2633" s="31">
        <v>45727</v>
      </c>
      <c r="N2633" s="7" t="s">
        <v>5034</v>
      </c>
      <c r="O2633" s="8">
        <v>3473</v>
      </c>
      <c r="P2633" s="24">
        <v>9621</v>
      </c>
      <c r="Q2633" s="22">
        <f>IF(COUNTIFS(A$2:A2633,A2633,I$2:I2633,I2633)=1,1,0)</f>
        <v>0</v>
      </c>
      <c r="R2633" s="22">
        <f t="shared" si="41"/>
        <v>2</v>
      </c>
      <c r="S2633" s="33">
        <f>IF(COUNTIF(O$2:O2633,O2633)=1,R2633,0)/2.5</f>
        <v>0</v>
      </c>
    </row>
    <row r="2634" spans="1:19" ht="18" customHeight="1" x14ac:dyDescent="0.25">
      <c r="A2634" s="7" t="s">
        <v>43</v>
      </c>
      <c r="B2634" s="8">
        <v>1</v>
      </c>
      <c r="C2634" s="9">
        <v>486</v>
      </c>
      <c r="D2634" s="29">
        <f>C2634+IF(INDEX('Справочник по %'!B:B,(MATCH(A2634,'Справочник по %'!A:A,0)))="кол-во",B2634*INDEX('Справочник по %'!C:C,(MATCH(A2634,'Справочник по %'!A:A,0))),ОТЧЕТ!C2634*INDEX('Справочник по %'!C:C,(MATCH(A2634,'Справочник по %'!A:A,0))))/100</f>
        <v>534.6</v>
      </c>
      <c r="E2634" s="29">
        <f>IF(ОТЧЕТ!A2634="SKU3",C2634+ОТЧЕТ!C2634*0.2,C2634+ОТЧЕТ!C2634*0.15)</f>
        <v>558.9</v>
      </c>
      <c r="F2634" s="7" t="s">
        <v>5035</v>
      </c>
      <c r="G2634" s="7">
        <v>2543009225</v>
      </c>
      <c r="H2634" s="20" t="s">
        <v>3327</v>
      </c>
      <c r="I2634" s="22" t="str">
        <f>INDEX('Справочник Сети'!B:B,(MATCH(G2634,'Справочник Сети'!C:C,0)))</f>
        <v>Нео-фарм</v>
      </c>
      <c r="J2634" s="7" t="s">
        <v>46</v>
      </c>
      <c r="K2634" s="7" t="s">
        <v>492</v>
      </c>
      <c r="L2634" s="7" t="s">
        <v>46</v>
      </c>
      <c r="M2634" s="31">
        <v>45726</v>
      </c>
      <c r="N2634" s="7" t="s">
        <v>5036</v>
      </c>
      <c r="O2634" s="8">
        <v>2946</v>
      </c>
      <c r="P2634" s="24">
        <v>9622</v>
      </c>
      <c r="Q2634" s="22">
        <f>IF(COUNTIFS(A$2:A2634,A2634,I$2:I2634,I2634)=1,1,0)</f>
        <v>0</v>
      </c>
      <c r="R2634" s="22">
        <f t="shared" si="41"/>
        <v>7</v>
      </c>
      <c r="S2634" s="33">
        <f>IF(COUNTIF(O$2:O2634,O2634)=1,R2634,0)/2.5</f>
        <v>0</v>
      </c>
    </row>
    <row r="2635" spans="1:19" ht="18" customHeight="1" x14ac:dyDescent="0.25">
      <c r="A2635" s="7" t="s">
        <v>43</v>
      </c>
      <c r="B2635" s="8">
        <v>1</v>
      </c>
      <c r="C2635" s="9">
        <v>420</v>
      </c>
      <c r="D2635" s="29">
        <f>C2635+IF(INDEX('Справочник по %'!B:B,(MATCH(A2635,'Справочник по %'!A:A,0)))="кол-во",B2635*INDEX('Справочник по %'!C:C,(MATCH(A2635,'Справочник по %'!A:A,0))),ОТЧЕТ!C2635*INDEX('Справочник по %'!C:C,(MATCH(A2635,'Справочник по %'!A:A,0))))/100</f>
        <v>462</v>
      </c>
      <c r="E2635" s="29">
        <f>IF(ОТЧЕТ!A2635="SKU3",C2635+ОТЧЕТ!C2635*0.2,C2635+ОТЧЕТ!C2635*0.15)</f>
        <v>483</v>
      </c>
      <c r="F2635" s="7" t="s">
        <v>5037</v>
      </c>
      <c r="G2635" s="7">
        <v>222212650267</v>
      </c>
      <c r="H2635" s="20" t="s">
        <v>64</v>
      </c>
      <c r="I2635" s="22">
        <f>INDEX('Справочник Сети'!B:B,(MATCH(G2635,'Справочник Сети'!C:C,0)))</f>
        <v>0</v>
      </c>
      <c r="J2635" s="7" t="s">
        <v>74</v>
      </c>
      <c r="K2635" s="7" t="s">
        <v>2379</v>
      </c>
      <c r="L2635" s="7" t="s">
        <v>74</v>
      </c>
      <c r="M2635" s="31">
        <v>45661</v>
      </c>
      <c r="N2635" s="7" t="s">
        <v>5038</v>
      </c>
      <c r="O2635" s="8">
        <v>181</v>
      </c>
      <c r="P2635" s="24">
        <v>9624</v>
      </c>
      <c r="Q2635" s="22">
        <f>IF(COUNTIFS(A$2:A2635,A2635,I$2:I2635,I2635)=1,1,0)</f>
        <v>0</v>
      </c>
      <c r="R2635" s="22">
        <f t="shared" si="41"/>
        <v>1</v>
      </c>
      <c r="S2635" s="33">
        <f>IF(COUNTIF(O$2:O2635,O2635)=1,R2635,0)/2.5</f>
        <v>0.4</v>
      </c>
    </row>
    <row r="2636" spans="1:19" ht="18" customHeight="1" x14ac:dyDescent="0.25">
      <c r="A2636" s="7" t="s">
        <v>43</v>
      </c>
      <c r="B2636" s="8">
        <v>1</v>
      </c>
      <c r="C2636" s="9">
        <v>540</v>
      </c>
      <c r="D2636" s="29">
        <f>C2636+IF(INDEX('Справочник по %'!B:B,(MATCH(A2636,'Справочник по %'!A:A,0)))="кол-во",B2636*INDEX('Справочник по %'!C:C,(MATCH(A2636,'Справочник по %'!A:A,0))),ОТЧЕТ!C2636*INDEX('Справочник по %'!C:C,(MATCH(A2636,'Справочник по %'!A:A,0))))/100</f>
        <v>594</v>
      </c>
      <c r="E2636" s="29">
        <f>IF(ОТЧЕТ!A2636="SKU3",C2636+ОТЧЕТ!C2636*0.2,C2636+ОТЧЕТ!C2636*0.15)</f>
        <v>621</v>
      </c>
      <c r="F2636" s="7" t="s">
        <v>5037</v>
      </c>
      <c r="G2636" s="7">
        <v>2543009225</v>
      </c>
      <c r="H2636" s="20" t="s">
        <v>2321</v>
      </c>
      <c r="I2636" s="22" t="str">
        <f>INDEX('Справочник Сети'!B:B,(MATCH(G2636,'Справочник Сети'!C:C,0)))</f>
        <v>Нео-фарм</v>
      </c>
      <c r="J2636" s="7" t="s">
        <v>46</v>
      </c>
      <c r="K2636" s="7" t="s">
        <v>2167</v>
      </c>
      <c r="L2636" s="7" t="s">
        <v>46</v>
      </c>
      <c r="M2636" s="31">
        <v>45726</v>
      </c>
      <c r="N2636" s="7" t="s">
        <v>5039</v>
      </c>
      <c r="O2636" s="8">
        <v>844</v>
      </c>
      <c r="P2636" s="24">
        <v>9626</v>
      </c>
      <c r="Q2636" s="22">
        <f>IF(COUNTIFS(A$2:A2636,A2636,I$2:I2636,I2636)=1,1,0)</f>
        <v>0</v>
      </c>
      <c r="R2636" s="22">
        <f t="shared" si="41"/>
        <v>1</v>
      </c>
      <c r="S2636" s="33">
        <f>IF(COUNTIF(O$2:O2636,O2636)=1,R2636,0)/2.5</f>
        <v>0.4</v>
      </c>
    </row>
    <row r="2637" spans="1:19" ht="18" customHeight="1" x14ac:dyDescent="0.25">
      <c r="A2637" s="7" t="s">
        <v>43</v>
      </c>
      <c r="B2637" s="8">
        <v>1</v>
      </c>
      <c r="C2637" s="9">
        <v>486</v>
      </c>
      <c r="D2637" s="29">
        <f>C2637+IF(INDEX('Справочник по %'!B:B,(MATCH(A2637,'Справочник по %'!A:A,0)))="кол-во",B2637*INDEX('Справочник по %'!C:C,(MATCH(A2637,'Справочник по %'!A:A,0))),ОТЧЕТ!C2637*INDEX('Справочник по %'!C:C,(MATCH(A2637,'Справочник по %'!A:A,0))))/100</f>
        <v>534.6</v>
      </c>
      <c r="E2637" s="29">
        <f>IF(ОТЧЕТ!A2637="SKU3",C2637+ОТЧЕТ!C2637*0.2,C2637+ОТЧЕТ!C2637*0.15)</f>
        <v>558.9</v>
      </c>
      <c r="F2637" s="7" t="s">
        <v>5037</v>
      </c>
      <c r="G2637" s="7">
        <v>2538047433</v>
      </c>
      <c r="H2637" s="20" t="s">
        <v>2171</v>
      </c>
      <c r="I2637" s="22">
        <f>INDEX('Справочник Сети'!B:B,(MATCH(G2637,'Справочник Сети'!C:C,0)))</f>
        <v>0</v>
      </c>
      <c r="J2637" s="7" t="s">
        <v>46</v>
      </c>
      <c r="K2637" s="7" t="s">
        <v>1537</v>
      </c>
      <c r="L2637" s="7" t="s">
        <v>96</v>
      </c>
      <c r="M2637" s="31">
        <v>45727</v>
      </c>
      <c r="N2637" s="7" t="s">
        <v>5040</v>
      </c>
      <c r="O2637" s="8">
        <v>907</v>
      </c>
      <c r="P2637" s="24">
        <v>9627</v>
      </c>
      <c r="Q2637" s="22">
        <f>IF(COUNTIFS(A$2:A2637,A2637,I$2:I2637,I2637)=1,1,0)</f>
        <v>0</v>
      </c>
      <c r="R2637" s="22">
        <f t="shared" si="41"/>
        <v>3</v>
      </c>
      <c r="S2637" s="33">
        <f>IF(COUNTIF(O$2:O2637,O2637)=1,R2637,0)/2.5</f>
        <v>0</v>
      </c>
    </row>
    <row r="2638" spans="1:19" ht="18" customHeight="1" x14ac:dyDescent="0.25">
      <c r="A2638" s="7" t="s">
        <v>43</v>
      </c>
      <c r="B2638" s="8">
        <v>1</v>
      </c>
      <c r="C2638" s="9">
        <v>331</v>
      </c>
      <c r="D2638" s="29">
        <f>C2638+IF(INDEX('Справочник по %'!B:B,(MATCH(A2638,'Справочник по %'!A:A,0)))="кол-во",B2638*INDEX('Справочник по %'!C:C,(MATCH(A2638,'Справочник по %'!A:A,0))),ОТЧЕТ!C2638*INDEX('Справочник по %'!C:C,(MATCH(A2638,'Справочник по %'!A:A,0))))/100</f>
        <v>364.1</v>
      </c>
      <c r="E2638" s="29">
        <f>IF(ОТЧЕТ!A2638="SKU3",C2638+ОТЧЕТ!C2638*0.2,C2638+ОТЧЕТ!C2638*0.15)</f>
        <v>380.65</v>
      </c>
      <c r="F2638" s="7" t="s">
        <v>5041</v>
      </c>
      <c r="G2638" s="7">
        <v>2543023195</v>
      </c>
      <c r="H2638" s="20" t="s">
        <v>39</v>
      </c>
      <c r="I2638" s="22" t="str">
        <f>INDEX('Справочник Сети'!B:B,(MATCH(G2638,'Справочник Сети'!C:C,0)))</f>
        <v>36,6</v>
      </c>
      <c r="J2638" s="7" t="s">
        <v>46</v>
      </c>
      <c r="K2638" s="7" t="s">
        <v>1422</v>
      </c>
      <c r="L2638" s="7" t="s">
        <v>46</v>
      </c>
      <c r="M2638" s="31">
        <v>45726</v>
      </c>
      <c r="N2638" s="7" t="s">
        <v>5042</v>
      </c>
      <c r="O2638" s="8">
        <v>534</v>
      </c>
      <c r="P2638" s="24">
        <v>9633</v>
      </c>
      <c r="Q2638" s="22">
        <f>IF(COUNTIFS(A$2:A2638,A2638,I$2:I2638,I2638)=1,1,0)</f>
        <v>0</v>
      </c>
      <c r="R2638" s="22">
        <f t="shared" si="41"/>
        <v>3</v>
      </c>
      <c r="S2638" s="33">
        <f>IF(COUNTIF(O$2:O2638,O2638)=1,R2638,0)/2.5</f>
        <v>0</v>
      </c>
    </row>
    <row r="2639" spans="1:19" ht="18" customHeight="1" x14ac:dyDescent="0.25">
      <c r="A2639" s="7" t="s">
        <v>43</v>
      </c>
      <c r="B2639" s="8">
        <v>1</v>
      </c>
      <c r="C2639" s="9">
        <v>467</v>
      </c>
      <c r="D2639" s="29">
        <f>C2639+IF(INDEX('Справочник по %'!B:B,(MATCH(A2639,'Справочник по %'!A:A,0)))="кол-во",B2639*INDEX('Справочник по %'!C:C,(MATCH(A2639,'Справочник по %'!A:A,0))),ОТЧЕТ!C2639*INDEX('Справочник по %'!C:C,(MATCH(A2639,'Справочник по %'!A:A,0))))/100</f>
        <v>513.70000000000005</v>
      </c>
      <c r="E2639" s="29">
        <f>IF(ОТЧЕТ!A2639="SKU3",C2639+ОТЧЕТ!C2639*0.2,C2639+ОТЧЕТ!C2639*0.15)</f>
        <v>537.04999999999995</v>
      </c>
      <c r="F2639" s="7" t="s">
        <v>5043</v>
      </c>
      <c r="G2639" s="7">
        <v>7704865540</v>
      </c>
      <c r="H2639" s="20" t="s">
        <v>5044</v>
      </c>
      <c r="I2639" s="22" t="str">
        <f>INDEX('Справочник Сети'!B:B,(MATCH(G2639,'Справочник Сети'!C:C,0)))</f>
        <v>Столички</v>
      </c>
      <c r="J2639" s="7" t="s">
        <v>104</v>
      </c>
      <c r="K2639" s="7" t="s">
        <v>607</v>
      </c>
      <c r="L2639" s="7" t="s">
        <v>104</v>
      </c>
      <c r="M2639" s="31">
        <v>45693</v>
      </c>
      <c r="N2639" s="7" t="s">
        <v>5045</v>
      </c>
      <c r="O2639" s="8">
        <v>3247</v>
      </c>
      <c r="P2639" s="24">
        <v>9637</v>
      </c>
      <c r="Q2639" s="22">
        <f>IF(COUNTIFS(A$2:A2639,A2639,I$2:I2639,I2639)=1,1,0)</f>
        <v>0</v>
      </c>
      <c r="R2639" s="22">
        <f t="shared" si="41"/>
        <v>1</v>
      </c>
      <c r="S2639" s="33">
        <f>IF(COUNTIF(O$2:O2639,O2639)=1,R2639,0)/2.5</f>
        <v>0.4</v>
      </c>
    </row>
    <row r="2640" spans="1:19" ht="18" customHeight="1" x14ac:dyDescent="0.25">
      <c r="A2640" s="7" t="s">
        <v>43</v>
      </c>
      <c r="B2640" s="8">
        <v>1</v>
      </c>
      <c r="C2640" s="9">
        <v>429</v>
      </c>
      <c r="D2640" s="29">
        <f>C2640+IF(INDEX('Справочник по %'!B:B,(MATCH(A2640,'Справочник по %'!A:A,0)))="кол-во",B2640*INDEX('Справочник по %'!C:C,(MATCH(A2640,'Справочник по %'!A:A,0))),ОТЧЕТ!C2640*INDEX('Справочник по %'!C:C,(MATCH(A2640,'Справочник по %'!A:A,0))))/100</f>
        <v>471.9</v>
      </c>
      <c r="E2640" s="29">
        <f>IF(ОТЧЕТ!A2640="SKU3",C2640+ОТЧЕТ!C2640*0.2,C2640+ОТЧЕТ!C2640*0.15)</f>
        <v>493.35</v>
      </c>
      <c r="F2640" s="7" t="s">
        <v>5043</v>
      </c>
      <c r="G2640" s="7">
        <v>7724211288</v>
      </c>
      <c r="H2640" s="20" t="s">
        <v>50</v>
      </c>
      <c r="I2640" s="22" t="str">
        <f>INDEX('Справочник Сети'!B:B,(MATCH(G2640,'Справочник Сети'!C:C,0)))</f>
        <v>Планета здоровья</v>
      </c>
      <c r="J2640" s="7" t="s">
        <v>185</v>
      </c>
      <c r="K2640" s="7" t="s">
        <v>2136</v>
      </c>
      <c r="L2640" s="7" t="s">
        <v>185</v>
      </c>
      <c r="M2640" s="31">
        <v>45675</v>
      </c>
      <c r="N2640" s="7" t="s">
        <v>5046</v>
      </c>
      <c r="O2640" s="8">
        <v>3324</v>
      </c>
      <c r="P2640" s="24">
        <v>9640</v>
      </c>
      <c r="Q2640" s="22">
        <f>IF(COUNTIFS(A$2:A2640,A2640,I$2:I2640,I2640)=1,1,0)</f>
        <v>0</v>
      </c>
      <c r="R2640" s="22">
        <f t="shared" si="41"/>
        <v>1</v>
      </c>
      <c r="S2640" s="33">
        <f>IF(COUNTIF(O$2:O2640,O2640)=1,R2640,0)/2.5</f>
        <v>0.4</v>
      </c>
    </row>
    <row r="2641" spans="1:19" ht="18" customHeight="1" x14ac:dyDescent="0.25">
      <c r="A2641" s="7" t="s">
        <v>43</v>
      </c>
      <c r="B2641" s="8">
        <v>1</v>
      </c>
      <c r="C2641" s="9">
        <v>367.7</v>
      </c>
      <c r="D2641" s="29">
        <f>C2641+IF(INDEX('Справочник по %'!B:B,(MATCH(A2641,'Справочник по %'!A:A,0)))="кол-во",B2641*INDEX('Справочник по %'!C:C,(MATCH(A2641,'Справочник по %'!A:A,0))),ОТЧЕТ!C2641*INDEX('Справочник по %'!C:C,(MATCH(A2641,'Справочник по %'!A:A,0))))/100</f>
        <v>404.46999999999997</v>
      </c>
      <c r="E2641" s="29">
        <f>IF(ОТЧЕТ!A2641="SKU3",C2641+ОТЧЕТ!C2641*0.2,C2641+ОТЧЕТ!C2641*0.15)</f>
        <v>422.85499999999996</v>
      </c>
      <c r="F2641" s="7" t="s">
        <v>5043</v>
      </c>
      <c r="G2641" s="7">
        <v>3801042576</v>
      </c>
      <c r="H2641" s="20" t="s">
        <v>5047</v>
      </c>
      <c r="I2641" s="22" t="str">
        <f>INDEX('Справочник Сети'!B:B,(MATCH(G2641,'Справочник Сети'!C:C,0)))</f>
        <v>Планета здоровья</v>
      </c>
      <c r="J2641" s="7" t="s">
        <v>65</v>
      </c>
      <c r="K2641" s="7" t="s">
        <v>2592</v>
      </c>
      <c r="L2641" s="7" t="s">
        <v>65</v>
      </c>
      <c r="M2641" s="31">
        <v>45717</v>
      </c>
      <c r="N2641" s="7" t="s">
        <v>5048</v>
      </c>
      <c r="O2641" s="8">
        <v>250</v>
      </c>
      <c r="P2641" s="24">
        <v>9643</v>
      </c>
      <c r="Q2641" s="22">
        <f>IF(COUNTIFS(A$2:A2641,A2641,I$2:I2641,I2641)=1,1,0)</f>
        <v>0</v>
      </c>
      <c r="R2641" s="22">
        <f t="shared" si="41"/>
        <v>1</v>
      </c>
      <c r="S2641" s="33">
        <f>IF(COUNTIF(O$2:O2641,O2641)=1,R2641,0)/2.5</f>
        <v>0.4</v>
      </c>
    </row>
    <row r="2642" spans="1:19" ht="18" customHeight="1" x14ac:dyDescent="0.25">
      <c r="A2642" s="7" t="s">
        <v>43</v>
      </c>
      <c r="B2642" s="8">
        <v>1</v>
      </c>
      <c r="C2642" s="9">
        <v>540</v>
      </c>
      <c r="D2642" s="29">
        <f>C2642+IF(INDEX('Справочник по %'!B:B,(MATCH(A2642,'Справочник по %'!A:A,0)))="кол-во",B2642*INDEX('Справочник по %'!C:C,(MATCH(A2642,'Справочник по %'!A:A,0))),ОТЧЕТ!C2642*INDEX('Справочник по %'!C:C,(MATCH(A2642,'Справочник по %'!A:A,0))))/100</f>
        <v>594</v>
      </c>
      <c r="E2642" s="29">
        <f>IF(ОТЧЕТ!A2642="SKU3",C2642+ОТЧЕТ!C2642*0.2,C2642+ОТЧЕТ!C2642*0.15)</f>
        <v>621</v>
      </c>
      <c r="F2642" s="7" t="s">
        <v>5049</v>
      </c>
      <c r="G2642" s="7">
        <v>2543102471</v>
      </c>
      <c r="H2642" s="20" t="s">
        <v>3233</v>
      </c>
      <c r="I2642" s="22" t="str">
        <f>INDEX('Справочник Сети'!B:B,(MATCH(G2642,'Справочник Сети'!C:C,0)))</f>
        <v>Столички</v>
      </c>
      <c r="J2642" s="7" t="s">
        <v>46</v>
      </c>
      <c r="K2642" s="7" t="s">
        <v>375</v>
      </c>
      <c r="L2642" s="7" t="s">
        <v>46</v>
      </c>
      <c r="M2642" s="31">
        <v>45726</v>
      </c>
      <c r="N2642" s="7" t="s">
        <v>5050</v>
      </c>
      <c r="O2642" s="8">
        <v>1674</v>
      </c>
      <c r="P2642" s="24">
        <v>9645</v>
      </c>
      <c r="Q2642" s="22">
        <f>IF(COUNTIFS(A$2:A2642,A2642,I$2:I2642,I2642)=1,1,0)</f>
        <v>0</v>
      </c>
      <c r="R2642" s="22">
        <f t="shared" si="41"/>
        <v>3</v>
      </c>
      <c r="S2642" s="33">
        <f>IF(COUNTIF(O$2:O2642,O2642)=1,R2642,0)/2.5</f>
        <v>0</v>
      </c>
    </row>
    <row r="2643" spans="1:19" ht="18" customHeight="1" x14ac:dyDescent="0.25">
      <c r="A2643" s="7" t="s">
        <v>43</v>
      </c>
      <c r="B2643" s="8">
        <v>1</v>
      </c>
      <c r="C2643" s="9">
        <v>475</v>
      </c>
      <c r="D2643" s="29">
        <f>C2643+IF(INDEX('Справочник по %'!B:B,(MATCH(A2643,'Справочник по %'!A:A,0)))="кол-во",B2643*INDEX('Справочник по %'!C:C,(MATCH(A2643,'Справочник по %'!A:A,0))),ОТЧЕТ!C2643*INDEX('Справочник по %'!C:C,(MATCH(A2643,'Справочник по %'!A:A,0))))/100</f>
        <v>522.5</v>
      </c>
      <c r="E2643" s="29">
        <f>IF(ОТЧЕТ!A2643="SKU3",C2643+ОТЧЕТ!C2643*0.2,C2643+ОТЧЕТ!C2643*0.15)</f>
        <v>546.25</v>
      </c>
      <c r="F2643" s="7" t="s">
        <v>5049</v>
      </c>
      <c r="G2643" s="7">
        <v>7820310299</v>
      </c>
      <c r="H2643" s="20" t="s">
        <v>50</v>
      </c>
      <c r="I2643" s="22">
        <f>INDEX('Справочник Сети'!B:B,(MATCH(G2643,'Справочник Сети'!C:C,0)))</f>
        <v>0</v>
      </c>
      <c r="J2643" s="7" t="s">
        <v>121</v>
      </c>
      <c r="K2643" s="7" t="s">
        <v>5051</v>
      </c>
      <c r="L2643" s="7" t="s">
        <v>121</v>
      </c>
      <c r="M2643" s="31">
        <v>45671</v>
      </c>
      <c r="N2643" s="7" t="s">
        <v>5052</v>
      </c>
      <c r="O2643" s="8">
        <v>3385</v>
      </c>
      <c r="P2643" s="24">
        <v>9646</v>
      </c>
      <c r="Q2643" s="22">
        <f>IF(COUNTIFS(A$2:A2643,A2643,I$2:I2643,I2643)=1,1,0)</f>
        <v>0</v>
      </c>
      <c r="R2643" s="22">
        <f t="shared" si="41"/>
        <v>5</v>
      </c>
      <c r="S2643" s="33">
        <f>IF(COUNTIF(O$2:O2643,O2643)=1,R2643,0)/2.5</f>
        <v>0</v>
      </c>
    </row>
    <row r="2644" spans="1:19" ht="18" customHeight="1" x14ac:dyDescent="0.25">
      <c r="A2644" s="7" t="s">
        <v>37</v>
      </c>
      <c r="B2644" s="8">
        <v>1</v>
      </c>
      <c r="C2644" s="9">
        <v>596</v>
      </c>
      <c r="D2644" s="29">
        <f>C2644+IF(INDEX('Справочник по %'!B:B,(MATCH(A2644,'Справочник по %'!A:A,0)))="кол-во",B2644*INDEX('Справочник по %'!C:C,(MATCH(A2644,'Справочник по %'!A:A,0))),ОТЧЕТ!C2644*INDEX('Справочник по %'!C:C,(MATCH(A2644,'Справочник по %'!A:A,0))))/100</f>
        <v>596.20000000000005</v>
      </c>
      <c r="E2644" s="29">
        <f>IF(ОТЧЕТ!A2644="SKU3",C2644+ОТЧЕТ!C2644*0.2,C2644+ОТЧЕТ!C2644*0.15)</f>
        <v>685.4</v>
      </c>
      <c r="F2644" s="7" t="s">
        <v>5049</v>
      </c>
      <c r="G2644" s="7">
        <v>7404042827</v>
      </c>
      <c r="H2644" s="20" t="s">
        <v>5053</v>
      </c>
      <c r="I2644" s="22">
        <f>INDEX('Справочник Сети'!B:B,(MATCH(G2644,'Справочник Сети'!C:C,0)))</f>
        <v>0</v>
      </c>
      <c r="J2644" s="7" t="s">
        <v>104</v>
      </c>
      <c r="K2644" s="7" t="s">
        <v>5054</v>
      </c>
      <c r="L2644" s="7" t="s">
        <v>104</v>
      </c>
      <c r="M2644" s="31">
        <v>45693</v>
      </c>
      <c r="N2644" s="7" t="s">
        <v>5055</v>
      </c>
      <c r="O2644" s="8">
        <v>1837</v>
      </c>
      <c r="P2644" s="24">
        <v>9648</v>
      </c>
      <c r="Q2644" s="22">
        <f>IF(COUNTIFS(A$2:A2644,A2644,I$2:I2644,I2644)=1,1,0)</f>
        <v>0</v>
      </c>
      <c r="R2644" s="22">
        <f t="shared" si="41"/>
        <v>1</v>
      </c>
      <c r="S2644" s="33">
        <f>IF(COUNTIF(O$2:O2644,O2644)=1,R2644,0)/2.5</f>
        <v>0.4</v>
      </c>
    </row>
    <row r="2645" spans="1:19" ht="18" customHeight="1" x14ac:dyDescent="0.25">
      <c r="A2645" s="7" t="s">
        <v>43</v>
      </c>
      <c r="B2645" s="8">
        <v>1</v>
      </c>
      <c r="C2645" s="9">
        <v>399.5</v>
      </c>
      <c r="D2645" s="29">
        <f>C2645+IF(INDEX('Справочник по %'!B:B,(MATCH(A2645,'Справочник по %'!A:A,0)))="кол-во",B2645*INDEX('Справочник по %'!C:C,(MATCH(A2645,'Справочник по %'!A:A,0))),ОТЧЕТ!C2645*INDEX('Справочник по %'!C:C,(MATCH(A2645,'Справочник по %'!A:A,0))))/100</f>
        <v>439.45</v>
      </c>
      <c r="E2645" s="29">
        <f>IF(ОТЧЕТ!A2645="SKU3",C2645+ОТЧЕТ!C2645*0.2,C2645+ОТЧЕТ!C2645*0.15)</f>
        <v>459.42500000000001</v>
      </c>
      <c r="F2645" s="7" t="s">
        <v>5056</v>
      </c>
      <c r="G2645" s="7">
        <v>3801042576</v>
      </c>
      <c r="H2645" s="20" t="s">
        <v>64</v>
      </c>
      <c r="I2645" s="22" t="str">
        <f>INDEX('Справочник Сети'!B:B,(MATCH(G2645,'Справочник Сети'!C:C,0)))</f>
        <v>Планета здоровья</v>
      </c>
      <c r="J2645" s="7" t="s">
        <v>65</v>
      </c>
      <c r="K2645" s="7" t="s">
        <v>2713</v>
      </c>
      <c r="L2645" s="7" t="s">
        <v>65</v>
      </c>
      <c r="M2645" s="31">
        <v>45717</v>
      </c>
      <c r="N2645" s="7" t="s">
        <v>5057</v>
      </c>
      <c r="O2645" s="8">
        <v>2987</v>
      </c>
      <c r="P2645" s="24">
        <v>9652</v>
      </c>
      <c r="Q2645" s="22">
        <f>IF(COUNTIFS(A$2:A2645,A2645,I$2:I2645,I2645)=1,1,0)</f>
        <v>0</v>
      </c>
      <c r="R2645" s="22">
        <f t="shared" si="41"/>
        <v>2</v>
      </c>
      <c r="S2645" s="33">
        <f>IF(COUNTIF(O$2:O2645,O2645)=1,R2645,0)/2.5</f>
        <v>0</v>
      </c>
    </row>
    <row r="2646" spans="1:19" ht="18" customHeight="1" x14ac:dyDescent="0.25">
      <c r="A2646" s="7" t="s">
        <v>43</v>
      </c>
      <c r="B2646" s="8">
        <v>1</v>
      </c>
      <c r="C2646" s="9">
        <v>481</v>
      </c>
      <c r="D2646" s="29">
        <f>C2646+IF(INDEX('Справочник по %'!B:B,(MATCH(A2646,'Справочник по %'!A:A,0)))="кол-во",B2646*INDEX('Справочник по %'!C:C,(MATCH(A2646,'Справочник по %'!A:A,0))),ОТЧЕТ!C2646*INDEX('Справочник по %'!C:C,(MATCH(A2646,'Справочник по %'!A:A,0))))/100</f>
        <v>529.1</v>
      </c>
      <c r="E2646" s="29">
        <f>IF(ОТЧЕТ!A2646="SKU3",C2646+ОТЧЕТ!C2646*0.2,C2646+ОТЧЕТ!C2646*0.15)</f>
        <v>553.15</v>
      </c>
      <c r="F2646" s="7" t="s">
        <v>5058</v>
      </c>
      <c r="G2646" s="7">
        <v>2539096225</v>
      </c>
      <c r="H2646" s="20" t="s">
        <v>3834</v>
      </c>
      <c r="I2646" s="22" t="str">
        <f>INDEX('Справочник Сети'!B:B,(MATCH(G2646,'Справочник Сети'!C:C,0)))</f>
        <v>36,6</v>
      </c>
      <c r="J2646" s="7" t="s">
        <v>46</v>
      </c>
      <c r="K2646" s="7" t="s">
        <v>1155</v>
      </c>
      <c r="L2646" s="7" t="s">
        <v>46</v>
      </c>
      <c r="M2646" s="31">
        <v>45726</v>
      </c>
      <c r="N2646" s="7" t="s">
        <v>5059</v>
      </c>
      <c r="O2646" s="8">
        <v>1709</v>
      </c>
      <c r="P2646" s="24">
        <v>9658</v>
      </c>
      <c r="Q2646" s="22">
        <f>IF(COUNTIFS(A$2:A2646,A2646,I$2:I2646,I2646)=1,1,0)</f>
        <v>0</v>
      </c>
      <c r="R2646" s="22">
        <f t="shared" si="41"/>
        <v>1</v>
      </c>
      <c r="S2646" s="33">
        <f>IF(COUNTIF(O$2:O2646,O2646)=1,R2646,0)/2.5</f>
        <v>0.4</v>
      </c>
    </row>
    <row r="2647" spans="1:19" ht="18" customHeight="1" x14ac:dyDescent="0.25">
      <c r="A2647" s="7" t="s">
        <v>43</v>
      </c>
      <c r="B2647" s="8">
        <v>1</v>
      </c>
      <c r="C2647" s="9">
        <v>415</v>
      </c>
      <c r="D2647" s="29">
        <f>C2647+IF(INDEX('Справочник по %'!B:B,(MATCH(A2647,'Справочник по %'!A:A,0)))="кол-во",B2647*INDEX('Справочник по %'!C:C,(MATCH(A2647,'Справочник по %'!A:A,0))),ОТЧЕТ!C2647*INDEX('Справочник по %'!C:C,(MATCH(A2647,'Справочник по %'!A:A,0))))/100</f>
        <v>456.5</v>
      </c>
      <c r="E2647" s="29">
        <f>IF(ОТЧЕТ!A2647="SKU3",C2647+ОТЧЕТ!C2647*0.2,C2647+ОТЧЕТ!C2647*0.15)</f>
        <v>477.25</v>
      </c>
      <c r="F2647" s="7" t="s">
        <v>5058</v>
      </c>
      <c r="G2647" s="7">
        <v>4206030711</v>
      </c>
      <c r="H2647" s="20" t="s">
        <v>69</v>
      </c>
      <c r="I2647" s="22">
        <f>INDEX('Справочник Сети'!B:B,(MATCH(G2647,'Справочник Сети'!C:C,0)))</f>
        <v>0</v>
      </c>
      <c r="J2647" s="7" t="s">
        <v>155</v>
      </c>
      <c r="K2647" s="7" t="s">
        <v>4501</v>
      </c>
      <c r="L2647" s="7" t="s">
        <v>155</v>
      </c>
      <c r="M2647" s="31">
        <v>45716</v>
      </c>
      <c r="N2647" s="7" t="s">
        <v>5060</v>
      </c>
      <c r="O2647" s="8">
        <v>1727</v>
      </c>
      <c r="P2647" s="24">
        <v>9661</v>
      </c>
      <c r="Q2647" s="22">
        <f>IF(COUNTIFS(A$2:A2647,A2647,I$2:I2647,I2647)=1,1,0)</f>
        <v>0</v>
      </c>
      <c r="R2647" s="22">
        <f t="shared" si="41"/>
        <v>1</v>
      </c>
      <c r="S2647" s="33">
        <f>IF(COUNTIF(O$2:O2647,O2647)=1,R2647,0)/2.5</f>
        <v>0.4</v>
      </c>
    </row>
    <row r="2648" spans="1:19" ht="18" customHeight="1" x14ac:dyDescent="0.25">
      <c r="A2648" s="7" t="s">
        <v>43</v>
      </c>
      <c r="B2648" s="8">
        <v>1</v>
      </c>
      <c r="C2648" s="9">
        <v>399.5</v>
      </c>
      <c r="D2648" s="29">
        <f>C2648+IF(INDEX('Справочник по %'!B:B,(MATCH(A2648,'Справочник по %'!A:A,0)))="кол-во",B2648*INDEX('Справочник по %'!C:C,(MATCH(A2648,'Справочник по %'!A:A,0))),ОТЧЕТ!C2648*INDEX('Справочник по %'!C:C,(MATCH(A2648,'Справочник по %'!A:A,0))))/100</f>
        <v>439.45</v>
      </c>
      <c r="E2648" s="29">
        <f>IF(ОТЧЕТ!A2648="SKU3",C2648+ОТЧЕТ!C2648*0.2,C2648+ОТЧЕТ!C2648*0.15)</f>
        <v>459.42500000000001</v>
      </c>
      <c r="F2648" s="7" t="s">
        <v>5061</v>
      </c>
      <c r="G2648" s="7">
        <v>3801042576</v>
      </c>
      <c r="H2648" s="20" t="s">
        <v>1392</v>
      </c>
      <c r="I2648" s="22" t="str">
        <f>INDEX('Справочник Сети'!B:B,(MATCH(G2648,'Справочник Сети'!C:C,0)))</f>
        <v>Планета здоровья</v>
      </c>
      <c r="J2648" s="7" t="s">
        <v>65</v>
      </c>
      <c r="K2648" s="7" t="s">
        <v>1036</v>
      </c>
      <c r="L2648" s="7" t="s">
        <v>65</v>
      </c>
      <c r="M2648" s="31">
        <v>45717</v>
      </c>
      <c r="N2648" s="7" t="s">
        <v>5062</v>
      </c>
      <c r="O2648" s="8">
        <v>2840</v>
      </c>
      <c r="P2648" s="24">
        <v>9663</v>
      </c>
      <c r="Q2648" s="22">
        <f>IF(COUNTIFS(A$2:A2648,A2648,I$2:I2648,I2648)=1,1,0)</f>
        <v>0</v>
      </c>
      <c r="R2648" s="22">
        <f t="shared" si="41"/>
        <v>3</v>
      </c>
      <c r="S2648" s="33">
        <f>IF(COUNTIF(O$2:O2648,O2648)=1,R2648,0)/2.5</f>
        <v>0</v>
      </c>
    </row>
    <row r="2649" spans="1:19" ht="18" customHeight="1" x14ac:dyDescent="0.25">
      <c r="A2649" s="7" t="s">
        <v>43</v>
      </c>
      <c r="B2649" s="8">
        <v>1</v>
      </c>
      <c r="C2649" s="9">
        <v>326</v>
      </c>
      <c r="D2649" s="29">
        <f>C2649+IF(INDEX('Справочник по %'!B:B,(MATCH(A2649,'Справочник по %'!A:A,0)))="кол-во",B2649*INDEX('Справочник по %'!C:C,(MATCH(A2649,'Справочник по %'!A:A,0))),ОТЧЕТ!C2649*INDEX('Справочник по %'!C:C,(MATCH(A2649,'Справочник по %'!A:A,0))))/100</f>
        <v>358.6</v>
      </c>
      <c r="E2649" s="29">
        <f>IF(ОТЧЕТ!A2649="SKU3",C2649+ОТЧЕТ!C2649*0.2,C2649+ОТЧЕТ!C2649*0.15)</f>
        <v>374.9</v>
      </c>
      <c r="F2649" s="7" t="s">
        <v>5063</v>
      </c>
      <c r="G2649" s="7">
        <v>2801240230</v>
      </c>
      <c r="H2649" s="20" t="s">
        <v>50</v>
      </c>
      <c r="I2649" s="22">
        <f>INDEX('Справочник Сети'!B:B,(MATCH(G2649,'Справочник Сети'!C:C,0)))</f>
        <v>0</v>
      </c>
      <c r="J2649" s="7" t="s">
        <v>193</v>
      </c>
      <c r="K2649" s="7" t="s">
        <v>1155</v>
      </c>
      <c r="L2649" s="7" t="s">
        <v>193</v>
      </c>
      <c r="M2649" s="31">
        <v>45718</v>
      </c>
      <c r="N2649" s="7" t="s">
        <v>5064</v>
      </c>
      <c r="O2649" s="8">
        <v>2371</v>
      </c>
      <c r="P2649" s="24">
        <v>9665</v>
      </c>
      <c r="Q2649" s="22">
        <f>IF(COUNTIFS(A$2:A2649,A2649,I$2:I2649,I2649)=1,1,0)</f>
        <v>0</v>
      </c>
      <c r="R2649" s="22">
        <f t="shared" si="41"/>
        <v>1</v>
      </c>
      <c r="S2649" s="33">
        <f>IF(COUNTIF(O$2:O2649,O2649)=1,R2649,0)/2.5</f>
        <v>0.4</v>
      </c>
    </row>
    <row r="2650" spans="1:19" ht="18" customHeight="1" x14ac:dyDescent="0.25">
      <c r="A2650" s="7" t="s">
        <v>43</v>
      </c>
      <c r="B2650" s="8">
        <v>1</v>
      </c>
      <c r="C2650" s="9">
        <v>440</v>
      </c>
      <c r="D2650" s="29">
        <f>C2650+IF(INDEX('Справочник по %'!B:B,(MATCH(A2650,'Справочник по %'!A:A,0)))="кол-во",B2650*INDEX('Справочник по %'!C:C,(MATCH(A2650,'Справочник по %'!A:A,0))),ОТЧЕТ!C2650*INDEX('Справочник по %'!C:C,(MATCH(A2650,'Справочник по %'!A:A,0))))/100</f>
        <v>484</v>
      </c>
      <c r="E2650" s="29">
        <f>IF(ОТЧЕТ!A2650="SKU3",C2650+ОТЧЕТ!C2650*0.2,C2650+ОТЧЕТ!C2650*0.15)</f>
        <v>506</v>
      </c>
      <c r="F2650" s="7" t="s">
        <v>5063</v>
      </c>
      <c r="G2650" s="7">
        <v>462901346416</v>
      </c>
      <c r="H2650" s="20" t="s">
        <v>50</v>
      </c>
      <c r="I2650" s="22" t="str">
        <f>INDEX('Справочник Сети'!B:B,(MATCH(G2650,'Справочник Сети'!C:C,0)))</f>
        <v>Планета здоровья</v>
      </c>
      <c r="J2650" s="7" t="s">
        <v>110</v>
      </c>
      <c r="K2650" s="7" t="s">
        <v>5065</v>
      </c>
      <c r="L2650" s="7" t="s">
        <v>110</v>
      </c>
      <c r="M2650" s="31">
        <v>45660</v>
      </c>
      <c r="N2650" s="7" t="s">
        <v>5066</v>
      </c>
      <c r="O2650" s="8">
        <v>347</v>
      </c>
      <c r="P2650" s="24">
        <v>9667</v>
      </c>
      <c r="Q2650" s="22">
        <f>IF(COUNTIFS(A$2:A2650,A2650,I$2:I2650,I2650)=1,1,0)</f>
        <v>0</v>
      </c>
      <c r="R2650" s="22">
        <f t="shared" si="41"/>
        <v>4</v>
      </c>
      <c r="S2650" s="33">
        <f>IF(COUNTIF(O$2:O2650,O2650)=1,R2650,0)/2.5</f>
        <v>0</v>
      </c>
    </row>
    <row r="2651" spans="1:19" ht="18" customHeight="1" x14ac:dyDescent="0.25">
      <c r="A2651" s="7" t="s">
        <v>37</v>
      </c>
      <c r="B2651" s="8">
        <v>1</v>
      </c>
      <c r="C2651" s="9">
        <v>531</v>
      </c>
      <c r="D2651" s="29">
        <f>C2651+IF(INDEX('Справочник по %'!B:B,(MATCH(A2651,'Справочник по %'!A:A,0)))="кол-во",B2651*INDEX('Справочник по %'!C:C,(MATCH(A2651,'Справочник по %'!A:A,0))),ОТЧЕТ!C2651*INDEX('Справочник по %'!C:C,(MATCH(A2651,'Справочник по %'!A:A,0))))/100</f>
        <v>531.20000000000005</v>
      </c>
      <c r="E2651" s="29">
        <f>IF(ОТЧЕТ!A2651="SKU3",C2651+ОТЧЕТ!C2651*0.2,C2651+ОТЧЕТ!C2651*0.15)</f>
        <v>610.65</v>
      </c>
      <c r="F2651" s="7" t="s">
        <v>5063</v>
      </c>
      <c r="G2651" s="7">
        <v>5405072034</v>
      </c>
      <c r="H2651" s="20" t="s">
        <v>4144</v>
      </c>
      <c r="I2651" s="22" t="str">
        <f>INDEX('Справочник Сети'!B:B,(MATCH(G2651,'Справочник Сети'!C:C,0)))</f>
        <v>Нео-фарм</v>
      </c>
      <c r="J2651" s="7" t="s">
        <v>92</v>
      </c>
      <c r="K2651" s="7" t="s">
        <v>4499</v>
      </c>
      <c r="L2651" s="7" t="s">
        <v>92</v>
      </c>
      <c r="M2651" s="31">
        <v>45714</v>
      </c>
      <c r="N2651" s="7" t="s">
        <v>5067</v>
      </c>
      <c r="O2651" s="8">
        <v>2679</v>
      </c>
      <c r="P2651" s="24">
        <v>9669</v>
      </c>
      <c r="Q2651" s="22">
        <f>IF(COUNTIFS(A$2:A2651,A2651,I$2:I2651,I2651)=1,1,0)</f>
        <v>0</v>
      </c>
      <c r="R2651" s="22">
        <f t="shared" si="41"/>
        <v>2</v>
      </c>
      <c r="S2651" s="33">
        <f>IF(COUNTIF(O$2:O2651,O2651)=1,R2651,0)/2.5</f>
        <v>0.8</v>
      </c>
    </row>
    <row r="2652" spans="1:19" ht="18" customHeight="1" x14ac:dyDescent="0.25">
      <c r="A2652" s="7" t="s">
        <v>43</v>
      </c>
      <c r="B2652" s="8">
        <v>1</v>
      </c>
      <c r="C2652" s="9">
        <v>413</v>
      </c>
      <c r="D2652" s="29">
        <f>C2652+IF(INDEX('Справочник по %'!B:B,(MATCH(A2652,'Справочник по %'!A:A,0)))="кол-во",B2652*INDEX('Справочник по %'!C:C,(MATCH(A2652,'Справочник по %'!A:A,0))),ОТЧЕТ!C2652*INDEX('Справочник по %'!C:C,(MATCH(A2652,'Справочник по %'!A:A,0))))/100</f>
        <v>454.3</v>
      </c>
      <c r="E2652" s="29">
        <f>IF(ОТЧЕТ!A2652="SKU3",C2652+ОТЧЕТ!C2652*0.2,C2652+ОТЧЕТ!C2652*0.15)</f>
        <v>474.95</v>
      </c>
      <c r="F2652" s="7" t="s">
        <v>5068</v>
      </c>
      <c r="G2652" s="7">
        <v>2724214018</v>
      </c>
      <c r="H2652" s="20" t="s">
        <v>50</v>
      </c>
      <c r="I2652" s="22" t="str">
        <f>INDEX('Справочник Сети'!B:B,(MATCH(G2652,'Справочник Сети'!C:C,0)))</f>
        <v>Столички</v>
      </c>
      <c r="J2652" s="7" t="s">
        <v>193</v>
      </c>
      <c r="K2652" s="7" t="s">
        <v>1678</v>
      </c>
      <c r="L2652" s="7" t="s">
        <v>193</v>
      </c>
      <c r="M2652" s="31">
        <v>45718</v>
      </c>
      <c r="N2652" s="7" t="s">
        <v>5069</v>
      </c>
      <c r="O2652" s="8">
        <v>1164</v>
      </c>
      <c r="P2652" s="24">
        <v>9672</v>
      </c>
      <c r="Q2652" s="22">
        <f>IF(COUNTIFS(A$2:A2652,A2652,I$2:I2652,I2652)=1,1,0)</f>
        <v>0</v>
      </c>
      <c r="R2652" s="22">
        <f t="shared" si="41"/>
        <v>1</v>
      </c>
      <c r="S2652" s="33">
        <f>IF(COUNTIF(O$2:O2652,O2652)=1,R2652,0)/2.5</f>
        <v>0.4</v>
      </c>
    </row>
    <row r="2653" spans="1:19" ht="18" customHeight="1" x14ac:dyDescent="0.25">
      <c r="A2653" s="7" t="s">
        <v>43</v>
      </c>
      <c r="B2653" s="8">
        <v>1</v>
      </c>
      <c r="C2653" s="9">
        <v>418</v>
      </c>
      <c r="D2653" s="29">
        <f>C2653+IF(INDEX('Справочник по %'!B:B,(MATCH(A2653,'Справочник по %'!A:A,0)))="кол-во",B2653*INDEX('Справочник по %'!C:C,(MATCH(A2653,'Справочник по %'!A:A,0))),ОТЧЕТ!C2653*INDEX('Справочник по %'!C:C,(MATCH(A2653,'Справочник по %'!A:A,0))))/100</f>
        <v>459.8</v>
      </c>
      <c r="E2653" s="29">
        <f>IF(ОТЧЕТ!A2653="SKU3",C2653+ОТЧЕТ!C2653*0.2,C2653+ОТЧЕТ!C2653*0.15)</f>
        <v>480.7</v>
      </c>
      <c r="F2653" s="7" t="s">
        <v>5070</v>
      </c>
      <c r="G2653" s="7">
        <v>632515290331</v>
      </c>
      <c r="H2653" s="20" t="s">
        <v>50</v>
      </c>
      <c r="I2653" s="22" t="str">
        <f>INDEX('Справочник Сети'!B:B,(MATCH(G2653,'Справочник Сети'!C:C,0)))</f>
        <v>Нео-фарм</v>
      </c>
      <c r="J2653" s="7" t="s">
        <v>251</v>
      </c>
      <c r="K2653" s="7" t="s">
        <v>3184</v>
      </c>
      <c r="L2653" s="7" t="s">
        <v>251</v>
      </c>
      <c r="M2653" s="31">
        <v>45659</v>
      </c>
      <c r="N2653" s="7" t="s">
        <v>5071</v>
      </c>
      <c r="O2653" s="8">
        <v>805</v>
      </c>
      <c r="P2653" s="24">
        <v>9673</v>
      </c>
      <c r="Q2653" s="22">
        <f>IF(COUNTIFS(A$2:A2653,A2653,I$2:I2653,I2653)=1,1,0)</f>
        <v>0</v>
      </c>
      <c r="R2653" s="22">
        <f t="shared" si="41"/>
        <v>1</v>
      </c>
      <c r="S2653" s="33">
        <f>IF(COUNTIF(O$2:O2653,O2653)=1,R2653,0)/2.5</f>
        <v>0.4</v>
      </c>
    </row>
    <row r="2654" spans="1:19" ht="18" customHeight="1" x14ac:dyDescent="0.25">
      <c r="A2654" s="7" t="s">
        <v>43</v>
      </c>
      <c r="B2654" s="8">
        <v>1</v>
      </c>
      <c r="C2654" s="9">
        <v>450</v>
      </c>
      <c r="D2654" s="29">
        <f>C2654+IF(INDEX('Справочник по %'!B:B,(MATCH(A2654,'Справочник по %'!A:A,0)))="кол-во",B2654*INDEX('Справочник по %'!C:C,(MATCH(A2654,'Справочник по %'!A:A,0))),ОТЧЕТ!C2654*INDEX('Справочник по %'!C:C,(MATCH(A2654,'Справочник по %'!A:A,0))))/100</f>
        <v>495</v>
      </c>
      <c r="E2654" s="29">
        <f>IF(ОТЧЕТ!A2654="SKU3",C2654+ОТЧЕТ!C2654*0.2,C2654+ОТЧЕТ!C2654*0.15)</f>
        <v>517.5</v>
      </c>
      <c r="F2654" s="7" t="s">
        <v>5070</v>
      </c>
      <c r="G2654" s="7">
        <v>462901346416</v>
      </c>
      <c r="H2654" s="20" t="s">
        <v>50</v>
      </c>
      <c r="I2654" s="22" t="str">
        <f>INDEX('Справочник Сети'!B:B,(MATCH(G2654,'Справочник Сети'!C:C,0)))</f>
        <v>Планета здоровья</v>
      </c>
      <c r="J2654" s="7" t="s">
        <v>110</v>
      </c>
      <c r="K2654" s="7" t="s">
        <v>5072</v>
      </c>
      <c r="L2654" s="7" t="s">
        <v>110</v>
      </c>
      <c r="M2654" s="31">
        <v>45660</v>
      </c>
      <c r="N2654" s="7" t="s">
        <v>5073</v>
      </c>
      <c r="O2654" s="8">
        <v>347</v>
      </c>
      <c r="P2654" s="24">
        <v>9674</v>
      </c>
      <c r="Q2654" s="22">
        <f>IF(COUNTIFS(A$2:A2654,A2654,I$2:I2654,I2654)=1,1,0)</f>
        <v>0</v>
      </c>
      <c r="R2654" s="22">
        <f t="shared" si="41"/>
        <v>4</v>
      </c>
      <c r="S2654" s="33">
        <f>IF(COUNTIF(O$2:O2654,O2654)=1,R2654,0)/2.5</f>
        <v>0</v>
      </c>
    </row>
    <row r="2655" spans="1:19" ht="18" customHeight="1" x14ac:dyDescent="0.25">
      <c r="A2655" s="7" t="s">
        <v>43</v>
      </c>
      <c r="B2655" s="8">
        <v>1</v>
      </c>
      <c r="C2655" s="9">
        <v>454</v>
      </c>
      <c r="D2655" s="29">
        <f>C2655+IF(INDEX('Справочник по %'!B:B,(MATCH(A2655,'Справочник по %'!A:A,0)))="кол-во",B2655*INDEX('Справочник по %'!C:C,(MATCH(A2655,'Справочник по %'!A:A,0))),ОТЧЕТ!C2655*INDEX('Справочник по %'!C:C,(MATCH(A2655,'Справочник по %'!A:A,0))))/100</f>
        <v>499.4</v>
      </c>
      <c r="E2655" s="29">
        <f>IF(ОТЧЕТ!A2655="SKU3",C2655+ОТЧЕТ!C2655*0.2,C2655+ОТЧЕТ!C2655*0.15)</f>
        <v>522.1</v>
      </c>
      <c r="F2655" s="7" t="s">
        <v>5074</v>
      </c>
      <c r="G2655" s="7">
        <v>9705147513</v>
      </c>
      <c r="H2655" s="20" t="s">
        <v>50</v>
      </c>
      <c r="I2655" s="22" t="str">
        <f>INDEX('Справочник Сети'!B:B,(MATCH(G2655,'Справочник Сети'!C:C,0)))</f>
        <v>Столички</v>
      </c>
      <c r="J2655" s="7" t="s">
        <v>239</v>
      </c>
      <c r="K2655" s="7" t="s">
        <v>47</v>
      </c>
      <c r="L2655" s="7" t="s">
        <v>239</v>
      </c>
      <c r="M2655" s="31">
        <v>45662</v>
      </c>
      <c r="N2655" s="7" t="s">
        <v>5075</v>
      </c>
      <c r="O2655" s="8">
        <v>3218</v>
      </c>
      <c r="P2655" s="24">
        <v>9678</v>
      </c>
      <c r="Q2655" s="22">
        <f>IF(COUNTIFS(A$2:A2655,A2655,I$2:I2655,I2655)=1,1,0)</f>
        <v>0</v>
      </c>
      <c r="R2655" s="22">
        <f t="shared" si="41"/>
        <v>1</v>
      </c>
      <c r="S2655" s="33">
        <f>IF(COUNTIF(O$2:O2655,O2655)=1,R2655,0)/2.5</f>
        <v>0.4</v>
      </c>
    </row>
    <row r="2656" spans="1:19" ht="18" customHeight="1" x14ac:dyDescent="0.25">
      <c r="A2656" s="7" t="s">
        <v>43</v>
      </c>
      <c r="B2656" s="8">
        <v>1</v>
      </c>
      <c r="C2656" s="9">
        <v>383</v>
      </c>
      <c r="D2656" s="29">
        <f>C2656+IF(INDEX('Справочник по %'!B:B,(MATCH(A2656,'Справочник по %'!A:A,0)))="кол-во",B2656*INDEX('Справочник по %'!C:C,(MATCH(A2656,'Справочник по %'!A:A,0))),ОТЧЕТ!C2656*INDEX('Справочник по %'!C:C,(MATCH(A2656,'Справочник по %'!A:A,0))))/100</f>
        <v>421.3</v>
      </c>
      <c r="E2656" s="29">
        <f>IF(ОТЧЕТ!A2656="SKU3",C2656+ОТЧЕТ!C2656*0.2,C2656+ОТЧЕТ!C2656*0.15)</f>
        <v>440.45</v>
      </c>
      <c r="F2656" s="7" t="s">
        <v>5074</v>
      </c>
      <c r="G2656" s="7">
        <v>5903114664</v>
      </c>
      <c r="H2656" s="20" t="s">
        <v>39</v>
      </c>
      <c r="I2656" s="22" t="str">
        <f>INDEX('Справочник Сети'!B:B,(MATCH(G2656,'Справочник Сети'!C:C,0)))</f>
        <v>Нео-фарм</v>
      </c>
      <c r="J2656" s="7" t="s">
        <v>40</v>
      </c>
      <c r="K2656" s="7" t="s">
        <v>5076</v>
      </c>
      <c r="L2656" s="7" t="s">
        <v>40</v>
      </c>
      <c r="M2656" s="31">
        <v>45712</v>
      </c>
      <c r="N2656" s="7" t="s">
        <v>5077</v>
      </c>
      <c r="O2656" s="8">
        <v>2310</v>
      </c>
      <c r="P2656" s="24">
        <v>9679</v>
      </c>
      <c r="Q2656" s="22">
        <f>IF(COUNTIFS(A$2:A2656,A2656,I$2:I2656,I2656)=1,1,0)</f>
        <v>0</v>
      </c>
      <c r="R2656" s="22">
        <f t="shared" si="41"/>
        <v>1</v>
      </c>
      <c r="S2656" s="33">
        <f>IF(COUNTIF(O$2:O2656,O2656)=1,R2656,0)/2.5</f>
        <v>0.4</v>
      </c>
    </row>
    <row r="2657" spans="1:19" ht="18" customHeight="1" x14ac:dyDescent="0.25">
      <c r="A2657" s="7" t="s">
        <v>43</v>
      </c>
      <c r="B2657" s="8">
        <v>1</v>
      </c>
      <c r="C2657" s="9">
        <v>457</v>
      </c>
      <c r="D2657" s="29">
        <f>C2657+IF(INDEX('Справочник по %'!B:B,(MATCH(A2657,'Справочник по %'!A:A,0)))="кол-во",B2657*INDEX('Справочник по %'!C:C,(MATCH(A2657,'Справочник по %'!A:A,0))),ОТЧЕТ!C2657*INDEX('Справочник по %'!C:C,(MATCH(A2657,'Справочник по %'!A:A,0))))/100</f>
        <v>502.7</v>
      </c>
      <c r="E2657" s="29">
        <f>IF(ОТЧЕТ!A2657="SKU3",C2657+ОТЧЕТ!C2657*0.2,C2657+ОТЧЕТ!C2657*0.15)</f>
        <v>525.54999999999995</v>
      </c>
      <c r="F2657" s="7" t="s">
        <v>5074</v>
      </c>
      <c r="G2657" s="7">
        <v>7604398637</v>
      </c>
      <c r="H2657" s="20" t="s">
        <v>4556</v>
      </c>
      <c r="I2657" s="22">
        <f>INDEX('Справочник Сети'!B:B,(MATCH(G2657,'Справочник Сети'!C:C,0)))</f>
        <v>0</v>
      </c>
      <c r="J2657" s="7" t="s">
        <v>104</v>
      </c>
      <c r="K2657" s="7" t="s">
        <v>1020</v>
      </c>
      <c r="L2657" s="7" t="s">
        <v>104</v>
      </c>
      <c r="M2657" s="31">
        <v>45693</v>
      </c>
      <c r="N2657" s="7" t="s">
        <v>5078</v>
      </c>
      <c r="O2657" s="8">
        <v>99</v>
      </c>
      <c r="P2657" s="24">
        <v>9680</v>
      </c>
      <c r="Q2657" s="22">
        <f>IF(COUNTIFS(A$2:A2657,A2657,I$2:I2657,I2657)=1,1,0)</f>
        <v>0</v>
      </c>
      <c r="R2657" s="22">
        <f t="shared" si="41"/>
        <v>2</v>
      </c>
      <c r="S2657" s="33">
        <f>IF(COUNTIF(O$2:O2657,O2657)=1,R2657,0)/2.5</f>
        <v>0</v>
      </c>
    </row>
    <row r="2658" spans="1:19" ht="18" customHeight="1" x14ac:dyDescent="0.25">
      <c r="A2658" s="7" t="s">
        <v>43</v>
      </c>
      <c r="B2658" s="8">
        <v>1</v>
      </c>
      <c r="C2658" s="9">
        <v>397</v>
      </c>
      <c r="D2658" s="29">
        <f>C2658+IF(INDEX('Справочник по %'!B:B,(MATCH(A2658,'Справочник по %'!A:A,0)))="кол-во",B2658*INDEX('Справочник по %'!C:C,(MATCH(A2658,'Справочник по %'!A:A,0))),ОТЧЕТ!C2658*INDEX('Справочник по %'!C:C,(MATCH(A2658,'Справочник по %'!A:A,0))))/100</f>
        <v>436.7</v>
      </c>
      <c r="E2658" s="29">
        <f>IF(ОТЧЕТ!A2658="SKU3",C2658+ОТЧЕТ!C2658*0.2,C2658+ОТЧЕТ!C2658*0.15)</f>
        <v>456.55</v>
      </c>
      <c r="F2658" s="7" t="s">
        <v>5074</v>
      </c>
      <c r="G2658" s="7">
        <v>7724211288</v>
      </c>
      <c r="H2658" s="20" t="s">
        <v>5079</v>
      </c>
      <c r="I2658" s="22" t="str">
        <f>INDEX('Справочник Сети'!B:B,(MATCH(G2658,'Справочник Сети'!C:C,0)))</f>
        <v>Планета здоровья</v>
      </c>
      <c r="J2658" s="7" t="s">
        <v>185</v>
      </c>
      <c r="K2658" s="7" t="s">
        <v>5080</v>
      </c>
      <c r="L2658" s="7" t="s">
        <v>185</v>
      </c>
      <c r="M2658" s="31">
        <v>45675</v>
      </c>
      <c r="N2658" s="7" t="s">
        <v>5081</v>
      </c>
      <c r="O2658" s="8">
        <v>758</v>
      </c>
      <c r="P2658" s="24">
        <v>9681</v>
      </c>
      <c r="Q2658" s="22">
        <f>IF(COUNTIFS(A$2:A2658,A2658,I$2:I2658,I2658)=1,1,0)</f>
        <v>0</v>
      </c>
      <c r="R2658" s="22">
        <f t="shared" si="41"/>
        <v>1</v>
      </c>
      <c r="S2658" s="33">
        <f>IF(COUNTIF(O$2:O2658,O2658)=1,R2658,0)/2.5</f>
        <v>0.4</v>
      </c>
    </row>
    <row r="2659" spans="1:19" ht="18" customHeight="1" x14ac:dyDescent="0.25">
      <c r="A2659" s="7" t="s">
        <v>43</v>
      </c>
      <c r="B2659" s="8">
        <v>1</v>
      </c>
      <c r="C2659" s="9">
        <v>540</v>
      </c>
      <c r="D2659" s="29">
        <f>C2659+IF(INDEX('Справочник по %'!B:B,(MATCH(A2659,'Справочник по %'!A:A,0)))="кол-во",B2659*INDEX('Справочник по %'!C:C,(MATCH(A2659,'Справочник по %'!A:A,0))),ОТЧЕТ!C2659*INDEX('Справочник по %'!C:C,(MATCH(A2659,'Справочник по %'!A:A,0))))/100</f>
        <v>594</v>
      </c>
      <c r="E2659" s="29">
        <f>IF(ОТЧЕТ!A2659="SKU3",C2659+ОТЧЕТ!C2659*0.2,C2659+ОТЧЕТ!C2659*0.15)</f>
        <v>621</v>
      </c>
      <c r="F2659" s="7" t="s">
        <v>5074</v>
      </c>
      <c r="G2659" s="7">
        <v>2543009225</v>
      </c>
      <c r="H2659" s="20" t="s">
        <v>3327</v>
      </c>
      <c r="I2659" s="22" t="str">
        <f>INDEX('Справочник Сети'!B:B,(MATCH(G2659,'Справочник Сети'!C:C,0)))</f>
        <v>Нео-фарм</v>
      </c>
      <c r="J2659" s="7" t="s">
        <v>46</v>
      </c>
      <c r="K2659" s="7" t="s">
        <v>3545</v>
      </c>
      <c r="L2659" s="7" t="s">
        <v>46</v>
      </c>
      <c r="M2659" s="31">
        <v>45726</v>
      </c>
      <c r="N2659" s="7" t="s">
        <v>5082</v>
      </c>
      <c r="O2659" s="8">
        <v>2946</v>
      </c>
      <c r="P2659" s="24">
        <v>9682</v>
      </c>
      <c r="Q2659" s="22">
        <f>IF(COUNTIFS(A$2:A2659,A2659,I$2:I2659,I2659)=1,1,0)</f>
        <v>0</v>
      </c>
      <c r="R2659" s="22">
        <f t="shared" si="41"/>
        <v>7</v>
      </c>
      <c r="S2659" s="33">
        <f>IF(COUNTIF(O$2:O2659,O2659)=1,R2659,0)/2.5</f>
        <v>0</v>
      </c>
    </row>
    <row r="2660" spans="1:19" ht="18" customHeight="1" x14ac:dyDescent="0.25">
      <c r="A2660" s="7" t="s">
        <v>43</v>
      </c>
      <c r="B2660" s="8">
        <v>1</v>
      </c>
      <c r="C2660" s="9">
        <v>400.83</v>
      </c>
      <c r="D2660" s="29">
        <f>C2660+IF(INDEX('Справочник по %'!B:B,(MATCH(A2660,'Справочник по %'!A:A,0)))="кол-во",B2660*INDEX('Справочник по %'!C:C,(MATCH(A2660,'Справочник по %'!A:A,0))),ОТЧЕТ!C2660*INDEX('Справочник по %'!C:C,(MATCH(A2660,'Справочник по %'!A:A,0))))/100</f>
        <v>440.91300000000001</v>
      </c>
      <c r="E2660" s="29">
        <f>IF(ОТЧЕТ!A2660="SKU3",C2660+ОТЧЕТ!C2660*0.2,C2660+ОТЧЕТ!C2660*0.15)</f>
        <v>460.9545</v>
      </c>
      <c r="F2660" s="7" t="s">
        <v>5074</v>
      </c>
      <c r="G2660" s="7">
        <v>5506232453</v>
      </c>
      <c r="H2660" s="20" t="s">
        <v>50</v>
      </c>
      <c r="I2660" s="22">
        <f>INDEX('Справочник Сети'!B:B,(MATCH(G2660,'Справочник Сети'!C:C,0)))</f>
        <v>0</v>
      </c>
      <c r="J2660" s="7" t="s">
        <v>255</v>
      </c>
      <c r="K2660" s="7" t="s">
        <v>1962</v>
      </c>
      <c r="L2660" s="7" t="s">
        <v>255</v>
      </c>
      <c r="M2660" s="31">
        <v>45713</v>
      </c>
      <c r="N2660" s="7" t="s">
        <v>5083</v>
      </c>
      <c r="O2660" s="8">
        <v>1545</v>
      </c>
      <c r="P2660" s="24">
        <v>9686</v>
      </c>
      <c r="Q2660" s="22">
        <f>IF(COUNTIFS(A$2:A2660,A2660,I$2:I2660,I2660)=1,1,0)</f>
        <v>0</v>
      </c>
      <c r="R2660" s="22">
        <f t="shared" si="41"/>
        <v>3</v>
      </c>
      <c r="S2660" s="33">
        <f>IF(COUNTIF(O$2:O2660,O2660)=1,R2660,0)/2.5</f>
        <v>0</v>
      </c>
    </row>
    <row r="2661" spans="1:19" ht="18" customHeight="1" x14ac:dyDescent="0.25">
      <c r="A2661" s="7" t="s">
        <v>43</v>
      </c>
      <c r="B2661" s="8">
        <v>1</v>
      </c>
      <c r="C2661" s="9">
        <v>391.84</v>
      </c>
      <c r="D2661" s="29">
        <f>C2661+IF(INDEX('Справочник по %'!B:B,(MATCH(A2661,'Справочник по %'!A:A,0)))="кол-во",B2661*INDEX('Справочник по %'!C:C,(MATCH(A2661,'Справочник по %'!A:A,0))),ОТЧЕТ!C2661*INDEX('Справочник по %'!C:C,(MATCH(A2661,'Справочник по %'!A:A,0))))/100</f>
        <v>431.024</v>
      </c>
      <c r="E2661" s="29">
        <f>IF(ОТЧЕТ!A2661="SKU3",C2661+ОТЧЕТ!C2661*0.2,C2661+ОТЧЕТ!C2661*0.15)</f>
        <v>450.61599999999999</v>
      </c>
      <c r="F2661" s="7" t="s">
        <v>5074</v>
      </c>
      <c r="G2661" s="7">
        <v>5506232453</v>
      </c>
      <c r="H2661" s="20" t="s">
        <v>50</v>
      </c>
      <c r="I2661" s="22">
        <f>INDEX('Справочник Сети'!B:B,(MATCH(G2661,'Справочник Сети'!C:C,0)))</f>
        <v>0</v>
      </c>
      <c r="J2661" s="7" t="s">
        <v>255</v>
      </c>
      <c r="K2661" s="7" t="s">
        <v>1962</v>
      </c>
      <c r="L2661" s="7" t="s">
        <v>255</v>
      </c>
      <c r="M2661" s="31">
        <v>45713</v>
      </c>
      <c r="N2661" s="7" t="s">
        <v>5083</v>
      </c>
      <c r="O2661" s="8">
        <v>1545</v>
      </c>
      <c r="P2661" s="24">
        <v>9686</v>
      </c>
      <c r="Q2661" s="22">
        <f>IF(COUNTIFS(A$2:A2661,A2661,I$2:I2661,I2661)=1,1,0)</f>
        <v>0</v>
      </c>
      <c r="R2661" s="22">
        <f t="shared" si="41"/>
        <v>3</v>
      </c>
      <c r="S2661" s="33">
        <f>IF(COUNTIF(O$2:O2661,O2661)=1,R2661,0)/2.5</f>
        <v>0</v>
      </c>
    </row>
    <row r="2662" spans="1:19" ht="18" customHeight="1" x14ac:dyDescent="0.25">
      <c r="A2662" s="7" t="s">
        <v>43</v>
      </c>
      <c r="B2662" s="8">
        <v>1</v>
      </c>
      <c r="C2662" s="9">
        <v>379</v>
      </c>
      <c r="D2662" s="29">
        <f>C2662+IF(INDEX('Справочник по %'!B:B,(MATCH(A2662,'Справочник по %'!A:A,0)))="кол-во",B2662*INDEX('Справочник по %'!C:C,(MATCH(A2662,'Справочник по %'!A:A,0))),ОТЧЕТ!C2662*INDEX('Справочник по %'!C:C,(MATCH(A2662,'Справочник по %'!A:A,0))))/100</f>
        <v>416.9</v>
      </c>
      <c r="E2662" s="29">
        <f>IF(ОТЧЕТ!A2662="SKU3",C2662+ОТЧЕТ!C2662*0.2,C2662+ОТЧЕТ!C2662*0.15)</f>
        <v>435.85</v>
      </c>
      <c r="F2662" s="7" t="s">
        <v>5074</v>
      </c>
      <c r="G2662" s="7">
        <v>7706795062</v>
      </c>
      <c r="H2662" s="20" t="s">
        <v>327</v>
      </c>
      <c r="I2662" s="22" t="str">
        <f>INDEX('Справочник Сети'!B:B,(MATCH(G2662,'Справочник Сети'!C:C,0)))</f>
        <v>Планета здоровья</v>
      </c>
      <c r="J2662" s="7" t="s">
        <v>87</v>
      </c>
      <c r="K2662" s="7" t="s">
        <v>3978</v>
      </c>
      <c r="L2662" s="7" t="s">
        <v>116</v>
      </c>
      <c r="M2662" s="31">
        <v>45692</v>
      </c>
      <c r="N2662" s="7" t="s">
        <v>5084</v>
      </c>
      <c r="O2662" s="8">
        <v>1232</v>
      </c>
      <c r="P2662" s="24">
        <v>9687</v>
      </c>
      <c r="Q2662" s="22">
        <f>IF(COUNTIFS(A$2:A2662,A2662,I$2:I2662,I2662)=1,1,0)</f>
        <v>0</v>
      </c>
      <c r="R2662" s="22">
        <f t="shared" si="41"/>
        <v>3</v>
      </c>
      <c r="S2662" s="33">
        <f>IF(COUNTIF(O$2:O2662,O2662)=1,R2662,0)/2.5</f>
        <v>0</v>
      </c>
    </row>
    <row r="2663" spans="1:19" ht="18" customHeight="1" x14ac:dyDescent="0.25">
      <c r="A2663" s="7" t="s">
        <v>43</v>
      </c>
      <c r="B2663" s="8">
        <v>1</v>
      </c>
      <c r="C2663" s="9">
        <v>424.86</v>
      </c>
      <c r="D2663" s="29">
        <f>C2663+IF(INDEX('Справочник по %'!B:B,(MATCH(A2663,'Справочник по %'!A:A,0)))="кол-во",B2663*INDEX('Справочник по %'!C:C,(MATCH(A2663,'Справочник по %'!A:A,0))),ОТЧЕТ!C2663*INDEX('Справочник по %'!C:C,(MATCH(A2663,'Справочник по %'!A:A,0))))/100</f>
        <v>467.346</v>
      </c>
      <c r="E2663" s="29">
        <f>IF(ОТЧЕТ!A2663="SKU3",C2663+ОТЧЕТ!C2663*0.2,C2663+ОТЧЕТ!C2663*0.15)</f>
        <v>488.589</v>
      </c>
      <c r="F2663" s="7" t="s">
        <v>5074</v>
      </c>
      <c r="G2663" s="7">
        <v>5504242840</v>
      </c>
      <c r="H2663" s="20" t="s">
        <v>1920</v>
      </c>
      <c r="I2663" s="22">
        <f>INDEX('Справочник Сети'!B:B,(MATCH(G2663,'Справочник Сети'!C:C,0)))</f>
        <v>0</v>
      </c>
      <c r="J2663" s="7" t="s">
        <v>255</v>
      </c>
      <c r="K2663" s="7" t="s">
        <v>1713</v>
      </c>
      <c r="L2663" s="7" t="s">
        <v>255</v>
      </c>
      <c r="M2663" s="31">
        <v>45713</v>
      </c>
      <c r="N2663" s="7" t="s">
        <v>5085</v>
      </c>
      <c r="O2663" s="8">
        <v>3507</v>
      </c>
      <c r="P2663" s="24">
        <v>9688</v>
      </c>
      <c r="Q2663" s="22">
        <f>IF(COUNTIFS(A$2:A2663,A2663,I$2:I2663,I2663)=1,1,0)</f>
        <v>0</v>
      </c>
      <c r="R2663" s="22">
        <f t="shared" si="41"/>
        <v>1</v>
      </c>
      <c r="S2663" s="33">
        <f>IF(COUNTIF(O$2:O2663,O2663)=1,R2663,0)/2.5</f>
        <v>0.4</v>
      </c>
    </row>
    <row r="2664" spans="1:19" ht="18" customHeight="1" x14ac:dyDescent="0.25">
      <c r="A2664" s="7" t="s">
        <v>43</v>
      </c>
      <c r="B2664" s="8">
        <v>1</v>
      </c>
      <c r="C2664" s="9">
        <v>417</v>
      </c>
      <c r="D2664" s="29">
        <f>C2664+IF(INDEX('Справочник по %'!B:B,(MATCH(A2664,'Справочник по %'!A:A,0)))="кол-во",B2664*INDEX('Справочник по %'!C:C,(MATCH(A2664,'Справочник по %'!A:A,0))),ОТЧЕТ!C2664*INDEX('Справочник по %'!C:C,(MATCH(A2664,'Справочник по %'!A:A,0))))/100</f>
        <v>458.7</v>
      </c>
      <c r="E2664" s="29">
        <f>IF(ОТЧЕТ!A2664="SKU3",C2664+ОТЧЕТ!C2664*0.2,C2664+ОТЧЕТ!C2664*0.15)</f>
        <v>479.55</v>
      </c>
      <c r="F2664" s="7" t="s">
        <v>5074</v>
      </c>
      <c r="G2664" s="7">
        <v>6722022100</v>
      </c>
      <c r="H2664" s="20" t="s">
        <v>50</v>
      </c>
      <c r="I2664" s="22">
        <f>INDEX('Справочник Сети'!B:B,(MATCH(G2664,'Справочник Сети'!C:C,0)))</f>
        <v>0</v>
      </c>
      <c r="J2664" s="7" t="s">
        <v>106</v>
      </c>
      <c r="K2664" s="7" t="s">
        <v>4504</v>
      </c>
      <c r="L2664" s="7" t="s">
        <v>106</v>
      </c>
      <c r="M2664" s="31">
        <v>45694</v>
      </c>
      <c r="N2664" s="7" t="s">
        <v>5086</v>
      </c>
      <c r="O2664" s="8">
        <v>2252</v>
      </c>
      <c r="P2664" s="24">
        <v>9691</v>
      </c>
      <c r="Q2664" s="22">
        <f>IF(COUNTIFS(A$2:A2664,A2664,I$2:I2664,I2664)=1,1,0)</f>
        <v>0</v>
      </c>
      <c r="R2664" s="22">
        <f t="shared" si="41"/>
        <v>2</v>
      </c>
      <c r="S2664" s="33">
        <f>IF(COUNTIF(O$2:O2664,O2664)=1,R2664,0)/2.5</f>
        <v>0</v>
      </c>
    </row>
    <row r="2665" spans="1:19" ht="18" customHeight="1" x14ac:dyDescent="0.25">
      <c r="A2665" s="7" t="s">
        <v>43</v>
      </c>
      <c r="B2665" s="8">
        <v>1</v>
      </c>
      <c r="C2665" s="9">
        <v>517</v>
      </c>
      <c r="D2665" s="29">
        <f>C2665+IF(INDEX('Справочник по %'!B:B,(MATCH(A2665,'Справочник по %'!A:A,0)))="кол-во",B2665*INDEX('Справочник по %'!C:C,(MATCH(A2665,'Справочник по %'!A:A,0))),ОТЧЕТ!C2665*INDEX('Справочник по %'!C:C,(MATCH(A2665,'Справочник по %'!A:A,0))))/100</f>
        <v>568.70000000000005</v>
      </c>
      <c r="E2665" s="29">
        <f>IF(ОТЧЕТ!A2665="SKU3",C2665+ОТЧЕТ!C2665*0.2,C2665+ОТЧЕТ!C2665*0.15)</f>
        <v>594.54999999999995</v>
      </c>
      <c r="F2665" s="7" t="s">
        <v>5074</v>
      </c>
      <c r="G2665" s="7">
        <v>4202029419</v>
      </c>
      <c r="H2665" s="20" t="s">
        <v>69</v>
      </c>
      <c r="I2665" s="22">
        <f>INDEX('Справочник Сети'!B:B,(MATCH(G2665,'Справочник Сети'!C:C,0)))</f>
        <v>0</v>
      </c>
      <c r="J2665" s="7" t="s">
        <v>155</v>
      </c>
      <c r="K2665" s="7" t="s">
        <v>1077</v>
      </c>
      <c r="L2665" s="7" t="s">
        <v>155</v>
      </c>
      <c r="M2665" s="31">
        <v>45716</v>
      </c>
      <c r="N2665" s="7" t="s">
        <v>5087</v>
      </c>
      <c r="O2665" s="8">
        <v>266</v>
      </c>
      <c r="P2665" s="24">
        <v>9693</v>
      </c>
      <c r="Q2665" s="22">
        <f>IF(COUNTIFS(A$2:A2665,A2665,I$2:I2665,I2665)=1,1,0)</f>
        <v>0</v>
      </c>
      <c r="R2665" s="22">
        <f t="shared" si="41"/>
        <v>3</v>
      </c>
      <c r="S2665" s="33">
        <f>IF(COUNTIF(O$2:O2665,O2665)=1,R2665,0)/2.5</f>
        <v>0</v>
      </c>
    </row>
    <row r="2666" spans="1:19" ht="18" customHeight="1" x14ac:dyDescent="0.25">
      <c r="A2666" s="7" t="s">
        <v>43</v>
      </c>
      <c r="B2666" s="8">
        <v>1</v>
      </c>
      <c r="C2666" s="9">
        <v>436.8</v>
      </c>
      <c r="D2666" s="29">
        <f>C2666+IF(INDEX('Справочник по %'!B:B,(MATCH(A2666,'Справочник по %'!A:A,0)))="кол-во",B2666*INDEX('Справочник по %'!C:C,(MATCH(A2666,'Справочник по %'!A:A,0))),ОТЧЕТ!C2666*INDEX('Справочник по %'!C:C,(MATCH(A2666,'Справочник по %'!A:A,0))))/100</f>
        <v>480.48</v>
      </c>
      <c r="E2666" s="29">
        <f>IF(ОТЧЕТ!A2666="SKU3",C2666+ОТЧЕТ!C2666*0.2,C2666+ОТЧЕТ!C2666*0.15)</f>
        <v>502.32</v>
      </c>
      <c r="F2666" s="7" t="s">
        <v>5074</v>
      </c>
      <c r="G2666" s="7">
        <v>2539096225</v>
      </c>
      <c r="H2666" s="20" t="s">
        <v>384</v>
      </c>
      <c r="I2666" s="22" t="str">
        <f>INDEX('Справочник Сети'!B:B,(MATCH(G2666,'Справочник Сети'!C:C,0)))</f>
        <v>36,6</v>
      </c>
      <c r="J2666" s="7" t="s">
        <v>46</v>
      </c>
      <c r="K2666" s="7" t="s">
        <v>58</v>
      </c>
      <c r="L2666" s="7" t="s">
        <v>46</v>
      </c>
      <c r="M2666" s="31">
        <v>45726</v>
      </c>
      <c r="N2666" s="7" t="s">
        <v>5088</v>
      </c>
      <c r="O2666" s="8">
        <v>800</v>
      </c>
      <c r="P2666" s="24">
        <v>9695</v>
      </c>
      <c r="Q2666" s="22">
        <f>IF(COUNTIFS(A$2:A2666,A2666,I$2:I2666,I2666)=1,1,0)</f>
        <v>0</v>
      </c>
      <c r="R2666" s="22">
        <f t="shared" si="41"/>
        <v>3</v>
      </c>
      <c r="S2666" s="33">
        <f>IF(COUNTIF(O$2:O2666,O2666)=1,R2666,0)/2.5</f>
        <v>0</v>
      </c>
    </row>
    <row r="2667" spans="1:19" ht="18" customHeight="1" x14ac:dyDescent="0.25">
      <c r="A2667" s="7" t="s">
        <v>43</v>
      </c>
      <c r="B2667" s="8">
        <v>1</v>
      </c>
      <c r="C2667" s="9">
        <v>421</v>
      </c>
      <c r="D2667" s="29">
        <f>C2667+IF(INDEX('Справочник по %'!B:B,(MATCH(A2667,'Справочник по %'!A:A,0)))="кол-во",B2667*INDEX('Справочник по %'!C:C,(MATCH(A2667,'Справочник по %'!A:A,0))),ОТЧЕТ!C2667*INDEX('Справочник по %'!C:C,(MATCH(A2667,'Справочник по %'!A:A,0))))/100</f>
        <v>463.1</v>
      </c>
      <c r="E2667" s="29">
        <f>IF(ОТЧЕТ!A2667="SKU3",C2667+ОТЧЕТ!C2667*0.2,C2667+ОТЧЕТ!C2667*0.15)</f>
        <v>484.15</v>
      </c>
      <c r="F2667" s="7" t="s">
        <v>5074</v>
      </c>
      <c r="G2667" s="7">
        <v>7706795062</v>
      </c>
      <c r="H2667" s="20" t="s">
        <v>114</v>
      </c>
      <c r="I2667" s="22" t="str">
        <f>INDEX('Справочник Сети'!B:B,(MATCH(G2667,'Справочник Сети'!C:C,0)))</f>
        <v>Планета здоровья</v>
      </c>
      <c r="J2667" s="7" t="s">
        <v>87</v>
      </c>
      <c r="K2667" s="7" t="s">
        <v>2718</v>
      </c>
      <c r="L2667" s="7" t="s">
        <v>87</v>
      </c>
      <c r="M2667" s="31">
        <v>45691</v>
      </c>
      <c r="N2667" s="7" t="s">
        <v>5089</v>
      </c>
      <c r="O2667" s="8">
        <v>2928</v>
      </c>
      <c r="P2667" s="24">
        <v>9698</v>
      </c>
      <c r="Q2667" s="22">
        <f>IF(COUNTIFS(A$2:A2667,A2667,I$2:I2667,I2667)=1,1,0)</f>
        <v>0</v>
      </c>
      <c r="R2667" s="22">
        <f t="shared" si="41"/>
        <v>1</v>
      </c>
      <c r="S2667" s="33">
        <f>IF(COUNTIF(O$2:O2667,O2667)=1,R2667,0)/2.5</f>
        <v>0.4</v>
      </c>
    </row>
    <row r="2668" spans="1:19" ht="18" customHeight="1" x14ac:dyDescent="0.25">
      <c r="A2668" s="7" t="s">
        <v>43</v>
      </c>
      <c r="B2668" s="8">
        <v>1</v>
      </c>
      <c r="C2668" s="9">
        <v>380</v>
      </c>
      <c r="D2668" s="29">
        <f>C2668+IF(INDEX('Справочник по %'!B:B,(MATCH(A2668,'Справочник по %'!A:A,0)))="кол-во",B2668*INDEX('Справочник по %'!C:C,(MATCH(A2668,'Справочник по %'!A:A,0))),ОТЧЕТ!C2668*INDEX('Справочник по %'!C:C,(MATCH(A2668,'Справочник по %'!A:A,0))))/100</f>
        <v>418</v>
      </c>
      <c r="E2668" s="29">
        <f>IF(ОТЧЕТ!A2668="SKU3",C2668+ОТЧЕТ!C2668*0.2,C2668+ОТЧЕТ!C2668*0.15)</f>
        <v>437</v>
      </c>
      <c r="F2668" s="7" t="s">
        <v>5074</v>
      </c>
      <c r="G2668" s="7">
        <v>2460120491</v>
      </c>
      <c r="H2668" s="20" t="s">
        <v>561</v>
      </c>
      <c r="I2668" s="22" t="str">
        <f>INDEX('Справочник Сети'!B:B,(MATCH(G2668,'Справочник Сети'!C:C,0)))</f>
        <v>Планета здоровья</v>
      </c>
      <c r="J2668" s="7" t="s">
        <v>96</v>
      </c>
      <c r="K2668" s="7" t="s">
        <v>2218</v>
      </c>
      <c r="L2668" s="7" t="s">
        <v>96</v>
      </c>
      <c r="M2668" s="31">
        <v>45727</v>
      </c>
      <c r="N2668" s="7" t="s">
        <v>5090</v>
      </c>
      <c r="O2668" s="8">
        <v>2268</v>
      </c>
      <c r="P2668" s="24">
        <v>9699</v>
      </c>
      <c r="Q2668" s="22">
        <f>IF(COUNTIFS(A$2:A2668,A2668,I$2:I2668,I2668)=1,1,0)</f>
        <v>0</v>
      </c>
      <c r="R2668" s="22">
        <f t="shared" si="41"/>
        <v>2</v>
      </c>
      <c r="S2668" s="33">
        <f>IF(COUNTIF(O$2:O2668,O2668)=1,R2668,0)/2.5</f>
        <v>0</v>
      </c>
    </row>
    <row r="2669" spans="1:19" ht="18" customHeight="1" x14ac:dyDescent="0.25">
      <c r="A2669" s="7" t="s">
        <v>43</v>
      </c>
      <c r="B2669" s="8">
        <v>1</v>
      </c>
      <c r="C2669" s="9">
        <v>369</v>
      </c>
      <c r="D2669" s="29">
        <f>C2669+IF(INDEX('Справочник по %'!B:B,(MATCH(A2669,'Справочник по %'!A:A,0)))="кол-во",B2669*INDEX('Справочник по %'!C:C,(MATCH(A2669,'Справочник по %'!A:A,0))),ОТЧЕТ!C2669*INDEX('Справочник по %'!C:C,(MATCH(A2669,'Справочник по %'!A:A,0))))/100</f>
        <v>405.9</v>
      </c>
      <c r="E2669" s="29">
        <f>IF(ОТЧЕТ!A2669="SKU3",C2669+ОТЧЕТ!C2669*0.2,C2669+ОТЧЕТ!C2669*0.15)</f>
        <v>424.35</v>
      </c>
      <c r="F2669" s="7" t="s">
        <v>5074</v>
      </c>
      <c r="G2669" s="7">
        <v>7706795062</v>
      </c>
      <c r="H2669" s="20" t="s">
        <v>3506</v>
      </c>
      <c r="I2669" s="22" t="str">
        <f>INDEX('Справочник Сети'!B:B,(MATCH(G2669,'Справочник Сети'!C:C,0)))</f>
        <v>Планета здоровья</v>
      </c>
      <c r="J2669" s="7" t="s">
        <v>87</v>
      </c>
      <c r="K2669" s="7" t="s">
        <v>3807</v>
      </c>
      <c r="L2669" s="7" t="s">
        <v>87</v>
      </c>
      <c r="M2669" s="31">
        <v>45691</v>
      </c>
      <c r="N2669" s="7" t="s">
        <v>5091</v>
      </c>
      <c r="O2669" s="8">
        <v>2617</v>
      </c>
      <c r="P2669" s="24">
        <v>9702</v>
      </c>
      <c r="Q2669" s="22">
        <f>IF(COUNTIFS(A$2:A2669,A2669,I$2:I2669,I2669)=1,1,0)</f>
        <v>0</v>
      </c>
      <c r="R2669" s="22">
        <f t="shared" si="41"/>
        <v>3</v>
      </c>
      <c r="S2669" s="33">
        <f>IF(COUNTIF(O$2:O2669,O2669)=1,R2669,0)/2.5</f>
        <v>0</v>
      </c>
    </row>
    <row r="2670" spans="1:19" ht="18" customHeight="1" x14ac:dyDescent="0.25">
      <c r="A2670" s="7" t="s">
        <v>43</v>
      </c>
      <c r="B2670" s="8">
        <v>1</v>
      </c>
      <c r="C2670" s="9">
        <v>308</v>
      </c>
      <c r="D2670" s="29">
        <f>C2670+IF(INDEX('Справочник по %'!B:B,(MATCH(A2670,'Справочник по %'!A:A,0)))="кол-во",B2670*INDEX('Справочник по %'!C:C,(MATCH(A2670,'Справочник по %'!A:A,0))),ОТЧЕТ!C2670*INDEX('Справочник по %'!C:C,(MATCH(A2670,'Справочник по %'!A:A,0))))/100</f>
        <v>338.8</v>
      </c>
      <c r="E2670" s="29">
        <f>IF(ОТЧЕТ!A2670="SKU3",C2670+ОТЧЕТ!C2670*0.2,C2670+ОТЧЕТ!C2670*0.15)</f>
        <v>354.2</v>
      </c>
      <c r="F2670" s="7" t="s">
        <v>5092</v>
      </c>
      <c r="G2670" s="7">
        <v>2311241316</v>
      </c>
      <c r="H2670" s="20" t="s">
        <v>50</v>
      </c>
      <c r="I2670" s="22">
        <f>INDEX('Справочник Сети'!B:B,(MATCH(G2670,'Справочник Сети'!C:C,0)))</f>
        <v>0</v>
      </c>
      <c r="J2670" s="7" t="s">
        <v>70</v>
      </c>
      <c r="K2670" s="7" t="s">
        <v>1316</v>
      </c>
      <c r="L2670" s="7" t="s">
        <v>70</v>
      </c>
      <c r="M2670" s="31">
        <v>45728</v>
      </c>
      <c r="N2670" s="7" t="s">
        <v>3334</v>
      </c>
      <c r="O2670" s="8">
        <v>1451</v>
      </c>
      <c r="P2670" s="24">
        <v>9704</v>
      </c>
      <c r="Q2670" s="22">
        <f>IF(COUNTIFS(A$2:A2670,A2670,I$2:I2670,I2670)=1,1,0)</f>
        <v>0</v>
      </c>
      <c r="R2670" s="22">
        <f t="shared" si="41"/>
        <v>2</v>
      </c>
      <c r="S2670" s="33">
        <f>IF(COUNTIF(O$2:O2670,O2670)=1,R2670,0)/2.5</f>
        <v>0</v>
      </c>
    </row>
    <row r="2671" spans="1:19" ht="18" customHeight="1" x14ac:dyDescent="0.25">
      <c r="A2671" s="7" t="s">
        <v>37</v>
      </c>
      <c r="B2671" s="8">
        <v>1</v>
      </c>
      <c r="C2671" s="9">
        <v>601.91999999999996</v>
      </c>
      <c r="D2671" s="29">
        <f>C2671+IF(INDEX('Справочник по %'!B:B,(MATCH(A2671,'Справочник по %'!A:A,0)))="кол-во",B2671*INDEX('Справочник по %'!C:C,(MATCH(A2671,'Справочник по %'!A:A,0))),ОТЧЕТ!C2671*INDEX('Справочник по %'!C:C,(MATCH(A2671,'Справочник по %'!A:A,0))))/100</f>
        <v>602.12</v>
      </c>
      <c r="E2671" s="29">
        <f>IF(ОТЧЕТ!A2671="SKU3",C2671+ОТЧЕТ!C2671*0.2,C2671+ОТЧЕТ!C2671*0.15)</f>
        <v>692.20799999999997</v>
      </c>
      <c r="F2671" s="7" t="s">
        <v>5092</v>
      </c>
      <c r="G2671" s="7">
        <v>253804596643</v>
      </c>
      <c r="H2671" s="20" t="s">
        <v>1920</v>
      </c>
      <c r="I2671" s="22" t="str">
        <f>INDEX('Справочник Сети'!B:B,(MATCH(G2671,'Справочник Сети'!C:C,0)))</f>
        <v>Ригла</v>
      </c>
      <c r="J2671" s="7" t="s">
        <v>110</v>
      </c>
      <c r="K2671" s="7" t="s">
        <v>1549</v>
      </c>
      <c r="L2671" s="7" t="s">
        <v>74</v>
      </c>
      <c r="M2671" s="31">
        <v>45661</v>
      </c>
      <c r="N2671" s="7" t="s">
        <v>5093</v>
      </c>
      <c r="O2671" s="8">
        <v>769</v>
      </c>
      <c r="P2671" s="24">
        <v>9705</v>
      </c>
      <c r="Q2671" s="22">
        <f>IF(COUNTIFS(A$2:A2671,A2671,I$2:I2671,I2671)=1,1,0)</f>
        <v>0</v>
      </c>
      <c r="R2671" s="22">
        <f t="shared" si="41"/>
        <v>1</v>
      </c>
      <c r="S2671" s="33">
        <f>IF(COUNTIF(O$2:O2671,O2671)=1,R2671,0)/2.5</f>
        <v>0.4</v>
      </c>
    </row>
    <row r="2672" spans="1:19" ht="18" customHeight="1" x14ac:dyDescent="0.25">
      <c r="A2672" s="7" t="s">
        <v>43</v>
      </c>
      <c r="B2672" s="8">
        <v>1</v>
      </c>
      <c r="C2672" s="9">
        <v>379</v>
      </c>
      <c r="D2672" s="29">
        <f>C2672+IF(INDEX('Справочник по %'!B:B,(MATCH(A2672,'Справочник по %'!A:A,0)))="кол-во",B2672*INDEX('Справочник по %'!C:C,(MATCH(A2672,'Справочник по %'!A:A,0))),ОТЧЕТ!C2672*INDEX('Справочник по %'!C:C,(MATCH(A2672,'Справочник по %'!A:A,0))))/100</f>
        <v>416.9</v>
      </c>
      <c r="E2672" s="29">
        <f>IF(ОТЧЕТ!A2672="SKU3",C2672+ОТЧЕТ!C2672*0.2,C2672+ОТЧЕТ!C2672*0.15)</f>
        <v>435.85</v>
      </c>
      <c r="F2672" s="7" t="s">
        <v>5092</v>
      </c>
      <c r="G2672" s="7">
        <v>7706795062</v>
      </c>
      <c r="H2672" s="20" t="s">
        <v>494</v>
      </c>
      <c r="I2672" s="22" t="str">
        <f>INDEX('Справочник Сети'!B:B,(MATCH(G2672,'Справочник Сети'!C:C,0)))</f>
        <v>Планета здоровья</v>
      </c>
      <c r="J2672" s="7" t="s">
        <v>87</v>
      </c>
      <c r="K2672" s="7" t="s">
        <v>1942</v>
      </c>
      <c r="L2672" s="7" t="s">
        <v>87</v>
      </c>
      <c r="M2672" s="31">
        <v>45691</v>
      </c>
      <c r="N2672" s="7" t="s">
        <v>5094</v>
      </c>
      <c r="O2672" s="8">
        <v>2282</v>
      </c>
      <c r="P2672" s="24">
        <v>9706</v>
      </c>
      <c r="Q2672" s="22">
        <f>IF(COUNTIFS(A$2:A2672,A2672,I$2:I2672,I2672)=1,1,0)</f>
        <v>0</v>
      </c>
      <c r="R2672" s="22">
        <f t="shared" si="41"/>
        <v>2</v>
      </c>
      <c r="S2672" s="33">
        <f>IF(COUNTIF(O$2:O2672,O2672)=1,R2672,0)/2.5</f>
        <v>0</v>
      </c>
    </row>
    <row r="2673" spans="1:19" ht="18" customHeight="1" x14ac:dyDescent="0.25">
      <c r="A2673" s="7" t="s">
        <v>37</v>
      </c>
      <c r="B2673" s="8">
        <v>1</v>
      </c>
      <c r="C2673" s="9">
        <v>531</v>
      </c>
      <c r="D2673" s="29">
        <f>C2673+IF(INDEX('Справочник по %'!B:B,(MATCH(A2673,'Справочник по %'!A:A,0)))="кол-во",B2673*INDEX('Справочник по %'!C:C,(MATCH(A2673,'Справочник по %'!A:A,0))),ОТЧЕТ!C2673*INDEX('Справочник по %'!C:C,(MATCH(A2673,'Справочник по %'!A:A,0))))/100</f>
        <v>531.20000000000005</v>
      </c>
      <c r="E2673" s="29">
        <f>IF(ОТЧЕТ!A2673="SKU3",C2673+ОТЧЕТ!C2673*0.2,C2673+ОТЧЕТ!C2673*0.15)</f>
        <v>610.65</v>
      </c>
      <c r="F2673" s="7" t="s">
        <v>5092</v>
      </c>
      <c r="G2673" s="7">
        <v>5405072034</v>
      </c>
      <c r="H2673" s="20" t="s">
        <v>4144</v>
      </c>
      <c r="I2673" s="22" t="str">
        <f>INDEX('Справочник Сети'!B:B,(MATCH(G2673,'Справочник Сети'!C:C,0)))</f>
        <v>Нео-фарм</v>
      </c>
      <c r="J2673" s="7" t="s">
        <v>92</v>
      </c>
      <c r="K2673" s="7" t="s">
        <v>625</v>
      </c>
      <c r="L2673" s="7" t="s">
        <v>92</v>
      </c>
      <c r="M2673" s="31">
        <v>45714</v>
      </c>
      <c r="N2673" s="7" t="s">
        <v>5095</v>
      </c>
      <c r="O2673" s="8">
        <v>2679</v>
      </c>
      <c r="P2673" s="24">
        <v>9707</v>
      </c>
      <c r="Q2673" s="22">
        <f>IF(COUNTIFS(A$2:A2673,A2673,I$2:I2673,I2673)=1,1,0)</f>
        <v>0</v>
      </c>
      <c r="R2673" s="22">
        <f t="shared" si="41"/>
        <v>2</v>
      </c>
      <c r="S2673" s="33">
        <f>IF(COUNTIF(O$2:O2673,O2673)=1,R2673,0)/2.5</f>
        <v>0</v>
      </c>
    </row>
    <row r="2674" spans="1:19" ht="18" customHeight="1" x14ac:dyDescent="0.25">
      <c r="A2674" s="7" t="s">
        <v>43</v>
      </c>
      <c r="B2674" s="8">
        <v>1</v>
      </c>
      <c r="C2674" s="9">
        <v>392</v>
      </c>
      <c r="D2674" s="29">
        <f>C2674+IF(INDEX('Справочник по %'!B:B,(MATCH(A2674,'Справочник по %'!A:A,0)))="кол-во",B2674*INDEX('Справочник по %'!C:C,(MATCH(A2674,'Справочник по %'!A:A,0))),ОТЧЕТ!C2674*INDEX('Справочник по %'!C:C,(MATCH(A2674,'Справочник по %'!A:A,0))))/100</f>
        <v>431.2</v>
      </c>
      <c r="E2674" s="29">
        <f>IF(ОТЧЕТ!A2674="SKU3",C2674+ОТЧЕТ!C2674*0.2,C2674+ОТЧЕТ!C2674*0.15)</f>
        <v>450.8</v>
      </c>
      <c r="F2674" s="7" t="s">
        <v>5096</v>
      </c>
      <c r="G2674" s="7">
        <v>7706795062</v>
      </c>
      <c r="H2674" s="20" t="s">
        <v>3631</v>
      </c>
      <c r="I2674" s="22" t="str">
        <f>INDEX('Справочник Сети'!B:B,(MATCH(G2674,'Справочник Сети'!C:C,0)))</f>
        <v>Планета здоровья</v>
      </c>
      <c r="J2674" s="7" t="s">
        <v>87</v>
      </c>
      <c r="K2674" s="7" t="s">
        <v>5097</v>
      </c>
      <c r="L2674" s="7" t="s">
        <v>87</v>
      </c>
      <c r="M2674" s="31">
        <v>45691</v>
      </c>
      <c r="N2674" s="7" t="s">
        <v>5098</v>
      </c>
      <c r="O2674" s="8">
        <v>3227</v>
      </c>
      <c r="P2674" s="24">
        <v>9708</v>
      </c>
      <c r="Q2674" s="22">
        <f>IF(COUNTIFS(A$2:A2674,A2674,I$2:I2674,I2674)=1,1,0)</f>
        <v>0</v>
      </c>
      <c r="R2674" s="22">
        <f t="shared" si="41"/>
        <v>1</v>
      </c>
      <c r="S2674" s="33">
        <f>IF(COUNTIF(O$2:O2674,O2674)=1,R2674,0)/2.5</f>
        <v>0.4</v>
      </c>
    </row>
    <row r="2675" spans="1:19" ht="18" customHeight="1" x14ac:dyDescent="0.25">
      <c r="A2675" s="7" t="s">
        <v>43</v>
      </c>
      <c r="B2675" s="8">
        <v>1</v>
      </c>
      <c r="C2675" s="9">
        <v>418.5</v>
      </c>
      <c r="D2675" s="29">
        <f>C2675+IF(INDEX('Справочник по %'!B:B,(MATCH(A2675,'Справочник по %'!A:A,0)))="кол-во",B2675*INDEX('Справочник по %'!C:C,(MATCH(A2675,'Справочник по %'!A:A,0))),ОТЧЕТ!C2675*INDEX('Справочник по %'!C:C,(MATCH(A2675,'Справочник по %'!A:A,0))))/100</f>
        <v>460.35</v>
      </c>
      <c r="E2675" s="29">
        <f>IF(ОТЧЕТ!A2675="SKU3",C2675+ОТЧЕТ!C2675*0.2,C2675+ОТЧЕТ!C2675*0.15)</f>
        <v>481.27499999999998</v>
      </c>
      <c r="F2675" s="7" t="s">
        <v>5096</v>
      </c>
      <c r="G2675" s="7">
        <v>5507102175</v>
      </c>
      <c r="H2675" s="20" t="s">
        <v>50</v>
      </c>
      <c r="I2675" s="22" t="str">
        <f>INDEX('Справочник Сети'!B:B,(MATCH(G2675,'Справочник Сети'!C:C,0)))</f>
        <v>Столички</v>
      </c>
      <c r="J2675" s="7" t="s">
        <v>255</v>
      </c>
      <c r="K2675" s="7" t="s">
        <v>488</v>
      </c>
      <c r="L2675" s="7" t="s">
        <v>255</v>
      </c>
      <c r="M2675" s="31">
        <v>45713</v>
      </c>
      <c r="N2675" s="7" t="s">
        <v>5099</v>
      </c>
      <c r="O2675" s="8">
        <v>3493</v>
      </c>
      <c r="P2675" s="24">
        <v>9710</v>
      </c>
      <c r="Q2675" s="22">
        <f>IF(COUNTIFS(A$2:A2675,A2675,I$2:I2675,I2675)=1,1,0)</f>
        <v>0</v>
      </c>
      <c r="R2675" s="22">
        <f t="shared" si="41"/>
        <v>1</v>
      </c>
      <c r="S2675" s="33">
        <f>IF(COUNTIF(O$2:O2675,O2675)=1,R2675,0)/2.5</f>
        <v>0.4</v>
      </c>
    </row>
    <row r="2676" spans="1:19" ht="18" customHeight="1" x14ac:dyDescent="0.25">
      <c r="A2676" s="7" t="s">
        <v>43</v>
      </c>
      <c r="B2676" s="8">
        <v>1</v>
      </c>
      <c r="C2676" s="9">
        <v>558</v>
      </c>
      <c r="D2676" s="29">
        <f>C2676+IF(INDEX('Справочник по %'!B:B,(MATCH(A2676,'Справочник по %'!A:A,0)))="кол-во",B2676*INDEX('Справочник по %'!C:C,(MATCH(A2676,'Справочник по %'!A:A,0))),ОТЧЕТ!C2676*INDEX('Справочник по %'!C:C,(MATCH(A2676,'Справочник по %'!A:A,0))))/100</f>
        <v>613.79999999999995</v>
      </c>
      <c r="E2676" s="29">
        <f>IF(ОТЧЕТ!A2676="SKU3",C2676+ОТЧЕТ!C2676*0.2,C2676+ОТЧЕТ!C2676*0.15)</f>
        <v>641.70000000000005</v>
      </c>
      <c r="F2676" s="7" t="s">
        <v>5096</v>
      </c>
      <c r="G2676" s="7">
        <v>2464261510</v>
      </c>
      <c r="H2676" s="20" t="s">
        <v>91</v>
      </c>
      <c r="I2676" s="22">
        <f>INDEX('Справочник Сети'!B:B,(MATCH(G2676,'Справочник Сети'!C:C,0)))</f>
        <v>0</v>
      </c>
      <c r="J2676" s="7" t="s">
        <v>96</v>
      </c>
      <c r="K2676" s="7" t="s">
        <v>1568</v>
      </c>
      <c r="L2676" s="7" t="s">
        <v>96</v>
      </c>
      <c r="M2676" s="31">
        <v>45727</v>
      </c>
      <c r="N2676" s="7" t="s">
        <v>5100</v>
      </c>
      <c r="O2676" s="8">
        <v>757</v>
      </c>
      <c r="P2676" s="24">
        <v>9712</v>
      </c>
      <c r="Q2676" s="22">
        <f>IF(COUNTIFS(A$2:A2676,A2676,I$2:I2676,I2676)=1,1,0)</f>
        <v>0</v>
      </c>
      <c r="R2676" s="22">
        <f t="shared" si="41"/>
        <v>1</v>
      </c>
      <c r="S2676" s="33">
        <f>IF(COUNTIF(O$2:O2676,O2676)=1,R2676,0)/2.5</f>
        <v>0.4</v>
      </c>
    </row>
    <row r="2677" spans="1:19" ht="18" customHeight="1" x14ac:dyDescent="0.25">
      <c r="A2677" s="7" t="s">
        <v>43</v>
      </c>
      <c r="B2677" s="8">
        <v>1</v>
      </c>
      <c r="C2677" s="9">
        <v>399</v>
      </c>
      <c r="D2677" s="29">
        <f>C2677+IF(INDEX('Справочник по %'!B:B,(MATCH(A2677,'Справочник по %'!A:A,0)))="кол-во",B2677*INDEX('Справочник по %'!C:C,(MATCH(A2677,'Справочник по %'!A:A,0))),ОТЧЕТ!C2677*INDEX('Справочник по %'!C:C,(MATCH(A2677,'Справочник по %'!A:A,0))))/100</f>
        <v>438.9</v>
      </c>
      <c r="E2677" s="29">
        <f>IF(ОТЧЕТ!A2677="SKU3",C2677+ОТЧЕТ!C2677*0.2,C2677+ОТЧЕТ!C2677*0.15)</f>
        <v>458.85</v>
      </c>
      <c r="F2677" s="7" t="s">
        <v>5101</v>
      </c>
      <c r="G2677" s="7">
        <v>275912643</v>
      </c>
      <c r="H2677" s="20" t="s">
        <v>2290</v>
      </c>
      <c r="I2677" s="22">
        <f>INDEX('Справочник Сети'!B:B,(MATCH(G2677,'Справочник Сети'!C:C,0)))</f>
        <v>0</v>
      </c>
      <c r="J2677" s="7" t="s">
        <v>362</v>
      </c>
      <c r="K2677" s="7" t="s">
        <v>1552</v>
      </c>
      <c r="L2677" s="7" t="s">
        <v>362</v>
      </c>
      <c r="M2677" s="31">
        <v>45732</v>
      </c>
      <c r="N2677" s="7" t="s">
        <v>4591</v>
      </c>
      <c r="O2677" s="8">
        <v>1077</v>
      </c>
      <c r="P2677" s="24">
        <v>9716</v>
      </c>
      <c r="Q2677" s="22">
        <f>IF(COUNTIFS(A$2:A2677,A2677,I$2:I2677,I2677)=1,1,0)</f>
        <v>0</v>
      </c>
      <c r="R2677" s="22">
        <f t="shared" si="41"/>
        <v>6</v>
      </c>
      <c r="S2677" s="33">
        <f>IF(COUNTIF(O$2:O2677,O2677)=1,R2677,0)/2.5</f>
        <v>0</v>
      </c>
    </row>
    <row r="2678" spans="1:19" ht="18" customHeight="1" x14ac:dyDescent="0.25">
      <c r="A2678" s="7" t="s">
        <v>37</v>
      </c>
      <c r="B2678" s="8">
        <v>1</v>
      </c>
      <c r="C2678" s="9">
        <v>548</v>
      </c>
      <c r="D2678" s="29">
        <f>C2678+IF(INDEX('Справочник по %'!B:B,(MATCH(A2678,'Справочник по %'!A:A,0)))="кол-во",B2678*INDEX('Справочник по %'!C:C,(MATCH(A2678,'Справочник по %'!A:A,0))),ОТЧЕТ!C2678*INDEX('Справочник по %'!C:C,(MATCH(A2678,'Справочник по %'!A:A,0))))/100</f>
        <v>548.20000000000005</v>
      </c>
      <c r="E2678" s="29">
        <f>IF(ОТЧЕТ!A2678="SKU3",C2678+ОТЧЕТ!C2678*0.2,C2678+ОТЧЕТ!C2678*0.15)</f>
        <v>630.20000000000005</v>
      </c>
      <c r="F2678" s="7" t="s">
        <v>5102</v>
      </c>
      <c r="G2678" s="7">
        <v>7726707307</v>
      </c>
      <c r="H2678" s="20" t="s">
        <v>1763</v>
      </c>
      <c r="I2678" s="22" t="str">
        <f>INDEX('Справочник Сети'!B:B,(MATCH(G2678,'Справочник Сети'!C:C,0)))</f>
        <v>Ригла</v>
      </c>
      <c r="J2678" s="7" t="s">
        <v>142</v>
      </c>
      <c r="K2678" s="7" t="s">
        <v>1361</v>
      </c>
      <c r="L2678" s="7" t="s">
        <v>185</v>
      </c>
      <c r="M2678" s="31">
        <v>45675</v>
      </c>
      <c r="N2678" s="7" t="s">
        <v>5103</v>
      </c>
      <c r="O2678" s="8">
        <v>388</v>
      </c>
      <c r="P2678" s="24">
        <v>9718</v>
      </c>
      <c r="Q2678" s="22">
        <f>IF(COUNTIFS(A$2:A2678,A2678,I$2:I2678,I2678)=1,1,0)</f>
        <v>0</v>
      </c>
      <c r="R2678" s="22">
        <f t="shared" si="41"/>
        <v>1</v>
      </c>
      <c r="S2678" s="33">
        <f>IF(COUNTIF(O$2:O2678,O2678)=1,R2678,0)/2.5</f>
        <v>0.4</v>
      </c>
    </row>
    <row r="2679" spans="1:19" ht="18" customHeight="1" x14ac:dyDescent="0.25">
      <c r="A2679" s="7" t="s">
        <v>43</v>
      </c>
      <c r="B2679" s="8">
        <v>1</v>
      </c>
      <c r="C2679" s="9">
        <v>402</v>
      </c>
      <c r="D2679" s="29">
        <f>C2679+IF(INDEX('Справочник по %'!B:B,(MATCH(A2679,'Справочник по %'!A:A,0)))="кол-во",B2679*INDEX('Справочник по %'!C:C,(MATCH(A2679,'Справочник по %'!A:A,0))),ОТЧЕТ!C2679*INDEX('Справочник по %'!C:C,(MATCH(A2679,'Справочник по %'!A:A,0))))/100</f>
        <v>442.2</v>
      </c>
      <c r="E2679" s="29">
        <f>IF(ОТЧЕТ!A2679="SKU3",C2679+ОТЧЕТ!C2679*0.2,C2679+ОТЧЕТ!C2679*0.15)</f>
        <v>462.3</v>
      </c>
      <c r="F2679" s="7" t="s">
        <v>5104</v>
      </c>
      <c r="G2679" s="7">
        <v>344600461131</v>
      </c>
      <c r="H2679" s="20" t="s">
        <v>2605</v>
      </c>
      <c r="I2679" s="22">
        <f>INDEX('Справочник Сети'!B:B,(MATCH(G2679,'Справочник Сети'!C:C,0)))</f>
        <v>0</v>
      </c>
      <c r="J2679" s="7" t="s">
        <v>110</v>
      </c>
      <c r="K2679" s="7" t="s">
        <v>5105</v>
      </c>
      <c r="L2679" s="7" t="s">
        <v>110</v>
      </c>
      <c r="M2679" s="31">
        <v>45660</v>
      </c>
      <c r="N2679" s="7" t="s">
        <v>5106</v>
      </c>
      <c r="O2679" s="8">
        <v>3567</v>
      </c>
      <c r="P2679" s="24">
        <v>9721</v>
      </c>
      <c r="Q2679" s="22">
        <f>IF(COUNTIFS(A$2:A2679,A2679,I$2:I2679,I2679)=1,1,0)</f>
        <v>0</v>
      </c>
      <c r="R2679" s="22">
        <f t="shared" si="41"/>
        <v>4</v>
      </c>
      <c r="S2679" s="33">
        <f>IF(COUNTIF(O$2:O2679,O2679)=1,R2679,0)/2.5</f>
        <v>0</v>
      </c>
    </row>
    <row r="2680" spans="1:19" ht="18" customHeight="1" x14ac:dyDescent="0.25">
      <c r="A2680" s="7" t="s">
        <v>43</v>
      </c>
      <c r="B2680" s="8">
        <v>1</v>
      </c>
      <c r="C2680" s="9">
        <v>432</v>
      </c>
      <c r="D2680" s="29">
        <f>C2680+IF(INDEX('Справочник по %'!B:B,(MATCH(A2680,'Справочник по %'!A:A,0)))="кол-во",B2680*INDEX('Справочник по %'!C:C,(MATCH(A2680,'Справочник по %'!A:A,0))),ОТЧЕТ!C2680*INDEX('Справочник по %'!C:C,(MATCH(A2680,'Справочник по %'!A:A,0))))/100</f>
        <v>475.2</v>
      </c>
      <c r="E2680" s="29">
        <f>IF(ОТЧЕТ!A2680="SKU3",C2680+ОТЧЕТ!C2680*0.2,C2680+ОТЧЕТ!C2680*0.15)</f>
        <v>496.8</v>
      </c>
      <c r="F2680" s="7" t="s">
        <v>5107</v>
      </c>
      <c r="G2680" s="7">
        <v>2543009225</v>
      </c>
      <c r="H2680" s="20" t="s">
        <v>3327</v>
      </c>
      <c r="I2680" s="22" t="str">
        <f>INDEX('Справочник Сети'!B:B,(MATCH(G2680,'Справочник Сети'!C:C,0)))</f>
        <v>Нео-фарм</v>
      </c>
      <c r="J2680" s="7" t="s">
        <v>46</v>
      </c>
      <c r="K2680" s="7" t="s">
        <v>1072</v>
      </c>
      <c r="L2680" s="7" t="s">
        <v>46</v>
      </c>
      <c r="M2680" s="31">
        <v>45726</v>
      </c>
      <c r="N2680" s="7" t="s">
        <v>5108</v>
      </c>
      <c r="O2680" s="8">
        <v>2946</v>
      </c>
      <c r="P2680" s="24">
        <v>9728</v>
      </c>
      <c r="Q2680" s="22">
        <f>IF(COUNTIFS(A$2:A2680,A2680,I$2:I2680,I2680)=1,1,0)</f>
        <v>0</v>
      </c>
      <c r="R2680" s="22">
        <f t="shared" si="41"/>
        <v>7</v>
      </c>
      <c r="S2680" s="33">
        <f>IF(COUNTIF(O$2:O2680,O2680)=1,R2680,0)/2.5</f>
        <v>0</v>
      </c>
    </row>
    <row r="2681" spans="1:19" ht="18" customHeight="1" x14ac:dyDescent="0.25">
      <c r="A2681" s="7" t="s">
        <v>43</v>
      </c>
      <c r="B2681" s="8">
        <v>1</v>
      </c>
      <c r="C2681" s="9">
        <v>475</v>
      </c>
      <c r="D2681" s="29">
        <f>C2681+IF(INDEX('Справочник по %'!B:B,(MATCH(A2681,'Справочник по %'!A:A,0)))="кол-во",B2681*INDEX('Справочник по %'!C:C,(MATCH(A2681,'Справочник по %'!A:A,0))),ОТЧЕТ!C2681*INDEX('Справочник по %'!C:C,(MATCH(A2681,'Справочник по %'!A:A,0))))/100</f>
        <v>522.5</v>
      </c>
      <c r="E2681" s="29">
        <f>IF(ОТЧЕТ!A2681="SKU3",C2681+ОТЧЕТ!C2681*0.2,C2681+ОТЧЕТ!C2681*0.15)</f>
        <v>546.25</v>
      </c>
      <c r="F2681" s="7" t="s">
        <v>5107</v>
      </c>
      <c r="G2681" s="7">
        <v>2311242373</v>
      </c>
      <c r="H2681" s="20" t="s">
        <v>50</v>
      </c>
      <c r="I2681" s="22">
        <f>INDEX('Справочник Сети'!B:B,(MATCH(G2681,'Справочник Сети'!C:C,0)))</f>
        <v>0</v>
      </c>
      <c r="J2681" s="7" t="s">
        <v>70</v>
      </c>
      <c r="K2681" s="7" t="s">
        <v>873</v>
      </c>
      <c r="L2681" s="7" t="s">
        <v>70</v>
      </c>
      <c r="M2681" s="31">
        <v>45728</v>
      </c>
      <c r="N2681" s="7" t="s">
        <v>5109</v>
      </c>
      <c r="O2681" s="8">
        <v>3026</v>
      </c>
      <c r="P2681" s="24">
        <v>9729</v>
      </c>
      <c r="Q2681" s="22">
        <f>IF(COUNTIFS(A$2:A2681,A2681,I$2:I2681,I2681)=1,1,0)</f>
        <v>0</v>
      </c>
      <c r="R2681" s="22">
        <f t="shared" si="41"/>
        <v>1</v>
      </c>
      <c r="S2681" s="33">
        <f>IF(COUNTIF(O$2:O2681,O2681)=1,R2681,0)/2.5</f>
        <v>0.4</v>
      </c>
    </row>
    <row r="2682" spans="1:19" ht="18" customHeight="1" x14ac:dyDescent="0.25">
      <c r="A2682" s="7" t="s">
        <v>43</v>
      </c>
      <c r="B2682" s="8">
        <v>1</v>
      </c>
      <c r="C2682" s="9">
        <v>325</v>
      </c>
      <c r="D2682" s="29">
        <f>C2682+IF(INDEX('Справочник по %'!B:B,(MATCH(A2682,'Справочник по %'!A:A,0)))="кол-во",B2682*INDEX('Справочник по %'!C:C,(MATCH(A2682,'Справочник по %'!A:A,0))),ОТЧЕТ!C2682*INDEX('Справочник по %'!C:C,(MATCH(A2682,'Справочник по %'!A:A,0))))/100</f>
        <v>357.5</v>
      </c>
      <c r="E2682" s="29">
        <f>IF(ОТЧЕТ!A2682="SKU3",C2682+ОТЧЕТ!C2682*0.2,C2682+ОТЧЕТ!C2682*0.15)</f>
        <v>373.75</v>
      </c>
      <c r="F2682" s="7" t="s">
        <v>5110</v>
      </c>
      <c r="G2682" s="7">
        <v>2543023195</v>
      </c>
      <c r="H2682" s="20" t="s">
        <v>39</v>
      </c>
      <c r="I2682" s="22" t="str">
        <f>INDEX('Справочник Сети'!B:B,(MATCH(G2682,'Справочник Сети'!C:C,0)))</f>
        <v>36,6</v>
      </c>
      <c r="J2682" s="7" t="s">
        <v>46</v>
      </c>
      <c r="K2682" s="7" t="s">
        <v>1129</v>
      </c>
      <c r="L2682" s="7" t="s">
        <v>46</v>
      </c>
      <c r="M2682" s="31">
        <v>45726</v>
      </c>
      <c r="N2682" s="7" t="s">
        <v>5111</v>
      </c>
      <c r="O2682" s="8">
        <v>534</v>
      </c>
      <c r="P2682" s="24">
        <v>9732</v>
      </c>
      <c r="Q2682" s="22">
        <f>IF(COUNTIFS(A$2:A2682,A2682,I$2:I2682,I2682)=1,1,0)</f>
        <v>0</v>
      </c>
      <c r="R2682" s="22">
        <f t="shared" si="41"/>
        <v>3</v>
      </c>
      <c r="S2682" s="33">
        <f>IF(COUNTIF(O$2:O2682,O2682)=1,R2682,0)/2.5</f>
        <v>0</v>
      </c>
    </row>
    <row r="2683" spans="1:19" ht="18" customHeight="1" x14ac:dyDescent="0.25">
      <c r="A2683" s="7" t="s">
        <v>43</v>
      </c>
      <c r="B2683" s="8">
        <v>1</v>
      </c>
      <c r="C2683" s="9">
        <v>514</v>
      </c>
      <c r="D2683" s="29">
        <f>C2683+IF(INDEX('Справочник по %'!B:B,(MATCH(A2683,'Справочник по %'!A:A,0)))="кол-во",B2683*INDEX('Справочник по %'!C:C,(MATCH(A2683,'Справочник по %'!A:A,0))),ОТЧЕТ!C2683*INDEX('Справочник по %'!C:C,(MATCH(A2683,'Справочник по %'!A:A,0))))/100</f>
        <v>565.4</v>
      </c>
      <c r="E2683" s="29">
        <f>IF(ОТЧЕТ!A2683="SKU3",C2683+ОТЧЕТ!C2683*0.2,C2683+ОТЧЕТ!C2683*0.15)</f>
        <v>591.1</v>
      </c>
      <c r="F2683" s="7" t="s">
        <v>5110</v>
      </c>
      <c r="G2683" s="7">
        <v>220300048989</v>
      </c>
      <c r="H2683" s="20" t="s">
        <v>50</v>
      </c>
      <c r="I2683" s="22">
        <f>INDEX('Справочник Сети'!B:B,(MATCH(G2683,'Справочник Сети'!C:C,0)))</f>
        <v>0</v>
      </c>
      <c r="J2683" s="7" t="s">
        <v>74</v>
      </c>
      <c r="K2683" s="7" t="s">
        <v>821</v>
      </c>
      <c r="L2683" s="7" t="s">
        <v>74</v>
      </c>
      <c r="M2683" s="31">
        <v>45661</v>
      </c>
      <c r="N2683" s="7" t="s">
        <v>5112</v>
      </c>
      <c r="O2683" s="8">
        <v>2</v>
      </c>
      <c r="P2683" s="24">
        <v>9733</v>
      </c>
      <c r="Q2683" s="22">
        <f>IF(COUNTIFS(A$2:A2683,A2683,I$2:I2683,I2683)=1,1,0)</f>
        <v>0</v>
      </c>
      <c r="R2683" s="22">
        <f t="shared" si="41"/>
        <v>5</v>
      </c>
      <c r="S2683" s="33">
        <f>IF(COUNTIF(O$2:O2683,O2683)=1,R2683,0)/2.5</f>
        <v>0</v>
      </c>
    </row>
    <row r="2684" spans="1:19" ht="18" customHeight="1" x14ac:dyDescent="0.25">
      <c r="A2684" s="7" t="s">
        <v>43</v>
      </c>
      <c r="B2684" s="8">
        <v>1</v>
      </c>
      <c r="C2684" s="9">
        <v>520</v>
      </c>
      <c r="D2684" s="29">
        <f>C2684+IF(INDEX('Справочник по %'!B:B,(MATCH(A2684,'Справочник по %'!A:A,0)))="кол-во",B2684*INDEX('Справочник по %'!C:C,(MATCH(A2684,'Справочник по %'!A:A,0))),ОТЧЕТ!C2684*INDEX('Справочник по %'!C:C,(MATCH(A2684,'Справочник по %'!A:A,0))))/100</f>
        <v>572</v>
      </c>
      <c r="E2684" s="29">
        <f>IF(ОТЧЕТ!A2684="SKU3",C2684+ОТЧЕТ!C2684*0.2,C2684+ОТЧЕТ!C2684*0.15)</f>
        <v>598</v>
      </c>
      <c r="F2684" s="7" t="s">
        <v>5113</v>
      </c>
      <c r="G2684" s="7">
        <v>610401000804</v>
      </c>
      <c r="H2684" s="20" t="s">
        <v>50</v>
      </c>
      <c r="I2684" s="22" t="str">
        <f>INDEX('Справочник Сети'!B:B,(MATCH(G2684,'Справочник Сети'!C:C,0)))</f>
        <v>Столички</v>
      </c>
      <c r="J2684" s="7" t="s">
        <v>251</v>
      </c>
      <c r="K2684" s="7" t="s">
        <v>1450</v>
      </c>
      <c r="L2684" s="7" t="s">
        <v>251</v>
      </c>
      <c r="M2684" s="31">
        <v>45659</v>
      </c>
      <c r="N2684" s="7" t="s">
        <v>5114</v>
      </c>
      <c r="O2684" s="8">
        <v>2663</v>
      </c>
      <c r="P2684" s="24">
        <v>9734</v>
      </c>
      <c r="Q2684" s="22">
        <f>IF(COUNTIFS(A$2:A2684,A2684,I$2:I2684,I2684)=1,1,0)</f>
        <v>0</v>
      </c>
      <c r="R2684" s="22">
        <f t="shared" si="41"/>
        <v>2</v>
      </c>
      <c r="S2684" s="33">
        <f>IF(COUNTIF(O$2:O2684,O2684)=1,R2684,0)/2.5</f>
        <v>0</v>
      </c>
    </row>
    <row r="2685" spans="1:19" ht="18" customHeight="1" x14ac:dyDescent="0.25">
      <c r="A2685" s="7" t="s">
        <v>43</v>
      </c>
      <c r="B2685" s="8">
        <v>1</v>
      </c>
      <c r="C2685" s="9">
        <v>400</v>
      </c>
      <c r="D2685" s="29">
        <f>C2685+IF(INDEX('Справочник по %'!B:B,(MATCH(A2685,'Справочник по %'!A:A,0)))="кол-во",B2685*INDEX('Справочник по %'!C:C,(MATCH(A2685,'Справочник по %'!A:A,0))),ОТЧЕТ!C2685*INDEX('Справочник по %'!C:C,(MATCH(A2685,'Справочник по %'!A:A,0))))/100</f>
        <v>440</v>
      </c>
      <c r="E2685" s="29">
        <f>IF(ОТЧЕТ!A2685="SKU3",C2685+ОТЧЕТ!C2685*0.2,C2685+ОТЧЕТ!C2685*0.15)</f>
        <v>460</v>
      </c>
      <c r="F2685" s="7" t="s">
        <v>5115</v>
      </c>
      <c r="G2685" s="7">
        <v>2227005590</v>
      </c>
      <c r="H2685" s="20" t="s">
        <v>5116</v>
      </c>
      <c r="I2685" s="22" t="str">
        <f>INDEX('Справочник Сети'!B:B,(MATCH(G2685,'Справочник Сети'!C:C,0)))</f>
        <v>Нео-фарм</v>
      </c>
      <c r="J2685" s="7" t="s">
        <v>372</v>
      </c>
      <c r="K2685" s="7" t="s">
        <v>456</v>
      </c>
      <c r="L2685" s="7" t="s">
        <v>372</v>
      </c>
      <c r="M2685" s="31">
        <v>45730</v>
      </c>
      <c r="N2685" s="7" t="s">
        <v>5117</v>
      </c>
      <c r="O2685" s="8">
        <v>909</v>
      </c>
      <c r="P2685" s="24">
        <v>9736</v>
      </c>
      <c r="Q2685" s="22">
        <f>IF(COUNTIFS(A$2:A2685,A2685,I$2:I2685,I2685)=1,1,0)</f>
        <v>0</v>
      </c>
      <c r="R2685" s="22">
        <f t="shared" si="41"/>
        <v>1</v>
      </c>
      <c r="S2685" s="33">
        <f>IF(COUNTIF(O$2:O2685,O2685)=1,R2685,0)/2.5</f>
        <v>0.4</v>
      </c>
    </row>
    <row r="2686" spans="1:19" ht="18" customHeight="1" x14ac:dyDescent="0.25">
      <c r="A2686" s="7" t="s">
        <v>43</v>
      </c>
      <c r="B2686" s="8">
        <v>1</v>
      </c>
      <c r="C2686" s="9">
        <v>491.55</v>
      </c>
      <c r="D2686" s="29">
        <f>C2686+IF(INDEX('Справочник по %'!B:B,(MATCH(A2686,'Справочник по %'!A:A,0)))="кол-во",B2686*INDEX('Справочник по %'!C:C,(MATCH(A2686,'Справочник по %'!A:A,0))),ОТЧЕТ!C2686*INDEX('Справочник по %'!C:C,(MATCH(A2686,'Справочник по %'!A:A,0))))/100</f>
        <v>540.70500000000004</v>
      </c>
      <c r="E2686" s="29">
        <f>IF(ОТЧЕТ!A2686="SKU3",C2686+ОТЧЕТ!C2686*0.2,C2686+ОТЧЕТ!C2686*0.15)</f>
        <v>565.28250000000003</v>
      </c>
      <c r="F2686" s="7" t="s">
        <v>5118</v>
      </c>
      <c r="G2686" s="7">
        <v>2373007348</v>
      </c>
      <c r="H2686" s="20" t="s">
        <v>5119</v>
      </c>
      <c r="I2686" s="22">
        <f>INDEX('Справочник Сети'!B:B,(MATCH(G2686,'Справочник Сети'!C:C,0)))</f>
        <v>0</v>
      </c>
      <c r="J2686" s="7" t="s">
        <v>96</v>
      </c>
      <c r="K2686" s="7" t="s">
        <v>1450</v>
      </c>
      <c r="L2686" s="7" t="s">
        <v>96</v>
      </c>
      <c r="M2686" s="31">
        <v>45727</v>
      </c>
      <c r="N2686" s="7" t="s">
        <v>5120</v>
      </c>
      <c r="O2686" s="8">
        <v>2767</v>
      </c>
      <c r="P2686" s="24">
        <v>9737</v>
      </c>
      <c r="Q2686" s="22">
        <f>IF(COUNTIFS(A$2:A2686,A2686,I$2:I2686,I2686)=1,1,0)</f>
        <v>0</v>
      </c>
      <c r="R2686" s="22">
        <f t="shared" si="41"/>
        <v>1</v>
      </c>
      <c r="S2686" s="33">
        <f>IF(COUNTIF(O$2:O2686,O2686)=1,R2686,0)/2.5</f>
        <v>0.4</v>
      </c>
    </row>
    <row r="2687" spans="1:19" ht="18" customHeight="1" x14ac:dyDescent="0.25">
      <c r="A2687" s="7" t="s">
        <v>43</v>
      </c>
      <c r="B2687" s="8">
        <v>1</v>
      </c>
      <c r="C2687" s="9">
        <v>399.5</v>
      </c>
      <c r="D2687" s="29">
        <f>C2687+IF(INDEX('Справочник по %'!B:B,(MATCH(A2687,'Справочник по %'!A:A,0)))="кол-во",B2687*INDEX('Справочник по %'!C:C,(MATCH(A2687,'Справочник по %'!A:A,0))),ОТЧЕТ!C2687*INDEX('Справочник по %'!C:C,(MATCH(A2687,'Справочник по %'!A:A,0))))/100</f>
        <v>439.45</v>
      </c>
      <c r="E2687" s="29">
        <f>IF(ОТЧЕТ!A2687="SKU3",C2687+ОТЧЕТ!C2687*0.2,C2687+ОТЧЕТ!C2687*0.15)</f>
        <v>459.42500000000001</v>
      </c>
      <c r="F2687" s="7" t="s">
        <v>5121</v>
      </c>
      <c r="G2687" s="7">
        <v>3801042576</v>
      </c>
      <c r="H2687" s="20" t="s">
        <v>64</v>
      </c>
      <c r="I2687" s="22" t="str">
        <f>INDEX('Справочник Сети'!B:B,(MATCH(G2687,'Справочник Сети'!C:C,0)))</f>
        <v>Планета здоровья</v>
      </c>
      <c r="J2687" s="7" t="s">
        <v>65</v>
      </c>
      <c r="K2687" s="7" t="s">
        <v>2218</v>
      </c>
      <c r="L2687" s="7" t="s">
        <v>65</v>
      </c>
      <c r="M2687" s="31">
        <v>45717</v>
      </c>
      <c r="N2687" s="7" t="s">
        <v>5122</v>
      </c>
      <c r="O2687" s="8">
        <v>3037</v>
      </c>
      <c r="P2687" s="24">
        <v>9738</v>
      </c>
      <c r="Q2687" s="22">
        <f>IF(COUNTIFS(A$2:A2687,A2687,I$2:I2687,I2687)=1,1,0)</f>
        <v>0</v>
      </c>
      <c r="R2687" s="22">
        <f t="shared" si="41"/>
        <v>3</v>
      </c>
      <c r="S2687" s="33">
        <f>IF(COUNTIF(O$2:O2687,O2687)=1,R2687,0)/2.5</f>
        <v>0</v>
      </c>
    </row>
    <row r="2688" spans="1:19" ht="18" customHeight="1" x14ac:dyDescent="0.25">
      <c r="A2688" s="7" t="s">
        <v>43</v>
      </c>
      <c r="B2688" s="8">
        <v>1</v>
      </c>
      <c r="C2688" s="9">
        <v>434</v>
      </c>
      <c r="D2688" s="29">
        <f>C2688+IF(INDEX('Справочник по %'!B:B,(MATCH(A2688,'Справочник по %'!A:A,0)))="кол-во",B2688*INDEX('Справочник по %'!C:C,(MATCH(A2688,'Справочник по %'!A:A,0))),ОТЧЕТ!C2688*INDEX('Справочник по %'!C:C,(MATCH(A2688,'Справочник по %'!A:A,0))))/100</f>
        <v>477.4</v>
      </c>
      <c r="E2688" s="29">
        <f>IF(ОТЧЕТ!A2688="SKU3",C2688+ОТЧЕТ!C2688*0.2,C2688+ОТЧЕТ!C2688*0.15)</f>
        <v>499.1</v>
      </c>
      <c r="F2688" s="7" t="s">
        <v>5121</v>
      </c>
      <c r="G2688" s="7">
        <v>7718280244</v>
      </c>
      <c r="H2688" s="20" t="s">
        <v>50</v>
      </c>
      <c r="I2688" s="22" t="str">
        <f>INDEX('Справочник Сети'!B:B,(MATCH(G2688,'Справочник Сети'!C:C,0)))</f>
        <v>Планета здоровья</v>
      </c>
      <c r="J2688" s="7" t="s">
        <v>168</v>
      </c>
      <c r="K2688" s="7" t="s">
        <v>1129</v>
      </c>
      <c r="L2688" s="7" t="s">
        <v>168</v>
      </c>
      <c r="M2688" s="31">
        <v>45676</v>
      </c>
      <c r="N2688" s="7" t="s">
        <v>5123</v>
      </c>
      <c r="O2688" s="8">
        <v>116</v>
      </c>
      <c r="P2688" s="24">
        <v>9739</v>
      </c>
      <c r="Q2688" s="22">
        <f>IF(COUNTIFS(A$2:A2688,A2688,I$2:I2688,I2688)=1,1,0)</f>
        <v>0</v>
      </c>
      <c r="R2688" s="22">
        <f t="shared" si="41"/>
        <v>3</v>
      </c>
      <c r="S2688" s="33">
        <f>IF(COUNTIF(O$2:O2688,O2688)=1,R2688,0)/2.5</f>
        <v>1.2</v>
      </c>
    </row>
    <row r="2689" spans="1:19" ht="18" customHeight="1" x14ac:dyDescent="0.25">
      <c r="A2689" s="7" t="s">
        <v>43</v>
      </c>
      <c r="B2689" s="8">
        <v>1</v>
      </c>
      <c r="C2689" s="9">
        <v>374</v>
      </c>
      <c r="D2689" s="29">
        <f>C2689+IF(INDEX('Справочник по %'!B:B,(MATCH(A2689,'Справочник по %'!A:A,0)))="кол-во",B2689*INDEX('Справочник по %'!C:C,(MATCH(A2689,'Справочник по %'!A:A,0))),ОТЧЕТ!C2689*INDEX('Справочник по %'!C:C,(MATCH(A2689,'Справочник по %'!A:A,0))))/100</f>
        <v>411.4</v>
      </c>
      <c r="E2689" s="29">
        <f>IF(ОТЧЕТ!A2689="SKU3",C2689+ОТЧЕТ!C2689*0.2,C2689+ОТЧЕТ!C2689*0.15)</f>
        <v>430.1</v>
      </c>
      <c r="F2689" s="7" t="s">
        <v>5124</v>
      </c>
      <c r="G2689" s="7">
        <v>7728339546</v>
      </c>
      <c r="H2689" s="20" t="s">
        <v>1792</v>
      </c>
      <c r="I2689" s="22" t="str">
        <f>INDEX('Справочник Сети'!B:B,(MATCH(G2689,'Справочник Сети'!C:C,0)))</f>
        <v>Планета здоровья</v>
      </c>
      <c r="J2689" s="7" t="s">
        <v>142</v>
      </c>
      <c r="K2689" s="7" t="s">
        <v>2097</v>
      </c>
      <c r="L2689" s="7" t="s">
        <v>142</v>
      </c>
      <c r="M2689" s="31">
        <v>45674</v>
      </c>
      <c r="N2689" s="7" t="s">
        <v>5125</v>
      </c>
      <c r="O2689" s="8">
        <v>380</v>
      </c>
      <c r="P2689" s="24">
        <v>9745</v>
      </c>
      <c r="Q2689" s="22">
        <f>IF(COUNTIFS(A$2:A2689,A2689,I$2:I2689,I2689)=1,1,0)</f>
        <v>0</v>
      </c>
      <c r="R2689" s="22">
        <f t="shared" si="41"/>
        <v>4</v>
      </c>
      <c r="S2689" s="33">
        <f>IF(COUNTIF(O$2:O2689,O2689)=1,R2689,0)/2.5</f>
        <v>0</v>
      </c>
    </row>
    <row r="2690" spans="1:19" ht="18" customHeight="1" x14ac:dyDescent="0.25">
      <c r="A2690" s="7" t="s">
        <v>43</v>
      </c>
      <c r="B2690" s="8">
        <v>1</v>
      </c>
      <c r="C2690" s="9">
        <v>385.2</v>
      </c>
      <c r="D2690" s="29">
        <f>C2690+IF(INDEX('Справочник по %'!B:B,(MATCH(A2690,'Справочник по %'!A:A,0)))="кол-во",B2690*INDEX('Справочник по %'!C:C,(MATCH(A2690,'Справочник по %'!A:A,0))),ОТЧЕТ!C2690*INDEX('Справочник по %'!C:C,(MATCH(A2690,'Справочник по %'!A:A,0))))/100</f>
        <v>423.71999999999997</v>
      </c>
      <c r="E2690" s="29">
        <f>IF(ОТЧЕТ!A2690="SKU3",C2690+ОТЧЕТ!C2690*0.2,C2690+ОТЧЕТ!C2690*0.15)</f>
        <v>442.97999999999996</v>
      </c>
      <c r="F2690" s="7" t="s">
        <v>5124</v>
      </c>
      <c r="G2690" s="7">
        <v>2466189073</v>
      </c>
      <c r="H2690" s="20" t="s">
        <v>5126</v>
      </c>
      <c r="I2690" s="22" t="str">
        <f>INDEX('Справочник Сети'!B:B,(MATCH(G2690,'Справочник Сети'!C:C,0)))</f>
        <v>Нео-фарм</v>
      </c>
      <c r="J2690" s="7" t="s">
        <v>96</v>
      </c>
      <c r="K2690" s="7" t="s">
        <v>701</v>
      </c>
      <c r="L2690" s="7" t="s">
        <v>96</v>
      </c>
      <c r="M2690" s="31">
        <v>45727</v>
      </c>
      <c r="N2690" s="7" t="s">
        <v>5127</v>
      </c>
      <c r="O2690" s="8">
        <v>2186</v>
      </c>
      <c r="P2690" s="24">
        <v>9746</v>
      </c>
      <c r="Q2690" s="22">
        <f>IF(COUNTIFS(A$2:A2690,A2690,I$2:I2690,I2690)=1,1,0)</f>
        <v>0</v>
      </c>
      <c r="R2690" s="22">
        <f t="shared" si="41"/>
        <v>1</v>
      </c>
      <c r="S2690" s="33">
        <f>IF(COUNTIF(O$2:O2690,O2690)=1,R2690,0)/2.5</f>
        <v>0.4</v>
      </c>
    </row>
    <row r="2691" spans="1:19" ht="18" customHeight="1" x14ac:dyDescent="0.25">
      <c r="A2691" s="7" t="s">
        <v>37</v>
      </c>
      <c r="B2691" s="8">
        <v>1</v>
      </c>
      <c r="C2691" s="9">
        <v>610</v>
      </c>
      <c r="D2691" s="29">
        <f>C2691+IF(INDEX('Справочник по %'!B:B,(MATCH(A2691,'Справочник по %'!A:A,0)))="кол-во",B2691*INDEX('Справочник по %'!C:C,(MATCH(A2691,'Справочник по %'!A:A,0))),ОТЧЕТ!C2691*INDEX('Справочник по %'!C:C,(MATCH(A2691,'Справочник по %'!A:A,0))))/100</f>
        <v>610.20000000000005</v>
      </c>
      <c r="E2691" s="29">
        <f>IF(ОТЧЕТ!A2691="SKU3",C2691+ОТЧЕТ!C2691*0.2,C2691+ОТЧЕТ!C2691*0.15)</f>
        <v>701.5</v>
      </c>
      <c r="F2691" s="7" t="s">
        <v>5128</v>
      </c>
      <c r="G2691" s="7">
        <v>1501017335</v>
      </c>
      <c r="H2691" s="20" t="s">
        <v>1135</v>
      </c>
      <c r="I2691" s="22">
        <f>INDEX('Справочник Сети'!B:B,(MATCH(G2691,'Справочник Сети'!C:C,0)))</f>
        <v>0</v>
      </c>
      <c r="J2691" s="7" t="s">
        <v>335</v>
      </c>
      <c r="K2691" s="7" t="s">
        <v>5129</v>
      </c>
      <c r="L2691" s="7" t="s">
        <v>335</v>
      </c>
      <c r="M2691" s="31">
        <v>45731</v>
      </c>
      <c r="N2691" s="7" t="s">
        <v>5130</v>
      </c>
      <c r="O2691" s="8">
        <v>744</v>
      </c>
      <c r="P2691" s="24">
        <v>9749</v>
      </c>
      <c r="Q2691" s="22">
        <f>IF(COUNTIFS(A$2:A2691,A2691,I$2:I2691,I2691)=1,1,0)</f>
        <v>0</v>
      </c>
      <c r="R2691" s="22">
        <f t="shared" ref="R2691:R2754" si="42">COUNTIF(O:O,O2691)</f>
        <v>2</v>
      </c>
      <c r="S2691" s="33">
        <f>IF(COUNTIF(O$2:O2691,O2691)=1,R2691,0)/2.5</f>
        <v>0</v>
      </c>
    </row>
    <row r="2692" spans="1:19" ht="18" customHeight="1" x14ac:dyDescent="0.25">
      <c r="A2692" s="7" t="s">
        <v>43</v>
      </c>
      <c r="B2692" s="8">
        <v>1</v>
      </c>
      <c r="C2692" s="9">
        <v>401</v>
      </c>
      <c r="D2692" s="29">
        <f>C2692+IF(INDEX('Справочник по %'!B:B,(MATCH(A2692,'Справочник по %'!A:A,0)))="кол-во",B2692*INDEX('Справочник по %'!C:C,(MATCH(A2692,'Справочник по %'!A:A,0))),ОТЧЕТ!C2692*INDEX('Справочник по %'!C:C,(MATCH(A2692,'Справочник по %'!A:A,0))))/100</f>
        <v>441.1</v>
      </c>
      <c r="E2692" s="29">
        <f>IF(ОТЧЕТ!A2692="SKU3",C2692+ОТЧЕТ!C2692*0.2,C2692+ОТЧЕТ!C2692*0.15)</f>
        <v>461.15</v>
      </c>
      <c r="F2692" s="7" t="s">
        <v>5128</v>
      </c>
      <c r="G2692" s="7">
        <v>2310212231</v>
      </c>
      <c r="H2692" s="20" t="s">
        <v>69</v>
      </c>
      <c r="I2692" s="22" t="str">
        <f>INDEX('Справочник Сети'!B:B,(MATCH(G2692,'Справочник Сети'!C:C,0)))</f>
        <v>Нео-фарм</v>
      </c>
      <c r="J2692" s="7" t="s">
        <v>70</v>
      </c>
      <c r="K2692" s="7" t="s">
        <v>3247</v>
      </c>
      <c r="L2692" s="7" t="s">
        <v>70</v>
      </c>
      <c r="M2692" s="31">
        <v>45728</v>
      </c>
      <c r="N2692" s="7" t="s">
        <v>5131</v>
      </c>
      <c r="O2692" s="8">
        <v>3575</v>
      </c>
      <c r="P2692" s="24">
        <v>9750</v>
      </c>
      <c r="Q2692" s="22">
        <f>IF(COUNTIFS(A$2:A2692,A2692,I$2:I2692,I2692)=1,1,0)</f>
        <v>0</v>
      </c>
      <c r="R2692" s="22">
        <f t="shared" si="42"/>
        <v>2</v>
      </c>
      <c r="S2692" s="33">
        <f>IF(COUNTIF(O$2:O2692,O2692)=1,R2692,0)/2.5</f>
        <v>0</v>
      </c>
    </row>
    <row r="2693" spans="1:19" ht="18" customHeight="1" x14ac:dyDescent="0.25">
      <c r="A2693" s="7" t="s">
        <v>43</v>
      </c>
      <c r="B2693" s="8">
        <v>1</v>
      </c>
      <c r="C2693" s="9">
        <v>549</v>
      </c>
      <c r="D2693" s="29">
        <f>C2693+IF(INDEX('Справочник по %'!B:B,(MATCH(A2693,'Справочник по %'!A:A,0)))="кол-во",B2693*INDEX('Справочник по %'!C:C,(MATCH(A2693,'Справочник по %'!A:A,0))),ОТЧЕТ!C2693*INDEX('Справочник по %'!C:C,(MATCH(A2693,'Справочник по %'!A:A,0))))/100</f>
        <v>603.9</v>
      </c>
      <c r="E2693" s="29">
        <f>IF(ОТЧЕТ!A2693="SKU3",C2693+ОТЧЕТ!C2693*0.2,C2693+ОТЧЕТ!C2693*0.15)</f>
        <v>631.35</v>
      </c>
      <c r="F2693" s="7" t="s">
        <v>5132</v>
      </c>
      <c r="G2693" s="7">
        <v>7732121736</v>
      </c>
      <c r="H2693" s="20" t="s">
        <v>2424</v>
      </c>
      <c r="I2693" s="22" t="str">
        <f>INDEX('Справочник Сети'!B:B,(MATCH(G2693,'Справочник Сети'!C:C,0)))</f>
        <v>Планета здоровья</v>
      </c>
      <c r="J2693" s="7" t="s">
        <v>149</v>
      </c>
      <c r="K2693" s="7" t="s">
        <v>2097</v>
      </c>
      <c r="L2693" s="7" t="s">
        <v>142</v>
      </c>
      <c r="M2693" s="31">
        <v>45674</v>
      </c>
      <c r="N2693" s="7" t="s">
        <v>4609</v>
      </c>
      <c r="O2693" s="8">
        <v>455</v>
      </c>
      <c r="P2693" s="24">
        <v>9751</v>
      </c>
      <c r="Q2693" s="22">
        <f>IF(COUNTIFS(A$2:A2693,A2693,I$2:I2693,I2693)=1,1,0)</f>
        <v>0</v>
      </c>
      <c r="R2693" s="22">
        <f t="shared" si="42"/>
        <v>3</v>
      </c>
      <c r="S2693" s="33">
        <f>IF(COUNTIF(O$2:O2693,O2693)=1,R2693,0)/2.5</f>
        <v>0</v>
      </c>
    </row>
    <row r="2694" spans="1:19" ht="18" customHeight="1" x14ac:dyDescent="0.25">
      <c r="A2694" s="7" t="s">
        <v>43</v>
      </c>
      <c r="B2694" s="8">
        <v>1</v>
      </c>
      <c r="C2694" s="9">
        <v>406</v>
      </c>
      <c r="D2694" s="29">
        <f>C2694+IF(INDEX('Справочник по %'!B:B,(MATCH(A2694,'Справочник по %'!A:A,0)))="кол-во",B2694*INDEX('Справочник по %'!C:C,(MATCH(A2694,'Справочник по %'!A:A,0))),ОТЧЕТ!C2694*INDEX('Справочник по %'!C:C,(MATCH(A2694,'Справочник по %'!A:A,0))))/100</f>
        <v>446.6</v>
      </c>
      <c r="E2694" s="29">
        <f>IF(ОТЧЕТ!A2694="SKU3",C2694+ОТЧЕТ!C2694*0.2,C2694+ОТЧЕТ!C2694*0.15)</f>
        <v>466.9</v>
      </c>
      <c r="F2694" s="7" t="s">
        <v>5132</v>
      </c>
      <c r="G2694" s="7">
        <v>2543023195</v>
      </c>
      <c r="H2694" s="20" t="s">
        <v>69</v>
      </c>
      <c r="I2694" s="22" t="str">
        <f>INDEX('Справочник Сети'!B:B,(MATCH(G2694,'Справочник Сети'!C:C,0)))</f>
        <v>36,6</v>
      </c>
      <c r="J2694" s="7" t="s">
        <v>46</v>
      </c>
      <c r="K2694" s="7" t="s">
        <v>3088</v>
      </c>
      <c r="L2694" s="7" t="s">
        <v>46</v>
      </c>
      <c r="M2694" s="31">
        <v>45726</v>
      </c>
      <c r="N2694" s="7" t="s">
        <v>5133</v>
      </c>
      <c r="O2694" s="8">
        <v>2516</v>
      </c>
      <c r="P2694" s="24">
        <v>9754</v>
      </c>
      <c r="Q2694" s="22">
        <f>IF(COUNTIFS(A$2:A2694,A2694,I$2:I2694,I2694)=1,1,0)</f>
        <v>0</v>
      </c>
      <c r="R2694" s="22">
        <f t="shared" si="42"/>
        <v>2</v>
      </c>
      <c r="S2694" s="33">
        <f>IF(COUNTIF(O$2:O2694,O2694)=1,R2694,0)/2.5</f>
        <v>0</v>
      </c>
    </row>
    <row r="2695" spans="1:19" ht="18" customHeight="1" x14ac:dyDescent="0.25">
      <c r="A2695" s="7" t="s">
        <v>37</v>
      </c>
      <c r="B2695" s="8">
        <v>1</v>
      </c>
      <c r="C2695" s="9">
        <v>640</v>
      </c>
      <c r="D2695" s="29">
        <f>C2695+IF(INDEX('Справочник по %'!B:B,(MATCH(A2695,'Справочник по %'!A:A,0)))="кол-во",B2695*INDEX('Справочник по %'!C:C,(MATCH(A2695,'Справочник по %'!A:A,0))),ОТЧЕТ!C2695*INDEX('Справочник по %'!C:C,(MATCH(A2695,'Справочник по %'!A:A,0))))/100</f>
        <v>640.20000000000005</v>
      </c>
      <c r="E2695" s="29">
        <f>IF(ОТЧЕТ!A2695="SKU3",C2695+ОТЧЕТ!C2695*0.2,C2695+ОТЧЕТ!C2695*0.15)</f>
        <v>736</v>
      </c>
      <c r="F2695" s="7" t="s">
        <v>5132</v>
      </c>
      <c r="G2695" s="7">
        <v>231705666100</v>
      </c>
      <c r="H2695" s="20" t="s">
        <v>50</v>
      </c>
      <c r="I2695" s="22" t="str">
        <f>INDEX('Справочник Сети'!B:B,(MATCH(G2695,'Справочник Сети'!C:C,0)))</f>
        <v>Планета здоровья</v>
      </c>
      <c r="J2695" s="7" t="s">
        <v>74</v>
      </c>
      <c r="K2695" s="7" t="s">
        <v>2125</v>
      </c>
      <c r="L2695" s="7" t="s">
        <v>74</v>
      </c>
      <c r="M2695" s="31">
        <v>45661</v>
      </c>
      <c r="N2695" s="7" t="s">
        <v>5134</v>
      </c>
      <c r="O2695" s="8">
        <v>841</v>
      </c>
      <c r="P2695" s="24">
        <v>9758</v>
      </c>
      <c r="Q2695" s="22">
        <f>IF(COUNTIFS(A$2:A2695,A2695,I$2:I2695,I2695)=1,1,0)</f>
        <v>0</v>
      </c>
      <c r="R2695" s="22">
        <f t="shared" si="42"/>
        <v>4</v>
      </c>
      <c r="S2695" s="33">
        <f>IF(COUNTIF(O$2:O2695,O2695)=1,R2695,0)/2.5</f>
        <v>0</v>
      </c>
    </row>
    <row r="2696" spans="1:19" ht="18" customHeight="1" x14ac:dyDescent="0.25">
      <c r="A2696" s="7" t="s">
        <v>43</v>
      </c>
      <c r="B2696" s="8">
        <v>1</v>
      </c>
      <c r="C2696" s="9">
        <v>419.9</v>
      </c>
      <c r="D2696" s="29">
        <f>C2696+IF(INDEX('Справочник по %'!B:B,(MATCH(A2696,'Справочник по %'!A:A,0)))="кол-во",B2696*INDEX('Справочник по %'!C:C,(MATCH(A2696,'Справочник по %'!A:A,0))),ОТЧЕТ!C2696*INDEX('Справочник по %'!C:C,(MATCH(A2696,'Справочник по %'!A:A,0))))/100</f>
        <v>461.89</v>
      </c>
      <c r="E2696" s="29">
        <f>IF(ОТЧЕТ!A2696="SKU3",C2696+ОТЧЕТ!C2696*0.2,C2696+ОТЧЕТ!C2696*0.15)</f>
        <v>482.88499999999999</v>
      </c>
      <c r="F2696" s="7" t="s">
        <v>5135</v>
      </c>
      <c r="G2696" s="7">
        <v>7204146152</v>
      </c>
      <c r="H2696" s="20" t="s">
        <v>3994</v>
      </c>
      <c r="I2696" s="22" t="str">
        <f>INDEX('Справочник Сети'!B:B,(MATCH(G2696,'Справочник Сети'!C:C,0)))</f>
        <v>36,6</v>
      </c>
      <c r="J2696" s="7" t="s">
        <v>104</v>
      </c>
      <c r="K2696" s="7" t="s">
        <v>2576</v>
      </c>
      <c r="L2696" s="7" t="s">
        <v>106</v>
      </c>
      <c r="M2696" s="31">
        <v>45694</v>
      </c>
      <c r="N2696" s="7" t="s">
        <v>5136</v>
      </c>
      <c r="O2696" s="8">
        <v>836</v>
      </c>
      <c r="P2696" s="24">
        <v>9764</v>
      </c>
      <c r="Q2696" s="22">
        <f>IF(COUNTIFS(A$2:A2696,A2696,I$2:I2696,I2696)=1,1,0)</f>
        <v>0</v>
      </c>
      <c r="R2696" s="22">
        <f t="shared" si="42"/>
        <v>11</v>
      </c>
      <c r="S2696" s="33">
        <f>IF(COUNTIF(O$2:O2696,O2696)=1,R2696,0)/2.5</f>
        <v>0</v>
      </c>
    </row>
    <row r="2697" spans="1:19" ht="18" customHeight="1" x14ac:dyDescent="0.25">
      <c r="A2697" s="7" t="s">
        <v>43</v>
      </c>
      <c r="B2697" s="8">
        <v>1</v>
      </c>
      <c r="C2697" s="9">
        <v>379</v>
      </c>
      <c r="D2697" s="29">
        <f>C2697+IF(INDEX('Справочник по %'!B:B,(MATCH(A2697,'Справочник по %'!A:A,0)))="кол-во",B2697*INDEX('Справочник по %'!C:C,(MATCH(A2697,'Справочник по %'!A:A,0))),ОТЧЕТ!C2697*INDEX('Справочник по %'!C:C,(MATCH(A2697,'Справочник по %'!A:A,0))))/100</f>
        <v>416.9</v>
      </c>
      <c r="E2697" s="29">
        <f>IF(ОТЧЕТ!A2697="SKU3",C2697+ОТЧЕТ!C2697*0.2,C2697+ОТЧЕТ!C2697*0.15)</f>
        <v>435.85</v>
      </c>
      <c r="F2697" s="7" t="s">
        <v>5135</v>
      </c>
      <c r="G2697" s="7">
        <v>7706795062</v>
      </c>
      <c r="H2697" s="20" t="s">
        <v>1270</v>
      </c>
      <c r="I2697" s="22" t="str">
        <f>INDEX('Справочник Сети'!B:B,(MATCH(G2697,'Справочник Сети'!C:C,0)))</f>
        <v>Планета здоровья</v>
      </c>
      <c r="J2697" s="7" t="s">
        <v>87</v>
      </c>
      <c r="K2697" s="7" t="s">
        <v>5137</v>
      </c>
      <c r="L2697" s="7" t="s">
        <v>87</v>
      </c>
      <c r="M2697" s="31">
        <v>45691</v>
      </c>
      <c r="N2697" s="7" t="s">
        <v>5138</v>
      </c>
      <c r="O2697" s="8">
        <v>2506</v>
      </c>
      <c r="P2697" s="24">
        <v>9765</v>
      </c>
      <c r="Q2697" s="22">
        <f>IF(COUNTIFS(A$2:A2697,A2697,I$2:I2697,I2697)=1,1,0)</f>
        <v>0</v>
      </c>
      <c r="R2697" s="22">
        <f t="shared" si="42"/>
        <v>4</v>
      </c>
      <c r="S2697" s="33">
        <f>IF(COUNTIF(O$2:O2697,O2697)=1,R2697,0)/2.5</f>
        <v>0</v>
      </c>
    </row>
    <row r="2698" spans="1:19" ht="18" customHeight="1" x14ac:dyDescent="0.25">
      <c r="A2698" s="7" t="s">
        <v>37</v>
      </c>
      <c r="B2698" s="8">
        <v>1</v>
      </c>
      <c r="C2698" s="9">
        <v>481</v>
      </c>
      <c r="D2698" s="29">
        <f>C2698+IF(INDEX('Справочник по %'!B:B,(MATCH(A2698,'Справочник по %'!A:A,0)))="кол-во",B2698*INDEX('Справочник по %'!C:C,(MATCH(A2698,'Справочник по %'!A:A,0))),ОТЧЕТ!C2698*INDEX('Справочник по %'!C:C,(MATCH(A2698,'Справочник по %'!A:A,0))))/100</f>
        <v>481.2</v>
      </c>
      <c r="E2698" s="29">
        <f>IF(ОТЧЕТ!A2698="SKU3",C2698+ОТЧЕТ!C2698*0.2,C2698+ОТЧЕТ!C2698*0.15)</f>
        <v>553.15</v>
      </c>
      <c r="F2698" s="7" t="s">
        <v>5139</v>
      </c>
      <c r="G2698" s="7">
        <v>2543023195</v>
      </c>
      <c r="H2698" s="20" t="s">
        <v>69</v>
      </c>
      <c r="I2698" s="22" t="str">
        <f>INDEX('Справочник Сети'!B:B,(MATCH(G2698,'Справочник Сети'!C:C,0)))</f>
        <v>36,6</v>
      </c>
      <c r="J2698" s="7" t="s">
        <v>46</v>
      </c>
      <c r="K2698" s="7" t="s">
        <v>1289</v>
      </c>
      <c r="L2698" s="7" t="s">
        <v>46</v>
      </c>
      <c r="M2698" s="31">
        <v>45726</v>
      </c>
      <c r="N2698" s="7" t="s">
        <v>5140</v>
      </c>
      <c r="O2698" s="8">
        <v>2931</v>
      </c>
      <c r="P2698" s="24">
        <v>9767</v>
      </c>
      <c r="Q2698" s="22">
        <f>IF(COUNTIFS(A$2:A2698,A2698,I$2:I2698,I2698)=1,1,0)</f>
        <v>0</v>
      </c>
      <c r="R2698" s="22">
        <f t="shared" si="42"/>
        <v>1</v>
      </c>
      <c r="S2698" s="33">
        <f>IF(COUNTIF(O$2:O2698,O2698)=1,R2698,0)/2.5</f>
        <v>0.4</v>
      </c>
    </row>
    <row r="2699" spans="1:19" ht="18" customHeight="1" x14ac:dyDescent="0.25">
      <c r="A2699" s="7" t="s">
        <v>146</v>
      </c>
      <c r="B2699" s="8">
        <v>1</v>
      </c>
      <c r="C2699" s="9">
        <v>665</v>
      </c>
      <c r="D2699" s="29">
        <f>C2699+IF(INDEX('Справочник по %'!B:B,(MATCH(A2699,'Справочник по %'!A:A,0)))="кол-во",B2699*INDEX('Справочник по %'!C:C,(MATCH(A2699,'Справочник по %'!A:A,0))),ОТЧЕТ!C2699*INDEX('Справочник по %'!C:C,(MATCH(A2699,'Справочник по %'!A:A,0))))/100</f>
        <v>764.75</v>
      </c>
      <c r="E2699" s="29">
        <f>IF(ОТЧЕТ!A2699="SKU3",C2699+ОТЧЕТ!C2699*0.2,C2699+ОТЧЕТ!C2699*0.15)</f>
        <v>798</v>
      </c>
      <c r="F2699" s="7" t="s">
        <v>5141</v>
      </c>
      <c r="G2699" s="7">
        <v>1433020930</v>
      </c>
      <c r="H2699" s="20" t="s">
        <v>4541</v>
      </c>
      <c r="I2699" s="22">
        <f>INDEX('Справочник Сети'!B:B,(MATCH(G2699,'Справочник Сети'!C:C,0)))</f>
        <v>0</v>
      </c>
      <c r="J2699" s="7" t="s">
        <v>335</v>
      </c>
      <c r="K2699" s="7" t="s">
        <v>1967</v>
      </c>
      <c r="L2699" s="7" t="s">
        <v>335</v>
      </c>
      <c r="M2699" s="31">
        <v>45731</v>
      </c>
      <c r="N2699" s="7" t="s">
        <v>5142</v>
      </c>
      <c r="O2699" s="8">
        <v>2921</v>
      </c>
      <c r="P2699" s="24">
        <v>9774</v>
      </c>
      <c r="Q2699" s="22">
        <f>IF(COUNTIFS(A$2:A2699,A2699,I$2:I2699,I2699)=1,1,0)</f>
        <v>0</v>
      </c>
      <c r="R2699" s="22">
        <f t="shared" si="42"/>
        <v>2</v>
      </c>
      <c r="S2699" s="33">
        <f>IF(COUNTIF(O$2:O2699,O2699)=1,R2699,0)/2.5</f>
        <v>0</v>
      </c>
    </row>
    <row r="2700" spans="1:19" ht="18" customHeight="1" x14ac:dyDescent="0.25">
      <c r="A2700" s="7" t="s">
        <v>43</v>
      </c>
      <c r="B2700" s="8">
        <v>1</v>
      </c>
      <c r="C2700" s="9">
        <v>443</v>
      </c>
      <c r="D2700" s="29">
        <f>C2700+IF(INDEX('Справочник по %'!B:B,(MATCH(A2700,'Справочник по %'!A:A,0)))="кол-во",B2700*INDEX('Справочник по %'!C:C,(MATCH(A2700,'Справочник по %'!A:A,0))),ОТЧЕТ!C2700*INDEX('Справочник по %'!C:C,(MATCH(A2700,'Справочник по %'!A:A,0))))/100</f>
        <v>487.3</v>
      </c>
      <c r="E2700" s="29">
        <f>IF(ОТЧЕТ!A2700="SKU3",C2700+ОТЧЕТ!C2700*0.2,C2700+ОТЧЕТ!C2700*0.15)</f>
        <v>509.45</v>
      </c>
      <c r="F2700" s="7" t="s">
        <v>5141</v>
      </c>
      <c r="G2700" s="7">
        <v>7722859468</v>
      </c>
      <c r="H2700" s="20" t="s">
        <v>807</v>
      </c>
      <c r="I2700" s="22">
        <f>INDEX('Справочник Сети'!B:B,(MATCH(G2700,'Справочник Сети'!C:C,0)))</f>
        <v>0</v>
      </c>
      <c r="J2700" s="7" t="s">
        <v>185</v>
      </c>
      <c r="K2700" s="7" t="s">
        <v>3388</v>
      </c>
      <c r="L2700" s="7" t="s">
        <v>185</v>
      </c>
      <c r="M2700" s="31">
        <v>45675</v>
      </c>
      <c r="N2700" s="7" t="s">
        <v>5143</v>
      </c>
      <c r="O2700" s="8">
        <v>717</v>
      </c>
      <c r="P2700" s="24">
        <v>9775</v>
      </c>
      <c r="Q2700" s="22">
        <f>IF(COUNTIFS(A$2:A2700,A2700,I$2:I2700,I2700)=1,1,0)</f>
        <v>0</v>
      </c>
      <c r="R2700" s="22">
        <f t="shared" si="42"/>
        <v>2</v>
      </c>
      <c r="S2700" s="33">
        <f>IF(COUNTIF(O$2:O2700,O2700)=1,R2700,0)/2.5</f>
        <v>0</v>
      </c>
    </row>
    <row r="2701" spans="1:19" ht="18" customHeight="1" x14ac:dyDescent="0.25">
      <c r="A2701" s="7" t="s">
        <v>43</v>
      </c>
      <c r="B2701" s="8">
        <v>1</v>
      </c>
      <c r="C2701" s="9">
        <v>420</v>
      </c>
      <c r="D2701" s="29">
        <f>C2701+IF(INDEX('Справочник по %'!B:B,(MATCH(A2701,'Справочник по %'!A:A,0)))="кол-во",B2701*INDEX('Справочник по %'!C:C,(MATCH(A2701,'Справочник по %'!A:A,0))),ОТЧЕТ!C2701*INDEX('Справочник по %'!C:C,(MATCH(A2701,'Справочник по %'!A:A,0))))/100</f>
        <v>462</v>
      </c>
      <c r="E2701" s="29">
        <f>IF(ОТЧЕТ!A2701="SKU3",C2701+ОТЧЕТ!C2701*0.2,C2701+ОТЧЕТ!C2701*0.15)</f>
        <v>483</v>
      </c>
      <c r="F2701" s="7" t="s">
        <v>5141</v>
      </c>
      <c r="G2701" s="7">
        <v>2126003123</v>
      </c>
      <c r="H2701" s="20" t="s">
        <v>852</v>
      </c>
      <c r="I2701" s="22">
        <f>INDEX('Справочник Сети'!B:B,(MATCH(G2701,'Справочник Сети'!C:C,0)))</f>
        <v>0</v>
      </c>
      <c r="J2701" s="7" t="s">
        <v>372</v>
      </c>
      <c r="K2701" s="7" t="s">
        <v>3413</v>
      </c>
      <c r="L2701" s="7" t="s">
        <v>372</v>
      </c>
      <c r="M2701" s="31">
        <v>45730</v>
      </c>
      <c r="N2701" s="7" t="s">
        <v>5144</v>
      </c>
      <c r="O2701" s="8">
        <v>2078</v>
      </c>
      <c r="P2701" s="24">
        <v>9779</v>
      </c>
      <c r="Q2701" s="22">
        <f>IF(COUNTIFS(A$2:A2701,A2701,I$2:I2701,I2701)=1,1,0)</f>
        <v>0</v>
      </c>
      <c r="R2701" s="22">
        <f t="shared" si="42"/>
        <v>2</v>
      </c>
      <c r="S2701" s="33">
        <f>IF(COUNTIF(O$2:O2701,O2701)=1,R2701,0)/2.5</f>
        <v>0.8</v>
      </c>
    </row>
    <row r="2702" spans="1:19" ht="18" customHeight="1" x14ac:dyDescent="0.25">
      <c r="A2702" s="7" t="s">
        <v>43</v>
      </c>
      <c r="B2702" s="8">
        <v>1</v>
      </c>
      <c r="C2702" s="9">
        <v>454</v>
      </c>
      <c r="D2702" s="29">
        <f>C2702+IF(INDEX('Справочник по %'!B:B,(MATCH(A2702,'Справочник по %'!A:A,0)))="кол-во",B2702*INDEX('Справочник по %'!C:C,(MATCH(A2702,'Справочник по %'!A:A,0))),ОТЧЕТ!C2702*INDEX('Справочник по %'!C:C,(MATCH(A2702,'Справочник по %'!A:A,0))))/100</f>
        <v>499.4</v>
      </c>
      <c r="E2702" s="29">
        <f>IF(ОТЧЕТ!A2702="SKU3",C2702+ОТЧЕТ!C2702*0.2,C2702+ОТЧЕТ!C2702*0.15)</f>
        <v>522.1</v>
      </c>
      <c r="F2702" s="7" t="s">
        <v>5141</v>
      </c>
      <c r="G2702" s="7">
        <v>326537584</v>
      </c>
      <c r="H2702" s="20" t="s">
        <v>2940</v>
      </c>
      <c r="I2702" s="22" t="str">
        <f>INDEX('Справочник Сети'!B:B,(MATCH(G2702,'Справочник Сети'!C:C,0)))</f>
        <v>Планета здоровья</v>
      </c>
      <c r="J2702" s="7" t="s">
        <v>362</v>
      </c>
      <c r="K2702" s="7" t="s">
        <v>834</v>
      </c>
      <c r="L2702" s="7" t="s">
        <v>362</v>
      </c>
      <c r="M2702" s="31">
        <v>45732</v>
      </c>
      <c r="N2702" s="7" t="s">
        <v>5145</v>
      </c>
      <c r="O2702" s="8">
        <v>2943</v>
      </c>
      <c r="P2702" s="24">
        <v>9780</v>
      </c>
      <c r="Q2702" s="22">
        <f>IF(COUNTIFS(A$2:A2702,A2702,I$2:I2702,I2702)=1,1,0)</f>
        <v>0</v>
      </c>
      <c r="R2702" s="22">
        <f t="shared" si="42"/>
        <v>4</v>
      </c>
      <c r="S2702" s="33">
        <f>IF(COUNTIF(O$2:O2702,O2702)=1,R2702,0)/2.5</f>
        <v>0</v>
      </c>
    </row>
    <row r="2703" spans="1:19" ht="18" customHeight="1" x14ac:dyDescent="0.25">
      <c r="A2703" s="7" t="s">
        <v>43</v>
      </c>
      <c r="B2703" s="8">
        <v>1</v>
      </c>
      <c r="C2703" s="9">
        <v>425</v>
      </c>
      <c r="D2703" s="29">
        <f>C2703+IF(INDEX('Справочник по %'!B:B,(MATCH(A2703,'Справочник по %'!A:A,0)))="кол-во",B2703*INDEX('Справочник по %'!C:C,(MATCH(A2703,'Справочник по %'!A:A,0))),ОТЧЕТ!C2703*INDEX('Справочник по %'!C:C,(MATCH(A2703,'Справочник по %'!A:A,0))))/100</f>
        <v>467.5</v>
      </c>
      <c r="E2703" s="29">
        <f>IF(ОТЧЕТ!A2703="SKU3",C2703+ОТЧЕТ!C2703*0.2,C2703+ОТЧЕТ!C2703*0.15)</f>
        <v>488.75</v>
      </c>
      <c r="F2703" s="7" t="s">
        <v>5141</v>
      </c>
      <c r="G2703" s="7">
        <v>2126003123</v>
      </c>
      <c r="H2703" s="20" t="s">
        <v>852</v>
      </c>
      <c r="I2703" s="22">
        <f>INDEX('Справочник Сети'!B:B,(MATCH(G2703,'Справочник Сети'!C:C,0)))</f>
        <v>0</v>
      </c>
      <c r="J2703" s="7" t="s">
        <v>372</v>
      </c>
      <c r="K2703" s="7" t="s">
        <v>1473</v>
      </c>
      <c r="L2703" s="7" t="s">
        <v>372</v>
      </c>
      <c r="M2703" s="31">
        <v>45730</v>
      </c>
      <c r="N2703" s="7" t="s">
        <v>5146</v>
      </c>
      <c r="O2703" s="8">
        <v>2078</v>
      </c>
      <c r="P2703" s="24">
        <v>9781</v>
      </c>
      <c r="Q2703" s="22">
        <f>IF(COUNTIFS(A$2:A2703,A2703,I$2:I2703,I2703)=1,1,0)</f>
        <v>0</v>
      </c>
      <c r="R2703" s="22">
        <f t="shared" si="42"/>
        <v>2</v>
      </c>
      <c r="S2703" s="33">
        <f>IF(COUNTIF(O$2:O2703,O2703)=1,R2703,0)/2.5</f>
        <v>0</v>
      </c>
    </row>
    <row r="2704" spans="1:19" ht="18" customHeight="1" x14ac:dyDescent="0.25">
      <c r="A2704" s="7" t="s">
        <v>37</v>
      </c>
      <c r="B2704" s="8">
        <v>1</v>
      </c>
      <c r="C2704" s="9">
        <v>499</v>
      </c>
      <c r="D2704" s="29">
        <f>C2704+IF(INDEX('Справочник по %'!B:B,(MATCH(A2704,'Справочник по %'!A:A,0)))="кол-во",B2704*INDEX('Справочник по %'!C:C,(MATCH(A2704,'Справочник по %'!A:A,0))),ОТЧЕТ!C2704*INDEX('Справочник по %'!C:C,(MATCH(A2704,'Справочник по %'!A:A,0))))/100</f>
        <v>499.2</v>
      </c>
      <c r="E2704" s="29">
        <f>IF(ОТЧЕТ!A2704="SKU3",C2704+ОТЧЕТ!C2704*0.2,C2704+ОТЧЕТ!C2704*0.15)</f>
        <v>573.85</v>
      </c>
      <c r="F2704" s="7" t="s">
        <v>5141</v>
      </c>
      <c r="G2704" s="7">
        <v>4705071640</v>
      </c>
      <c r="H2704" s="20" t="s">
        <v>50</v>
      </c>
      <c r="I2704" s="22" t="str">
        <f>INDEX('Справочник Сети'!B:B,(MATCH(G2704,'Справочник Сети'!C:C,0)))</f>
        <v>Планета здоровья</v>
      </c>
      <c r="J2704" s="7" t="s">
        <v>83</v>
      </c>
      <c r="K2704" s="7" t="s">
        <v>1471</v>
      </c>
      <c r="L2704" s="7" t="s">
        <v>83</v>
      </c>
      <c r="M2704" s="31">
        <v>45715</v>
      </c>
      <c r="N2704" s="7" t="s">
        <v>5147</v>
      </c>
      <c r="O2704" s="8">
        <v>2742</v>
      </c>
      <c r="P2704" s="24">
        <v>9782</v>
      </c>
      <c r="Q2704" s="22">
        <f>IF(COUNTIFS(A$2:A2704,A2704,I$2:I2704,I2704)=1,1,0)</f>
        <v>0</v>
      </c>
      <c r="R2704" s="22">
        <f t="shared" si="42"/>
        <v>1</v>
      </c>
      <c r="S2704" s="33">
        <f>IF(COUNTIF(O$2:O2704,O2704)=1,R2704,0)/2.5</f>
        <v>0.4</v>
      </c>
    </row>
    <row r="2705" spans="1:19" ht="18" customHeight="1" x14ac:dyDescent="0.25">
      <c r="A2705" s="7" t="s">
        <v>43</v>
      </c>
      <c r="B2705" s="8">
        <v>1</v>
      </c>
      <c r="C2705" s="9">
        <v>434</v>
      </c>
      <c r="D2705" s="29">
        <f>C2705+IF(INDEX('Справочник по %'!B:B,(MATCH(A2705,'Справочник по %'!A:A,0)))="кол-во",B2705*INDEX('Справочник по %'!C:C,(MATCH(A2705,'Справочник по %'!A:A,0))),ОТЧЕТ!C2705*INDEX('Справочник по %'!C:C,(MATCH(A2705,'Справочник по %'!A:A,0))))/100</f>
        <v>477.4</v>
      </c>
      <c r="E2705" s="29">
        <f>IF(ОТЧЕТ!A2705="SKU3",C2705+ОТЧЕТ!C2705*0.2,C2705+ОТЧЕТ!C2705*0.15)</f>
        <v>499.1</v>
      </c>
      <c r="F2705" s="7" t="s">
        <v>5141</v>
      </c>
      <c r="G2705" s="7">
        <v>7718280244</v>
      </c>
      <c r="H2705" s="20" t="s">
        <v>50</v>
      </c>
      <c r="I2705" s="22" t="str">
        <f>INDEX('Справочник Сети'!B:B,(MATCH(G2705,'Справочник Сети'!C:C,0)))</f>
        <v>Планета здоровья</v>
      </c>
      <c r="J2705" s="7" t="s">
        <v>168</v>
      </c>
      <c r="K2705" s="7" t="s">
        <v>550</v>
      </c>
      <c r="L2705" s="7" t="s">
        <v>168</v>
      </c>
      <c r="M2705" s="31">
        <v>45676</v>
      </c>
      <c r="N2705" s="7" t="s">
        <v>5148</v>
      </c>
      <c r="O2705" s="8">
        <v>116</v>
      </c>
      <c r="P2705" s="24">
        <v>9783</v>
      </c>
      <c r="Q2705" s="22">
        <f>IF(COUNTIFS(A$2:A2705,A2705,I$2:I2705,I2705)=1,1,0)</f>
        <v>0</v>
      </c>
      <c r="R2705" s="22">
        <f t="shared" si="42"/>
        <v>3</v>
      </c>
      <c r="S2705" s="33">
        <f>IF(COUNTIF(O$2:O2705,O2705)=1,R2705,0)/2.5</f>
        <v>0</v>
      </c>
    </row>
    <row r="2706" spans="1:19" ht="18" customHeight="1" x14ac:dyDescent="0.25">
      <c r="A2706" s="7" t="s">
        <v>37</v>
      </c>
      <c r="B2706" s="8">
        <v>1</v>
      </c>
      <c r="C2706" s="9">
        <v>563</v>
      </c>
      <c r="D2706" s="29">
        <f>C2706+IF(INDEX('Справочник по %'!B:B,(MATCH(A2706,'Справочник по %'!A:A,0)))="кол-во",B2706*INDEX('Справочник по %'!C:C,(MATCH(A2706,'Справочник по %'!A:A,0))),ОТЧЕТ!C2706*INDEX('Справочник по %'!C:C,(MATCH(A2706,'Справочник по %'!A:A,0))))/100</f>
        <v>563.20000000000005</v>
      </c>
      <c r="E2706" s="29">
        <f>IF(ОТЧЕТ!A2706="SKU3",C2706+ОТЧЕТ!C2706*0.2,C2706+ОТЧЕТ!C2706*0.15)</f>
        <v>647.45000000000005</v>
      </c>
      <c r="F2706" s="7" t="s">
        <v>5149</v>
      </c>
      <c r="G2706" s="7">
        <v>7706795062</v>
      </c>
      <c r="H2706" s="20" t="s">
        <v>5150</v>
      </c>
      <c r="I2706" s="22" t="str">
        <f>INDEX('Справочник Сети'!B:B,(MATCH(G2706,'Справочник Сети'!C:C,0)))</f>
        <v>Планета здоровья</v>
      </c>
      <c r="J2706" s="7" t="s">
        <v>87</v>
      </c>
      <c r="K2706" s="7" t="s">
        <v>4057</v>
      </c>
      <c r="L2706" s="7" t="s">
        <v>87</v>
      </c>
      <c r="M2706" s="31">
        <v>45691</v>
      </c>
      <c r="N2706" s="7" t="s">
        <v>5151</v>
      </c>
      <c r="O2706" s="8">
        <v>3809</v>
      </c>
      <c r="P2706" s="24">
        <v>9785</v>
      </c>
      <c r="Q2706" s="22">
        <f>IF(COUNTIFS(A$2:A2706,A2706,I$2:I2706,I2706)=1,1,0)</f>
        <v>0</v>
      </c>
      <c r="R2706" s="22">
        <f t="shared" si="42"/>
        <v>1</v>
      </c>
      <c r="S2706" s="33">
        <f>IF(COUNTIF(O$2:O2706,O2706)=1,R2706,0)/2.5</f>
        <v>0.4</v>
      </c>
    </row>
    <row r="2707" spans="1:19" ht="18" customHeight="1" x14ac:dyDescent="0.25">
      <c r="A2707" s="7" t="s">
        <v>37</v>
      </c>
      <c r="B2707" s="8">
        <v>1</v>
      </c>
      <c r="C2707" s="9">
        <v>615</v>
      </c>
      <c r="D2707" s="29">
        <f>C2707+IF(INDEX('Справочник по %'!B:B,(MATCH(A2707,'Справочник по %'!A:A,0)))="кол-во",B2707*INDEX('Справочник по %'!C:C,(MATCH(A2707,'Справочник по %'!A:A,0))),ОТЧЕТ!C2707*INDEX('Справочник по %'!C:C,(MATCH(A2707,'Справочник по %'!A:A,0))))/100</f>
        <v>615.20000000000005</v>
      </c>
      <c r="E2707" s="29">
        <f>IF(ОТЧЕТ!A2707="SKU3",C2707+ОТЧЕТ!C2707*0.2,C2707+ОТЧЕТ!C2707*0.15)</f>
        <v>707.25</v>
      </c>
      <c r="F2707" s="7" t="s">
        <v>5149</v>
      </c>
      <c r="G2707" s="7">
        <v>7718908440</v>
      </c>
      <c r="H2707" s="20" t="s">
        <v>91</v>
      </c>
      <c r="I2707" s="22">
        <f>INDEX('Справочник Сети'!B:B,(MATCH(G2707,'Справочник Сети'!C:C,0)))</f>
        <v>0</v>
      </c>
      <c r="J2707" s="7" t="s">
        <v>168</v>
      </c>
      <c r="K2707" s="7" t="s">
        <v>1473</v>
      </c>
      <c r="L2707" s="7" t="s">
        <v>168</v>
      </c>
      <c r="M2707" s="31">
        <v>45676</v>
      </c>
      <c r="N2707" s="7" t="s">
        <v>5152</v>
      </c>
      <c r="O2707" s="8">
        <v>3820</v>
      </c>
      <c r="P2707" s="24">
        <v>9786</v>
      </c>
      <c r="Q2707" s="22">
        <f>IF(COUNTIFS(A$2:A2707,A2707,I$2:I2707,I2707)=1,1,0)</f>
        <v>0</v>
      </c>
      <c r="R2707" s="22">
        <f t="shared" si="42"/>
        <v>5</v>
      </c>
      <c r="S2707" s="33">
        <f>IF(COUNTIF(O$2:O2707,O2707)=1,R2707,0)/2.5</f>
        <v>0</v>
      </c>
    </row>
    <row r="2708" spans="1:19" ht="18" customHeight="1" x14ac:dyDescent="0.25">
      <c r="A2708" s="7" t="s">
        <v>43</v>
      </c>
      <c r="B2708" s="8">
        <v>1</v>
      </c>
      <c r="C2708" s="9">
        <v>420</v>
      </c>
      <c r="D2708" s="29">
        <f>C2708+IF(INDEX('Справочник по %'!B:B,(MATCH(A2708,'Справочник по %'!A:A,0)))="кол-во",B2708*INDEX('Справочник по %'!C:C,(MATCH(A2708,'Справочник по %'!A:A,0))),ОТЧЕТ!C2708*INDEX('Справочник по %'!C:C,(MATCH(A2708,'Справочник по %'!A:A,0))))/100</f>
        <v>462</v>
      </c>
      <c r="E2708" s="29">
        <f>IF(ОТЧЕТ!A2708="SKU3",C2708+ОТЧЕТ!C2708*0.2,C2708+ОТЧЕТ!C2708*0.15)</f>
        <v>483</v>
      </c>
      <c r="F2708" s="7" t="s">
        <v>5153</v>
      </c>
      <c r="G2708" s="7">
        <v>7718908440</v>
      </c>
      <c r="H2708" s="20" t="s">
        <v>91</v>
      </c>
      <c r="I2708" s="22">
        <f>INDEX('Справочник Сети'!B:B,(MATCH(G2708,'Справочник Сети'!C:C,0)))</f>
        <v>0</v>
      </c>
      <c r="J2708" s="7" t="s">
        <v>168</v>
      </c>
      <c r="K2708" s="7" t="s">
        <v>1398</v>
      </c>
      <c r="L2708" s="7" t="s">
        <v>168</v>
      </c>
      <c r="M2708" s="31">
        <v>45676</v>
      </c>
      <c r="N2708" s="7" t="s">
        <v>5154</v>
      </c>
      <c r="O2708" s="8">
        <v>3820</v>
      </c>
      <c r="P2708" s="24">
        <v>9787</v>
      </c>
      <c r="Q2708" s="22">
        <f>IF(COUNTIFS(A$2:A2708,A2708,I$2:I2708,I2708)=1,1,0)</f>
        <v>0</v>
      </c>
      <c r="R2708" s="22">
        <f t="shared" si="42"/>
        <v>5</v>
      </c>
      <c r="S2708" s="33">
        <f>IF(COUNTIF(O$2:O2708,O2708)=1,R2708,0)/2.5</f>
        <v>0</v>
      </c>
    </row>
    <row r="2709" spans="1:19" ht="18" customHeight="1" x14ac:dyDescent="0.25">
      <c r="A2709" s="7" t="s">
        <v>43</v>
      </c>
      <c r="B2709" s="8">
        <v>1</v>
      </c>
      <c r="C2709" s="9">
        <v>472</v>
      </c>
      <c r="D2709" s="29">
        <f>C2709+IF(INDEX('Справочник по %'!B:B,(MATCH(A2709,'Справочник по %'!A:A,0)))="кол-во",B2709*INDEX('Справочник по %'!C:C,(MATCH(A2709,'Справочник по %'!A:A,0))),ОТЧЕТ!C2709*INDEX('Справочник по %'!C:C,(MATCH(A2709,'Справочник по %'!A:A,0))))/100</f>
        <v>519.20000000000005</v>
      </c>
      <c r="E2709" s="29">
        <f>IF(ОТЧЕТ!A2709="SKU3",C2709+ОТЧЕТ!C2709*0.2,C2709+ОТЧЕТ!C2709*0.15)</f>
        <v>542.79999999999995</v>
      </c>
      <c r="F2709" s="7" t="s">
        <v>5153</v>
      </c>
      <c r="G2709" s="7">
        <v>9203545831</v>
      </c>
      <c r="H2709" s="20" t="s">
        <v>4231</v>
      </c>
      <c r="I2709" s="22">
        <f>INDEX('Справочник Сети'!B:B,(MATCH(G2709,'Справочник Сети'!C:C,0)))</f>
        <v>0</v>
      </c>
      <c r="J2709" s="7" t="s">
        <v>239</v>
      </c>
      <c r="K2709" s="7" t="s">
        <v>4054</v>
      </c>
      <c r="L2709" s="7" t="s">
        <v>239</v>
      </c>
      <c r="M2709" s="31">
        <v>45662</v>
      </c>
      <c r="N2709" s="7" t="s">
        <v>5155</v>
      </c>
      <c r="O2709" s="8">
        <v>2497</v>
      </c>
      <c r="P2709" s="24">
        <v>9788</v>
      </c>
      <c r="Q2709" s="22">
        <f>IF(COUNTIFS(A$2:A2709,A2709,I$2:I2709,I2709)=1,1,0)</f>
        <v>0</v>
      </c>
      <c r="R2709" s="22">
        <f t="shared" si="42"/>
        <v>1</v>
      </c>
      <c r="S2709" s="33">
        <f>IF(COUNTIF(O$2:O2709,O2709)=1,R2709,0)/2.5</f>
        <v>0.4</v>
      </c>
    </row>
    <row r="2710" spans="1:19" ht="18" customHeight="1" x14ac:dyDescent="0.25">
      <c r="A2710" s="7" t="s">
        <v>37</v>
      </c>
      <c r="B2710" s="8">
        <v>1</v>
      </c>
      <c r="C2710" s="9">
        <v>605.9</v>
      </c>
      <c r="D2710" s="29">
        <f>C2710+IF(INDEX('Справочник по %'!B:B,(MATCH(A2710,'Справочник по %'!A:A,0)))="кол-во",B2710*INDEX('Справочник по %'!C:C,(MATCH(A2710,'Справочник по %'!A:A,0))),ОТЧЕТ!C2710*INDEX('Справочник по %'!C:C,(MATCH(A2710,'Справочник по %'!A:A,0))))/100</f>
        <v>606.1</v>
      </c>
      <c r="E2710" s="29">
        <f>IF(ОТЧЕТ!A2710="SKU3",C2710+ОТЧЕТ!C2710*0.2,C2710+ОТЧЕТ!C2710*0.15)</f>
        <v>696.78499999999997</v>
      </c>
      <c r="F2710" s="7" t="s">
        <v>5156</v>
      </c>
      <c r="G2710" s="7">
        <v>7204146152</v>
      </c>
      <c r="H2710" s="20" t="s">
        <v>3994</v>
      </c>
      <c r="I2710" s="22" t="str">
        <f>INDEX('Справочник Сети'!B:B,(MATCH(G2710,'Справочник Сети'!C:C,0)))</f>
        <v>36,6</v>
      </c>
      <c r="J2710" s="7" t="s">
        <v>104</v>
      </c>
      <c r="K2710" s="7" t="s">
        <v>601</v>
      </c>
      <c r="L2710" s="7" t="s">
        <v>106</v>
      </c>
      <c r="M2710" s="31">
        <v>45694</v>
      </c>
      <c r="N2710" s="7" t="s">
        <v>5157</v>
      </c>
      <c r="O2710" s="8">
        <v>836</v>
      </c>
      <c r="P2710" s="24">
        <v>9790</v>
      </c>
      <c r="Q2710" s="22">
        <f>IF(COUNTIFS(A$2:A2710,A2710,I$2:I2710,I2710)=1,1,0)</f>
        <v>0</v>
      </c>
      <c r="R2710" s="22">
        <f t="shared" si="42"/>
        <v>11</v>
      </c>
      <c r="S2710" s="33">
        <f>IF(COUNTIF(O$2:O2710,O2710)=1,R2710,0)/2.5</f>
        <v>0</v>
      </c>
    </row>
    <row r="2711" spans="1:19" ht="18" customHeight="1" x14ac:dyDescent="0.25">
      <c r="A2711" s="7" t="s">
        <v>43</v>
      </c>
      <c r="B2711" s="8">
        <v>1</v>
      </c>
      <c r="C2711" s="9">
        <v>460</v>
      </c>
      <c r="D2711" s="29">
        <f>C2711+IF(INDEX('Справочник по %'!B:B,(MATCH(A2711,'Справочник по %'!A:A,0)))="кол-во",B2711*INDEX('Справочник по %'!C:C,(MATCH(A2711,'Справочник по %'!A:A,0))),ОТЧЕТ!C2711*INDEX('Справочник по %'!C:C,(MATCH(A2711,'Справочник по %'!A:A,0))))/100</f>
        <v>506</v>
      </c>
      <c r="E2711" s="29">
        <f>IF(ОТЧЕТ!A2711="SKU3",C2711+ОТЧЕТ!C2711*0.2,C2711+ОТЧЕТ!C2711*0.15)</f>
        <v>529</v>
      </c>
      <c r="F2711" s="7" t="s">
        <v>5156</v>
      </c>
      <c r="G2711" s="7">
        <v>27415104806</v>
      </c>
      <c r="H2711" s="20" t="s">
        <v>91</v>
      </c>
      <c r="I2711" s="22">
        <f>INDEX('Справочник Сети'!B:B,(MATCH(G2711,'Справочник Сети'!C:C,0)))</f>
        <v>0</v>
      </c>
      <c r="J2711" s="7" t="s">
        <v>74</v>
      </c>
      <c r="K2711" s="7" t="s">
        <v>2848</v>
      </c>
      <c r="L2711" s="7" t="s">
        <v>74</v>
      </c>
      <c r="M2711" s="31">
        <v>45661</v>
      </c>
      <c r="N2711" s="7" t="s">
        <v>5158</v>
      </c>
      <c r="O2711" s="8">
        <v>3317</v>
      </c>
      <c r="P2711" s="24">
        <v>9793</v>
      </c>
      <c r="Q2711" s="22">
        <f>IF(COUNTIFS(A$2:A2711,A2711,I$2:I2711,I2711)=1,1,0)</f>
        <v>0</v>
      </c>
      <c r="R2711" s="22">
        <f t="shared" si="42"/>
        <v>3</v>
      </c>
      <c r="S2711" s="33">
        <f>IF(COUNTIF(O$2:O2711,O2711)=1,R2711,0)/2.5</f>
        <v>0</v>
      </c>
    </row>
    <row r="2712" spans="1:19" ht="18" customHeight="1" x14ac:dyDescent="0.25">
      <c r="A2712" s="7" t="s">
        <v>43</v>
      </c>
      <c r="B2712" s="8">
        <v>1</v>
      </c>
      <c r="C2712" s="9">
        <v>370</v>
      </c>
      <c r="D2712" s="29">
        <f>C2712+IF(INDEX('Справочник по %'!B:B,(MATCH(A2712,'Справочник по %'!A:A,0)))="кол-во",B2712*INDEX('Справочник по %'!C:C,(MATCH(A2712,'Справочник по %'!A:A,0))),ОТЧЕТ!C2712*INDEX('Справочник по %'!C:C,(MATCH(A2712,'Справочник по %'!A:A,0))))/100</f>
        <v>407</v>
      </c>
      <c r="E2712" s="29">
        <f>IF(ОТЧЕТ!A2712="SKU3",C2712+ОТЧЕТ!C2712*0.2,C2712+ОТЧЕТ!C2712*0.15)</f>
        <v>425.5</v>
      </c>
      <c r="F2712" s="7" t="s">
        <v>5156</v>
      </c>
      <c r="G2712" s="7">
        <v>2225105670</v>
      </c>
      <c r="H2712" s="20" t="s">
        <v>69</v>
      </c>
      <c r="I2712" s="22" t="str">
        <f>INDEX('Справочник Сети'!B:B,(MATCH(G2712,'Справочник Сети'!C:C,0)))</f>
        <v>Столички</v>
      </c>
      <c r="J2712" s="7" t="s">
        <v>372</v>
      </c>
      <c r="K2712" s="7" t="s">
        <v>3688</v>
      </c>
      <c r="L2712" s="7" t="s">
        <v>372</v>
      </c>
      <c r="M2712" s="31">
        <v>45730</v>
      </c>
      <c r="N2712" s="7" t="s">
        <v>5159</v>
      </c>
      <c r="O2712" s="8">
        <v>1054</v>
      </c>
      <c r="P2712" s="24">
        <v>9799</v>
      </c>
      <c r="Q2712" s="22">
        <f>IF(COUNTIFS(A$2:A2712,A2712,I$2:I2712,I2712)=1,1,0)</f>
        <v>0</v>
      </c>
      <c r="R2712" s="22">
        <f t="shared" si="42"/>
        <v>3</v>
      </c>
      <c r="S2712" s="33">
        <f>IF(COUNTIF(O$2:O2712,O2712)=1,R2712,0)/2.5</f>
        <v>0</v>
      </c>
    </row>
    <row r="2713" spans="1:19" ht="18" customHeight="1" x14ac:dyDescent="0.25">
      <c r="A2713" s="7" t="s">
        <v>43</v>
      </c>
      <c r="B2713" s="8">
        <v>1</v>
      </c>
      <c r="C2713" s="9">
        <v>486</v>
      </c>
      <c r="D2713" s="29">
        <f>C2713+IF(INDEX('Справочник по %'!B:B,(MATCH(A2713,'Справочник по %'!A:A,0)))="кол-во",B2713*INDEX('Справочник по %'!C:C,(MATCH(A2713,'Справочник по %'!A:A,0))),ОТЧЕТ!C2713*INDEX('Справочник по %'!C:C,(MATCH(A2713,'Справочник по %'!A:A,0))))/100</f>
        <v>534.6</v>
      </c>
      <c r="E2713" s="29">
        <f>IF(ОТЧЕТ!A2713="SKU3",C2713+ОТЧЕТ!C2713*0.2,C2713+ОТЧЕТ!C2713*0.15)</f>
        <v>558.9</v>
      </c>
      <c r="F2713" s="7" t="s">
        <v>5156</v>
      </c>
      <c r="G2713" s="7">
        <v>2539096225</v>
      </c>
      <c r="H2713" s="20" t="s">
        <v>593</v>
      </c>
      <c r="I2713" s="22" t="str">
        <f>INDEX('Справочник Сети'!B:B,(MATCH(G2713,'Справочник Сети'!C:C,0)))</f>
        <v>36,6</v>
      </c>
      <c r="J2713" s="7" t="s">
        <v>46</v>
      </c>
      <c r="K2713" s="7" t="s">
        <v>621</v>
      </c>
      <c r="L2713" s="7" t="s">
        <v>46</v>
      </c>
      <c r="M2713" s="31">
        <v>45726</v>
      </c>
      <c r="N2713" s="7" t="s">
        <v>5160</v>
      </c>
      <c r="O2713" s="8">
        <v>1705</v>
      </c>
      <c r="P2713" s="24">
        <v>9800</v>
      </c>
      <c r="Q2713" s="22">
        <f>IF(COUNTIFS(A$2:A2713,A2713,I$2:I2713,I2713)=1,1,0)</f>
        <v>0</v>
      </c>
      <c r="R2713" s="22">
        <f t="shared" si="42"/>
        <v>4</v>
      </c>
      <c r="S2713" s="33">
        <f>IF(COUNTIF(O$2:O2713,O2713)=1,R2713,0)/2.5</f>
        <v>0</v>
      </c>
    </row>
    <row r="2714" spans="1:19" ht="18" customHeight="1" x14ac:dyDescent="0.25">
      <c r="A2714" s="7" t="s">
        <v>43</v>
      </c>
      <c r="B2714" s="8">
        <v>1</v>
      </c>
      <c r="C2714" s="9">
        <v>436.8</v>
      </c>
      <c r="D2714" s="29">
        <f>C2714+IF(INDEX('Справочник по %'!B:B,(MATCH(A2714,'Справочник по %'!A:A,0)))="кол-во",B2714*INDEX('Справочник по %'!C:C,(MATCH(A2714,'Справочник по %'!A:A,0))),ОТЧЕТ!C2714*INDEX('Справочник по %'!C:C,(MATCH(A2714,'Справочник по %'!A:A,0))))/100</f>
        <v>480.48</v>
      </c>
      <c r="E2714" s="29">
        <f>IF(ОТЧЕТ!A2714="SKU3",C2714+ОТЧЕТ!C2714*0.2,C2714+ОТЧЕТ!C2714*0.15)</f>
        <v>502.32</v>
      </c>
      <c r="F2714" s="7" t="s">
        <v>5156</v>
      </c>
      <c r="G2714" s="7">
        <v>2539096225</v>
      </c>
      <c r="H2714" s="20" t="s">
        <v>593</v>
      </c>
      <c r="I2714" s="22" t="str">
        <f>INDEX('Справочник Сети'!B:B,(MATCH(G2714,'Справочник Сети'!C:C,0)))</f>
        <v>36,6</v>
      </c>
      <c r="J2714" s="7" t="s">
        <v>46</v>
      </c>
      <c r="K2714" s="7" t="s">
        <v>3058</v>
      </c>
      <c r="L2714" s="7" t="s">
        <v>46</v>
      </c>
      <c r="M2714" s="31">
        <v>45726</v>
      </c>
      <c r="N2714" s="7" t="s">
        <v>5161</v>
      </c>
      <c r="O2714" s="8">
        <v>1705</v>
      </c>
      <c r="P2714" s="24">
        <v>9801</v>
      </c>
      <c r="Q2714" s="22">
        <f>IF(COUNTIFS(A$2:A2714,A2714,I$2:I2714,I2714)=1,1,0)</f>
        <v>0</v>
      </c>
      <c r="R2714" s="22">
        <f t="shared" si="42"/>
        <v>4</v>
      </c>
      <c r="S2714" s="33">
        <f>IF(COUNTIF(O$2:O2714,O2714)=1,R2714,0)/2.5</f>
        <v>0</v>
      </c>
    </row>
    <row r="2715" spans="1:19" ht="18" customHeight="1" x14ac:dyDescent="0.25">
      <c r="A2715" s="7" t="s">
        <v>43</v>
      </c>
      <c r="B2715" s="8">
        <v>1</v>
      </c>
      <c r="C2715" s="9">
        <v>408.5</v>
      </c>
      <c r="D2715" s="29">
        <f>C2715+IF(INDEX('Справочник по %'!B:B,(MATCH(A2715,'Справочник по %'!A:A,0)))="кол-во",B2715*INDEX('Справочник по %'!C:C,(MATCH(A2715,'Справочник по %'!A:A,0))),ОТЧЕТ!C2715*INDEX('Справочник по %'!C:C,(MATCH(A2715,'Справочник по %'!A:A,0))))/100</f>
        <v>449.35</v>
      </c>
      <c r="E2715" s="29">
        <f>IF(ОТЧЕТ!A2715="SKU3",C2715+ОТЧЕТ!C2715*0.2,C2715+ОТЧЕТ!C2715*0.15)</f>
        <v>469.77499999999998</v>
      </c>
      <c r="F2715" s="7" t="s">
        <v>5156</v>
      </c>
      <c r="G2715" s="7">
        <v>9102213935</v>
      </c>
      <c r="H2715" s="20" t="s">
        <v>5162</v>
      </c>
      <c r="I2715" s="22" t="str">
        <f>INDEX('Справочник Сети'!B:B,(MATCH(G2715,'Справочник Сети'!C:C,0)))</f>
        <v>Ригла</v>
      </c>
      <c r="J2715" s="7" t="s">
        <v>315</v>
      </c>
      <c r="K2715" s="7" t="s">
        <v>3234</v>
      </c>
      <c r="L2715" s="7" t="s">
        <v>315</v>
      </c>
      <c r="M2715" s="31">
        <v>45670</v>
      </c>
      <c r="N2715" s="7" t="s">
        <v>5163</v>
      </c>
      <c r="O2715" s="8">
        <v>3482</v>
      </c>
      <c r="P2715" s="24">
        <v>9802</v>
      </c>
      <c r="Q2715" s="22">
        <f>IF(COUNTIFS(A$2:A2715,A2715,I$2:I2715,I2715)=1,1,0)</f>
        <v>0</v>
      </c>
      <c r="R2715" s="22">
        <f t="shared" si="42"/>
        <v>1</v>
      </c>
      <c r="S2715" s="33">
        <f>IF(COUNTIF(O$2:O2715,O2715)=1,R2715,0)/2.5</f>
        <v>0.4</v>
      </c>
    </row>
    <row r="2716" spans="1:19" ht="18" customHeight="1" x14ac:dyDescent="0.25">
      <c r="A2716" s="7" t="s">
        <v>43</v>
      </c>
      <c r="B2716" s="8">
        <v>1</v>
      </c>
      <c r="C2716" s="9">
        <v>357</v>
      </c>
      <c r="D2716" s="29">
        <f>C2716+IF(INDEX('Справочник по %'!B:B,(MATCH(A2716,'Справочник по %'!A:A,0)))="кол-во",B2716*INDEX('Справочник по %'!C:C,(MATCH(A2716,'Справочник по %'!A:A,0))),ОТЧЕТ!C2716*INDEX('Справочник по %'!C:C,(MATCH(A2716,'Справочник по %'!A:A,0))))/100</f>
        <v>392.7</v>
      </c>
      <c r="E2716" s="29">
        <f>IF(ОТЧЕТ!A2716="SKU3",C2716+ОТЧЕТ!C2716*0.2,C2716+ОТЧЕТ!C2716*0.15)</f>
        <v>410.55</v>
      </c>
      <c r="F2716" s="7" t="s">
        <v>5156</v>
      </c>
      <c r="G2716" s="7">
        <v>6166125809</v>
      </c>
      <c r="H2716" s="20" t="s">
        <v>5164</v>
      </c>
      <c r="I2716" s="22">
        <f>INDEX('Справочник Сети'!B:B,(MATCH(G2716,'Справочник Сети'!C:C,0)))</f>
        <v>0</v>
      </c>
      <c r="J2716" s="7" t="s">
        <v>203</v>
      </c>
      <c r="K2716" s="7" t="s">
        <v>2012</v>
      </c>
      <c r="L2716" s="7" t="s">
        <v>203</v>
      </c>
      <c r="M2716" s="31">
        <v>45696</v>
      </c>
      <c r="N2716" s="7" t="s">
        <v>5165</v>
      </c>
      <c r="O2716" s="8">
        <v>879</v>
      </c>
      <c r="P2716" s="24">
        <v>9803</v>
      </c>
      <c r="Q2716" s="22">
        <f>IF(COUNTIFS(A$2:A2716,A2716,I$2:I2716,I2716)=1,1,0)</f>
        <v>0</v>
      </c>
      <c r="R2716" s="22">
        <f t="shared" si="42"/>
        <v>1</v>
      </c>
      <c r="S2716" s="33">
        <f>IF(COUNTIF(O$2:O2716,O2716)=1,R2716,0)/2.5</f>
        <v>0.4</v>
      </c>
    </row>
    <row r="2717" spans="1:19" ht="18" customHeight="1" x14ac:dyDescent="0.25">
      <c r="A2717" s="7" t="s">
        <v>37</v>
      </c>
      <c r="B2717" s="8">
        <v>1</v>
      </c>
      <c r="C2717" s="9">
        <v>675</v>
      </c>
      <c r="D2717" s="29">
        <f>C2717+IF(INDEX('Справочник по %'!B:B,(MATCH(A2717,'Справочник по %'!A:A,0)))="кол-во",B2717*INDEX('Справочник по %'!C:C,(MATCH(A2717,'Справочник по %'!A:A,0))),ОТЧЕТ!C2717*INDEX('Справочник по %'!C:C,(MATCH(A2717,'Справочник по %'!A:A,0))))/100</f>
        <v>675.2</v>
      </c>
      <c r="E2717" s="29">
        <f>IF(ОТЧЕТ!A2717="SKU3",C2717+ОТЧЕТ!C2717*0.2,C2717+ОТЧЕТ!C2717*0.15)</f>
        <v>776.25</v>
      </c>
      <c r="F2717" s="7" t="s">
        <v>5166</v>
      </c>
      <c r="G2717" s="7">
        <v>5907998608</v>
      </c>
      <c r="H2717" s="20" t="s">
        <v>511</v>
      </c>
      <c r="I2717" s="22" t="str">
        <f>INDEX('Справочник Сети'!B:B,(MATCH(G2717,'Справочник Сети'!C:C,0)))</f>
        <v>Планета здоровья</v>
      </c>
      <c r="J2717" s="7" t="s">
        <v>5167</v>
      </c>
      <c r="K2717" s="7" t="s">
        <v>444</v>
      </c>
      <c r="L2717" s="7" t="s">
        <v>512</v>
      </c>
      <c r="M2717" s="31">
        <v>45700</v>
      </c>
      <c r="N2717" s="7" t="s">
        <v>5168</v>
      </c>
      <c r="O2717" s="8">
        <v>1253</v>
      </c>
      <c r="P2717" s="24">
        <v>9809</v>
      </c>
      <c r="Q2717" s="22">
        <f>IF(COUNTIFS(A$2:A2717,A2717,I$2:I2717,I2717)=1,1,0)</f>
        <v>0</v>
      </c>
      <c r="R2717" s="22">
        <f t="shared" si="42"/>
        <v>8</v>
      </c>
      <c r="S2717" s="33">
        <f>IF(COUNTIF(O$2:O2717,O2717)=1,R2717,0)/2.5</f>
        <v>0</v>
      </c>
    </row>
    <row r="2718" spans="1:19" ht="18" customHeight="1" x14ac:dyDescent="0.25">
      <c r="A2718" s="7" t="s">
        <v>37</v>
      </c>
      <c r="B2718" s="8">
        <v>1</v>
      </c>
      <c r="C2718" s="9">
        <v>584</v>
      </c>
      <c r="D2718" s="29">
        <f>C2718+IF(INDEX('Справочник по %'!B:B,(MATCH(A2718,'Справочник по %'!A:A,0)))="кол-во",B2718*INDEX('Справочник по %'!C:C,(MATCH(A2718,'Справочник по %'!A:A,0))),ОТЧЕТ!C2718*INDEX('Справочник по %'!C:C,(MATCH(A2718,'Справочник по %'!A:A,0))))/100</f>
        <v>584.20000000000005</v>
      </c>
      <c r="E2718" s="29">
        <f>IF(ОТЧЕТ!A2718="SKU3",C2718+ОТЧЕТ!C2718*0.2,C2718+ОТЧЕТ!C2718*0.15)</f>
        <v>671.6</v>
      </c>
      <c r="F2718" s="7" t="s">
        <v>5169</v>
      </c>
      <c r="G2718" s="7">
        <v>2310096546</v>
      </c>
      <c r="H2718" s="20" t="s">
        <v>69</v>
      </c>
      <c r="I2718" s="22" t="str">
        <f>INDEX('Справочник Сети'!B:B,(MATCH(G2718,'Справочник Сети'!C:C,0)))</f>
        <v>36,6</v>
      </c>
      <c r="J2718" s="7" t="s">
        <v>57</v>
      </c>
      <c r="K2718" s="7" t="s">
        <v>675</v>
      </c>
      <c r="L2718" s="7" t="s">
        <v>57</v>
      </c>
      <c r="M2718" s="31">
        <v>45729</v>
      </c>
      <c r="N2718" s="7" t="s">
        <v>5170</v>
      </c>
      <c r="O2718" s="8">
        <v>1485</v>
      </c>
      <c r="P2718" s="24">
        <v>9817</v>
      </c>
      <c r="Q2718" s="22">
        <f>IF(COUNTIFS(A$2:A2718,A2718,I$2:I2718,I2718)=1,1,0)</f>
        <v>0</v>
      </c>
      <c r="R2718" s="22">
        <f t="shared" si="42"/>
        <v>1</v>
      </c>
      <c r="S2718" s="33">
        <f>IF(COUNTIF(O$2:O2718,O2718)=1,R2718,0)/2.5</f>
        <v>0.4</v>
      </c>
    </row>
    <row r="2719" spans="1:19" ht="18" customHeight="1" x14ac:dyDescent="0.25">
      <c r="A2719" s="7" t="s">
        <v>43</v>
      </c>
      <c r="B2719" s="8">
        <v>1</v>
      </c>
      <c r="C2719" s="9">
        <v>486</v>
      </c>
      <c r="D2719" s="29">
        <f>C2719+IF(INDEX('Справочник по %'!B:B,(MATCH(A2719,'Справочник по %'!A:A,0)))="кол-во",B2719*INDEX('Справочник по %'!C:C,(MATCH(A2719,'Справочник по %'!A:A,0))),ОТЧЕТ!C2719*INDEX('Справочник по %'!C:C,(MATCH(A2719,'Справочник по %'!A:A,0))))/100</f>
        <v>534.6</v>
      </c>
      <c r="E2719" s="29">
        <f>IF(ОТЧЕТ!A2719="SKU3",C2719+ОТЧЕТ!C2719*0.2,C2719+ОТЧЕТ!C2719*0.15)</f>
        <v>558.9</v>
      </c>
      <c r="F2719" s="7" t="s">
        <v>5169</v>
      </c>
      <c r="G2719" s="7">
        <v>2543009225</v>
      </c>
      <c r="H2719" s="20" t="s">
        <v>3327</v>
      </c>
      <c r="I2719" s="22" t="str">
        <f>INDEX('Справочник Сети'!B:B,(MATCH(G2719,'Справочник Сети'!C:C,0)))</f>
        <v>Нео-фарм</v>
      </c>
      <c r="J2719" s="7" t="s">
        <v>46</v>
      </c>
      <c r="K2719" s="7" t="s">
        <v>172</v>
      </c>
      <c r="L2719" s="7" t="s">
        <v>46</v>
      </c>
      <c r="M2719" s="31">
        <v>45726</v>
      </c>
      <c r="N2719" s="7" t="s">
        <v>5171</v>
      </c>
      <c r="O2719" s="8">
        <v>2946</v>
      </c>
      <c r="P2719" s="24">
        <v>9819</v>
      </c>
      <c r="Q2719" s="22">
        <f>IF(COUNTIFS(A$2:A2719,A2719,I$2:I2719,I2719)=1,1,0)</f>
        <v>0</v>
      </c>
      <c r="R2719" s="22">
        <f t="shared" si="42"/>
        <v>7</v>
      </c>
      <c r="S2719" s="33">
        <f>IF(COUNTIF(O$2:O2719,O2719)=1,R2719,0)/2.5</f>
        <v>0</v>
      </c>
    </row>
    <row r="2720" spans="1:19" ht="18" customHeight="1" x14ac:dyDescent="0.25">
      <c r="A2720" s="7" t="s">
        <v>43</v>
      </c>
      <c r="B2720" s="8">
        <v>1</v>
      </c>
      <c r="C2720" s="9">
        <v>439</v>
      </c>
      <c r="D2720" s="29">
        <f>C2720+IF(INDEX('Справочник по %'!B:B,(MATCH(A2720,'Справочник по %'!A:A,0)))="кол-во",B2720*INDEX('Справочник по %'!C:C,(MATCH(A2720,'Справочник по %'!A:A,0))),ОТЧЕТ!C2720*INDEX('Справочник по %'!C:C,(MATCH(A2720,'Справочник по %'!A:A,0))))/100</f>
        <v>482.9</v>
      </c>
      <c r="E2720" s="29">
        <f>IF(ОТЧЕТ!A2720="SKU3",C2720+ОТЧЕТ!C2720*0.2,C2720+ОТЧЕТ!C2720*0.15)</f>
        <v>504.85</v>
      </c>
      <c r="F2720" s="7" t="s">
        <v>5169</v>
      </c>
      <c r="G2720" s="7">
        <v>262674676716</v>
      </c>
      <c r="H2720" s="20" t="s">
        <v>5172</v>
      </c>
      <c r="I2720" s="22">
        <f>INDEX('Справочник Сети'!B:B,(MATCH(G2720,'Справочник Сети'!C:C,0)))</f>
        <v>0</v>
      </c>
      <c r="J2720" s="7" t="s">
        <v>110</v>
      </c>
      <c r="K2720" s="7" t="s">
        <v>1520</v>
      </c>
      <c r="L2720" s="7" t="s">
        <v>110</v>
      </c>
      <c r="M2720" s="31">
        <v>45660</v>
      </c>
      <c r="N2720" s="7" t="s">
        <v>5173</v>
      </c>
      <c r="O2720" s="8">
        <v>2555</v>
      </c>
      <c r="P2720" s="24">
        <v>9829</v>
      </c>
      <c r="Q2720" s="22">
        <f>IF(COUNTIFS(A$2:A2720,A2720,I$2:I2720,I2720)=1,1,0)</f>
        <v>0</v>
      </c>
      <c r="R2720" s="22">
        <f t="shared" si="42"/>
        <v>1</v>
      </c>
      <c r="S2720" s="33">
        <f>IF(COUNTIF(O$2:O2720,O2720)=1,R2720,0)/2.5</f>
        <v>0.4</v>
      </c>
    </row>
    <row r="2721" spans="1:19" ht="18" customHeight="1" x14ac:dyDescent="0.25">
      <c r="A2721" s="7" t="s">
        <v>37</v>
      </c>
      <c r="B2721" s="8">
        <v>1</v>
      </c>
      <c r="C2721" s="9">
        <v>610</v>
      </c>
      <c r="D2721" s="29">
        <f>C2721+IF(INDEX('Справочник по %'!B:B,(MATCH(A2721,'Справочник по %'!A:A,0)))="кол-во",B2721*INDEX('Справочник по %'!C:C,(MATCH(A2721,'Справочник по %'!A:A,0))),ОТЧЕТ!C2721*INDEX('Справочник по %'!C:C,(MATCH(A2721,'Справочник по %'!A:A,0))))/100</f>
        <v>610.20000000000005</v>
      </c>
      <c r="E2721" s="29">
        <f>IF(ОТЧЕТ!A2721="SKU3",C2721+ОТЧЕТ!C2721*0.2,C2721+ОТЧЕТ!C2721*0.15)</f>
        <v>701.5</v>
      </c>
      <c r="F2721" s="7" t="s">
        <v>5169</v>
      </c>
      <c r="G2721" s="7">
        <v>4632054054</v>
      </c>
      <c r="H2721" s="20" t="s">
        <v>1847</v>
      </c>
      <c r="I2721" s="22" t="str">
        <f>INDEX('Справочник Сети'!B:B,(MATCH(G2721,'Справочник Сети'!C:C,0)))</f>
        <v>Ригла</v>
      </c>
      <c r="J2721" s="7" t="s">
        <v>155</v>
      </c>
      <c r="K2721" s="7" t="s">
        <v>1520</v>
      </c>
      <c r="L2721" s="7" t="s">
        <v>155</v>
      </c>
      <c r="M2721" s="31">
        <v>45716</v>
      </c>
      <c r="N2721" s="7" t="s">
        <v>5174</v>
      </c>
      <c r="O2721" s="8">
        <v>1064</v>
      </c>
      <c r="P2721" s="24">
        <v>9830</v>
      </c>
      <c r="Q2721" s="22">
        <f>IF(COUNTIFS(A$2:A2721,A2721,I$2:I2721,I2721)=1,1,0)</f>
        <v>0</v>
      </c>
      <c r="R2721" s="22">
        <f t="shared" si="42"/>
        <v>4</v>
      </c>
      <c r="S2721" s="33">
        <f>IF(COUNTIF(O$2:O2721,O2721)=1,R2721,0)/2.5</f>
        <v>0</v>
      </c>
    </row>
    <row r="2722" spans="1:19" ht="18" customHeight="1" x14ac:dyDescent="0.25">
      <c r="A2722" s="7" t="s">
        <v>37</v>
      </c>
      <c r="B2722" s="8">
        <v>1</v>
      </c>
      <c r="C2722" s="9">
        <v>625.5</v>
      </c>
      <c r="D2722" s="29">
        <f>C2722+IF(INDEX('Справочник по %'!B:B,(MATCH(A2722,'Справочник по %'!A:A,0)))="кол-во",B2722*INDEX('Справочник по %'!C:C,(MATCH(A2722,'Справочник по %'!A:A,0))),ОТЧЕТ!C2722*INDEX('Справочник по %'!C:C,(MATCH(A2722,'Справочник по %'!A:A,0))))/100</f>
        <v>625.70000000000005</v>
      </c>
      <c r="E2722" s="29">
        <f>IF(ОТЧЕТ!A2722="SKU3",C2722+ОТЧЕТ!C2722*0.2,C2722+ОТЧЕТ!C2722*0.15)</f>
        <v>719.32500000000005</v>
      </c>
      <c r="F2722" s="7" t="s">
        <v>5169</v>
      </c>
      <c r="G2722" s="7">
        <v>9704011823</v>
      </c>
      <c r="H2722" s="20" t="s">
        <v>50</v>
      </c>
      <c r="I2722" s="22" t="str">
        <f>INDEX('Справочник Сети'!B:B,(MATCH(G2722,'Справочник Сети'!C:C,0)))</f>
        <v>Нео-фарм</v>
      </c>
      <c r="J2722" s="7" t="s">
        <v>239</v>
      </c>
      <c r="K2722" s="7" t="s">
        <v>2167</v>
      </c>
      <c r="L2722" s="7" t="s">
        <v>239</v>
      </c>
      <c r="M2722" s="31">
        <v>45662</v>
      </c>
      <c r="N2722" s="7" t="s">
        <v>5175</v>
      </c>
      <c r="O2722" s="8">
        <v>1859</v>
      </c>
      <c r="P2722" s="24">
        <v>9831</v>
      </c>
      <c r="Q2722" s="22">
        <f>IF(COUNTIFS(A$2:A2722,A2722,I$2:I2722,I2722)=1,1,0)</f>
        <v>0</v>
      </c>
      <c r="R2722" s="22">
        <f t="shared" si="42"/>
        <v>1</v>
      </c>
      <c r="S2722" s="33">
        <f>IF(COUNTIF(O$2:O2722,O2722)=1,R2722,0)/2.5</f>
        <v>0.4</v>
      </c>
    </row>
    <row r="2723" spans="1:19" ht="18" customHeight="1" x14ac:dyDescent="0.25">
      <c r="A2723" s="7" t="s">
        <v>43</v>
      </c>
      <c r="B2723" s="8">
        <v>1</v>
      </c>
      <c r="C2723" s="9">
        <v>470</v>
      </c>
      <c r="D2723" s="29">
        <f>C2723+IF(INDEX('Справочник по %'!B:B,(MATCH(A2723,'Справочник по %'!A:A,0)))="кол-во",B2723*INDEX('Справочник по %'!C:C,(MATCH(A2723,'Справочник по %'!A:A,0))),ОТЧЕТ!C2723*INDEX('Справочник по %'!C:C,(MATCH(A2723,'Справочник по %'!A:A,0))))/100</f>
        <v>517</v>
      </c>
      <c r="E2723" s="29">
        <f>IF(ОТЧЕТ!A2723="SKU3",C2723+ОТЧЕТ!C2723*0.2,C2723+ОТЧЕТ!C2723*0.15)</f>
        <v>540.5</v>
      </c>
      <c r="F2723" s="7" t="s">
        <v>5169</v>
      </c>
      <c r="G2723" s="7">
        <v>326537584</v>
      </c>
      <c r="H2723" s="20" t="s">
        <v>459</v>
      </c>
      <c r="I2723" s="22" t="str">
        <f>INDEX('Справочник Сети'!B:B,(MATCH(G2723,'Справочник Сети'!C:C,0)))</f>
        <v>Планета здоровья</v>
      </c>
      <c r="J2723" s="7" t="s">
        <v>362</v>
      </c>
      <c r="K2723" s="7" t="s">
        <v>1620</v>
      </c>
      <c r="L2723" s="7" t="s">
        <v>362</v>
      </c>
      <c r="M2723" s="31">
        <v>45732</v>
      </c>
      <c r="N2723" s="7" t="s">
        <v>5176</v>
      </c>
      <c r="O2723" s="8">
        <v>714</v>
      </c>
      <c r="P2723" s="24">
        <v>9832</v>
      </c>
      <c r="Q2723" s="22">
        <f>IF(COUNTIFS(A$2:A2723,A2723,I$2:I2723,I2723)=1,1,0)</f>
        <v>0</v>
      </c>
      <c r="R2723" s="22">
        <f t="shared" si="42"/>
        <v>6</v>
      </c>
      <c r="S2723" s="33">
        <f>IF(COUNTIF(O$2:O2723,O2723)=1,R2723,0)/2.5</f>
        <v>0</v>
      </c>
    </row>
    <row r="2724" spans="1:19" ht="18" customHeight="1" x14ac:dyDescent="0.25">
      <c r="A2724" s="7" t="s">
        <v>37</v>
      </c>
      <c r="B2724" s="8">
        <v>1</v>
      </c>
      <c r="C2724" s="9">
        <v>694</v>
      </c>
      <c r="D2724" s="29">
        <f>C2724+IF(INDEX('Справочник по %'!B:B,(MATCH(A2724,'Справочник по %'!A:A,0)))="кол-во",B2724*INDEX('Справочник по %'!C:C,(MATCH(A2724,'Справочник по %'!A:A,0))),ОТЧЕТ!C2724*INDEX('Справочник по %'!C:C,(MATCH(A2724,'Справочник по %'!A:A,0))))/100</f>
        <v>694.2</v>
      </c>
      <c r="E2724" s="29">
        <f>IF(ОТЧЕТ!A2724="SKU3",C2724+ОТЧЕТ!C2724*0.2,C2724+ОТЧЕТ!C2724*0.15)</f>
        <v>798.1</v>
      </c>
      <c r="F2724" s="7" t="s">
        <v>5177</v>
      </c>
      <c r="G2724" s="7">
        <v>4202029419</v>
      </c>
      <c r="H2724" s="20" t="s">
        <v>69</v>
      </c>
      <c r="I2724" s="22">
        <f>INDEX('Справочник Сети'!B:B,(MATCH(G2724,'Справочник Сети'!C:C,0)))</f>
        <v>0</v>
      </c>
      <c r="J2724" s="7" t="s">
        <v>155</v>
      </c>
      <c r="K2724" s="7" t="s">
        <v>834</v>
      </c>
      <c r="L2724" s="7" t="s">
        <v>155</v>
      </c>
      <c r="M2724" s="31">
        <v>45716</v>
      </c>
      <c r="N2724" s="7" t="s">
        <v>5178</v>
      </c>
      <c r="O2724" s="8">
        <v>2398</v>
      </c>
      <c r="P2724" s="24">
        <v>9839</v>
      </c>
      <c r="Q2724" s="22">
        <f>IF(COUNTIFS(A$2:A2724,A2724,I$2:I2724,I2724)=1,1,0)</f>
        <v>0</v>
      </c>
      <c r="R2724" s="22">
        <f t="shared" si="42"/>
        <v>2</v>
      </c>
      <c r="S2724" s="33">
        <f>IF(COUNTIF(O$2:O2724,O2724)=1,R2724,0)/2.5</f>
        <v>0</v>
      </c>
    </row>
    <row r="2725" spans="1:19" ht="18" customHeight="1" x14ac:dyDescent="0.25">
      <c r="A2725" s="7" t="s">
        <v>43</v>
      </c>
      <c r="B2725" s="8">
        <v>1</v>
      </c>
      <c r="C2725" s="9">
        <v>601</v>
      </c>
      <c r="D2725" s="29">
        <f>C2725+IF(INDEX('Справочник по %'!B:B,(MATCH(A2725,'Справочник по %'!A:A,0)))="кол-во",B2725*INDEX('Справочник по %'!C:C,(MATCH(A2725,'Справочник по %'!A:A,0))),ОТЧЕТ!C2725*INDEX('Справочник по %'!C:C,(MATCH(A2725,'Справочник по %'!A:A,0))))/100</f>
        <v>661.1</v>
      </c>
      <c r="E2725" s="29">
        <f>IF(ОТЧЕТ!A2725="SKU3",C2725+ОТЧЕТ!C2725*0.2,C2725+ОТЧЕТ!C2725*0.15)</f>
        <v>691.15</v>
      </c>
      <c r="F2725" s="7" t="s">
        <v>5177</v>
      </c>
      <c r="G2725" s="7">
        <v>7705947629</v>
      </c>
      <c r="H2725" s="20" t="s">
        <v>50</v>
      </c>
      <c r="I2725" s="22" t="str">
        <f>INDEX('Справочник Сети'!B:B,(MATCH(G2725,'Справочник Сети'!C:C,0)))</f>
        <v>36,6</v>
      </c>
      <c r="J2725" s="7" t="s">
        <v>116</v>
      </c>
      <c r="K2725" s="7" t="s">
        <v>2301</v>
      </c>
      <c r="L2725" s="7" t="s">
        <v>116</v>
      </c>
      <c r="M2725" s="31">
        <v>45692</v>
      </c>
      <c r="N2725" s="7" t="s">
        <v>2180</v>
      </c>
      <c r="O2725" s="8">
        <v>3788</v>
      </c>
      <c r="P2725" s="24">
        <v>9841</v>
      </c>
      <c r="Q2725" s="22">
        <f>IF(COUNTIFS(A$2:A2725,A2725,I$2:I2725,I2725)=1,1,0)</f>
        <v>0</v>
      </c>
      <c r="R2725" s="22">
        <f t="shared" si="42"/>
        <v>2</v>
      </c>
      <c r="S2725" s="33">
        <f>IF(COUNTIF(O$2:O2725,O2725)=1,R2725,0)/2.5</f>
        <v>0</v>
      </c>
    </row>
    <row r="2726" spans="1:19" ht="18" customHeight="1" x14ac:dyDescent="0.25">
      <c r="A2726" s="7" t="s">
        <v>43</v>
      </c>
      <c r="B2726" s="8">
        <v>1</v>
      </c>
      <c r="C2726" s="9">
        <v>393</v>
      </c>
      <c r="D2726" s="29">
        <f>C2726+IF(INDEX('Справочник по %'!B:B,(MATCH(A2726,'Справочник по %'!A:A,0)))="кол-во",B2726*INDEX('Справочник по %'!C:C,(MATCH(A2726,'Справочник по %'!A:A,0))),ОТЧЕТ!C2726*INDEX('Справочник по %'!C:C,(MATCH(A2726,'Справочник по %'!A:A,0))))/100</f>
        <v>432.3</v>
      </c>
      <c r="E2726" s="29">
        <f>IF(ОТЧЕТ!A2726="SKU3",C2726+ОТЧЕТ!C2726*0.2,C2726+ОТЧЕТ!C2726*0.15)</f>
        <v>451.95</v>
      </c>
      <c r="F2726" s="7" t="s">
        <v>5177</v>
      </c>
      <c r="G2726" s="7">
        <v>7728339546</v>
      </c>
      <c r="H2726" s="20" t="s">
        <v>5179</v>
      </c>
      <c r="I2726" s="22" t="str">
        <f>INDEX('Справочник Сети'!B:B,(MATCH(G2726,'Справочник Сети'!C:C,0)))</f>
        <v>Планета здоровья</v>
      </c>
      <c r="J2726" s="7" t="s">
        <v>142</v>
      </c>
      <c r="K2726" s="7" t="s">
        <v>521</v>
      </c>
      <c r="L2726" s="7" t="s">
        <v>142</v>
      </c>
      <c r="M2726" s="31">
        <v>45674</v>
      </c>
      <c r="N2726" s="7" t="s">
        <v>5180</v>
      </c>
      <c r="O2726" s="8">
        <v>3659</v>
      </c>
      <c r="P2726" s="24">
        <v>9850</v>
      </c>
      <c r="Q2726" s="22">
        <f>IF(COUNTIFS(A$2:A2726,A2726,I$2:I2726,I2726)=1,1,0)</f>
        <v>0</v>
      </c>
      <c r="R2726" s="22">
        <f t="shared" si="42"/>
        <v>1</v>
      </c>
      <c r="S2726" s="33">
        <f>IF(COUNTIF(O$2:O2726,O2726)=1,R2726,0)/2.5</f>
        <v>0.4</v>
      </c>
    </row>
    <row r="2727" spans="1:19" ht="18" customHeight="1" x14ac:dyDescent="0.25">
      <c r="A2727" s="7" t="s">
        <v>2436</v>
      </c>
      <c r="B2727" s="8">
        <v>1</v>
      </c>
      <c r="C2727" s="9">
        <v>360</v>
      </c>
      <c r="D2727" s="29">
        <f>C2727+IF(INDEX('Справочник по %'!B:B,(MATCH(A2727,'Справочник по %'!A:A,0)))="кол-во",B2727*INDEX('Справочник по %'!C:C,(MATCH(A2727,'Справочник по %'!A:A,0))),ОТЧЕТ!C2727*INDEX('Справочник по %'!C:C,(MATCH(A2727,'Справочник по %'!A:A,0))))/100</f>
        <v>396</v>
      </c>
      <c r="E2727" s="29">
        <f>IF(ОТЧЕТ!A2727="SKU3",C2727+ОТЧЕТ!C2727*0.2,C2727+ОТЧЕТ!C2727*0.15)</f>
        <v>414</v>
      </c>
      <c r="F2727" s="7" t="s">
        <v>5177</v>
      </c>
      <c r="G2727" s="7">
        <v>4632054054</v>
      </c>
      <c r="H2727" s="20" t="s">
        <v>2437</v>
      </c>
      <c r="I2727" s="22" t="str">
        <f>INDEX('Справочник Сети'!B:B,(MATCH(G2727,'Справочник Сети'!C:C,0)))</f>
        <v>Ригла</v>
      </c>
      <c r="J2727" s="7" t="s">
        <v>155</v>
      </c>
      <c r="K2727" s="7" t="s">
        <v>1713</v>
      </c>
      <c r="L2727" s="7" t="s">
        <v>155</v>
      </c>
      <c r="M2727" s="31">
        <v>45716</v>
      </c>
      <c r="N2727" s="7" t="s">
        <v>5181</v>
      </c>
      <c r="O2727" s="8">
        <v>3006</v>
      </c>
      <c r="P2727" s="24">
        <v>9851</v>
      </c>
      <c r="Q2727" s="22">
        <f>IF(COUNTIFS(A$2:A2727,A2727,I$2:I2727,I2727)=1,1,0)</f>
        <v>0</v>
      </c>
      <c r="R2727" s="22">
        <f t="shared" si="42"/>
        <v>4</v>
      </c>
      <c r="S2727" s="33">
        <f>IF(COUNTIF(O$2:O2727,O2727)=1,R2727,0)/2.5</f>
        <v>0</v>
      </c>
    </row>
    <row r="2728" spans="1:19" ht="18" customHeight="1" x14ac:dyDescent="0.25">
      <c r="A2728" s="7" t="s">
        <v>37</v>
      </c>
      <c r="B2728" s="8">
        <v>1</v>
      </c>
      <c r="C2728" s="9">
        <v>589</v>
      </c>
      <c r="D2728" s="29">
        <f>C2728+IF(INDEX('Справочник по %'!B:B,(MATCH(A2728,'Справочник по %'!A:A,0)))="кол-во",B2728*INDEX('Справочник по %'!C:C,(MATCH(A2728,'Справочник по %'!A:A,0))),ОТЧЕТ!C2728*INDEX('Справочник по %'!C:C,(MATCH(A2728,'Справочник по %'!A:A,0))))/100</f>
        <v>589.20000000000005</v>
      </c>
      <c r="E2728" s="29">
        <f>IF(ОТЧЕТ!A2728="SKU3",C2728+ОТЧЕТ!C2728*0.2,C2728+ОТЧЕТ!C2728*0.15)</f>
        <v>677.35</v>
      </c>
      <c r="F2728" s="7" t="s">
        <v>5182</v>
      </c>
      <c r="G2728" s="7">
        <v>6166045261</v>
      </c>
      <c r="H2728" s="20" t="s">
        <v>2088</v>
      </c>
      <c r="I2728" s="22" t="str">
        <f>INDEX('Справочник Сети'!B:B,(MATCH(G2728,'Справочник Сети'!C:C,0)))</f>
        <v>Столички</v>
      </c>
      <c r="J2728" s="7" t="s">
        <v>203</v>
      </c>
      <c r="K2728" s="7" t="s">
        <v>299</v>
      </c>
      <c r="L2728" s="7" t="s">
        <v>520</v>
      </c>
      <c r="M2728" s="31">
        <v>45697</v>
      </c>
      <c r="N2728" s="7" t="s">
        <v>5183</v>
      </c>
      <c r="O2728" s="8">
        <v>1773</v>
      </c>
      <c r="P2728" s="24">
        <v>9852</v>
      </c>
      <c r="Q2728" s="22">
        <f>IF(COUNTIFS(A$2:A2728,A2728,I$2:I2728,I2728)=1,1,0)</f>
        <v>0</v>
      </c>
      <c r="R2728" s="22">
        <f t="shared" si="42"/>
        <v>4</v>
      </c>
      <c r="S2728" s="33">
        <f>IF(COUNTIF(O$2:O2728,O2728)=1,R2728,0)/2.5</f>
        <v>0</v>
      </c>
    </row>
    <row r="2729" spans="1:19" ht="18" customHeight="1" x14ac:dyDescent="0.25">
      <c r="A2729" s="7" t="s">
        <v>43</v>
      </c>
      <c r="B2729" s="8">
        <v>1</v>
      </c>
      <c r="C2729" s="9">
        <v>495</v>
      </c>
      <c r="D2729" s="29">
        <f>C2729+IF(INDEX('Справочник по %'!B:B,(MATCH(A2729,'Справочник по %'!A:A,0)))="кол-во",B2729*INDEX('Справочник по %'!C:C,(MATCH(A2729,'Справочник по %'!A:A,0))),ОТЧЕТ!C2729*INDEX('Справочник по %'!C:C,(MATCH(A2729,'Справочник по %'!A:A,0))))/100</f>
        <v>544.5</v>
      </c>
      <c r="E2729" s="29">
        <f>IF(ОТЧЕТ!A2729="SKU3",C2729+ОТЧЕТ!C2729*0.2,C2729+ОТЧЕТ!C2729*0.15)</f>
        <v>569.25</v>
      </c>
      <c r="F2729" s="7" t="s">
        <v>5182</v>
      </c>
      <c r="G2729" s="7">
        <v>3665820714</v>
      </c>
      <c r="H2729" s="20" t="s">
        <v>91</v>
      </c>
      <c r="I2729" s="22" t="str">
        <f>INDEX('Справочник Сети'!B:B,(MATCH(G2729,'Справочник Сети'!C:C,0)))</f>
        <v>Нео-фарм</v>
      </c>
      <c r="J2729" s="7" t="s">
        <v>65</v>
      </c>
      <c r="K2729" s="7" t="s">
        <v>935</v>
      </c>
      <c r="L2729" s="7" t="s">
        <v>65</v>
      </c>
      <c r="M2729" s="31">
        <v>45717</v>
      </c>
      <c r="N2729" s="7" t="s">
        <v>5184</v>
      </c>
      <c r="O2729" s="8">
        <v>2165</v>
      </c>
      <c r="P2729" s="24">
        <v>9854</v>
      </c>
      <c r="Q2729" s="22">
        <f>IF(COUNTIFS(A$2:A2729,A2729,I$2:I2729,I2729)=1,1,0)</f>
        <v>0</v>
      </c>
      <c r="R2729" s="22">
        <f t="shared" si="42"/>
        <v>4</v>
      </c>
      <c r="S2729" s="33">
        <f>IF(COUNTIF(O$2:O2729,O2729)=1,R2729,0)/2.5</f>
        <v>0</v>
      </c>
    </row>
    <row r="2730" spans="1:19" ht="18" customHeight="1" x14ac:dyDescent="0.25">
      <c r="A2730" s="7" t="s">
        <v>37</v>
      </c>
      <c r="B2730" s="8">
        <v>1</v>
      </c>
      <c r="C2730" s="9">
        <v>587</v>
      </c>
      <c r="D2730" s="29">
        <f>C2730+IF(INDEX('Справочник по %'!B:B,(MATCH(A2730,'Справочник по %'!A:A,0)))="кол-во",B2730*INDEX('Справочник по %'!C:C,(MATCH(A2730,'Справочник по %'!A:A,0))),ОТЧЕТ!C2730*INDEX('Справочник по %'!C:C,(MATCH(A2730,'Справочник по %'!A:A,0))))/100</f>
        <v>587.20000000000005</v>
      </c>
      <c r="E2730" s="29">
        <f>IF(ОТЧЕТ!A2730="SKU3",C2730+ОТЧЕТ!C2730*0.2,C2730+ОТЧЕТ!C2730*0.15)</f>
        <v>675.05</v>
      </c>
      <c r="F2730" s="7" t="s">
        <v>5185</v>
      </c>
      <c r="G2730" s="7">
        <v>7708382293</v>
      </c>
      <c r="H2730" s="20" t="s">
        <v>50</v>
      </c>
      <c r="I2730" s="22">
        <f>INDEX('Справочник Сети'!B:B,(MATCH(G2730,'Справочник Сети'!C:C,0)))</f>
        <v>0</v>
      </c>
      <c r="J2730" s="7" t="s">
        <v>504</v>
      </c>
      <c r="K2730" s="7" t="s">
        <v>558</v>
      </c>
      <c r="L2730" s="7" t="s">
        <v>504</v>
      </c>
      <c r="M2730" s="31">
        <v>45690</v>
      </c>
      <c r="N2730" s="7" t="s">
        <v>5186</v>
      </c>
      <c r="O2730" s="8">
        <v>3456</v>
      </c>
      <c r="P2730" s="24">
        <v>9857</v>
      </c>
      <c r="Q2730" s="22">
        <f>IF(COUNTIFS(A$2:A2730,A2730,I$2:I2730,I2730)=1,1,0)</f>
        <v>0</v>
      </c>
      <c r="R2730" s="22">
        <f t="shared" si="42"/>
        <v>1</v>
      </c>
      <c r="S2730" s="33">
        <f>IF(COUNTIF(O$2:O2730,O2730)=1,R2730,0)/2.5</f>
        <v>0.4</v>
      </c>
    </row>
    <row r="2731" spans="1:19" ht="18" customHeight="1" x14ac:dyDescent="0.25">
      <c r="A2731" s="7" t="s">
        <v>43</v>
      </c>
      <c r="B2731" s="8">
        <v>1</v>
      </c>
      <c r="C2731" s="9">
        <v>457</v>
      </c>
      <c r="D2731" s="29">
        <f>C2731+IF(INDEX('Справочник по %'!B:B,(MATCH(A2731,'Справочник по %'!A:A,0)))="кол-во",B2731*INDEX('Справочник по %'!C:C,(MATCH(A2731,'Справочник по %'!A:A,0))),ОТЧЕТ!C2731*INDEX('Справочник по %'!C:C,(MATCH(A2731,'Справочник по %'!A:A,0))))/100</f>
        <v>502.7</v>
      </c>
      <c r="E2731" s="29">
        <f>IF(ОТЧЕТ!A2731="SKU3",C2731+ОТЧЕТ!C2731*0.2,C2731+ОТЧЕТ!C2731*0.15)</f>
        <v>525.54999999999995</v>
      </c>
      <c r="F2731" s="7" t="s">
        <v>5187</v>
      </c>
      <c r="G2731" s="7">
        <v>7706795062</v>
      </c>
      <c r="H2731" s="20" t="s">
        <v>1647</v>
      </c>
      <c r="I2731" s="22" t="str">
        <f>INDEX('Справочник Сети'!B:B,(MATCH(G2731,'Справочник Сети'!C:C,0)))</f>
        <v>Планета здоровья</v>
      </c>
      <c r="J2731" s="7" t="s">
        <v>87</v>
      </c>
      <c r="K2731" s="7" t="s">
        <v>1537</v>
      </c>
      <c r="L2731" s="7" t="s">
        <v>116</v>
      </c>
      <c r="M2731" s="31">
        <v>45692</v>
      </c>
      <c r="N2731" s="7" t="s">
        <v>5188</v>
      </c>
      <c r="O2731" s="8">
        <v>426</v>
      </c>
      <c r="P2731" s="24">
        <v>9858</v>
      </c>
      <c r="Q2731" s="22">
        <f>IF(COUNTIFS(A$2:A2731,A2731,I$2:I2731,I2731)=1,1,0)</f>
        <v>0</v>
      </c>
      <c r="R2731" s="22">
        <f t="shared" si="42"/>
        <v>1</v>
      </c>
      <c r="S2731" s="33">
        <f>IF(COUNTIF(O$2:O2731,O2731)=1,R2731,0)/2.5</f>
        <v>0.4</v>
      </c>
    </row>
    <row r="2732" spans="1:19" ht="18" customHeight="1" x14ac:dyDescent="0.25">
      <c r="A2732" s="7" t="s">
        <v>43</v>
      </c>
      <c r="B2732" s="8">
        <v>1</v>
      </c>
      <c r="C2732" s="9">
        <v>490</v>
      </c>
      <c r="D2732" s="29">
        <f>C2732+IF(INDEX('Справочник по %'!B:B,(MATCH(A2732,'Справочник по %'!A:A,0)))="кол-во",B2732*INDEX('Справочник по %'!C:C,(MATCH(A2732,'Справочник по %'!A:A,0))),ОТЧЕТ!C2732*INDEX('Справочник по %'!C:C,(MATCH(A2732,'Справочник по %'!A:A,0))))/100</f>
        <v>539</v>
      </c>
      <c r="E2732" s="29">
        <f>IF(ОТЧЕТ!A2732="SKU3",C2732+ОТЧЕТ!C2732*0.2,C2732+ОТЧЕТ!C2732*0.15)</f>
        <v>563.5</v>
      </c>
      <c r="F2732" s="7" t="s">
        <v>5187</v>
      </c>
      <c r="G2732" s="7">
        <v>4611016844</v>
      </c>
      <c r="H2732" s="20" t="s">
        <v>50</v>
      </c>
      <c r="I2732" s="22">
        <f>INDEX('Справочник Сети'!B:B,(MATCH(G2732,'Справочник Сети'!C:C,0)))</f>
        <v>0</v>
      </c>
      <c r="J2732" s="7" t="s">
        <v>155</v>
      </c>
      <c r="K2732" s="7" t="s">
        <v>2209</v>
      </c>
      <c r="L2732" s="7" t="s">
        <v>155</v>
      </c>
      <c r="M2732" s="31">
        <v>45716</v>
      </c>
      <c r="N2732" s="7" t="s">
        <v>5189</v>
      </c>
      <c r="O2732" s="8">
        <v>211</v>
      </c>
      <c r="P2732" s="24">
        <v>9859</v>
      </c>
      <c r="Q2732" s="22">
        <f>IF(COUNTIFS(A$2:A2732,A2732,I$2:I2732,I2732)=1,1,0)</f>
        <v>0</v>
      </c>
      <c r="R2732" s="22">
        <f t="shared" si="42"/>
        <v>1</v>
      </c>
      <c r="S2732" s="33">
        <f>IF(COUNTIF(O$2:O2732,O2732)=1,R2732,0)/2.5</f>
        <v>0.4</v>
      </c>
    </row>
    <row r="2733" spans="1:19" ht="18" customHeight="1" x14ac:dyDescent="0.25">
      <c r="A2733" s="7" t="s">
        <v>37</v>
      </c>
      <c r="B2733" s="8">
        <v>1</v>
      </c>
      <c r="C2733" s="9">
        <v>583</v>
      </c>
      <c r="D2733" s="29">
        <f>C2733+IF(INDEX('Справочник по %'!B:B,(MATCH(A2733,'Справочник по %'!A:A,0)))="кол-во",B2733*INDEX('Справочник по %'!C:C,(MATCH(A2733,'Справочник по %'!A:A,0))),ОТЧЕТ!C2733*INDEX('Справочник по %'!C:C,(MATCH(A2733,'Справочник по %'!A:A,0))))/100</f>
        <v>583.20000000000005</v>
      </c>
      <c r="E2733" s="29">
        <f>IF(ОТЧЕТ!A2733="SKU3",C2733+ОТЧЕТ!C2733*0.2,C2733+ОТЧЕТ!C2733*0.15)</f>
        <v>670.45</v>
      </c>
      <c r="F2733" s="7" t="s">
        <v>5190</v>
      </c>
      <c r="G2733" s="7">
        <v>9705190974</v>
      </c>
      <c r="H2733" s="20" t="s">
        <v>3094</v>
      </c>
      <c r="I2733" s="22">
        <f>INDEX('Справочник Сети'!B:B,(MATCH(G2733,'Справочник Сети'!C:C,0)))</f>
        <v>0</v>
      </c>
      <c r="J2733" s="7" t="s">
        <v>239</v>
      </c>
      <c r="K2733" s="7" t="s">
        <v>2167</v>
      </c>
      <c r="L2733" s="7" t="s">
        <v>239</v>
      </c>
      <c r="M2733" s="31">
        <v>45662</v>
      </c>
      <c r="N2733" s="7" t="s">
        <v>4661</v>
      </c>
      <c r="O2733" s="8">
        <v>363</v>
      </c>
      <c r="P2733" s="24">
        <v>9864</v>
      </c>
      <c r="Q2733" s="22">
        <f>IF(COUNTIFS(A$2:A2733,A2733,I$2:I2733,I2733)=1,1,0)</f>
        <v>0</v>
      </c>
      <c r="R2733" s="22">
        <f t="shared" si="42"/>
        <v>5</v>
      </c>
      <c r="S2733" s="33">
        <f>IF(COUNTIF(O$2:O2733,O2733)=1,R2733,0)/2.5</f>
        <v>0</v>
      </c>
    </row>
    <row r="2734" spans="1:19" ht="18" customHeight="1" x14ac:dyDescent="0.25">
      <c r="A2734" s="7" t="s">
        <v>43</v>
      </c>
      <c r="B2734" s="8">
        <v>1</v>
      </c>
      <c r="C2734" s="9">
        <v>380.7</v>
      </c>
      <c r="D2734" s="29">
        <f>C2734+IF(INDEX('Справочник по %'!B:B,(MATCH(A2734,'Справочник по %'!A:A,0)))="кол-во",B2734*INDEX('Справочник по %'!C:C,(MATCH(A2734,'Справочник по %'!A:A,0))),ОТЧЕТ!C2734*INDEX('Справочник по %'!C:C,(MATCH(A2734,'Справочник по %'!A:A,0))))/100</f>
        <v>418.77</v>
      </c>
      <c r="E2734" s="29">
        <f>IF(ОТЧЕТ!A2734="SKU3",C2734+ОТЧЕТ!C2734*0.2,C2734+ОТЧЕТ!C2734*0.15)</f>
        <v>437.80500000000001</v>
      </c>
      <c r="F2734" s="7" t="s">
        <v>5190</v>
      </c>
      <c r="G2734" s="7">
        <v>2466189073</v>
      </c>
      <c r="H2734" s="20" t="s">
        <v>5191</v>
      </c>
      <c r="I2734" s="22" t="str">
        <f>INDEX('Справочник Сети'!B:B,(MATCH(G2734,'Справочник Сети'!C:C,0)))</f>
        <v>Нео-фарм</v>
      </c>
      <c r="J2734" s="7" t="s">
        <v>96</v>
      </c>
      <c r="K2734" s="7" t="s">
        <v>71</v>
      </c>
      <c r="L2734" s="7" t="s">
        <v>96</v>
      </c>
      <c r="M2734" s="31">
        <v>45727</v>
      </c>
      <c r="N2734" s="7" t="s">
        <v>5192</v>
      </c>
      <c r="O2734" s="8">
        <v>3121</v>
      </c>
      <c r="P2734" s="24">
        <v>9865</v>
      </c>
      <c r="Q2734" s="22">
        <f>IF(COUNTIFS(A$2:A2734,A2734,I$2:I2734,I2734)=1,1,0)</f>
        <v>0</v>
      </c>
      <c r="R2734" s="22">
        <f t="shared" si="42"/>
        <v>1</v>
      </c>
      <c r="S2734" s="33">
        <f>IF(COUNTIF(O$2:O2734,O2734)=1,R2734,0)/2.5</f>
        <v>0.4</v>
      </c>
    </row>
    <row r="2735" spans="1:19" ht="18" customHeight="1" x14ac:dyDescent="0.25">
      <c r="A2735" s="7" t="s">
        <v>37</v>
      </c>
      <c r="B2735" s="8">
        <v>1</v>
      </c>
      <c r="C2735" s="9">
        <v>640</v>
      </c>
      <c r="D2735" s="29">
        <f>C2735+IF(INDEX('Справочник по %'!B:B,(MATCH(A2735,'Справочник по %'!A:A,0)))="кол-во",B2735*INDEX('Справочник по %'!C:C,(MATCH(A2735,'Справочник по %'!A:A,0))),ОТЧЕТ!C2735*INDEX('Справочник по %'!C:C,(MATCH(A2735,'Справочник по %'!A:A,0))))/100</f>
        <v>640.20000000000005</v>
      </c>
      <c r="E2735" s="29">
        <f>IF(ОТЧЕТ!A2735="SKU3",C2735+ОТЧЕТ!C2735*0.2,C2735+ОТЧЕТ!C2735*0.15)</f>
        <v>736</v>
      </c>
      <c r="F2735" s="7" t="s">
        <v>5190</v>
      </c>
      <c r="G2735" s="7">
        <v>4003012322</v>
      </c>
      <c r="H2735" s="20" t="s">
        <v>2467</v>
      </c>
      <c r="I2735" s="22">
        <f>INDEX('Справочник Сети'!B:B,(MATCH(G2735,'Справочник Сети'!C:C,0)))</f>
        <v>0</v>
      </c>
      <c r="J2735" s="7" t="s">
        <v>155</v>
      </c>
      <c r="K2735" s="7" t="s">
        <v>1459</v>
      </c>
      <c r="L2735" s="7" t="s">
        <v>155</v>
      </c>
      <c r="M2735" s="31">
        <v>45716</v>
      </c>
      <c r="N2735" s="7" t="s">
        <v>5193</v>
      </c>
      <c r="O2735" s="8">
        <v>511</v>
      </c>
      <c r="P2735" s="24">
        <v>9867</v>
      </c>
      <c r="Q2735" s="22">
        <f>IF(COUNTIFS(A$2:A2735,A2735,I$2:I2735,I2735)=1,1,0)</f>
        <v>0</v>
      </c>
      <c r="R2735" s="22">
        <f t="shared" si="42"/>
        <v>2</v>
      </c>
      <c r="S2735" s="33">
        <f>IF(COUNTIF(O$2:O2735,O2735)=1,R2735,0)/2.5</f>
        <v>0</v>
      </c>
    </row>
    <row r="2736" spans="1:19" ht="18" customHeight="1" x14ac:dyDescent="0.25">
      <c r="A2736" s="7" t="s">
        <v>43</v>
      </c>
      <c r="B2736" s="8">
        <v>1</v>
      </c>
      <c r="C2736" s="9">
        <v>412</v>
      </c>
      <c r="D2736" s="29">
        <f>C2736+IF(INDEX('Справочник по %'!B:B,(MATCH(A2736,'Справочник по %'!A:A,0)))="кол-во",B2736*INDEX('Справочник по %'!C:C,(MATCH(A2736,'Справочник по %'!A:A,0))),ОТЧЕТ!C2736*INDEX('Справочник по %'!C:C,(MATCH(A2736,'Справочник по %'!A:A,0))))/100</f>
        <v>453.2</v>
      </c>
      <c r="E2736" s="29">
        <f>IF(ОТЧЕТ!A2736="SKU3",C2736+ОТЧЕТ!C2736*0.2,C2736+ОТЧЕТ!C2736*0.15)</f>
        <v>473.8</v>
      </c>
      <c r="F2736" s="7" t="s">
        <v>5190</v>
      </c>
      <c r="G2736" s="7">
        <v>2310096546</v>
      </c>
      <c r="H2736" s="20" t="s">
        <v>69</v>
      </c>
      <c r="I2736" s="22" t="str">
        <f>INDEX('Справочник Сети'!B:B,(MATCH(G2736,'Справочник Сети'!C:C,0)))</f>
        <v>36,6</v>
      </c>
      <c r="J2736" s="7" t="s">
        <v>57</v>
      </c>
      <c r="K2736" s="7" t="s">
        <v>1036</v>
      </c>
      <c r="L2736" s="7" t="s">
        <v>57</v>
      </c>
      <c r="M2736" s="31">
        <v>45729</v>
      </c>
      <c r="N2736" s="7" t="s">
        <v>5194</v>
      </c>
      <c r="O2736" s="8">
        <v>121</v>
      </c>
      <c r="P2736" s="24">
        <v>9869</v>
      </c>
      <c r="Q2736" s="22">
        <f>IF(COUNTIFS(A$2:A2736,A2736,I$2:I2736,I2736)=1,1,0)</f>
        <v>0</v>
      </c>
      <c r="R2736" s="22">
        <f t="shared" si="42"/>
        <v>2</v>
      </c>
      <c r="S2736" s="33">
        <f>IF(COUNTIF(O$2:O2736,O2736)=1,R2736,0)/2.5</f>
        <v>0</v>
      </c>
    </row>
    <row r="2737" spans="1:19" ht="18" customHeight="1" x14ac:dyDescent="0.25">
      <c r="A2737" s="7" t="s">
        <v>43</v>
      </c>
      <c r="B2737" s="8">
        <v>1</v>
      </c>
      <c r="C2737" s="9">
        <v>490.3</v>
      </c>
      <c r="D2737" s="29">
        <f>C2737+IF(INDEX('Справочник по %'!B:B,(MATCH(A2737,'Справочник по %'!A:A,0)))="кол-во",B2737*INDEX('Справочник по %'!C:C,(MATCH(A2737,'Справочник по %'!A:A,0))),ОТЧЕТ!C2737*INDEX('Справочник по %'!C:C,(MATCH(A2737,'Справочник по %'!A:A,0))))/100</f>
        <v>539.33000000000004</v>
      </c>
      <c r="E2737" s="29">
        <f>IF(ОТЧЕТ!A2737="SKU3",C2737+ОТЧЕТ!C2737*0.2,C2737+ОТЧЕТ!C2737*0.15)</f>
        <v>563.84500000000003</v>
      </c>
      <c r="F2737" s="7" t="s">
        <v>5195</v>
      </c>
      <c r="G2737" s="7">
        <v>6800013017</v>
      </c>
      <c r="H2737" s="20" t="s">
        <v>91</v>
      </c>
      <c r="I2737" s="22">
        <f>INDEX('Справочник Сети'!B:B,(MATCH(G2737,'Справочник Сети'!C:C,0)))</f>
        <v>0</v>
      </c>
      <c r="J2737" s="7" t="s">
        <v>106</v>
      </c>
      <c r="K2737" s="7" t="s">
        <v>544</v>
      </c>
      <c r="L2737" s="7" t="s">
        <v>106</v>
      </c>
      <c r="M2737" s="31">
        <v>45694</v>
      </c>
      <c r="N2737" s="7" t="s">
        <v>5196</v>
      </c>
      <c r="O2737" s="8">
        <v>2172</v>
      </c>
      <c r="P2737" s="24">
        <v>9870</v>
      </c>
      <c r="Q2737" s="22">
        <f>IF(COUNTIFS(A$2:A2737,A2737,I$2:I2737,I2737)=1,1,0)</f>
        <v>0</v>
      </c>
      <c r="R2737" s="22">
        <f t="shared" si="42"/>
        <v>2</v>
      </c>
      <c r="S2737" s="33">
        <f>IF(COUNTIF(O$2:O2737,O2737)=1,R2737,0)/2.5</f>
        <v>0</v>
      </c>
    </row>
    <row r="2738" spans="1:19" ht="18" customHeight="1" x14ac:dyDescent="0.25">
      <c r="A2738" s="7" t="s">
        <v>43</v>
      </c>
      <c r="B2738" s="8">
        <v>1</v>
      </c>
      <c r="C2738" s="9">
        <v>489</v>
      </c>
      <c r="D2738" s="29">
        <f>C2738+IF(INDEX('Справочник по %'!B:B,(MATCH(A2738,'Справочник по %'!A:A,0)))="кол-во",B2738*INDEX('Справочник по %'!C:C,(MATCH(A2738,'Справочник по %'!A:A,0))),ОТЧЕТ!C2738*INDEX('Справочник по %'!C:C,(MATCH(A2738,'Справочник по %'!A:A,0))))/100</f>
        <v>537.9</v>
      </c>
      <c r="E2738" s="29">
        <f>IF(ОТЧЕТ!A2738="SKU3",C2738+ОТЧЕТ!C2738*0.2,C2738+ОТЧЕТ!C2738*0.15)</f>
        <v>562.35</v>
      </c>
      <c r="F2738" s="7" t="s">
        <v>5195</v>
      </c>
      <c r="G2738" s="7">
        <v>2517010471</v>
      </c>
      <c r="H2738" s="20" t="s">
        <v>91</v>
      </c>
      <c r="I2738" s="22">
        <f>INDEX('Справочник Сети'!B:B,(MATCH(G2738,'Справочник Сети'!C:C,0)))</f>
        <v>0</v>
      </c>
      <c r="J2738" s="7" t="s">
        <v>46</v>
      </c>
      <c r="K2738" s="7" t="s">
        <v>1662</v>
      </c>
      <c r="L2738" s="7" t="s">
        <v>96</v>
      </c>
      <c r="M2738" s="31">
        <v>45727</v>
      </c>
      <c r="N2738" s="7" t="s">
        <v>5197</v>
      </c>
      <c r="O2738" s="8">
        <v>1561</v>
      </c>
      <c r="P2738" s="24">
        <v>9871</v>
      </c>
      <c r="Q2738" s="22">
        <f>IF(COUNTIFS(A$2:A2738,A2738,I$2:I2738,I2738)=1,1,0)</f>
        <v>0</v>
      </c>
      <c r="R2738" s="22">
        <f t="shared" si="42"/>
        <v>1</v>
      </c>
      <c r="S2738" s="33">
        <f>IF(COUNTIF(O$2:O2738,O2738)=1,R2738,0)/2.5</f>
        <v>0.4</v>
      </c>
    </row>
    <row r="2739" spans="1:19" ht="18" customHeight="1" x14ac:dyDescent="0.25">
      <c r="A2739" s="7" t="s">
        <v>43</v>
      </c>
      <c r="B2739" s="8">
        <v>1</v>
      </c>
      <c r="C2739" s="9">
        <v>479.9</v>
      </c>
      <c r="D2739" s="29">
        <f>C2739+IF(INDEX('Справочник по %'!B:B,(MATCH(A2739,'Справочник по %'!A:A,0)))="кол-во",B2739*INDEX('Справочник по %'!C:C,(MATCH(A2739,'Справочник по %'!A:A,0))),ОТЧЕТ!C2739*INDEX('Справочник по %'!C:C,(MATCH(A2739,'Справочник по %'!A:A,0))))/100</f>
        <v>527.89</v>
      </c>
      <c r="E2739" s="29">
        <f>IF(ОТЧЕТ!A2739="SKU3",C2739+ОТЧЕТ!C2739*0.2,C2739+ОТЧЕТ!C2739*0.15)</f>
        <v>551.88499999999999</v>
      </c>
      <c r="F2739" s="7" t="s">
        <v>5195</v>
      </c>
      <c r="G2739" s="7">
        <v>1841012052</v>
      </c>
      <c r="H2739" s="20" t="s">
        <v>371</v>
      </c>
      <c r="I2739" s="22" t="str">
        <f>INDEX('Справочник Сети'!B:B,(MATCH(G2739,'Справочник Сети'!C:C,0)))</f>
        <v>Столички</v>
      </c>
      <c r="J2739" s="7" t="s">
        <v>372</v>
      </c>
      <c r="K2739" s="7" t="s">
        <v>625</v>
      </c>
      <c r="L2739" s="7" t="s">
        <v>335</v>
      </c>
      <c r="M2739" s="31">
        <v>45731</v>
      </c>
      <c r="N2739" s="7" t="s">
        <v>5198</v>
      </c>
      <c r="O2739" s="8">
        <v>1125</v>
      </c>
      <c r="P2739" s="24">
        <v>9873</v>
      </c>
      <c r="Q2739" s="22">
        <f>IF(COUNTIFS(A$2:A2739,A2739,I$2:I2739,I2739)=1,1,0)</f>
        <v>0</v>
      </c>
      <c r="R2739" s="22">
        <f t="shared" si="42"/>
        <v>3</v>
      </c>
      <c r="S2739" s="33">
        <f>IF(COUNTIF(O$2:O2739,O2739)=1,R2739,0)/2.5</f>
        <v>0</v>
      </c>
    </row>
    <row r="2740" spans="1:19" ht="18" customHeight="1" x14ac:dyDescent="0.25">
      <c r="A2740" s="7" t="s">
        <v>37</v>
      </c>
      <c r="B2740" s="8">
        <v>1</v>
      </c>
      <c r="C2740" s="9">
        <v>557</v>
      </c>
      <c r="D2740" s="29">
        <f>C2740+IF(INDEX('Справочник по %'!B:B,(MATCH(A2740,'Справочник по %'!A:A,0)))="кол-во",B2740*INDEX('Справочник по %'!C:C,(MATCH(A2740,'Справочник по %'!A:A,0))),ОТЧЕТ!C2740*INDEX('Справочник по %'!C:C,(MATCH(A2740,'Справочник по %'!A:A,0))))/100</f>
        <v>557.20000000000005</v>
      </c>
      <c r="E2740" s="29">
        <f>IF(ОТЧЕТ!A2740="SKU3",C2740+ОТЧЕТ!C2740*0.2,C2740+ОТЧЕТ!C2740*0.15)</f>
        <v>640.54999999999995</v>
      </c>
      <c r="F2740" s="7" t="s">
        <v>5199</v>
      </c>
      <c r="G2740" s="7">
        <v>7732121736</v>
      </c>
      <c r="H2740" s="20" t="s">
        <v>5200</v>
      </c>
      <c r="I2740" s="22" t="str">
        <f>INDEX('Справочник Сети'!B:B,(MATCH(G2740,'Справочник Сети'!C:C,0)))</f>
        <v>Планета здоровья</v>
      </c>
      <c r="J2740" s="7" t="s">
        <v>149</v>
      </c>
      <c r="K2740" s="7" t="s">
        <v>1209</v>
      </c>
      <c r="L2740" s="7" t="s">
        <v>149</v>
      </c>
      <c r="M2740" s="31">
        <v>45673</v>
      </c>
      <c r="N2740" s="7" t="s">
        <v>5201</v>
      </c>
      <c r="O2740" s="8">
        <v>2905</v>
      </c>
      <c r="P2740" s="24">
        <v>9875</v>
      </c>
      <c r="Q2740" s="22">
        <f>IF(COUNTIFS(A$2:A2740,A2740,I$2:I2740,I2740)=1,1,0)</f>
        <v>0</v>
      </c>
      <c r="R2740" s="22">
        <f t="shared" si="42"/>
        <v>1</v>
      </c>
      <c r="S2740" s="33">
        <f>IF(COUNTIF(O$2:O2740,O2740)=1,R2740,0)/2.5</f>
        <v>0.4</v>
      </c>
    </row>
    <row r="2741" spans="1:19" ht="18" customHeight="1" x14ac:dyDescent="0.25">
      <c r="A2741" s="7" t="s">
        <v>37</v>
      </c>
      <c r="B2741" s="8">
        <v>1</v>
      </c>
      <c r="C2741" s="9">
        <v>622</v>
      </c>
      <c r="D2741" s="29">
        <f>C2741+IF(INDEX('Справочник по %'!B:B,(MATCH(A2741,'Справочник по %'!A:A,0)))="кол-во",B2741*INDEX('Справочник по %'!C:C,(MATCH(A2741,'Справочник по %'!A:A,0))),ОТЧЕТ!C2741*INDEX('Справочник по %'!C:C,(MATCH(A2741,'Справочник по %'!A:A,0))))/100</f>
        <v>622.20000000000005</v>
      </c>
      <c r="E2741" s="29">
        <f>IF(ОТЧЕТ!A2741="SKU3",C2741+ОТЧЕТ!C2741*0.2,C2741+ОТЧЕТ!C2741*0.15)</f>
        <v>715.3</v>
      </c>
      <c r="F2741" s="7" t="s">
        <v>5202</v>
      </c>
      <c r="G2741" s="7">
        <v>4205262893</v>
      </c>
      <c r="H2741" s="20" t="s">
        <v>368</v>
      </c>
      <c r="I2741" s="22" t="str">
        <f>INDEX('Справочник Сети'!B:B,(MATCH(G2741,'Справочник Сети'!C:C,0)))</f>
        <v>Столички</v>
      </c>
      <c r="J2741" s="7" t="s">
        <v>155</v>
      </c>
      <c r="K2741" s="7" t="s">
        <v>80</v>
      </c>
      <c r="L2741" s="7" t="s">
        <v>155</v>
      </c>
      <c r="M2741" s="31">
        <v>45716</v>
      </c>
      <c r="N2741" s="7" t="s">
        <v>5203</v>
      </c>
      <c r="O2741" s="8">
        <v>1914</v>
      </c>
      <c r="P2741" s="24">
        <v>9876</v>
      </c>
      <c r="Q2741" s="22">
        <f>IF(COUNTIFS(A$2:A2741,A2741,I$2:I2741,I2741)=1,1,0)</f>
        <v>0</v>
      </c>
      <c r="R2741" s="22">
        <f t="shared" si="42"/>
        <v>3</v>
      </c>
      <c r="S2741" s="33">
        <f>IF(COUNTIF(O$2:O2741,O2741)=1,R2741,0)/2.5</f>
        <v>0</v>
      </c>
    </row>
    <row r="2742" spans="1:19" ht="18" customHeight="1" x14ac:dyDescent="0.25">
      <c r="A2742" s="7" t="s">
        <v>43</v>
      </c>
      <c r="B2742" s="8">
        <v>1</v>
      </c>
      <c r="C2742" s="9">
        <v>411</v>
      </c>
      <c r="D2742" s="29">
        <f>C2742+IF(INDEX('Справочник по %'!B:B,(MATCH(A2742,'Справочник по %'!A:A,0)))="кол-во",B2742*INDEX('Справочник по %'!C:C,(MATCH(A2742,'Справочник по %'!A:A,0))),ОТЧЕТ!C2742*INDEX('Справочник по %'!C:C,(MATCH(A2742,'Справочник по %'!A:A,0))))/100</f>
        <v>452.1</v>
      </c>
      <c r="E2742" s="29">
        <f>IF(ОТЧЕТ!A2742="SKU3",C2742+ОТЧЕТ!C2742*0.2,C2742+ОТЧЕТ!C2742*0.15)</f>
        <v>472.65</v>
      </c>
      <c r="F2742" s="7" t="s">
        <v>5202</v>
      </c>
      <c r="G2742" s="7">
        <v>7728339546</v>
      </c>
      <c r="H2742" s="20" t="s">
        <v>2960</v>
      </c>
      <c r="I2742" s="22" t="str">
        <f>INDEX('Справочник Сети'!B:B,(MATCH(G2742,'Справочник Сети'!C:C,0)))</f>
        <v>Планета здоровья</v>
      </c>
      <c r="J2742" s="7" t="s">
        <v>142</v>
      </c>
      <c r="K2742" s="7" t="s">
        <v>1048</v>
      </c>
      <c r="L2742" s="7" t="s">
        <v>142</v>
      </c>
      <c r="M2742" s="31">
        <v>45674</v>
      </c>
      <c r="N2742" s="7" t="s">
        <v>5204</v>
      </c>
      <c r="O2742" s="8">
        <v>3588</v>
      </c>
      <c r="P2742" s="24">
        <v>9879</v>
      </c>
      <c r="Q2742" s="22">
        <f>IF(COUNTIFS(A$2:A2742,A2742,I$2:I2742,I2742)=1,1,0)</f>
        <v>0</v>
      </c>
      <c r="R2742" s="22">
        <f t="shared" si="42"/>
        <v>1</v>
      </c>
      <c r="S2742" s="33">
        <f>IF(COUNTIF(O$2:O2742,O2742)=1,R2742,0)/2.5</f>
        <v>0.4</v>
      </c>
    </row>
    <row r="2743" spans="1:19" ht="18" customHeight="1" x14ac:dyDescent="0.25">
      <c r="A2743" s="7" t="s">
        <v>37</v>
      </c>
      <c r="B2743" s="8">
        <v>1</v>
      </c>
      <c r="C2743" s="9">
        <v>581</v>
      </c>
      <c r="D2743" s="29">
        <f>C2743+IF(INDEX('Справочник по %'!B:B,(MATCH(A2743,'Справочник по %'!A:A,0)))="кол-во",B2743*INDEX('Справочник по %'!C:C,(MATCH(A2743,'Справочник по %'!A:A,0))),ОТЧЕТ!C2743*INDEX('Справочник по %'!C:C,(MATCH(A2743,'Справочник по %'!A:A,0))))/100</f>
        <v>581.20000000000005</v>
      </c>
      <c r="E2743" s="29">
        <f>IF(ОТЧЕТ!A2743="SKU3",C2743+ОТЧЕТ!C2743*0.2,C2743+ОТЧЕТ!C2743*0.15)</f>
        <v>668.15</v>
      </c>
      <c r="F2743" s="7" t="s">
        <v>5202</v>
      </c>
      <c r="G2743" s="7">
        <v>3821001306</v>
      </c>
      <c r="H2743" s="20" t="s">
        <v>1060</v>
      </c>
      <c r="I2743" s="22">
        <f>INDEX('Справочник Сети'!B:B,(MATCH(G2743,'Справочник Сети'!C:C,0)))</f>
        <v>0</v>
      </c>
      <c r="J2743" s="7" t="s">
        <v>155</v>
      </c>
      <c r="K2743" s="7" t="s">
        <v>332</v>
      </c>
      <c r="L2743" s="7" t="s">
        <v>155</v>
      </c>
      <c r="M2743" s="31">
        <v>45716</v>
      </c>
      <c r="N2743" s="7" t="s">
        <v>5205</v>
      </c>
      <c r="O2743" s="8">
        <v>3709</v>
      </c>
      <c r="P2743" s="24">
        <v>9883</v>
      </c>
      <c r="Q2743" s="22">
        <f>IF(COUNTIFS(A$2:A2743,A2743,I$2:I2743,I2743)=1,1,0)</f>
        <v>0</v>
      </c>
      <c r="R2743" s="22">
        <f t="shared" si="42"/>
        <v>5</v>
      </c>
      <c r="S2743" s="33">
        <f>IF(COUNTIF(O$2:O2743,O2743)=1,R2743,0)/2.5</f>
        <v>0</v>
      </c>
    </row>
    <row r="2744" spans="1:19" ht="18" customHeight="1" x14ac:dyDescent="0.25">
      <c r="A2744" s="7" t="s">
        <v>43</v>
      </c>
      <c r="B2744" s="8">
        <v>1</v>
      </c>
      <c r="C2744" s="9">
        <v>451</v>
      </c>
      <c r="D2744" s="29">
        <f>C2744+IF(INDEX('Справочник по %'!B:B,(MATCH(A2744,'Справочник по %'!A:A,0)))="кол-во",B2744*INDEX('Справочник по %'!C:C,(MATCH(A2744,'Справочник по %'!A:A,0))),ОТЧЕТ!C2744*INDEX('Справочник по %'!C:C,(MATCH(A2744,'Справочник по %'!A:A,0))))/100</f>
        <v>496.1</v>
      </c>
      <c r="E2744" s="29">
        <f>IF(ОТЧЕТ!A2744="SKU3",C2744+ОТЧЕТ!C2744*0.2,C2744+ОТЧЕТ!C2744*0.15)</f>
        <v>518.65</v>
      </c>
      <c r="F2744" s="7" t="s">
        <v>5202</v>
      </c>
      <c r="G2744" s="7">
        <v>7810468745</v>
      </c>
      <c r="H2744" s="20" t="s">
        <v>50</v>
      </c>
      <c r="I2744" s="22" t="str">
        <f>INDEX('Справочник Сети'!B:B,(MATCH(G2744,'Справочник Сети'!C:C,0)))</f>
        <v>Столички</v>
      </c>
      <c r="J2744" s="7" t="s">
        <v>121</v>
      </c>
      <c r="K2744" s="7" t="s">
        <v>586</v>
      </c>
      <c r="L2744" s="7" t="s">
        <v>353</v>
      </c>
      <c r="M2744" s="31">
        <v>45672</v>
      </c>
      <c r="N2744" s="7" t="s">
        <v>5206</v>
      </c>
      <c r="O2744" s="8">
        <v>2214</v>
      </c>
      <c r="P2744" s="24">
        <v>9886</v>
      </c>
      <c r="Q2744" s="22">
        <f>IF(COUNTIFS(A$2:A2744,A2744,I$2:I2744,I2744)=1,1,0)</f>
        <v>0</v>
      </c>
      <c r="R2744" s="22">
        <f t="shared" si="42"/>
        <v>2</v>
      </c>
      <c r="S2744" s="33">
        <f>IF(COUNTIF(O$2:O2744,O2744)=1,R2744,0)/2.5</f>
        <v>0</v>
      </c>
    </row>
    <row r="2745" spans="1:19" ht="18" customHeight="1" x14ac:dyDescent="0.25">
      <c r="A2745" s="7" t="s">
        <v>43</v>
      </c>
      <c r="B2745" s="8">
        <v>1</v>
      </c>
      <c r="C2745" s="9">
        <v>366</v>
      </c>
      <c r="D2745" s="29">
        <f>C2745+IF(INDEX('Справочник по %'!B:B,(MATCH(A2745,'Справочник по %'!A:A,0)))="кол-во",B2745*INDEX('Справочник по %'!C:C,(MATCH(A2745,'Справочник по %'!A:A,0))),ОТЧЕТ!C2745*INDEX('Справочник по %'!C:C,(MATCH(A2745,'Справочник по %'!A:A,0))))/100</f>
        <v>402.6</v>
      </c>
      <c r="E2745" s="29">
        <f>IF(ОТЧЕТ!A2745="SKU3",C2745+ОТЧЕТ!C2745*0.2,C2745+ОТЧЕТ!C2745*0.15)</f>
        <v>420.9</v>
      </c>
      <c r="F2745" s="7" t="s">
        <v>5207</v>
      </c>
      <c r="G2745" s="7">
        <v>7724211288</v>
      </c>
      <c r="H2745" s="20" t="s">
        <v>64</v>
      </c>
      <c r="I2745" s="22" t="str">
        <f>INDEX('Справочник Сети'!B:B,(MATCH(G2745,'Справочник Сети'!C:C,0)))</f>
        <v>Планета здоровья</v>
      </c>
      <c r="J2745" s="7" t="s">
        <v>185</v>
      </c>
      <c r="K2745" s="7" t="s">
        <v>3452</v>
      </c>
      <c r="L2745" s="7" t="s">
        <v>185</v>
      </c>
      <c r="M2745" s="31">
        <v>45675</v>
      </c>
      <c r="N2745" s="7" t="s">
        <v>5208</v>
      </c>
      <c r="O2745" s="8">
        <v>303</v>
      </c>
      <c r="P2745" s="24">
        <v>9892</v>
      </c>
      <c r="Q2745" s="22">
        <f>IF(COUNTIFS(A$2:A2745,A2745,I$2:I2745,I2745)=1,1,0)</f>
        <v>0</v>
      </c>
      <c r="R2745" s="22">
        <f t="shared" si="42"/>
        <v>1</v>
      </c>
      <c r="S2745" s="33">
        <f>IF(COUNTIF(O$2:O2745,O2745)=1,R2745,0)/2.5</f>
        <v>0.4</v>
      </c>
    </row>
    <row r="2746" spans="1:19" ht="18" customHeight="1" x14ac:dyDescent="0.25">
      <c r="A2746" s="7" t="s">
        <v>37</v>
      </c>
      <c r="B2746" s="8">
        <v>1</v>
      </c>
      <c r="C2746" s="9">
        <v>580</v>
      </c>
      <c r="D2746" s="29">
        <f>C2746+IF(INDEX('Справочник по %'!B:B,(MATCH(A2746,'Справочник по %'!A:A,0)))="кол-во",B2746*INDEX('Справочник по %'!C:C,(MATCH(A2746,'Справочник по %'!A:A,0))),ОТЧЕТ!C2746*INDEX('Справочник по %'!C:C,(MATCH(A2746,'Справочник по %'!A:A,0))))/100</f>
        <v>580.20000000000005</v>
      </c>
      <c r="E2746" s="29">
        <f>IF(ОТЧЕТ!A2746="SKU3",C2746+ОТЧЕТ!C2746*0.2,C2746+ОТЧЕТ!C2746*0.15)</f>
        <v>667</v>
      </c>
      <c r="F2746" s="7" t="s">
        <v>5209</v>
      </c>
      <c r="G2746" s="7">
        <v>9705190974</v>
      </c>
      <c r="H2746" s="20" t="s">
        <v>3094</v>
      </c>
      <c r="I2746" s="22">
        <f>INDEX('Справочник Сети'!B:B,(MATCH(G2746,'Справочник Сети'!C:C,0)))</f>
        <v>0</v>
      </c>
      <c r="J2746" s="7" t="s">
        <v>239</v>
      </c>
      <c r="K2746" s="7" t="s">
        <v>453</v>
      </c>
      <c r="L2746" s="7" t="s">
        <v>239</v>
      </c>
      <c r="M2746" s="31">
        <v>45662</v>
      </c>
      <c r="N2746" s="7" t="s">
        <v>5210</v>
      </c>
      <c r="O2746" s="8">
        <v>363</v>
      </c>
      <c r="P2746" s="24">
        <v>9893</v>
      </c>
      <c r="Q2746" s="22">
        <f>IF(COUNTIFS(A$2:A2746,A2746,I$2:I2746,I2746)=1,1,0)</f>
        <v>0</v>
      </c>
      <c r="R2746" s="22">
        <f t="shared" si="42"/>
        <v>5</v>
      </c>
      <c r="S2746" s="33">
        <f>IF(COUNTIF(O$2:O2746,O2746)=1,R2746,0)/2.5</f>
        <v>0</v>
      </c>
    </row>
    <row r="2747" spans="1:19" ht="18" customHeight="1" x14ac:dyDescent="0.25">
      <c r="A2747" s="7" t="s">
        <v>37</v>
      </c>
      <c r="B2747" s="8">
        <v>1</v>
      </c>
      <c r="C2747" s="9">
        <v>573</v>
      </c>
      <c r="D2747" s="29">
        <f>C2747+IF(INDEX('Справочник по %'!B:B,(MATCH(A2747,'Справочник по %'!A:A,0)))="кол-во",B2747*INDEX('Справочник по %'!C:C,(MATCH(A2747,'Справочник по %'!A:A,0))),ОТЧЕТ!C2747*INDEX('Справочник по %'!C:C,(MATCH(A2747,'Справочник по %'!A:A,0))))/100</f>
        <v>573.20000000000005</v>
      </c>
      <c r="E2747" s="29">
        <f>IF(ОТЧЕТ!A2747="SKU3",C2747+ОТЧЕТ!C2747*0.2,C2747+ОТЧЕТ!C2747*0.15)</f>
        <v>658.95</v>
      </c>
      <c r="F2747" s="7" t="s">
        <v>5209</v>
      </c>
      <c r="G2747" s="7">
        <v>7732121736</v>
      </c>
      <c r="H2747" s="20" t="s">
        <v>304</v>
      </c>
      <c r="I2747" s="22" t="str">
        <f>INDEX('Справочник Сети'!B:B,(MATCH(G2747,'Справочник Сети'!C:C,0)))</f>
        <v>Планета здоровья</v>
      </c>
      <c r="J2747" s="7" t="s">
        <v>149</v>
      </c>
      <c r="K2747" s="7" t="s">
        <v>1075</v>
      </c>
      <c r="L2747" s="7" t="s">
        <v>149</v>
      </c>
      <c r="M2747" s="31">
        <v>45673</v>
      </c>
      <c r="N2747" s="7" t="s">
        <v>5211</v>
      </c>
      <c r="O2747" s="8">
        <v>2322</v>
      </c>
      <c r="P2747" s="24">
        <v>9895</v>
      </c>
      <c r="Q2747" s="22">
        <f>IF(COUNTIFS(A$2:A2747,A2747,I$2:I2747,I2747)=1,1,0)</f>
        <v>0</v>
      </c>
      <c r="R2747" s="22">
        <f t="shared" si="42"/>
        <v>3</v>
      </c>
      <c r="S2747" s="33">
        <f>IF(COUNTIF(O$2:O2747,O2747)=1,R2747,0)/2.5</f>
        <v>0</v>
      </c>
    </row>
    <row r="2748" spans="1:19" ht="18" customHeight="1" x14ac:dyDescent="0.25">
      <c r="A2748" s="7" t="s">
        <v>43</v>
      </c>
      <c r="B2748" s="8">
        <v>1</v>
      </c>
      <c r="C2748" s="9">
        <v>410</v>
      </c>
      <c r="D2748" s="29">
        <f>C2748+IF(INDEX('Справочник по %'!B:B,(MATCH(A2748,'Справочник по %'!A:A,0)))="кол-во",B2748*INDEX('Справочник по %'!C:C,(MATCH(A2748,'Справочник по %'!A:A,0))),ОТЧЕТ!C2748*INDEX('Справочник по %'!C:C,(MATCH(A2748,'Справочник по %'!A:A,0))))/100</f>
        <v>451</v>
      </c>
      <c r="E2748" s="29">
        <f>IF(ОТЧЕТ!A2748="SKU3",C2748+ОТЧЕТ!C2748*0.2,C2748+ОТЧЕТ!C2748*0.15)</f>
        <v>471.5</v>
      </c>
      <c r="F2748" s="7" t="s">
        <v>5209</v>
      </c>
      <c r="G2748" s="7">
        <v>6162069832</v>
      </c>
      <c r="H2748" s="20" t="s">
        <v>50</v>
      </c>
      <c r="I2748" s="22">
        <f>INDEX('Справочник Сети'!B:B,(MATCH(G2748,'Справочник Сети'!C:C,0)))</f>
        <v>0</v>
      </c>
      <c r="J2748" s="7" t="s">
        <v>520</v>
      </c>
      <c r="K2748" s="7" t="s">
        <v>1539</v>
      </c>
      <c r="L2748" s="7" t="s">
        <v>520</v>
      </c>
      <c r="M2748" s="31">
        <v>45697</v>
      </c>
      <c r="N2748" s="7" t="s">
        <v>5212</v>
      </c>
      <c r="O2748" s="8">
        <v>3784</v>
      </c>
      <c r="P2748" s="24">
        <v>9901</v>
      </c>
      <c r="Q2748" s="22">
        <f>IF(COUNTIFS(A$2:A2748,A2748,I$2:I2748,I2748)=1,1,0)</f>
        <v>0</v>
      </c>
      <c r="R2748" s="22">
        <f t="shared" si="42"/>
        <v>1</v>
      </c>
      <c r="S2748" s="33">
        <f>IF(COUNTIF(O$2:O2748,O2748)=1,R2748,0)/2.5</f>
        <v>0.4</v>
      </c>
    </row>
    <row r="2749" spans="1:19" ht="18" customHeight="1" x14ac:dyDescent="0.25">
      <c r="A2749" s="7" t="s">
        <v>43</v>
      </c>
      <c r="B2749" s="8">
        <v>1</v>
      </c>
      <c r="C2749" s="9">
        <v>425.9</v>
      </c>
      <c r="D2749" s="29">
        <f>C2749+IF(INDEX('Справочник по %'!B:B,(MATCH(A2749,'Справочник по %'!A:A,0)))="кол-во",B2749*INDEX('Справочник по %'!C:C,(MATCH(A2749,'Справочник по %'!A:A,0))),ОТЧЕТ!C2749*INDEX('Справочник по %'!C:C,(MATCH(A2749,'Справочник по %'!A:A,0))))/100</f>
        <v>468.49</v>
      </c>
      <c r="E2749" s="29">
        <f>IF(ОТЧЕТ!A2749="SKU3",C2749+ОТЧЕТ!C2749*0.2,C2749+ОТЧЕТ!C2749*0.15)</f>
        <v>489.78499999999997</v>
      </c>
      <c r="F2749" s="7" t="s">
        <v>5209</v>
      </c>
      <c r="G2749" s="7">
        <v>7204146152</v>
      </c>
      <c r="H2749" s="20" t="s">
        <v>3994</v>
      </c>
      <c r="I2749" s="22" t="str">
        <f>INDEX('Справочник Сети'!B:B,(MATCH(G2749,'Справочник Сети'!C:C,0)))</f>
        <v>36,6</v>
      </c>
      <c r="J2749" s="7" t="s">
        <v>104</v>
      </c>
      <c r="K2749" s="7" t="s">
        <v>1169</v>
      </c>
      <c r="L2749" s="7" t="s">
        <v>106</v>
      </c>
      <c r="M2749" s="31">
        <v>45694</v>
      </c>
      <c r="N2749" s="7" t="s">
        <v>5213</v>
      </c>
      <c r="O2749" s="8">
        <v>836</v>
      </c>
      <c r="P2749" s="24">
        <v>9903</v>
      </c>
      <c r="Q2749" s="22">
        <f>IF(COUNTIFS(A$2:A2749,A2749,I$2:I2749,I2749)=1,1,0)</f>
        <v>0</v>
      </c>
      <c r="R2749" s="22">
        <f t="shared" si="42"/>
        <v>11</v>
      </c>
      <c r="S2749" s="33">
        <f>IF(COUNTIF(O$2:O2749,O2749)=1,R2749,0)/2.5</f>
        <v>0</v>
      </c>
    </row>
    <row r="2750" spans="1:19" ht="18" customHeight="1" x14ac:dyDescent="0.25">
      <c r="A2750" s="7" t="s">
        <v>43</v>
      </c>
      <c r="B2750" s="8">
        <v>1</v>
      </c>
      <c r="C2750" s="9">
        <v>416.64</v>
      </c>
      <c r="D2750" s="29">
        <f>C2750+IF(INDEX('Справочник по %'!B:B,(MATCH(A2750,'Справочник по %'!A:A,0)))="кол-во",B2750*INDEX('Справочник по %'!C:C,(MATCH(A2750,'Справочник по %'!A:A,0))),ОТЧЕТ!C2750*INDEX('Справочник по %'!C:C,(MATCH(A2750,'Справочник по %'!A:A,0))))/100</f>
        <v>458.30399999999997</v>
      </c>
      <c r="E2750" s="29">
        <f>IF(ОТЧЕТ!A2750="SKU3",C2750+ОТЧЕТ!C2750*0.2,C2750+ОТЧЕТ!C2750*0.15)</f>
        <v>479.13599999999997</v>
      </c>
      <c r="F2750" s="7" t="s">
        <v>5209</v>
      </c>
      <c r="G2750" s="7">
        <v>550704589807</v>
      </c>
      <c r="H2750" s="20" t="s">
        <v>50</v>
      </c>
      <c r="I2750" s="22" t="str">
        <f>INDEX('Справочник Сети'!B:B,(MATCH(G2750,'Справочник Сети'!C:C,0)))</f>
        <v>Столички</v>
      </c>
      <c r="J2750" s="7" t="s">
        <v>251</v>
      </c>
      <c r="K2750" s="7" t="s">
        <v>3565</v>
      </c>
      <c r="L2750" s="7" t="s">
        <v>251</v>
      </c>
      <c r="M2750" s="31">
        <v>45659</v>
      </c>
      <c r="N2750" s="7" t="s">
        <v>5214</v>
      </c>
      <c r="O2750" s="8">
        <v>1134</v>
      </c>
      <c r="P2750" s="24">
        <v>9904</v>
      </c>
      <c r="Q2750" s="22">
        <f>IF(COUNTIFS(A$2:A2750,A2750,I$2:I2750,I2750)=1,1,0)</f>
        <v>0</v>
      </c>
      <c r="R2750" s="22">
        <f t="shared" si="42"/>
        <v>4</v>
      </c>
      <c r="S2750" s="33">
        <f>IF(COUNTIF(O$2:O2750,O2750)=1,R2750,0)/2.5</f>
        <v>0</v>
      </c>
    </row>
    <row r="2751" spans="1:19" ht="18" customHeight="1" x14ac:dyDescent="0.25">
      <c r="A2751" s="7" t="s">
        <v>43</v>
      </c>
      <c r="B2751" s="8">
        <v>1</v>
      </c>
      <c r="C2751" s="9">
        <v>435</v>
      </c>
      <c r="D2751" s="29">
        <f>C2751+IF(INDEX('Справочник по %'!B:B,(MATCH(A2751,'Справочник по %'!A:A,0)))="кол-во",B2751*INDEX('Справочник по %'!C:C,(MATCH(A2751,'Справочник по %'!A:A,0))),ОТЧЕТ!C2751*INDEX('Справочник по %'!C:C,(MATCH(A2751,'Справочник по %'!A:A,0))))/100</f>
        <v>478.5</v>
      </c>
      <c r="E2751" s="29">
        <f>IF(ОТЧЕТ!A2751="SKU3",C2751+ОТЧЕТ!C2751*0.2,C2751+ОТЧЕТ!C2751*0.15)</f>
        <v>500.25</v>
      </c>
      <c r="F2751" s="7" t="s">
        <v>5209</v>
      </c>
      <c r="G2751" s="7">
        <v>2308110232</v>
      </c>
      <c r="H2751" s="20" t="s">
        <v>69</v>
      </c>
      <c r="I2751" s="22" t="str">
        <f>INDEX('Справочник Сети'!B:B,(MATCH(G2751,'Справочник Сети'!C:C,0)))</f>
        <v>Нео-фарм</v>
      </c>
      <c r="J2751" s="7" t="s">
        <v>372</v>
      </c>
      <c r="K2751" s="7" t="s">
        <v>567</v>
      </c>
      <c r="L2751" s="7" t="s">
        <v>372</v>
      </c>
      <c r="M2751" s="31">
        <v>45730</v>
      </c>
      <c r="N2751" s="7" t="s">
        <v>5215</v>
      </c>
      <c r="O2751" s="8">
        <v>1892</v>
      </c>
      <c r="P2751" s="24">
        <v>9905</v>
      </c>
      <c r="Q2751" s="22">
        <f>IF(COUNTIFS(A$2:A2751,A2751,I$2:I2751,I2751)=1,1,0)</f>
        <v>0</v>
      </c>
      <c r="R2751" s="22">
        <f t="shared" si="42"/>
        <v>1</v>
      </c>
      <c r="S2751" s="33">
        <f>IF(COUNTIF(O$2:O2751,O2751)=1,R2751,0)/2.5</f>
        <v>0.4</v>
      </c>
    </row>
    <row r="2752" spans="1:19" ht="18" customHeight="1" x14ac:dyDescent="0.25">
      <c r="A2752" s="7" t="s">
        <v>37</v>
      </c>
      <c r="B2752" s="8">
        <v>1</v>
      </c>
      <c r="C2752" s="9">
        <v>672</v>
      </c>
      <c r="D2752" s="29">
        <f>C2752+IF(INDEX('Справочник по %'!B:B,(MATCH(A2752,'Справочник по %'!A:A,0)))="кол-во",B2752*INDEX('Справочник по %'!C:C,(MATCH(A2752,'Справочник по %'!A:A,0))),ОТЧЕТ!C2752*INDEX('Справочник по %'!C:C,(MATCH(A2752,'Справочник по %'!A:A,0))))/100</f>
        <v>672.2</v>
      </c>
      <c r="E2752" s="29">
        <f>IF(ОТЧЕТ!A2752="SKU3",C2752+ОТЧЕТ!C2752*0.2,C2752+ОТЧЕТ!C2752*0.15)</f>
        <v>772.8</v>
      </c>
      <c r="F2752" s="7" t="s">
        <v>5209</v>
      </c>
      <c r="G2752" s="7">
        <v>7805180253</v>
      </c>
      <c r="H2752" s="20" t="s">
        <v>50</v>
      </c>
      <c r="I2752" s="22">
        <f>INDEX('Справочник Сети'!B:B,(MATCH(G2752,'Справочник Сети'!C:C,0)))</f>
        <v>0</v>
      </c>
      <c r="J2752" s="7" t="s">
        <v>353</v>
      </c>
      <c r="K2752" s="7" t="s">
        <v>1149</v>
      </c>
      <c r="L2752" s="7" t="s">
        <v>353</v>
      </c>
      <c r="M2752" s="31">
        <v>45672</v>
      </c>
      <c r="N2752" s="7" t="s">
        <v>5216</v>
      </c>
      <c r="O2752" s="8">
        <v>3717</v>
      </c>
      <c r="P2752" s="24">
        <v>9908</v>
      </c>
      <c r="Q2752" s="22">
        <f>IF(COUNTIFS(A$2:A2752,A2752,I$2:I2752,I2752)=1,1,0)</f>
        <v>0</v>
      </c>
      <c r="R2752" s="22">
        <f t="shared" si="42"/>
        <v>2</v>
      </c>
      <c r="S2752" s="33">
        <f>IF(COUNTIF(O$2:O2752,O2752)=1,R2752,0)/2.5</f>
        <v>0</v>
      </c>
    </row>
    <row r="2753" spans="1:19" ht="18" customHeight="1" x14ac:dyDescent="0.25">
      <c r="A2753" s="7" t="s">
        <v>43</v>
      </c>
      <c r="B2753" s="8">
        <v>1</v>
      </c>
      <c r="C2753" s="9">
        <v>534</v>
      </c>
      <c r="D2753" s="29">
        <f>C2753+IF(INDEX('Справочник по %'!B:B,(MATCH(A2753,'Справочник по %'!A:A,0)))="кол-во",B2753*INDEX('Справочник по %'!C:C,(MATCH(A2753,'Справочник по %'!A:A,0))),ОТЧЕТ!C2753*INDEX('Справочник по %'!C:C,(MATCH(A2753,'Справочник по %'!A:A,0))))/100</f>
        <v>587.4</v>
      </c>
      <c r="E2753" s="29">
        <f>IF(ОТЧЕТ!A2753="SKU3",C2753+ОТЧЕТ!C2753*0.2,C2753+ОТЧЕТ!C2753*0.15)</f>
        <v>614.1</v>
      </c>
      <c r="F2753" s="7" t="s">
        <v>5209</v>
      </c>
      <c r="G2753" s="7">
        <v>7732121736</v>
      </c>
      <c r="H2753" s="20" t="s">
        <v>2076</v>
      </c>
      <c r="I2753" s="22" t="str">
        <f>INDEX('Справочник Сети'!B:B,(MATCH(G2753,'Справочник Сети'!C:C,0)))</f>
        <v>Планета здоровья</v>
      </c>
      <c r="J2753" s="7" t="s">
        <v>149</v>
      </c>
      <c r="K2753" s="7" t="s">
        <v>1921</v>
      </c>
      <c r="L2753" s="7" t="s">
        <v>149</v>
      </c>
      <c r="M2753" s="31">
        <v>45673</v>
      </c>
      <c r="N2753" s="7" t="s">
        <v>5217</v>
      </c>
      <c r="O2753" s="8">
        <v>2916</v>
      </c>
      <c r="P2753" s="24">
        <v>9909</v>
      </c>
      <c r="Q2753" s="22">
        <f>IF(COUNTIFS(A$2:A2753,A2753,I$2:I2753,I2753)=1,1,0)</f>
        <v>0</v>
      </c>
      <c r="R2753" s="22">
        <f t="shared" si="42"/>
        <v>2</v>
      </c>
      <c r="S2753" s="33">
        <f>IF(COUNTIF(O$2:O2753,O2753)=1,R2753,0)/2.5</f>
        <v>0</v>
      </c>
    </row>
    <row r="2754" spans="1:19" ht="18" customHeight="1" x14ac:dyDescent="0.25">
      <c r="A2754" s="7" t="s">
        <v>43</v>
      </c>
      <c r="B2754" s="8">
        <v>1</v>
      </c>
      <c r="C2754" s="9">
        <v>672</v>
      </c>
      <c r="D2754" s="29">
        <f>C2754+IF(INDEX('Справочник по %'!B:B,(MATCH(A2754,'Справочник по %'!A:A,0)))="кол-во",B2754*INDEX('Справочник по %'!C:C,(MATCH(A2754,'Справочник по %'!A:A,0))),ОТЧЕТ!C2754*INDEX('Справочник по %'!C:C,(MATCH(A2754,'Справочник по %'!A:A,0))))/100</f>
        <v>739.2</v>
      </c>
      <c r="E2754" s="29">
        <f>IF(ОТЧЕТ!A2754="SKU3",C2754+ОТЧЕТ!C2754*0.2,C2754+ОТЧЕТ!C2754*0.15)</f>
        <v>772.8</v>
      </c>
      <c r="F2754" s="7" t="s">
        <v>5209</v>
      </c>
      <c r="G2754" s="7">
        <v>7705947629</v>
      </c>
      <c r="H2754" s="20" t="s">
        <v>50</v>
      </c>
      <c r="I2754" s="22" t="str">
        <f>INDEX('Справочник Сети'!B:B,(MATCH(G2754,'Справочник Сети'!C:C,0)))</f>
        <v>36,6</v>
      </c>
      <c r="J2754" s="7" t="s">
        <v>104</v>
      </c>
      <c r="K2754" s="7" t="s">
        <v>2689</v>
      </c>
      <c r="L2754" s="7" t="s">
        <v>104</v>
      </c>
      <c r="M2754" s="31">
        <v>45693</v>
      </c>
      <c r="N2754" s="7" t="s">
        <v>5218</v>
      </c>
      <c r="O2754" s="8">
        <v>773</v>
      </c>
      <c r="P2754" s="24">
        <v>9911</v>
      </c>
      <c r="Q2754" s="22">
        <f>IF(COUNTIFS(A$2:A2754,A2754,I$2:I2754,I2754)=1,1,0)</f>
        <v>0</v>
      </c>
      <c r="R2754" s="22">
        <f t="shared" si="42"/>
        <v>4</v>
      </c>
      <c r="S2754" s="33">
        <f>IF(COUNTIF(O$2:O2754,O2754)=1,R2754,0)/2.5</f>
        <v>0</v>
      </c>
    </row>
    <row r="2755" spans="1:19" ht="18" customHeight="1" x14ac:dyDescent="0.25">
      <c r="A2755" s="7" t="s">
        <v>43</v>
      </c>
      <c r="B2755" s="8">
        <v>1</v>
      </c>
      <c r="C2755" s="9">
        <v>445</v>
      </c>
      <c r="D2755" s="29">
        <f>C2755+IF(INDEX('Справочник по %'!B:B,(MATCH(A2755,'Справочник по %'!A:A,0)))="кол-во",B2755*INDEX('Справочник по %'!C:C,(MATCH(A2755,'Справочник по %'!A:A,0))),ОТЧЕТ!C2755*INDEX('Справочник по %'!C:C,(MATCH(A2755,'Справочник по %'!A:A,0))))/100</f>
        <v>489.5</v>
      </c>
      <c r="E2755" s="29">
        <f>IF(ОТЧЕТ!A2755="SKU3",C2755+ОТЧЕТ!C2755*0.2,C2755+ОТЧЕТ!C2755*0.15)</f>
        <v>511.75</v>
      </c>
      <c r="F2755" s="7" t="s">
        <v>5209</v>
      </c>
      <c r="G2755" s="7">
        <v>7714456627</v>
      </c>
      <c r="H2755" s="20" t="s">
        <v>5219</v>
      </c>
      <c r="I2755" s="22" t="str">
        <f>INDEX('Справочник Сети'!B:B,(MATCH(G2755,'Справочник Сети'!C:C,0)))</f>
        <v>Ригла</v>
      </c>
      <c r="J2755" s="7" t="s">
        <v>504</v>
      </c>
      <c r="K2755" s="7" t="s">
        <v>651</v>
      </c>
      <c r="L2755" s="7" t="s">
        <v>504</v>
      </c>
      <c r="M2755" s="31">
        <v>45690</v>
      </c>
      <c r="N2755" s="7" t="s">
        <v>5220</v>
      </c>
      <c r="O2755" s="8">
        <v>1355</v>
      </c>
      <c r="P2755" s="24">
        <v>9913</v>
      </c>
      <c r="Q2755" s="22">
        <f>IF(COUNTIFS(A$2:A2755,A2755,I$2:I2755,I2755)=1,1,0)</f>
        <v>0</v>
      </c>
      <c r="R2755" s="22">
        <f t="shared" ref="R2755:R2799" si="43">COUNTIF(O:O,O2755)</f>
        <v>1</v>
      </c>
      <c r="S2755" s="33">
        <f>IF(COUNTIF(O$2:O2755,O2755)=1,R2755,0)/2.5</f>
        <v>0.4</v>
      </c>
    </row>
    <row r="2756" spans="1:19" ht="18" customHeight="1" x14ac:dyDescent="0.25">
      <c r="A2756" s="7" t="s">
        <v>37</v>
      </c>
      <c r="B2756" s="8">
        <v>1</v>
      </c>
      <c r="C2756" s="9">
        <v>540</v>
      </c>
      <c r="D2756" s="29">
        <f>C2756+IF(INDEX('Справочник по %'!B:B,(MATCH(A2756,'Справочник по %'!A:A,0)))="кол-во",B2756*INDEX('Справочник по %'!C:C,(MATCH(A2756,'Справочник по %'!A:A,0))),ОТЧЕТ!C2756*INDEX('Справочник по %'!C:C,(MATCH(A2756,'Справочник по %'!A:A,0))))/100</f>
        <v>540.20000000000005</v>
      </c>
      <c r="E2756" s="29">
        <f>IF(ОТЧЕТ!A2756="SKU3",C2756+ОТЧЕТ!C2756*0.2,C2756+ОТЧЕТ!C2756*0.15)</f>
        <v>621</v>
      </c>
      <c r="F2756" s="7" t="s">
        <v>5209</v>
      </c>
      <c r="G2756" s="7">
        <v>7706795062</v>
      </c>
      <c r="H2756" s="20" t="s">
        <v>327</v>
      </c>
      <c r="I2756" s="22" t="str">
        <f>INDEX('Справочник Сети'!B:B,(MATCH(G2756,'Справочник Сети'!C:C,0)))</f>
        <v>Планета здоровья</v>
      </c>
      <c r="J2756" s="7" t="s">
        <v>87</v>
      </c>
      <c r="K2756" s="7" t="s">
        <v>1205</v>
      </c>
      <c r="L2756" s="7" t="s">
        <v>116</v>
      </c>
      <c r="M2756" s="31">
        <v>45692</v>
      </c>
      <c r="N2756" s="7" t="s">
        <v>5221</v>
      </c>
      <c r="O2756" s="8">
        <v>1232</v>
      </c>
      <c r="P2756" s="24">
        <v>9916</v>
      </c>
      <c r="Q2756" s="22">
        <f>IF(COUNTIFS(A$2:A2756,A2756,I$2:I2756,I2756)=1,1,0)</f>
        <v>0</v>
      </c>
      <c r="R2756" s="22">
        <f t="shared" si="43"/>
        <v>3</v>
      </c>
      <c r="S2756" s="33">
        <f>IF(COUNTIF(O$2:O2756,O2756)=1,R2756,0)/2.5</f>
        <v>0</v>
      </c>
    </row>
    <row r="2757" spans="1:19" ht="18" customHeight="1" x14ac:dyDescent="0.25">
      <c r="A2757" s="7" t="s">
        <v>43</v>
      </c>
      <c r="B2757" s="8">
        <v>1</v>
      </c>
      <c r="C2757" s="9">
        <v>424</v>
      </c>
      <c r="D2757" s="29">
        <f>C2757+IF(INDEX('Справочник по %'!B:B,(MATCH(A2757,'Справочник по %'!A:A,0)))="кол-во",B2757*INDEX('Справочник по %'!C:C,(MATCH(A2757,'Справочник по %'!A:A,0))),ОТЧЕТ!C2757*INDEX('Справочник по %'!C:C,(MATCH(A2757,'Справочник по %'!A:A,0))))/100</f>
        <v>466.4</v>
      </c>
      <c r="E2757" s="29">
        <f>IF(ОТЧЕТ!A2757="SKU3",C2757+ОТЧЕТ!C2757*0.2,C2757+ОТЧЕТ!C2757*0.15)</f>
        <v>487.6</v>
      </c>
      <c r="F2757" s="7" t="s">
        <v>5209</v>
      </c>
      <c r="G2757" s="7">
        <v>2466189073</v>
      </c>
      <c r="H2757" s="20" t="s">
        <v>5222</v>
      </c>
      <c r="I2757" s="22" t="str">
        <f>INDEX('Справочник Сети'!B:B,(MATCH(G2757,'Справочник Сети'!C:C,0)))</f>
        <v>Нео-фарм</v>
      </c>
      <c r="J2757" s="7" t="s">
        <v>96</v>
      </c>
      <c r="K2757" s="7" t="s">
        <v>2100</v>
      </c>
      <c r="L2757" s="7" t="s">
        <v>96</v>
      </c>
      <c r="M2757" s="31">
        <v>45727</v>
      </c>
      <c r="N2757" s="7" t="s">
        <v>5223</v>
      </c>
      <c r="O2757" s="8">
        <v>197</v>
      </c>
      <c r="P2757" s="24">
        <v>9922</v>
      </c>
      <c r="Q2757" s="22">
        <f>IF(COUNTIFS(A$2:A2757,A2757,I$2:I2757,I2757)=1,1,0)</f>
        <v>0</v>
      </c>
      <c r="R2757" s="22">
        <f t="shared" si="43"/>
        <v>1</v>
      </c>
      <c r="S2757" s="33">
        <f>IF(COUNTIF(O$2:O2757,O2757)=1,R2757,0)/2.5</f>
        <v>0.4</v>
      </c>
    </row>
    <row r="2758" spans="1:19" ht="18" customHeight="1" x14ac:dyDescent="0.25">
      <c r="A2758" s="7" t="s">
        <v>37</v>
      </c>
      <c r="B2758" s="8">
        <v>1</v>
      </c>
      <c r="C2758" s="9">
        <v>521.28</v>
      </c>
      <c r="D2758" s="29">
        <f>C2758+IF(INDEX('Справочник по %'!B:B,(MATCH(A2758,'Справочник по %'!A:A,0)))="кол-во",B2758*INDEX('Справочник по %'!C:C,(MATCH(A2758,'Справочник по %'!A:A,0))),ОТЧЕТ!C2758*INDEX('Справочник по %'!C:C,(MATCH(A2758,'Справочник по %'!A:A,0))))/100</f>
        <v>521.48</v>
      </c>
      <c r="E2758" s="29">
        <f>IF(ОТЧЕТ!A2758="SKU3",C2758+ОТЧЕТ!C2758*0.2,C2758+ОТЧЕТ!C2758*0.15)</f>
        <v>599.47199999999998</v>
      </c>
      <c r="F2758" s="7" t="s">
        <v>5209</v>
      </c>
      <c r="G2758" s="7">
        <v>2227005590</v>
      </c>
      <c r="H2758" s="20" t="s">
        <v>5224</v>
      </c>
      <c r="I2758" s="22" t="str">
        <f>INDEX('Справочник Сети'!B:B,(MATCH(G2758,'Справочник Сети'!C:C,0)))</f>
        <v>Нео-фарм</v>
      </c>
      <c r="J2758" s="7" t="s">
        <v>372</v>
      </c>
      <c r="K2758" s="7" t="s">
        <v>1772</v>
      </c>
      <c r="L2758" s="7" t="s">
        <v>372</v>
      </c>
      <c r="M2758" s="31">
        <v>45730</v>
      </c>
      <c r="N2758" s="7" t="s">
        <v>5225</v>
      </c>
      <c r="O2758" s="8">
        <v>2642</v>
      </c>
      <c r="P2758" s="24">
        <v>9923</v>
      </c>
      <c r="Q2758" s="22">
        <f>IF(COUNTIFS(A$2:A2758,A2758,I$2:I2758,I2758)=1,1,0)</f>
        <v>0</v>
      </c>
      <c r="R2758" s="22">
        <f t="shared" si="43"/>
        <v>1</v>
      </c>
      <c r="S2758" s="33">
        <f>IF(COUNTIF(O$2:O2758,O2758)=1,R2758,0)/2.5</f>
        <v>0.4</v>
      </c>
    </row>
    <row r="2759" spans="1:19" ht="18" customHeight="1" x14ac:dyDescent="0.25">
      <c r="A2759" s="7" t="s">
        <v>43</v>
      </c>
      <c r="B2759" s="8">
        <v>1</v>
      </c>
      <c r="C2759" s="9">
        <v>535</v>
      </c>
      <c r="D2759" s="29">
        <f>C2759+IF(INDEX('Справочник по %'!B:B,(MATCH(A2759,'Справочник по %'!A:A,0)))="кол-во",B2759*INDEX('Справочник по %'!C:C,(MATCH(A2759,'Справочник по %'!A:A,0))),ОТЧЕТ!C2759*INDEX('Справочник по %'!C:C,(MATCH(A2759,'Справочник по %'!A:A,0))))/100</f>
        <v>588.5</v>
      </c>
      <c r="E2759" s="29">
        <f>IF(ОТЧЕТ!A2759="SKU3",C2759+ОТЧЕТ!C2759*0.2,C2759+ОТЧЕТ!C2759*0.15)</f>
        <v>615.25</v>
      </c>
      <c r="F2759" s="7" t="s">
        <v>5209</v>
      </c>
      <c r="G2759" s="7">
        <v>7733709256</v>
      </c>
      <c r="H2759" s="20" t="s">
        <v>1441</v>
      </c>
      <c r="I2759" s="22">
        <f>INDEX('Справочник Сети'!B:B,(MATCH(G2759,'Справочник Сети'!C:C,0)))</f>
        <v>0</v>
      </c>
      <c r="J2759" s="7" t="s">
        <v>353</v>
      </c>
      <c r="K2759" s="7" t="s">
        <v>1098</v>
      </c>
      <c r="L2759" s="7" t="s">
        <v>353</v>
      </c>
      <c r="M2759" s="31">
        <v>45672</v>
      </c>
      <c r="N2759" s="7" t="s">
        <v>5226</v>
      </c>
      <c r="O2759" s="8">
        <v>1319</v>
      </c>
      <c r="P2759" s="24">
        <v>9929</v>
      </c>
      <c r="Q2759" s="22">
        <f>IF(COUNTIFS(A$2:A2759,A2759,I$2:I2759,I2759)=1,1,0)</f>
        <v>0</v>
      </c>
      <c r="R2759" s="22">
        <f t="shared" si="43"/>
        <v>4</v>
      </c>
      <c r="S2759" s="33">
        <f>IF(COUNTIF(O$2:O2759,O2759)=1,R2759,0)/2.5</f>
        <v>0</v>
      </c>
    </row>
    <row r="2760" spans="1:19" ht="18" customHeight="1" x14ac:dyDescent="0.25">
      <c r="A2760" s="7" t="s">
        <v>43</v>
      </c>
      <c r="B2760" s="8">
        <v>1</v>
      </c>
      <c r="C2760" s="9">
        <v>495</v>
      </c>
      <c r="D2760" s="29">
        <f>C2760+IF(INDEX('Справочник по %'!B:B,(MATCH(A2760,'Справочник по %'!A:A,0)))="кол-во",B2760*INDEX('Справочник по %'!C:C,(MATCH(A2760,'Справочник по %'!A:A,0))),ОТЧЕТ!C2760*INDEX('Справочник по %'!C:C,(MATCH(A2760,'Справочник по %'!A:A,0))))/100</f>
        <v>544.5</v>
      </c>
      <c r="E2760" s="29">
        <f>IF(ОТЧЕТ!A2760="SKU3",C2760+ОТЧЕТ!C2760*0.2,C2760+ОТЧЕТ!C2760*0.15)</f>
        <v>569.25</v>
      </c>
      <c r="F2760" s="7" t="s">
        <v>5209</v>
      </c>
      <c r="G2760" s="7">
        <v>7724211288</v>
      </c>
      <c r="H2760" s="20" t="s">
        <v>3593</v>
      </c>
      <c r="I2760" s="22" t="str">
        <f>INDEX('Справочник Сети'!B:B,(MATCH(G2760,'Справочник Сети'!C:C,0)))</f>
        <v>Планета здоровья</v>
      </c>
      <c r="J2760" s="7" t="s">
        <v>185</v>
      </c>
      <c r="K2760" s="7" t="s">
        <v>1022</v>
      </c>
      <c r="L2760" s="7" t="s">
        <v>185</v>
      </c>
      <c r="M2760" s="31">
        <v>45675</v>
      </c>
      <c r="N2760" s="7" t="s">
        <v>5227</v>
      </c>
      <c r="O2760" s="8">
        <v>1836</v>
      </c>
      <c r="P2760" s="24">
        <v>9930</v>
      </c>
      <c r="Q2760" s="22">
        <f>IF(COUNTIFS(A$2:A2760,A2760,I$2:I2760,I2760)=1,1,0)</f>
        <v>0</v>
      </c>
      <c r="R2760" s="22">
        <f t="shared" si="43"/>
        <v>2</v>
      </c>
      <c r="S2760" s="33">
        <f>IF(COUNTIF(O$2:O2760,O2760)=1,R2760,0)/2.5</f>
        <v>0</v>
      </c>
    </row>
    <row r="2761" spans="1:19" ht="18" customHeight="1" x14ac:dyDescent="0.25">
      <c r="A2761" s="7" t="s">
        <v>43</v>
      </c>
      <c r="B2761" s="8">
        <v>1</v>
      </c>
      <c r="C2761" s="9">
        <v>361.6</v>
      </c>
      <c r="D2761" s="29">
        <f>C2761+IF(INDEX('Справочник по %'!B:B,(MATCH(A2761,'Справочник по %'!A:A,0)))="кол-во",B2761*INDEX('Справочник по %'!C:C,(MATCH(A2761,'Справочник по %'!A:A,0))),ОТЧЕТ!C2761*INDEX('Справочник по %'!C:C,(MATCH(A2761,'Справочник по %'!A:A,0))))/100</f>
        <v>397.76</v>
      </c>
      <c r="E2761" s="29">
        <f>IF(ОТЧЕТ!A2761="SKU3",C2761+ОТЧЕТ!C2761*0.2,C2761+ОТЧЕТ!C2761*0.15)</f>
        <v>415.84000000000003</v>
      </c>
      <c r="F2761" s="7" t="s">
        <v>5209</v>
      </c>
      <c r="G2761" s="7">
        <v>2222896536</v>
      </c>
      <c r="H2761" s="20" t="s">
        <v>50</v>
      </c>
      <c r="I2761" s="22" t="str">
        <f>INDEX('Справочник Сети'!B:B,(MATCH(G2761,'Справочник Сети'!C:C,0)))</f>
        <v>Нео-фарм</v>
      </c>
      <c r="J2761" s="7" t="s">
        <v>372</v>
      </c>
      <c r="K2761" s="7" t="s">
        <v>1745</v>
      </c>
      <c r="L2761" s="7" t="s">
        <v>372</v>
      </c>
      <c r="M2761" s="31">
        <v>45730</v>
      </c>
      <c r="N2761" s="7" t="s">
        <v>5228</v>
      </c>
      <c r="O2761" s="8">
        <v>1918</v>
      </c>
      <c r="P2761" s="24">
        <v>9933</v>
      </c>
      <c r="Q2761" s="22">
        <f>IF(COUNTIFS(A$2:A2761,A2761,I$2:I2761,I2761)=1,1,0)</f>
        <v>0</v>
      </c>
      <c r="R2761" s="22">
        <f t="shared" si="43"/>
        <v>13</v>
      </c>
      <c r="S2761" s="33">
        <f>IF(COUNTIF(O$2:O2761,O2761)=1,R2761,0)/2.5</f>
        <v>0</v>
      </c>
    </row>
    <row r="2762" spans="1:19" ht="18" customHeight="1" x14ac:dyDescent="0.25">
      <c r="A2762" s="7" t="s">
        <v>43</v>
      </c>
      <c r="B2762" s="8">
        <v>1</v>
      </c>
      <c r="C2762" s="9">
        <v>425</v>
      </c>
      <c r="D2762" s="29">
        <f>C2762+IF(INDEX('Справочник по %'!B:B,(MATCH(A2762,'Справочник по %'!A:A,0)))="кол-во",B2762*INDEX('Справочник по %'!C:C,(MATCH(A2762,'Справочник по %'!A:A,0))),ОТЧЕТ!C2762*INDEX('Справочник по %'!C:C,(MATCH(A2762,'Справочник по %'!A:A,0))))/100</f>
        <v>467.5</v>
      </c>
      <c r="E2762" s="29">
        <f>IF(ОТЧЕТ!A2762="SKU3",C2762+ОТЧЕТ!C2762*0.2,C2762+ОТЧЕТ!C2762*0.15)</f>
        <v>488.75</v>
      </c>
      <c r="F2762" s="7" t="s">
        <v>5229</v>
      </c>
      <c r="G2762" s="7">
        <v>25700858815</v>
      </c>
      <c r="H2762" s="20" t="s">
        <v>91</v>
      </c>
      <c r="I2762" s="22">
        <f>INDEX('Справочник Сети'!B:B,(MATCH(G2762,'Справочник Сети'!C:C,0)))</f>
        <v>0</v>
      </c>
      <c r="J2762" s="7" t="s">
        <v>74</v>
      </c>
      <c r="K2762" s="7" t="s">
        <v>627</v>
      </c>
      <c r="L2762" s="7" t="s">
        <v>74</v>
      </c>
      <c r="M2762" s="31">
        <v>45661</v>
      </c>
      <c r="N2762" s="7" t="s">
        <v>5230</v>
      </c>
      <c r="O2762" s="8">
        <v>288</v>
      </c>
      <c r="P2762" s="24">
        <v>9944</v>
      </c>
      <c r="Q2762" s="22">
        <f>IF(COUNTIFS(A$2:A2762,A2762,I$2:I2762,I2762)=1,1,0)</f>
        <v>0</v>
      </c>
      <c r="R2762" s="22">
        <f t="shared" si="43"/>
        <v>1</v>
      </c>
      <c r="S2762" s="33">
        <f>IF(COUNTIF(O$2:O2762,O2762)=1,R2762,0)/2.5</f>
        <v>0.4</v>
      </c>
    </row>
    <row r="2763" spans="1:19" ht="18" customHeight="1" x14ac:dyDescent="0.25">
      <c r="A2763" s="7" t="s">
        <v>43</v>
      </c>
      <c r="B2763" s="8">
        <v>1</v>
      </c>
      <c r="C2763" s="9">
        <v>458</v>
      </c>
      <c r="D2763" s="29">
        <f>C2763+IF(INDEX('Справочник по %'!B:B,(MATCH(A2763,'Справочник по %'!A:A,0)))="кол-во",B2763*INDEX('Справочник по %'!C:C,(MATCH(A2763,'Справочник по %'!A:A,0))),ОТЧЕТ!C2763*INDEX('Справочник по %'!C:C,(MATCH(A2763,'Справочник по %'!A:A,0))))/100</f>
        <v>503.8</v>
      </c>
      <c r="E2763" s="29">
        <f>IF(ОТЧЕТ!A2763="SKU3",C2763+ОТЧЕТ!C2763*0.2,C2763+ОТЧЕТ!C2763*0.15)</f>
        <v>526.70000000000005</v>
      </c>
      <c r="F2763" s="7" t="s">
        <v>5229</v>
      </c>
      <c r="G2763" s="7">
        <v>5503206092</v>
      </c>
      <c r="H2763" s="20" t="s">
        <v>5231</v>
      </c>
      <c r="I2763" s="22">
        <f>INDEX('Справочник Сети'!B:B,(MATCH(G2763,'Справочник Сети'!C:C,0)))</f>
        <v>0</v>
      </c>
      <c r="J2763" s="7" t="s">
        <v>255</v>
      </c>
      <c r="K2763" s="7" t="s">
        <v>2999</v>
      </c>
      <c r="L2763" s="7" t="s">
        <v>255</v>
      </c>
      <c r="M2763" s="31">
        <v>45713</v>
      </c>
      <c r="N2763" s="7" t="s">
        <v>5232</v>
      </c>
      <c r="O2763" s="8">
        <v>3287</v>
      </c>
      <c r="P2763" s="24">
        <v>9945</v>
      </c>
      <c r="Q2763" s="22">
        <f>IF(COUNTIFS(A$2:A2763,A2763,I$2:I2763,I2763)=1,1,0)</f>
        <v>0</v>
      </c>
      <c r="R2763" s="22">
        <f t="shared" si="43"/>
        <v>1</v>
      </c>
      <c r="S2763" s="33">
        <f>IF(COUNTIF(O$2:O2763,O2763)=1,R2763,0)/2.5</f>
        <v>0.4</v>
      </c>
    </row>
    <row r="2764" spans="1:19" ht="18" customHeight="1" x14ac:dyDescent="0.25">
      <c r="A2764" s="7" t="s">
        <v>43</v>
      </c>
      <c r="B2764" s="8">
        <v>1</v>
      </c>
      <c r="C2764" s="9">
        <v>490</v>
      </c>
      <c r="D2764" s="29">
        <f>C2764+IF(INDEX('Справочник по %'!B:B,(MATCH(A2764,'Справочник по %'!A:A,0)))="кол-во",B2764*INDEX('Справочник по %'!C:C,(MATCH(A2764,'Справочник по %'!A:A,0))),ОТЧЕТ!C2764*INDEX('Справочник по %'!C:C,(MATCH(A2764,'Справочник по %'!A:A,0))))/100</f>
        <v>539</v>
      </c>
      <c r="E2764" s="29">
        <f>IF(ОТЧЕТ!A2764="SKU3",C2764+ОТЧЕТ!C2764*0.2,C2764+ОТЧЕТ!C2764*0.15)</f>
        <v>563.5</v>
      </c>
      <c r="F2764" s="7" t="s">
        <v>5233</v>
      </c>
      <c r="G2764" s="7">
        <v>4632192826</v>
      </c>
      <c r="H2764" s="20" t="s">
        <v>3444</v>
      </c>
      <c r="I2764" s="22">
        <f>INDEX('Справочник Сети'!B:B,(MATCH(G2764,'Справочник Сети'!C:C,0)))</f>
        <v>0</v>
      </c>
      <c r="J2764" s="7" t="s">
        <v>83</v>
      </c>
      <c r="K2764" s="7" t="s">
        <v>1103</v>
      </c>
      <c r="L2764" s="7" t="s">
        <v>155</v>
      </c>
      <c r="M2764" s="31">
        <v>45716</v>
      </c>
      <c r="N2764" s="7" t="s">
        <v>5234</v>
      </c>
      <c r="O2764" s="8">
        <v>3689</v>
      </c>
      <c r="P2764" s="24">
        <v>9952</v>
      </c>
      <c r="Q2764" s="22">
        <f>IF(COUNTIFS(A$2:A2764,A2764,I$2:I2764,I2764)=1,1,0)</f>
        <v>0</v>
      </c>
      <c r="R2764" s="22">
        <f t="shared" si="43"/>
        <v>6</v>
      </c>
      <c r="S2764" s="33">
        <f>IF(COUNTIF(O$2:O2764,O2764)=1,R2764,0)/2.5</f>
        <v>0</v>
      </c>
    </row>
    <row r="2765" spans="1:19" ht="18" customHeight="1" x14ac:dyDescent="0.25">
      <c r="A2765" s="7" t="s">
        <v>43</v>
      </c>
      <c r="B2765" s="8">
        <v>1</v>
      </c>
      <c r="C2765" s="9">
        <v>437</v>
      </c>
      <c r="D2765" s="29">
        <f>C2765+IF(INDEX('Справочник по %'!B:B,(MATCH(A2765,'Справочник по %'!A:A,0)))="кол-во",B2765*INDEX('Справочник по %'!C:C,(MATCH(A2765,'Справочник по %'!A:A,0))),ОТЧЕТ!C2765*INDEX('Справочник по %'!C:C,(MATCH(A2765,'Справочник по %'!A:A,0))))/100</f>
        <v>480.7</v>
      </c>
      <c r="E2765" s="29">
        <f>IF(ОТЧЕТ!A2765="SKU3",C2765+ОТЧЕТ!C2765*0.2,C2765+ОТЧЕТ!C2765*0.15)</f>
        <v>502.55</v>
      </c>
      <c r="F2765" s="7" t="s">
        <v>5233</v>
      </c>
      <c r="G2765" s="7">
        <v>381600345706</v>
      </c>
      <c r="H2765" s="20" t="s">
        <v>2346</v>
      </c>
      <c r="I2765" s="22" t="str">
        <f>INDEX('Справочник Сети'!B:B,(MATCH(G2765,'Справочник Сети'!C:C,0)))</f>
        <v>Нео-фарм</v>
      </c>
      <c r="J2765" s="7" t="s">
        <v>110</v>
      </c>
      <c r="K2765" s="7" t="s">
        <v>4830</v>
      </c>
      <c r="L2765" s="7" t="s">
        <v>110</v>
      </c>
      <c r="M2765" s="31">
        <v>45660</v>
      </c>
      <c r="N2765" s="7" t="s">
        <v>5235</v>
      </c>
      <c r="O2765" s="8">
        <v>3589</v>
      </c>
      <c r="P2765" s="24">
        <v>9961</v>
      </c>
      <c r="Q2765" s="22">
        <f>IF(COUNTIFS(A$2:A2765,A2765,I$2:I2765,I2765)=1,1,0)</f>
        <v>0</v>
      </c>
      <c r="R2765" s="22">
        <f t="shared" si="43"/>
        <v>3</v>
      </c>
      <c r="S2765" s="33">
        <f>IF(COUNTIF(O$2:O2765,O2765)=1,R2765,0)/2.5</f>
        <v>0</v>
      </c>
    </row>
    <row r="2766" spans="1:19" ht="18" customHeight="1" x14ac:dyDescent="0.25">
      <c r="A2766" s="7" t="s">
        <v>2436</v>
      </c>
      <c r="B2766" s="8">
        <v>1</v>
      </c>
      <c r="C2766" s="9">
        <v>360</v>
      </c>
      <c r="D2766" s="29">
        <f>C2766+IF(INDEX('Справочник по %'!B:B,(MATCH(A2766,'Справочник по %'!A:A,0)))="кол-во",B2766*INDEX('Справочник по %'!C:C,(MATCH(A2766,'Справочник по %'!A:A,0))),ОТЧЕТ!C2766*INDEX('Справочник по %'!C:C,(MATCH(A2766,'Справочник по %'!A:A,0))))/100</f>
        <v>396</v>
      </c>
      <c r="E2766" s="29">
        <f>IF(ОТЧЕТ!A2766="SKU3",C2766+ОТЧЕТ!C2766*0.2,C2766+ОТЧЕТ!C2766*0.15)</f>
        <v>414</v>
      </c>
      <c r="F2766" s="7" t="s">
        <v>5233</v>
      </c>
      <c r="G2766" s="7">
        <v>4632054054</v>
      </c>
      <c r="H2766" s="20" t="s">
        <v>2437</v>
      </c>
      <c r="I2766" s="22" t="str">
        <f>INDEX('Справочник Сети'!B:B,(MATCH(G2766,'Справочник Сети'!C:C,0)))</f>
        <v>Ригла</v>
      </c>
      <c r="J2766" s="7" t="s">
        <v>155</v>
      </c>
      <c r="K2766" s="7" t="s">
        <v>236</v>
      </c>
      <c r="L2766" s="7" t="s">
        <v>155</v>
      </c>
      <c r="M2766" s="31">
        <v>45716</v>
      </c>
      <c r="N2766" s="7" t="s">
        <v>5236</v>
      </c>
      <c r="O2766" s="8">
        <v>3006</v>
      </c>
      <c r="P2766" s="24">
        <v>9962</v>
      </c>
      <c r="Q2766" s="22">
        <f>IF(COUNTIFS(A$2:A2766,A2766,I$2:I2766,I2766)=1,1,0)</f>
        <v>0</v>
      </c>
      <c r="R2766" s="22">
        <f t="shared" si="43"/>
        <v>4</v>
      </c>
      <c r="S2766" s="33">
        <f>IF(COUNTIF(O$2:O2766,O2766)=1,R2766,0)/2.5</f>
        <v>0</v>
      </c>
    </row>
    <row r="2767" spans="1:19" ht="18" customHeight="1" x14ac:dyDescent="0.25">
      <c r="A2767" s="7" t="s">
        <v>43</v>
      </c>
      <c r="B2767" s="8">
        <v>1</v>
      </c>
      <c r="C2767" s="9">
        <v>520</v>
      </c>
      <c r="D2767" s="29">
        <f>C2767+IF(INDEX('Справочник по %'!B:B,(MATCH(A2767,'Справочник по %'!A:A,0)))="кол-во",B2767*INDEX('Справочник по %'!C:C,(MATCH(A2767,'Справочник по %'!A:A,0))),ОТЧЕТ!C2767*INDEX('Справочник по %'!C:C,(MATCH(A2767,'Справочник по %'!A:A,0))))/100</f>
        <v>572</v>
      </c>
      <c r="E2767" s="29">
        <f>IF(ОТЧЕТ!A2767="SKU3",C2767+ОТЧЕТ!C2767*0.2,C2767+ОТЧЕТ!C2767*0.15)</f>
        <v>598</v>
      </c>
      <c r="F2767" s="7" t="s">
        <v>5233</v>
      </c>
      <c r="G2767" s="7">
        <v>2801226275</v>
      </c>
      <c r="H2767" s="20" t="s">
        <v>50</v>
      </c>
      <c r="I2767" s="22" t="str">
        <f>INDEX('Справочник Сети'!B:B,(MATCH(G2767,'Справочник Сети'!C:C,0)))</f>
        <v>Столички</v>
      </c>
      <c r="J2767" s="7" t="s">
        <v>193</v>
      </c>
      <c r="K2767" s="7" t="s">
        <v>1196</v>
      </c>
      <c r="L2767" s="7" t="s">
        <v>193</v>
      </c>
      <c r="M2767" s="31">
        <v>45718</v>
      </c>
      <c r="N2767" s="7" t="s">
        <v>5237</v>
      </c>
      <c r="O2767" s="8">
        <v>1208</v>
      </c>
      <c r="P2767" s="24">
        <v>9964</v>
      </c>
      <c r="Q2767" s="22">
        <f>IF(COUNTIFS(A$2:A2767,A2767,I$2:I2767,I2767)=1,1,0)</f>
        <v>0</v>
      </c>
      <c r="R2767" s="22">
        <f t="shared" si="43"/>
        <v>1</v>
      </c>
      <c r="S2767" s="33">
        <f>IF(COUNTIF(O$2:O2767,O2767)=1,R2767,0)/2.5</f>
        <v>0.4</v>
      </c>
    </row>
    <row r="2768" spans="1:19" ht="18" customHeight="1" x14ac:dyDescent="0.25">
      <c r="A2768" s="7" t="s">
        <v>43</v>
      </c>
      <c r="B2768" s="8">
        <v>1</v>
      </c>
      <c r="C2768" s="9">
        <v>408</v>
      </c>
      <c r="D2768" s="29">
        <f>C2768+IF(INDEX('Справочник по %'!B:B,(MATCH(A2768,'Справочник по %'!A:A,0)))="кол-во",B2768*INDEX('Справочник по %'!C:C,(MATCH(A2768,'Справочник по %'!A:A,0))),ОТЧЕТ!C2768*INDEX('Справочник по %'!C:C,(MATCH(A2768,'Справочник по %'!A:A,0))))/100</f>
        <v>448.8</v>
      </c>
      <c r="E2768" s="29">
        <f>IF(ОТЧЕТ!A2768="SKU3",C2768+ОТЧЕТ!C2768*0.2,C2768+ОТЧЕТ!C2768*0.15)</f>
        <v>469.2</v>
      </c>
      <c r="F2768" s="7" t="s">
        <v>5233</v>
      </c>
      <c r="G2768" s="7">
        <v>7705947629</v>
      </c>
      <c r="H2768" s="20" t="s">
        <v>50</v>
      </c>
      <c r="I2768" s="22" t="str">
        <f>INDEX('Справочник Сети'!B:B,(MATCH(G2768,'Справочник Сети'!C:C,0)))</f>
        <v>36,6</v>
      </c>
      <c r="J2768" s="7" t="s">
        <v>116</v>
      </c>
      <c r="K2768" s="7" t="s">
        <v>1033</v>
      </c>
      <c r="L2768" s="7" t="s">
        <v>104</v>
      </c>
      <c r="M2768" s="31">
        <v>45693</v>
      </c>
      <c r="N2768" s="7" t="s">
        <v>5238</v>
      </c>
      <c r="O2768" s="8">
        <v>2817</v>
      </c>
      <c r="P2768" s="24">
        <v>9969</v>
      </c>
      <c r="Q2768" s="22">
        <f>IF(COUNTIFS(A$2:A2768,A2768,I$2:I2768,I2768)=1,1,0)</f>
        <v>0</v>
      </c>
      <c r="R2768" s="22">
        <f t="shared" si="43"/>
        <v>2</v>
      </c>
      <c r="S2768" s="33">
        <f>IF(COUNTIF(O$2:O2768,O2768)=1,R2768,0)/2.5</f>
        <v>0</v>
      </c>
    </row>
    <row r="2769" spans="1:19" ht="18" customHeight="1" x14ac:dyDescent="0.25">
      <c r="A2769" s="7" t="s">
        <v>43</v>
      </c>
      <c r="B2769" s="8">
        <v>1</v>
      </c>
      <c r="C2769" s="9">
        <v>383</v>
      </c>
      <c r="D2769" s="29">
        <f>C2769+IF(INDEX('Справочник по %'!B:B,(MATCH(A2769,'Справочник по %'!A:A,0)))="кол-во",B2769*INDEX('Справочник по %'!C:C,(MATCH(A2769,'Справочник по %'!A:A,0))),ОТЧЕТ!C2769*INDEX('Справочник по %'!C:C,(MATCH(A2769,'Справочник по %'!A:A,0))))/100</f>
        <v>421.3</v>
      </c>
      <c r="E2769" s="29">
        <f>IF(ОТЧЕТ!A2769="SKU3",C2769+ОТЧЕТ!C2769*0.2,C2769+ОТЧЕТ!C2769*0.15)</f>
        <v>440.45</v>
      </c>
      <c r="F2769" s="7" t="s">
        <v>5233</v>
      </c>
      <c r="G2769" s="7">
        <v>7706795062</v>
      </c>
      <c r="H2769" s="20" t="s">
        <v>2163</v>
      </c>
      <c r="I2769" s="22" t="str">
        <f>INDEX('Справочник Сети'!B:B,(MATCH(G2769,'Справочник Сети'!C:C,0)))</f>
        <v>Планета здоровья</v>
      </c>
      <c r="J2769" s="7" t="s">
        <v>87</v>
      </c>
      <c r="K2769" s="7" t="s">
        <v>1010</v>
      </c>
      <c r="L2769" s="7" t="s">
        <v>87</v>
      </c>
      <c r="M2769" s="31">
        <v>45691</v>
      </c>
      <c r="N2769" s="7" t="s">
        <v>5239</v>
      </c>
      <c r="O2769" s="8">
        <v>2353</v>
      </c>
      <c r="P2769" s="24">
        <v>9972</v>
      </c>
      <c r="Q2769" s="22">
        <f>IF(COUNTIFS(A$2:A2769,A2769,I$2:I2769,I2769)=1,1,0)</f>
        <v>0</v>
      </c>
      <c r="R2769" s="22">
        <f t="shared" si="43"/>
        <v>5</v>
      </c>
      <c r="S2769" s="33">
        <f>IF(COUNTIF(O$2:O2769,O2769)=1,R2769,0)/2.5</f>
        <v>0</v>
      </c>
    </row>
    <row r="2770" spans="1:19" ht="18" customHeight="1" x14ac:dyDescent="0.25">
      <c r="A2770" s="7" t="s">
        <v>43</v>
      </c>
      <c r="B2770" s="8">
        <v>1</v>
      </c>
      <c r="C2770" s="9">
        <v>344</v>
      </c>
      <c r="D2770" s="29">
        <f>C2770+IF(INDEX('Справочник по %'!B:B,(MATCH(A2770,'Справочник по %'!A:A,0)))="кол-во",B2770*INDEX('Справочник по %'!C:C,(MATCH(A2770,'Справочник по %'!A:A,0))),ОТЧЕТ!C2770*INDEX('Справочник по %'!C:C,(MATCH(A2770,'Справочник по %'!A:A,0))))/100</f>
        <v>378.4</v>
      </c>
      <c r="E2770" s="29">
        <f>IF(ОТЧЕТ!A2770="SKU3",C2770+ОТЧЕТ!C2770*0.2,C2770+ОТЧЕТ!C2770*0.15)</f>
        <v>395.6</v>
      </c>
      <c r="F2770" s="7" t="s">
        <v>5233</v>
      </c>
      <c r="G2770" s="7">
        <v>2308241919</v>
      </c>
      <c r="H2770" s="20" t="s">
        <v>50</v>
      </c>
      <c r="I2770" s="22" t="str">
        <f>INDEX('Справочник Сети'!B:B,(MATCH(G2770,'Справочник Сети'!C:C,0)))</f>
        <v>Столички</v>
      </c>
      <c r="J2770" s="7" t="s">
        <v>57</v>
      </c>
      <c r="K2770" s="7" t="s">
        <v>1453</v>
      </c>
      <c r="L2770" s="7" t="s">
        <v>57</v>
      </c>
      <c r="M2770" s="31">
        <v>45729</v>
      </c>
      <c r="N2770" s="7" t="s">
        <v>5240</v>
      </c>
      <c r="O2770" s="8">
        <v>1564</v>
      </c>
      <c r="P2770" s="24">
        <v>9974</v>
      </c>
      <c r="Q2770" s="22">
        <f>IF(COUNTIFS(A$2:A2770,A2770,I$2:I2770,I2770)=1,1,0)</f>
        <v>0</v>
      </c>
      <c r="R2770" s="22">
        <f t="shared" si="43"/>
        <v>2</v>
      </c>
      <c r="S2770" s="33">
        <f>IF(COUNTIF(O$2:O2770,O2770)=1,R2770,0)/2.5</f>
        <v>0</v>
      </c>
    </row>
    <row r="2771" spans="1:19" ht="18" customHeight="1" x14ac:dyDescent="0.25">
      <c r="A2771" s="7" t="s">
        <v>43</v>
      </c>
      <c r="B2771" s="8">
        <v>1</v>
      </c>
      <c r="C2771" s="9">
        <v>424.35</v>
      </c>
      <c r="D2771" s="29">
        <f>C2771+IF(INDEX('Справочник по %'!B:B,(MATCH(A2771,'Справочник по %'!A:A,0)))="кол-во",B2771*INDEX('Справочник по %'!C:C,(MATCH(A2771,'Справочник по %'!A:A,0))),ОТЧЕТ!C2771*INDEX('Справочник по %'!C:C,(MATCH(A2771,'Справочник по %'!A:A,0))))/100</f>
        <v>466.78500000000003</v>
      </c>
      <c r="E2771" s="29">
        <f>IF(ОТЧЕТ!A2771="SKU3",C2771+ОТЧЕТ!C2771*0.2,C2771+ОТЧЕТ!C2771*0.15)</f>
        <v>488.00250000000005</v>
      </c>
      <c r="F2771" s="7" t="s">
        <v>5241</v>
      </c>
      <c r="G2771" s="7">
        <v>632200529922</v>
      </c>
      <c r="H2771" s="20" t="s">
        <v>50</v>
      </c>
      <c r="I2771" s="22" t="str">
        <f>INDEX('Справочник Сети'!B:B,(MATCH(G2771,'Справочник Сети'!C:C,0)))</f>
        <v>Нео-фарм</v>
      </c>
      <c r="J2771" s="7" t="s">
        <v>251</v>
      </c>
      <c r="K2771" s="7" t="s">
        <v>1486</v>
      </c>
      <c r="L2771" s="7" t="s">
        <v>251</v>
      </c>
      <c r="M2771" s="31">
        <v>45659</v>
      </c>
      <c r="N2771" s="7" t="s">
        <v>5242</v>
      </c>
      <c r="O2771" s="8">
        <v>2733</v>
      </c>
      <c r="P2771" s="24">
        <v>9977</v>
      </c>
      <c r="Q2771" s="22">
        <f>IF(COUNTIFS(A$2:A2771,A2771,I$2:I2771,I2771)=1,1,0)</f>
        <v>0</v>
      </c>
      <c r="R2771" s="22">
        <f t="shared" si="43"/>
        <v>1</v>
      </c>
      <c r="S2771" s="33">
        <f>IF(COUNTIF(O$2:O2771,O2771)=1,R2771,0)/2.5</f>
        <v>0.4</v>
      </c>
    </row>
    <row r="2772" spans="1:19" ht="18" customHeight="1" x14ac:dyDescent="0.25">
      <c r="A2772" s="7" t="s">
        <v>43</v>
      </c>
      <c r="B2772" s="8">
        <v>1</v>
      </c>
      <c r="C2772" s="9">
        <v>372</v>
      </c>
      <c r="D2772" s="29">
        <f>C2772+IF(INDEX('Справочник по %'!B:B,(MATCH(A2772,'Справочник по %'!A:A,0)))="кол-во",B2772*INDEX('Справочник по %'!C:C,(MATCH(A2772,'Справочник по %'!A:A,0))),ОТЧЕТ!C2772*INDEX('Справочник по %'!C:C,(MATCH(A2772,'Справочник по %'!A:A,0))))/100</f>
        <v>409.2</v>
      </c>
      <c r="E2772" s="29">
        <f>IF(ОТЧЕТ!A2772="SKU3",C2772+ОТЧЕТ!C2772*0.2,C2772+ОТЧЕТ!C2772*0.15)</f>
        <v>427.8</v>
      </c>
      <c r="F2772" s="7" t="s">
        <v>5243</v>
      </c>
      <c r="G2772" s="7">
        <v>7728339546</v>
      </c>
      <c r="H2772" s="20" t="s">
        <v>2274</v>
      </c>
      <c r="I2772" s="22" t="str">
        <f>INDEX('Справочник Сети'!B:B,(MATCH(G2772,'Справочник Сети'!C:C,0)))</f>
        <v>Планета здоровья</v>
      </c>
      <c r="J2772" s="7" t="s">
        <v>142</v>
      </c>
      <c r="K2772" s="7" t="s">
        <v>2620</v>
      </c>
      <c r="L2772" s="7" t="s">
        <v>142</v>
      </c>
      <c r="M2772" s="31">
        <v>45674</v>
      </c>
      <c r="N2772" s="7" t="s">
        <v>5244</v>
      </c>
      <c r="O2772" s="8">
        <v>897</v>
      </c>
      <c r="P2772" s="24">
        <v>9980</v>
      </c>
      <c r="Q2772" s="22">
        <f>IF(COUNTIFS(A$2:A2772,A2772,I$2:I2772,I2772)=1,1,0)</f>
        <v>0</v>
      </c>
      <c r="R2772" s="22">
        <f t="shared" si="43"/>
        <v>5</v>
      </c>
      <c r="S2772" s="33">
        <f>IF(COUNTIF(O$2:O2772,O2772)=1,R2772,0)/2.5</f>
        <v>0</v>
      </c>
    </row>
    <row r="2773" spans="1:19" ht="18" customHeight="1" x14ac:dyDescent="0.25">
      <c r="A2773" s="7" t="s">
        <v>43</v>
      </c>
      <c r="B2773" s="8">
        <v>1</v>
      </c>
      <c r="C2773" s="9">
        <v>399</v>
      </c>
      <c r="D2773" s="29">
        <f>C2773+IF(INDEX('Справочник по %'!B:B,(MATCH(A2773,'Справочник по %'!A:A,0)))="кол-во",B2773*INDEX('Справочник по %'!C:C,(MATCH(A2773,'Справочник по %'!A:A,0))),ОТЧЕТ!C2773*INDEX('Справочник по %'!C:C,(MATCH(A2773,'Справочник по %'!A:A,0))))/100</f>
        <v>438.9</v>
      </c>
      <c r="E2773" s="29">
        <f>IF(ОТЧЕТ!A2773="SKU3",C2773+ОТЧЕТ!C2773*0.2,C2773+ОТЧЕТ!C2773*0.15)</f>
        <v>458.85</v>
      </c>
      <c r="F2773" s="7" t="s">
        <v>5243</v>
      </c>
      <c r="G2773" s="7">
        <v>7732121736</v>
      </c>
      <c r="H2773" s="20" t="s">
        <v>5245</v>
      </c>
      <c r="I2773" s="22" t="str">
        <f>INDEX('Справочник Сети'!B:B,(MATCH(G2773,'Справочник Сети'!C:C,0)))</f>
        <v>Планета здоровья</v>
      </c>
      <c r="J2773" s="7" t="s">
        <v>149</v>
      </c>
      <c r="K2773" s="7" t="s">
        <v>1998</v>
      </c>
      <c r="L2773" s="7" t="s">
        <v>149</v>
      </c>
      <c r="M2773" s="31">
        <v>45673</v>
      </c>
      <c r="N2773" s="7" t="s">
        <v>5246</v>
      </c>
      <c r="O2773" s="8">
        <v>3313</v>
      </c>
      <c r="P2773" s="24">
        <v>9983</v>
      </c>
      <c r="Q2773" s="22">
        <f>IF(COUNTIFS(A$2:A2773,A2773,I$2:I2773,I2773)=1,1,0)</f>
        <v>0</v>
      </c>
      <c r="R2773" s="22">
        <f t="shared" si="43"/>
        <v>1</v>
      </c>
      <c r="S2773" s="33">
        <f>IF(COUNTIF(O$2:O2773,O2773)=1,R2773,0)/2.5</f>
        <v>0.4</v>
      </c>
    </row>
    <row r="2774" spans="1:19" ht="18" customHeight="1" x14ac:dyDescent="0.25">
      <c r="A2774" s="7" t="s">
        <v>43</v>
      </c>
      <c r="B2774" s="8">
        <v>1</v>
      </c>
      <c r="C2774" s="9">
        <v>419</v>
      </c>
      <c r="D2774" s="29">
        <f>C2774+IF(INDEX('Справочник по %'!B:B,(MATCH(A2774,'Справочник по %'!A:A,0)))="кол-во",B2774*INDEX('Справочник по %'!C:C,(MATCH(A2774,'Справочник по %'!A:A,0))),ОТЧЕТ!C2774*INDEX('Справочник по %'!C:C,(MATCH(A2774,'Справочник по %'!A:A,0))))/100</f>
        <v>460.9</v>
      </c>
      <c r="E2774" s="29">
        <f>IF(ОТЧЕТ!A2774="SKU3",C2774+ОТЧЕТ!C2774*0.2,C2774+ОТЧЕТ!C2774*0.15)</f>
        <v>481.85</v>
      </c>
      <c r="F2774" s="7" t="s">
        <v>5247</v>
      </c>
      <c r="G2774" s="7">
        <v>3907029575</v>
      </c>
      <c r="H2774" s="20" t="s">
        <v>4671</v>
      </c>
      <c r="I2774" s="22" t="str">
        <f>INDEX('Справочник Сети'!B:B,(MATCH(G2774,'Справочник Сети'!C:C,0)))</f>
        <v>Столички</v>
      </c>
      <c r="J2774" s="7" t="s">
        <v>155</v>
      </c>
      <c r="K2774" s="7" t="s">
        <v>1422</v>
      </c>
      <c r="L2774" s="7" t="s">
        <v>155</v>
      </c>
      <c r="M2774" s="31">
        <v>45716</v>
      </c>
      <c r="N2774" s="7" t="s">
        <v>5248</v>
      </c>
      <c r="O2774" s="8">
        <v>2334</v>
      </c>
      <c r="P2774" s="24">
        <v>9984</v>
      </c>
      <c r="Q2774" s="22">
        <f>IF(COUNTIFS(A$2:A2774,A2774,I$2:I2774,I2774)=1,1,0)</f>
        <v>0</v>
      </c>
      <c r="R2774" s="22">
        <f t="shared" si="43"/>
        <v>1</v>
      </c>
      <c r="S2774" s="33">
        <f>IF(COUNTIF(O$2:O2774,O2774)=1,R2774,0)/2.5</f>
        <v>0.4</v>
      </c>
    </row>
    <row r="2775" spans="1:19" ht="18" customHeight="1" x14ac:dyDescent="0.25">
      <c r="A2775" s="7" t="s">
        <v>37</v>
      </c>
      <c r="B2775" s="8">
        <v>1</v>
      </c>
      <c r="C2775" s="9">
        <v>599.9</v>
      </c>
      <c r="D2775" s="29">
        <f>C2775+IF(INDEX('Справочник по %'!B:B,(MATCH(A2775,'Справочник по %'!A:A,0)))="кол-во",B2775*INDEX('Справочник по %'!C:C,(MATCH(A2775,'Справочник по %'!A:A,0))),ОТЧЕТ!C2775*INDEX('Справочник по %'!C:C,(MATCH(A2775,'Справочник по %'!A:A,0))))/100</f>
        <v>600.1</v>
      </c>
      <c r="E2775" s="29">
        <f>IF(ОТЧЕТ!A2775="SKU3",C2775+ОТЧЕТ!C2775*0.2,C2775+ОТЧЕТ!C2775*0.15)</f>
        <v>689.88499999999999</v>
      </c>
      <c r="F2775" s="7" t="s">
        <v>5247</v>
      </c>
      <c r="G2775" s="7">
        <v>1659064696</v>
      </c>
      <c r="H2775" s="20" t="s">
        <v>2791</v>
      </c>
      <c r="I2775" s="22" t="str">
        <f>INDEX('Справочник Сети'!B:B,(MATCH(G2775,'Справочник Сети'!C:C,0)))</f>
        <v>Планета здоровья</v>
      </c>
      <c r="J2775" s="7" t="s">
        <v>335</v>
      </c>
      <c r="K2775" s="7" t="s">
        <v>571</v>
      </c>
      <c r="L2775" s="7" t="s">
        <v>335</v>
      </c>
      <c r="M2775" s="31">
        <v>45731</v>
      </c>
      <c r="N2775" s="7" t="s">
        <v>5249</v>
      </c>
      <c r="O2775" s="8">
        <v>2377</v>
      </c>
      <c r="P2775" s="24">
        <v>9985</v>
      </c>
      <c r="Q2775" s="22">
        <f>IF(COUNTIFS(A$2:A2775,A2775,I$2:I2775,I2775)=1,1,0)</f>
        <v>0</v>
      </c>
      <c r="R2775" s="22">
        <f t="shared" si="43"/>
        <v>4</v>
      </c>
      <c r="S2775" s="33">
        <f>IF(COUNTIF(O$2:O2775,O2775)=1,R2775,0)/2.5</f>
        <v>0</v>
      </c>
    </row>
    <row r="2776" spans="1:19" ht="18" customHeight="1" x14ac:dyDescent="0.25">
      <c r="A2776" s="7" t="s">
        <v>43</v>
      </c>
      <c r="B2776" s="8">
        <v>1</v>
      </c>
      <c r="C2776" s="9">
        <v>376</v>
      </c>
      <c r="D2776" s="29">
        <f>C2776+IF(INDEX('Справочник по %'!B:B,(MATCH(A2776,'Справочник по %'!A:A,0)))="кол-во",B2776*INDEX('Справочник по %'!C:C,(MATCH(A2776,'Справочник по %'!A:A,0))),ОТЧЕТ!C2776*INDEX('Справочник по %'!C:C,(MATCH(A2776,'Справочник по %'!A:A,0))))/100</f>
        <v>413.6</v>
      </c>
      <c r="E2776" s="29">
        <f>IF(ОТЧЕТ!A2776="SKU3",C2776+ОТЧЕТ!C2776*0.2,C2776+ОТЧЕТ!C2776*0.15)</f>
        <v>432.4</v>
      </c>
      <c r="F2776" s="7" t="s">
        <v>5250</v>
      </c>
      <c r="G2776" s="7">
        <v>2309136755</v>
      </c>
      <c r="H2776" s="20" t="s">
        <v>50</v>
      </c>
      <c r="I2776" s="22" t="str">
        <f>INDEX('Справочник Сети'!B:B,(MATCH(G2776,'Справочник Сети'!C:C,0)))</f>
        <v>Столички</v>
      </c>
      <c r="J2776" s="7" t="s">
        <v>57</v>
      </c>
      <c r="K2776" s="7" t="s">
        <v>1588</v>
      </c>
      <c r="L2776" s="7" t="s">
        <v>57</v>
      </c>
      <c r="M2776" s="31">
        <v>45729</v>
      </c>
      <c r="N2776" s="7" t="s">
        <v>5251</v>
      </c>
      <c r="O2776" s="8">
        <v>1577</v>
      </c>
      <c r="P2776" s="24">
        <v>9991</v>
      </c>
      <c r="Q2776" s="22">
        <f>IF(COUNTIFS(A$2:A2776,A2776,I$2:I2776,I2776)=1,1,0)</f>
        <v>0</v>
      </c>
      <c r="R2776" s="22">
        <f t="shared" si="43"/>
        <v>5</v>
      </c>
      <c r="S2776" s="33">
        <f>IF(COUNTIF(O$2:O2776,O2776)=1,R2776,0)/2.5</f>
        <v>0</v>
      </c>
    </row>
    <row r="2777" spans="1:19" ht="18" customHeight="1" x14ac:dyDescent="0.25">
      <c r="A2777" s="7" t="s">
        <v>43</v>
      </c>
      <c r="B2777" s="8">
        <v>1</v>
      </c>
      <c r="C2777" s="9">
        <v>356</v>
      </c>
      <c r="D2777" s="29">
        <f>C2777+IF(INDEX('Справочник по %'!B:B,(MATCH(A2777,'Справочник по %'!A:A,0)))="кол-во",B2777*INDEX('Справочник по %'!C:C,(MATCH(A2777,'Справочник по %'!A:A,0))),ОТЧЕТ!C2777*INDEX('Справочник по %'!C:C,(MATCH(A2777,'Справочник по %'!A:A,0))))/100</f>
        <v>391.6</v>
      </c>
      <c r="E2777" s="29">
        <f>IF(ОТЧЕТ!A2777="SKU3",C2777+ОТЧЕТ!C2777*0.2,C2777+ОТЧЕТ!C2777*0.15)</f>
        <v>409.4</v>
      </c>
      <c r="F2777" s="7" t="s">
        <v>5250</v>
      </c>
      <c r="G2777" s="7">
        <v>2309136755</v>
      </c>
      <c r="H2777" s="20" t="s">
        <v>50</v>
      </c>
      <c r="I2777" s="22" t="str">
        <f>INDEX('Справочник Сети'!B:B,(MATCH(G2777,'Справочник Сети'!C:C,0)))</f>
        <v>Столички</v>
      </c>
      <c r="J2777" s="7" t="s">
        <v>57</v>
      </c>
      <c r="K2777" s="7" t="s">
        <v>328</v>
      </c>
      <c r="L2777" s="7" t="s">
        <v>57</v>
      </c>
      <c r="M2777" s="31">
        <v>45729</v>
      </c>
      <c r="N2777" s="7" t="s">
        <v>5252</v>
      </c>
      <c r="O2777" s="8">
        <v>1577</v>
      </c>
      <c r="P2777" s="24">
        <v>9992</v>
      </c>
      <c r="Q2777" s="22">
        <f>IF(COUNTIFS(A$2:A2777,A2777,I$2:I2777,I2777)=1,1,0)</f>
        <v>0</v>
      </c>
      <c r="R2777" s="22">
        <f t="shared" si="43"/>
        <v>5</v>
      </c>
      <c r="S2777" s="33">
        <f>IF(COUNTIF(O$2:O2777,O2777)=1,R2777,0)/2.5</f>
        <v>0</v>
      </c>
    </row>
    <row r="2778" spans="1:19" ht="18" customHeight="1" x14ac:dyDescent="0.25">
      <c r="A2778" s="7" t="s">
        <v>37</v>
      </c>
      <c r="B2778" s="8">
        <v>1</v>
      </c>
      <c r="C2778" s="9">
        <v>561</v>
      </c>
      <c r="D2778" s="29">
        <f>C2778+IF(INDEX('Справочник по %'!B:B,(MATCH(A2778,'Справочник по %'!A:A,0)))="кол-во",B2778*INDEX('Справочник по %'!C:C,(MATCH(A2778,'Справочник по %'!A:A,0))),ОТЧЕТ!C2778*INDEX('Справочник по %'!C:C,(MATCH(A2778,'Справочник по %'!A:A,0))))/100</f>
        <v>561.20000000000005</v>
      </c>
      <c r="E2778" s="29">
        <f>IF(ОТЧЕТ!A2778="SKU3",C2778+ОТЧЕТ!C2778*0.2,C2778+ОТЧЕТ!C2778*0.15)</f>
        <v>645.15</v>
      </c>
      <c r="F2778" s="7" t="s">
        <v>5250</v>
      </c>
      <c r="G2778" s="7">
        <v>7706795062</v>
      </c>
      <c r="H2778" s="20" t="s">
        <v>670</v>
      </c>
      <c r="I2778" s="22" t="str">
        <f>INDEX('Справочник Сети'!B:B,(MATCH(G2778,'Справочник Сети'!C:C,0)))</f>
        <v>Планета здоровья</v>
      </c>
      <c r="J2778" s="7" t="s">
        <v>87</v>
      </c>
      <c r="K2778" s="7" t="s">
        <v>710</v>
      </c>
      <c r="L2778" s="7" t="s">
        <v>87</v>
      </c>
      <c r="M2778" s="31">
        <v>45691</v>
      </c>
      <c r="N2778" s="7" t="s">
        <v>5253</v>
      </c>
      <c r="O2778" s="8">
        <v>1313</v>
      </c>
      <c r="P2778" s="24">
        <v>9993</v>
      </c>
      <c r="Q2778" s="22">
        <f>IF(COUNTIFS(A$2:A2778,A2778,I$2:I2778,I2778)=1,1,0)</f>
        <v>0</v>
      </c>
      <c r="R2778" s="22">
        <f t="shared" si="43"/>
        <v>1</v>
      </c>
      <c r="S2778" s="33">
        <f>IF(COUNTIF(O$2:O2778,O2778)=1,R2778,0)/2.5</f>
        <v>0.4</v>
      </c>
    </row>
    <row r="2779" spans="1:19" ht="18" customHeight="1" x14ac:dyDescent="0.25">
      <c r="A2779" s="7" t="s">
        <v>43</v>
      </c>
      <c r="B2779" s="8">
        <v>1</v>
      </c>
      <c r="C2779" s="9">
        <v>439</v>
      </c>
      <c r="D2779" s="29">
        <f>C2779+IF(INDEX('Справочник по %'!B:B,(MATCH(A2779,'Справочник по %'!A:A,0)))="кол-во",B2779*INDEX('Справочник по %'!C:C,(MATCH(A2779,'Справочник по %'!A:A,0))),ОТЧЕТ!C2779*INDEX('Справочник по %'!C:C,(MATCH(A2779,'Справочник по %'!A:A,0))))/100</f>
        <v>482.9</v>
      </c>
      <c r="E2779" s="29">
        <f>IF(ОТЧЕТ!A2779="SKU3",C2779+ОТЧЕТ!C2779*0.2,C2779+ОТЧЕТ!C2779*0.15)</f>
        <v>504.85</v>
      </c>
      <c r="F2779" s="7" t="s">
        <v>5250</v>
      </c>
      <c r="G2779" s="7">
        <v>6162056128</v>
      </c>
      <c r="H2779" s="20" t="s">
        <v>5254</v>
      </c>
      <c r="I2779" s="22">
        <f>INDEX('Справочник Сети'!B:B,(MATCH(G2779,'Справочник Сети'!C:C,0)))</f>
        <v>0</v>
      </c>
      <c r="J2779" s="7" t="s">
        <v>520</v>
      </c>
      <c r="K2779" s="7" t="s">
        <v>764</v>
      </c>
      <c r="L2779" s="7" t="s">
        <v>520</v>
      </c>
      <c r="M2779" s="31">
        <v>45697</v>
      </c>
      <c r="N2779" s="7" t="s">
        <v>5255</v>
      </c>
      <c r="O2779" s="8">
        <v>3009</v>
      </c>
      <c r="P2779" s="24">
        <v>9994</v>
      </c>
      <c r="Q2779" s="22">
        <f>IF(COUNTIFS(A$2:A2779,A2779,I$2:I2779,I2779)=1,1,0)</f>
        <v>0</v>
      </c>
      <c r="R2779" s="22">
        <f t="shared" si="43"/>
        <v>1</v>
      </c>
      <c r="S2779" s="33">
        <f>IF(COUNTIF(O$2:O2779,O2779)=1,R2779,0)/2.5</f>
        <v>0.4</v>
      </c>
    </row>
    <row r="2780" spans="1:19" ht="18" customHeight="1" x14ac:dyDescent="0.25">
      <c r="A2780" s="7" t="s">
        <v>43</v>
      </c>
      <c r="B2780" s="8">
        <v>1</v>
      </c>
      <c r="C2780" s="9">
        <v>403</v>
      </c>
      <c r="D2780" s="29">
        <f>C2780+IF(INDEX('Справочник по %'!B:B,(MATCH(A2780,'Справочник по %'!A:A,0)))="кол-во",B2780*INDEX('Справочник по %'!C:C,(MATCH(A2780,'Справочник по %'!A:A,0))),ОТЧЕТ!C2780*INDEX('Справочник по %'!C:C,(MATCH(A2780,'Справочник по %'!A:A,0))))/100</f>
        <v>443.3</v>
      </c>
      <c r="E2780" s="29">
        <f>IF(ОТЧЕТ!A2780="SKU3",C2780+ОТЧЕТ!C2780*0.2,C2780+ОТЧЕТ!C2780*0.15)</f>
        <v>463.45</v>
      </c>
      <c r="F2780" s="7" t="s">
        <v>5250</v>
      </c>
      <c r="G2780" s="7">
        <v>7705947629</v>
      </c>
      <c r="H2780" s="20" t="s">
        <v>50</v>
      </c>
      <c r="I2780" s="22" t="str">
        <f>INDEX('Справочник Сети'!B:B,(MATCH(G2780,'Справочник Сети'!C:C,0)))</f>
        <v>36,6</v>
      </c>
      <c r="J2780" s="7" t="s">
        <v>104</v>
      </c>
      <c r="K2780" s="7" t="s">
        <v>508</v>
      </c>
      <c r="L2780" s="7" t="s">
        <v>104</v>
      </c>
      <c r="M2780" s="31">
        <v>45693</v>
      </c>
      <c r="N2780" s="7" t="s">
        <v>5256</v>
      </c>
      <c r="O2780" s="8">
        <v>1302</v>
      </c>
      <c r="P2780" s="24">
        <v>9995</v>
      </c>
      <c r="Q2780" s="22">
        <f>IF(COUNTIFS(A$2:A2780,A2780,I$2:I2780,I2780)=1,1,0)</f>
        <v>0</v>
      </c>
      <c r="R2780" s="22">
        <f t="shared" si="43"/>
        <v>2</v>
      </c>
      <c r="S2780" s="33">
        <f>IF(COUNTIF(O$2:O2780,O2780)=1,R2780,0)/2.5</f>
        <v>0</v>
      </c>
    </row>
    <row r="2781" spans="1:19" ht="18" customHeight="1" x14ac:dyDescent="0.25">
      <c r="A2781" s="7" t="s">
        <v>43</v>
      </c>
      <c r="B2781" s="8">
        <v>1</v>
      </c>
      <c r="C2781" s="9">
        <v>379</v>
      </c>
      <c r="D2781" s="29">
        <f>C2781+IF(INDEX('Справочник по %'!B:B,(MATCH(A2781,'Справочник по %'!A:A,0)))="кол-во",B2781*INDEX('Справочник по %'!C:C,(MATCH(A2781,'Справочник по %'!A:A,0))),ОТЧЕТ!C2781*INDEX('Справочник по %'!C:C,(MATCH(A2781,'Справочник по %'!A:A,0))))/100</f>
        <v>416.9</v>
      </c>
      <c r="E2781" s="29">
        <f>IF(ОТЧЕТ!A2781="SKU3",C2781+ОТЧЕТ!C2781*0.2,C2781+ОТЧЕТ!C2781*0.15)</f>
        <v>435.85</v>
      </c>
      <c r="F2781" s="7" t="s">
        <v>5250</v>
      </c>
      <c r="G2781" s="7">
        <v>7728339546</v>
      </c>
      <c r="H2781" s="20" t="s">
        <v>1792</v>
      </c>
      <c r="I2781" s="22" t="str">
        <f>INDEX('Справочник Сети'!B:B,(MATCH(G2781,'Справочник Сети'!C:C,0)))</f>
        <v>Планета здоровья</v>
      </c>
      <c r="J2781" s="7" t="s">
        <v>142</v>
      </c>
      <c r="K2781" s="7" t="s">
        <v>2267</v>
      </c>
      <c r="L2781" s="7" t="s">
        <v>142</v>
      </c>
      <c r="M2781" s="31">
        <v>45674</v>
      </c>
      <c r="N2781" s="7" t="s">
        <v>5257</v>
      </c>
      <c r="O2781" s="8">
        <v>380</v>
      </c>
      <c r="P2781" s="24">
        <v>9996</v>
      </c>
      <c r="Q2781" s="22">
        <f>IF(COUNTIFS(A$2:A2781,A2781,I$2:I2781,I2781)=1,1,0)</f>
        <v>0</v>
      </c>
      <c r="R2781" s="22">
        <f t="shared" si="43"/>
        <v>4</v>
      </c>
      <c r="S2781" s="33">
        <f>IF(COUNTIF(O$2:O2781,O2781)=1,R2781,0)/2.5</f>
        <v>0</v>
      </c>
    </row>
    <row r="2782" spans="1:19" ht="18" customHeight="1" x14ac:dyDescent="0.25">
      <c r="A2782" s="7" t="s">
        <v>43</v>
      </c>
      <c r="B2782" s="8">
        <v>1</v>
      </c>
      <c r="C2782" s="9">
        <v>380</v>
      </c>
      <c r="D2782" s="29">
        <f>C2782+IF(INDEX('Справочник по %'!B:B,(MATCH(A2782,'Справочник по %'!A:A,0)))="кол-во",B2782*INDEX('Справочник по %'!C:C,(MATCH(A2782,'Справочник по %'!A:A,0))),ОТЧЕТ!C2782*INDEX('Справочник по %'!C:C,(MATCH(A2782,'Справочник по %'!A:A,0))))/100</f>
        <v>418</v>
      </c>
      <c r="E2782" s="29">
        <f>IF(ОТЧЕТ!A2782="SKU3",C2782+ОТЧЕТ!C2782*0.2,C2782+ОТЧЕТ!C2782*0.15)</f>
        <v>437</v>
      </c>
      <c r="F2782" s="7" t="s">
        <v>5250</v>
      </c>
      <c r="G2782" s="7">
        <v>7706795062</v>
      </c>
      <c r="H2782" s="20" t="s">
        <v>487</v>
      </c>
      <c r="I2782" s="22" t="str">
        <f>INDEX('Справочник Сети'!B:B,(MATCH(G2782,'Справочник Сети'!C:C,0)))</f>
        <v>Планета здоровья</v>
      </c>
      <c r="J2782" s="7" t="s">
        <v>87</v>
      </c>
      <c r="K2782" s="7" t="s">
        <v>746</v>
      </c>
      <c r="L2782" s="7" t="s">
        <v>87</v>
      </c>
      <c r="M2782" s="31">
        <v>45691</v>
      </c>
      <c r="N2782" s="7" t="s">
        <v>5258</v>
      </c>
      <c r="O2782" s="8">
        <v>1553</v>
      </c>
      <c r="P2782" s="24">
        <v>9998</v>
      </c>
      <c r="Q2782" s="22">
        <f>IF(COUNTIFS(A$2:A2782,A2782,I$2:I2782,I2782)=1,1,0)</f>
        <v>0</v>
      </c>
      <c r="R2782" s="22">
        <f t="shared" si="43"/>
        <v>5</v>
      </c>
      <c r="S2782" s="33">
        <f>IF(COUNTIF(O$2:O2782,O2782)=1,R2782,0)/2.5</f>
        <v>0</v>
      </c>
    </row>
    <row r="2783" spans="1:19" ht="18" customHeight="1" x14ac:dyDescent="0.25">
      <c r="A2783" s="7" t="s">
        <v>43</v>
      </c>
      <c r="B2783" s="8">
        <v>1</v>
      </c>
      <c r="C2783" s="9">
        <v>440</v>
      </c>
      <c r="D2783" s="29">
        <f>C2783+IF(INDEX('Справочник по %'!B:B,(MATCH(A2783,'Справочник по %'!A:A,0)))="кол-во",B2783*INDEX('Справочник по %'!C:C,(MATCH(A2783,'Справочник по %'!A:A,0))),ОТЧЕТ!C2783*INDEX('Справочник по %'!C:C,(MATCH(A2783,'Справочник по %'!A:A,0))))/100</f>
        <v>484</v>
      </c>
      <c r="E2783" s="29">
        <f>IF(ОТЧЕТ!A2783="SKU3",C2783+ОТЧЕТ!C2783*0.2,C2783+ОТЧЕТ!C2783*0.15)</f>
        <v>506</v>
      </c>
      <c r="F2783" s="7" t="s">
        <v>5250</v>
      </c>
      <c r="G2783" s="7">
        <v>614207843409</v>
      </c>
      <c r="H2783" s="20" t="s">
        <v>91</v>
      </c>
      <c r="I2783" s="22">
        <f>INDEX('Справочник Сети'!B:B,(MATCH(G2783,'Справочник Сети'!C:C,0)))</f>
        <v>0</v>
      </c>
      <c r="J2783" s="7" t="s">
        <v>251</v>
      </c>
      <c r="K2783" s="7" t="s">
        <v>744</v>
      </c>
      <c r="L2783" s="7" t="s">
        <v>251</v>
      </c>
      <c r="M2783" s="31">
        <v>45659</v>
      </c>
      <c r="N2783" s="7" t="s">
        <v>5259</v>
      </c>
      <c r="O2783" s="8">
        <v>111</v>
      </c>
      <c r="P2783" s="24">
        <v>10000</v>
      </c>
      <c r="Q2783" s="22">
        <f>IF(COUNTIFS(A$2:A2783,A2783,I$2:I2783,I2783)=1,1,0)</f>
        <v>0</v>
      </c>
      <c r="R2783" s="22">
        <f t="shared" si="43"/>
        <v>1</v>
      </c>
      <c r="S2783" s="33">
        <f>IF(COUNTIF(O$2:O2783,O2783)=1,R2783,0)/2.5</f>
        <v>0.4</v>
      </c>
    </row>
    <row r="2784" spans="1:19" ht="18" customHeight="1" x14ac:dyDescent="0.25">
      <c r="A2784" s="7" t="s">
        <v>37</v>
      </c>
      <c r="B2784" s="8">
        <v>1</v>
      </c>
      <c r="C2784" s="9">
        <v>583</v>
      </c>
      <c r="D2784" s="29">
        <f>C2784+IF(INDEX('Справочник по %'!B:B,(MATCH(A2784,'Справочник по %'!A:A,0)))="кол-во",B2784*INDEX('Справочник по %'!C:C,(MATCH(A2784,'Справочник по %'!A:A,0))),ОТЧЕТ!C2784*INDEX('Справочник по %'!C:C,(MATCH(A2784,'Справочник по %'!A:A,0))))/100</f>
        <v>583.20000000000005</v>
      </c>
      <c r="E2784" s="29">
        <f>IF(ОТЧЕТ!A2784="SKU3",C2784+ОТЧЕТ!C2784*0.2,C2784+ОТЧЕТ!C2784*0.15)</f>
        <v>670.45</v>
      </c>
      <c r="F2784" s="7" t="s">
        <v>5250</v>
      </c>
      <c r="G2784" s="7">
        <v>9705190974</v>
      </c>
      <c r="H2784" s="20" t="s">
        <v>3094</v>
      </c>
      <c r="I2784" s="22">
        <f>INDEX('Справочник Сети'!B:B,(MATCH(G2784,'Справочник Сети'!C:C,0)))</f>
        <v>0</v>
      </c>
      <c r="J2784" s="7" t="s">
        <v>239</v>
      </c>
      <c r="K2784" s="7" t="s">
        <v>1010</v>
      </c>
      <c r="L2784" s="7" t="s">
        <v>239</v>
      </c>
      <c r="M2784" s="31">
        <v>45662</v>
      </c>
      <c r="N2784" s="7" t="s">
        <v>5260</v>
      </c>
      <c r="O2784" s="8">
        <v>363</v>
      </c>
      <c r="P2784" s="24">
        <v>10001</v>
      </c>
      <c r="Q2784" s="22">
        <f>IF(COUNTIFS(A$2:A2784,A2784,I$2:I2784,I2784)=1,1,0)</f>
        <v>0</v>
      </c>
      <c r="R2784" s="22">
        <f t="shared" si="43"/>
        <v>5</v>
      </c>
      <c r="S2784" s="33">
        <f>IF(COUNTIF(O$2:O2784,O2784)=1,R2784,0)/2.5</f>
        <v>0</v>
      </c>
    </row>
    <row r="2785" spans="1:19" ht="18" customHeight="1" x14ac:dyDescent="0.25">
      <c r="A2785" s="7" t="s">
        <v>43</v>
      </c>
      <c r="B2785" s="8">
        <v>1</v>
      </c>
      <c r="C2785" s="9">
        <v>489</v>
      </c>
      <c r="D2785" s="29">
        <f>C2785+IF(INDEX('Справочник по %'!B:B,(MATCH(A2785,'Справочник по %'!A:A,0)))="кол-во",B2785*INDEX('Справочник по %'!C:C,(MATCH(A2785,'Справочник по %'!A:A,0))),ОТЧЕТ!C2785*INDEX('Справочник по %'!C:C,(MATCH(A2785,'Справочник по %'!A:A,0))))/100</f>
        <v>537.9</v>
      </c>
      <c r="E2785" s="29">
        <f>IF(ОТЧЕТ!A2785="SKU3",C2785+ОТЧЕТ!C2785*0.2,C2785+ОТЧЕТ!C2785*0.15)</f>
        <v>562.35</v>
      </c>
      <c r="F2785" s="7" t="s">
        <v>5250</v>
      </c>
      <c r="G2785" s="7">
        <v>7718280244</v>
      </c>
      <c r="H2785" s="20" t="s">
        <v>50</v>
      </c>
      <c r="I2785" s="22" t="str">
        <f>INDEX('Справочник Сети'!B:B,(MATCH(G2785,'Справочник Сети'!C:C,0)))</f>
        <v>Планета здоровья</v>
      </c>
      <c r="J2785" s="7" t="s">
        <v>168</v>
      </c>
      <c r="K2785" s="7" t="s">
        <v>3751</v>
      </c>
      <c r="L2785" s="7" t="s">
        <v>168</v>
      </c>
      <c r="M2785" s="31">
        <v>45676</v>
      </c>
      <c r="N2785" s="7" t="s">
        <v>5261</v>
      </c>
      <c r="O2785" s="8">
        <v>116</v>
      </c>
      <c r="P2785" s="24">
        <v>10002</v>
      </c>
      <c r="Q2785" s="22">
        <f>IF(COUNTIFS(A$2:A2785,A2785,I$2:I2785,I2785)=1,1,0)</f>
        <v>0</v>
      </c>
      <c r="R2785" s="22">
        <f t="shared" si="43"/>
        <v>3</v>
      </c>
      <c r="S2785" s="33">
        <f>IF(COUNTIF(O$2:O2785,O2785)=1,R2785,0)/2.5</f>
        <v>0</v>
      </c>
    </row>
    <row r="2786" spans="1:19" ht="18" customHeight="1" x14ac:dyDescent="0.25">
      <c r="A2786" s="7" t="s">
        <v>43</v>
      </c>
      <c r="B2786" s="8">
        <v>1</v>
      </c>
      <c r="C2786" s="9">
        <v>385.2</v>
      </c>
      <c r="D2786" s="29">
        <f>C2786+IF(INDEX('Справочник по %'!B:B,(MATCH(A2786,'Справочник по %'!A:A,0)))="кол-во",B2786*INDEX('Справочник по %'!C:C,(MATCH(A2786,'Справочник по %'!A:A,0))),ОТЧЕТ!C2786*INDEX('Справочник по %'!C:C,(MATCH(A2786,'Справочник по %'!A:A,0))))/100</f>
        <v>423.71999999999997</v>
      </c>
      <c r="E2786" s="29">
        <f>IF(ОТЧЕТ!A2786="SKU3",C2786+ОТЧЕТ!C2786*0.2,C2786+ОТЧЕТ!C2786*0.15)</f>
        <v>442.97999999999996</v>
      </c>
      <c r="F2786" s="7" t="s">
        <v>5250</v>
      </c>
      <c r="G2786" s="7">
        <v>2466189073</v>
      </c>
      <c r="H2786" s="20" t="s">
        <v>5262</v>
      </c>
      <c r="I2786" s="22" t="str">
        <f>INDEX('Справочник Сети'!B:B,(MATCH(G2786,'Справочник Сети'!C:C,0)))</f>
        <v>Нео-фарм</v>
      </c>
      <c r="J2786" s="7" t="s">
        <v>96</v>
      </c>
      <c r="K2786" s="7" t="s">
        <v>278</v>
      </c>
      <c r="L2786" s="7" t="s">
        <v>96</v>
      </c>
      <c r="M2786" s="31">
        <v>45727</v>
      </c>
      <c r="N2786" s="7" t="s">
        <v>5263</v>
      </c>
      <c r="O2786" s="8">
        <v>1395</v>
      </c>
      <c r="P2786" s="24">
        <v>10003</v>
      </c>
      <c r="Q2786" s="22">
        <f>IF(COUNTIFS(A$2:A2786,A2786,I$2:I2786,I2786)=1,1,0)</f>
        <v>0</v>
      </c>
      <c r="R2786" s="22">
        <f t="shared" si="43"/>
        <v>1</v>
      </c>
      <c r="S2786" s="33">
        <f>IF(COUNTIF(O$2:O2786,O2786)=1,R2786,0)/2.5</f>
        <v>0.4</v>
      </c>
    </row>
    <row r="2787" spans="1:19" ht="18" customHeight="1" x14ac:dyDescent="0.25">
      <c r="A2787" s="7" t="s">
        <v>43</v>
      </c>
      <c r="B2787" s="8">
        <v>1</v>
      </c>
      <c r="C2787" s="9">
        <v>455.9</v>
      </c>
      <c r="D2787" s="29">
        <f>C2787+IF(INDEX('Справочник по %'!B:B,(MATCH(A2787,'Справочник по %'!A:A,0)))="кол-во",B2787*INDEX('Справочник по %'!C:C,(MATCH(A2787,'Справочник по %'!A:A,0))),ОТЧЕТ!C2787*INDEX('Справочник по %'!C:C,(MATCH(A2787,'Справочник по %'!A:A,0))))/100</f>
        <v>501.49</v>
      </c>
      <c r="E2787" s="29">
        <f>IF(ОТЧЕТ!A2787="SKU3",C2787+ОТЧЕТ!C2787*0.2,C2787+ОТЧЕТ!C2787*0.15)</f>
        <v>524.28499999999997</v>
      </c>
      <c r="F2787" s="7" t="s">
        <v>5264</v>
      </c>
      <c r="G2787" s="7">
        <v>3662166934</v>
      </c>
      <c r="H2787" s="20" t="s">
        <v>5265</v>
      </c>
      <c r="I2787" s="22">
        <f>INDEX('Справочник Сети'!B:B,(MATCH(G2787,'Справочник Сети'!C:C,0)))</f>
        <v>0</v>
      </c>
      <c r="J2787" s="7" t="s">
        <v>65</v>
      </c>
      <c r="K2787" s="7" t="s">
        <v>719</v>
      </c>
      <c r="L2787" s="7" t="s">
        <v>65</v>
      </c>
      <c r="M2787" s="31">
        <v>45717</v>
      </c>
      <c r="N2787" s="7" t="s">
        <v>5266</v>
      </c>
      <c r="O2787" s="8">
        <v>1415</v>
      </c>
      <c r="P2787" s="24">
        <v>10004</v>
      </c>
      <c r="Q2787" s="22">
        <f>IF(COUNTIFS(A$2:A2787,A2787,I$2:I2787,I2787)=1,1,0)</f>
        <v>0</v>
      </c>
      <c r="R2787" s="22">
        <f t="shared" si="43"/>
        <v>1</v>
      </c>
      <c r="S2787" s="33">
        <f>IF(COUNTIF(O$2:O2787,O2787)=1,R2787,0)/2.5</f>
        <v>0.4</v>
      </c>
    </row>
    <row r="2788" spans="1:19" ht="18" customHeight="1" x14ac:dyDescent="0.25">
      <c r="A2788" s="7" t="s">
        <v>43</v>
      </c>
      <c r="B2788" s="8">
        <v>1</v>
      </c>
      <c r="C2788" s="9">
        <v>320.69</v>
      </c>
      <c r="D2788" s="29">
        <f>C2788+IF(INDEX('Справочник по %'!B:B,(MATCH(A2788,'Справочник по %'!A:A,0)))="кол-во",B2788*INDEX('Справочник по %'!C:C,(MATCH(A2788,'Справочник по %'!A:A,0))),ОТЧЕТ!C2788*INDEX('Справочник по %'!C:C,(MATCH(A2788,'Справочник по %'!A:A,0))))/100</f>
        <v>352.75900000000001</v>
      </c>
      <c r="E2788" s="29">
        <f>IF(ОТЧЕТ!A2788="SKU3",C2788+ОТЧЕТ!C2788*0.2,C2788+ОТЧЕТ!C2788*0.15)</f>
        <v>368.79349999999999</v>
      </c>
      <c r="F2788" s="7" t="s">
        <v>5267</v>
      </c>
      <c r="G2788" s="7">
        <v>344801920882</v>
      </c>
      <c r="H2788" s="20" t="s">
        <v>2388</v>
      </c>
      <c r="I2788" s="22">
        <f>INDEX('Справочник Сети'!B:B,(MATCH(G2788,'Справочник Сети'!C:C,0)))</f>
        <v>0</v>
      </c>
      <c r="J2788" s="7" t="s">
        <v>110</v>
      </c>
      <c r="K2788" s="7" t="s">
        <v>613</v>
      </c>
      <c r="L2788" s="7" t="s">
        <v>110</v>
      </c>
      <c r="M2788" s="31">
        <v>45660</v>
      </c>
      <c r="N2788" s="7" t="s">
        <v>5268</v>
      </c>
      <c r="O2788" s="8">
        <v>2253</v>
      </c>
      <c r="P2788" s="24">
        <v>10007</v>
      </c>
      <c r="Q2788" s="22">
        <f>IF(COUNTIFS(A$2:A2788,A2788,I$2:I2788,I2788)=1,1,0)</f>
        <v>0</v>
      </c>
      <c r="R2788" s="22">
        <f t="shared" si="43"/>
        <v>1</v>
      </c>
      <c r="S2788" s="33">
        <f>IF(COUNTIF(O$2:O2788,O2788)=1,R2788,0)/2.5</f>
        <v>0.4</v>
      </c>
    </row>
    <row r="2789" spans="1:19" ht="18" customHeight="1" x14ac:dyDescent="0.25">
      <c r="A2789" s="7" t="s">
        <v>146</v>
      </c>
      <c r="B2789" s="8">
        <v>1</v>
      </c>
      <c r="C2789" s="9">
        <v>643</v>
      </c>
      <c r="D2789" s="29">
        <f>C2789+IF(INDEX('Справочник по %'!B:B,(MATCH(A2789,'Справочник по %'!A:A,0)))="кол-во",B2789*INDEX('Справочник по %'!C:C,(MATCH(A2789,'Справочник по %'!A:A,0))),ОТЧЕТ!C2789*INDEX('Справочник по %'!C:C,(MATCH(A2789,'Справочник по %'!A:A,0))))/100</f>
        <v>739.45</v>
      </c>
      <c r="E2789" s="29">
        <f>IF(ОТЧЕТ!A2789="SKU3",C2789+ОТЧЕТ!C2789*0.2,C2789+ОТЧЕТ!C2789*0.15)</f>
        <v>771.6</v>
      </c>
      <c r="F2789" s="7" t="s">
        <v>5269</v>
      </c>
      <c r="G2789" s="7">
        <v>7732121736</v>
      </c>
      <c r="H2789" s="20" t="s">
        <v>148</v>
      </c>
      <c r="I2789" s="22" t="str">
        <f>INDEX('Справочник Сети'!B:B,(MATCH(G2789,'Справочник Сети'!C:C,0)))</f>
        <v>Планета здоровья</v>
      </c>
      <c r="J2789" s="7" t="s">
        <v>149</v>
      </c>
      <c r="K2789" s="7" t="s">
        <v>1520</v>
      </c>
      <c r="L2789" s="7" t="s">
        <v>149</v>
      </c>
      <c r="M2789" s="31">
        <v>45673</v>
      </c>
      <c r="N2789" s="7" t="s">
        <v>5270</v>
      </c>
      <c r="O2789" s="8">
        <v>1008</v>
      </c>
      <c r="P2789" s="24">
        <v>10008</v>
      </c>
      <c r="Q2789" s="22">
        <f>IF(COUNTIFS(A$2:A2789,A2789,I$2:I2789,I2789)=1,1,0)</f>
        <v>0</v>
      </c>
      <c r="R2789" s="22">
        <f t="shared" si="43"/>
        <v>4</v>
      </c>
      <c r="S2789" s="33">
        <f>IF(COUNTIF(O$2:O2789,O2789)=1,R2789,0)/2.5</f>
        <v>0</v>
      </c>
    </row>
    <row r="2790" spans="1:19" ht="18" customHeight="1" x14ac:dyDescent="0.25">
      <c r="A2790" s="7" t="s">
        <v>146</v>
      </c>
      <c r="B2790" s="8">
        <v>1</v>
      </c>
      <c r="C2790" s="9">
        <v>649</v>
      </c>
      <c r="D2790" s="29">
        <f>C2790+IF(INDEX('Справочник по %'!B:B,(MATCH(A2790,'Справочник по %'!A:A,0)))="кол-во",B2790*INDEX('Справочник по %'!C:C,(MATCH(A2790,'Справочник по %'!A:A,0))),ОТЧЕТ!C2790*INDEX('Справочник по %'!C:C,(MATCH(A2790,'Справочник по %'!A:A,0))))/100</f>
        <v>746.35</v>
      </c>
      <c r="E2790" s="29">
        <f>IF(ОТЧЕТ!A2790="SKU3",C2790+ОТЧЕТ!C2790*0.2,C2790+ОТЧЕТ!C2790*0.15)</f>
        <v>778.8</v>
      </c>
      <c r="F2790" s="7" t="s">
        <v>5271</v>
      </c>
      <c r="G2790" s="7">
        <v>7732121736</v>
      </c>
      <c r="H2790" s="20" t="s">
        <v>148</v>
      </c>
      <c r="I2790" s="22" t="str">
        <f>INDEX('Справочник Сети'!B:B,(MATCH(G2790,'Справочник Сети'!C:C,0)))</f>
        <v>Планета здоровья</v>
      </c>
      <c r="J2790" s="7" t="s">
        <v>149</v>
      </c>
      <c r="K2790" s="7" t="s">
        <v>2209</v>
      </c>
      <c r="L2790" s="7" t="s">
        <v>149</v>
      </c>
      <c r="M2790" s="31">
        <v>45673</v>
      </c>
      <c r="N2790" s="7" t="s">
        <v>5272</v>
      </c>
      <c r="O2790" s="8">
        <v>1008</v>
      </c>
      <c r="P2790" s="24">
        <v>10009</v>
      </c>
      <c r="Q2790" s="22">
        <f>IF(COUNTIFS(A$2:A2790,A2790,I$2:I2790,I2790)=1,1,0)</f>
        <v>0</v>
      </c>
      <c r="R2790" s="22">
        <f t="shared" si="43"/>
        <v>4</v>
      </c>
      <c r="S2790" s="33">
        <f>IF(COUNTIF(O$2:O2790,O2790)=1,R2790,0)/2.5</f>
        <v>0</v>
      </c>
    </row>
    <row r="2791" spans="1:19" ht="18" customHeight="1" x14ac:dyDescent="0.25">
      <c r="A2791" s="7" t="s">
        <v>37</v>
      </c>
      <c r="B2791" s="8">
        <v>1</v>
      </c>
      <c r="C2791" s="9">
        <v>772</v>
      </c>
      <c r="D2791" s="29">
        <f>C2791+IF(INDEX('Справочник по %'!B:B,(MATCH(A2791,'Справочник по %'!A:A,0)))="кол-во",B2791*INDEX('Справочник по %'!C:C,(MATCH(A2791,'Справочник по %'!A:A,0))),ОТЧЕТ!C2791*INDEX('Справочник по %'!C:C,(MATCH(A2791,'Справочник по %'!A:A,0))))/100</f>
        <v>772.2</v>
      </c>
      <c r="E2791" s="29">
        <f>IF(ОТЧЕТ!A2791="SKU3",C2791+ОТЧЕТ!C2791*0.2,C2791+ОТЧЕТ!C2791*0.15)</f>
        <v>887.8</v>
      </c>
      <c r="F2791" s="7" t="s">
        <v>5273</v>
      </c>
      <c r="G2791" s="7">
        <v>6658371284</v>
      </c>
      <c r="H2791" s="20" t="s">
        <v>69</v>
      </c>
      <c r="I2791" s="22" t="str">
        <f>INDEX('Справочник Сети'!B:B,(MATCH(G2791,'Справочник Сети'!C:C,0)))</f>
        <v>Планета здоровья</v>
      </c>
      <c r="J2791" s="7" t="s">
        <v>133</v>
      </c>
      <c r="K2791" s="7" t="s">
        <v>1251</v>
      </c>
      <c r="L2791" s="7" t="s">
        <v>133</v>
      </c>
      <c r="M2791" s="31">
        <v>45695</v>
      </c>
      <c r="N2791" s="7" t="s">
        <v>5274</v>
      </c>
      <c r="O2791" s="8">
        <v>910</v>
      </c>
      <c r="P2791" s="24">
        <v>10010</v>
      </c>
      <c r="Q2791" s="22">
        <f>IF(COUNTIFS(A$2:A2791,A2791,I$2:I2791,I2791)=1,1,0)</f>
        <v>0</v>
      </c>
      <c r="R2791" s="22">
        <f t="shared" si="43"/>
        <v>4</v>
      </c>
      <c r="S2791" s="33">
        <f>IF(COUNTIF(O$2:O2791,O2791)=1,R2791,0)/2.5</f>
        <v>0</v>
      </c>
    </row>
    <row r="2792" spans="1:19" ht="18" customHeight="1" x14ac:dyDescent="0.25">
      <c r="A2792" s="7" t="s">
        <v>43</v>
      </c>
      <c r="B2792" s="8">
        <v>1</v>
      </c>
      <c r="C2792" s="9">
        <v>467</v>
      </c>
      <c r="D2792" s="29">
        <f>C2792+IF(INDEX('Справочник по %'!B:B,(MATCH(A2792,'Справочник по %'!A:A,0)))="кол-во",B2792*INDEX('Справочник по %'!C:C,(MATCH(A2792,'Справочник по %'!A:A,0))),ОТЧЕТ!C2792*INDEX('Справочник по %'!C:C,(MATCH(A2792,'Справочник по %'!A:A,0))))/100</f>
        <v>513.70000000000005</v>
      </c>
      <c r="E2792" s="29">
        <f>IF(ОТЧЕТ!A2792="SKU3",C2792+ОТЧЕТ!C2792*0.2,C2792+ОТЧЕТ!C2792*0.15)</f>
        <v>537.04999999999995</v>
      </c>
      <c r="F2792" s="7" t="s">
        <v>5275</v>
      </c>
      <c r="G2792" s="7">
        <v>2801274367</v>
      </c>
      <c r="H2792" s="20" t="s">
        <v>5276</v>
      </c>
      <c r="I2792" s="22">
        <f>INDEX('Справочник Сети'!B:B,(MATCH(G2792,'Справочник Сети'!C:C,0)))</f>
        <v>0</v>
      </c>
      <c r="J2792" s="7" t="s">
        <v>193</v>
      </c>
      <c r="K2792" s="7" t="s">
        <v>589</v>
      </c>
      <c r="L2792" s="7" t="s">
        <v>193</v>
      </c>
      <c r="M2792" s="31">
        <v>45718</v>
      </c>
      <c r="N2792" s="7" t="s">
        <v>5277</v>
      </c>
      <c r="O2792" s="8">
        <v>1251</v>
      </c>
      <c r="P2792" s="24">
        <v>10013</v>
      </c>
      <c r="Q2792" s="22">
        <f>IF(COUNTIFS(A$2:A2792,A2792,I$2:I2792,I2792)=1,1,0)</f>
        <v>0</v>
      </c>
      <c r="R2792" s="22">
        <f t="shared" si="43"/>
        <v>1</v>
      </c>
      <c r="S2792" s="33">
        <f>IF(COUNTIF(O$2:O2792,O2792)=1,R2792,0)/2.5</f>
        <v>0.4</v>
      </c>
    </row>
    <row r="2793" spans="1:19" ht="18" customHeight="1" x14ac:dyDescent="0.25">
      <c r="A2793" s="7" t="s">
        <v>43</v>
      </c>
      <c r="B2793" s="8">
        <v>1</v>
      </c>
      <c r="C2793" s="9">
        <v>338</v>
      </c>
      <c r="D2793" s="29">
        <f>C2793+IF(INDEX('Справочник по %'!B:B,(MATCH(A2793,'Справочник по %'!A:A,0)))="кол-во",B2793*INDEX('Справочник по %'!C:C,(MATCH(A2793,'Справочник по %'!A:A,0))),ОТЧЕТ!C2793*INDEX('Справочник по %'!C:C,(MATCH(A2793,'Справочник по %'!A:A,0))))/100</f>
        <v>371.8</v>
      </c>
      <c r="E2793" s="29">
        <f>IF(ОТЧЕТ!A2793="SKU3",C2793+ОТЧЕТ!C2793*0.2,C2793+ОТЧЕТ!C2793*0.15)</f>
        <v>388.7</v>
      </c>
      <c r="F2793" s="7" t="s">
        <v>5278</v>
      </c>
      <c r="G2793" s="7">
        <v>2308209746</v>
      </c>
      <c r="H2793" s="20" t="s">
        <v>50</v>
      </c>
      <c r="I2793" s="22">
        <f>INDEX('Справочник Сети'!B:B,(MATCH(G2793,'Справочник Сети'!C:C,0)))</f>
        <v>0</v>
      </c>
      <c r="J2793" s="7" t="s">
        <v>57</v>
      </c>
      <c r="K2793" s="7" t="s">
        <v>460</v>
      </c>
      <c r="L2793" s="7" t="s">
        <v>57</v>
      </c>
      <c r="M2793" s="31">
        <v>45729</v>
      </c>
      <c r="N2793" s="7" t="s">
        <v>5279</v>
      </c>
      <c r="O2793" s="8">
        <v>2596</v>
      </c>
      <c r="P2793" s="24">
        <v>10014</v>
      </c>
      <c r="Q2793" s="22">
        <f>IF(COUNTIFS(A$2:A2793,A2793,I$2:I2793,I2793)=1,1,0)</f>
        <v>0</v>
      </c>
      <c r="R2793" s="22">
        <f t="shared" si="43"/>
        <v>2</v>
      </c>
      <c r="S2793" s="33">
        <f>IF(COUNTIF(O$2:O2793,O2793)=1,R2793,0)/2.5</f>
        <v>0</v>
      </c>
    </row>
    <row r="2794" spans="1:19" ht="18" customHeight="1" x14ac:dyDescent="0.25">
      <c r="A2794" s="7" t="s">
        <v>43</v>
      </c>
      <c r="B2794" s="8">
        <v>1</v>
      </c>
      <c r="C2794" s="9">
        <v>405</v>
      </c>
      <c r="D2794" s="29">
        <f>C2794+IF(INDEX('Справочник по %'!B:B,(MATCH(A2794,'Справочник по %'!A:A,0)))="кол-во",B2794*INDEX('Справочник по %'!C:C,(MATCH(A2794,'Справочник по %'!A:A,0))),ОТЧЕТ!C2794*INDEX('Справочник по %'!C:C,(MATCH(A2794,'Справочник по %'!A:A,0))))/100</f>
        <v>445.5</v>
      </c>
      <c r="E2794" s="29">
        <f>IF(ОТЧЕТ!A2794="SKU3",C2794+ОТЧЕТ!C2794*0.2,C2794+ОТЧЕТ!C2794*0.15)</f>
        <v>465.75</v>
      </c>
      <c r="F2794" s="7" t="s">
        <v>5280</v>
      </c>
      <c r="G2794" s="7">
        <v>462003016756</v>
      </c>
      <c r="H2794" s="20" t="s">
        <v>91</v>
      </c>
      <c r="I2794" s="22">
        <f>INDEX('Справочник Сети'!B:B,(MATCH(G2794,'Справочник Сети'!C:C,0)))</f>
        <v>0</v>
      </c>
      <c r="J2794" s="7" t="s">
        <v>110</v>
      </c>
      <c r="K2794" s="7" t="s">
        <v>746</v>
      </c>
      <c r="L2794" s="7" t="s">
        <v>110</v>
      </c>
      <c r="M2794" s="31">
        <v>45660</v>
      </c>
      <c r="N2794" s="7" t="s">
        <v>5281</v>
      </c>
      <c r="O2794" s="8">
        <v>2117</v>
      </c>
      <c r="P2794" s="24">
        <v>10016</v>
      </c>
      <c r="Q2794" s="22">
        <f>IF(COUNTIFS(A$2:A2794,A2794,I$2:I2794,I2794)=1,1,0)</f>
        <v>0</v>
      </c>
      <c r="R2794" s="22">
        <f t="shared" si="43"/>
        <v>2</v>
      </c>
      <c r="S2794" s="33">
        <f>IF(COUNTIF(O$2:O2794,O2794)=1,R2794,0)/2.5</f>
        <v>0</v>
      </c>
    </row>
    <row r="2795" spans="1:19" ht="18" customHeight="1" x14ac:dyDescent="0.25">
      <c r="A2795" s="7" t="s">
        <v>37</v>
      </c>
      <c r="B2795" s="8">
        <v>1</v>
      </c>
      <c r="C2795" s="9">
        <v>565</v>
      </c>
      <c r="D2795" s="29">
        <f>C2795+IF(INDEX('Справочник по %'!B:B,(MATCH(A2795,'Справочник по %'!A:A,0)))="кол-во",B2795*INDEX('Справочник по %'!C:C,(MATCH(A2795,'Справочник по %'!A:A,0))),ОТЧЕТ!C2795*INDEX('Справочник по %'!C:C,(MATCH(A2795,'Справочник по %'!A:A,0))))/100</f>
        <v>565.20000000000005</v>
      </c>
      <c r="E2795" s="29">
        <f>IF(ОТЧЕТ!A2795="SKU3",C2795+ОТЧЕТ!C2795*0.2,C2795+ОТЧЕТ!C2795*0.15)</f>
        <v>649.75</v>
      </c>
      <c r="F2795" s="7" t="s">
        <v>5282</v>
      </c>
      <c r="G2795" s="7">
        <v>7204146152</v>
      </c>
      <c r="H2795" s="20" t="s">
        <v>103</v>
      </c>
      <c r="I2795" s="22" t="str">
        <f>INDEX('Справочник Сети'!B:B,(MATCH(G2795,'Справочник Сети'!C:C,0)))</f>
        <v>36,6</v>
      </c>
      <c r="J2795" s="7" t="s">
        <v>104</v>
      </c>
      <c r="K2795" s="7" t="s">
        <v>80</v>
      </c>
      <c r="L2795" s="7" t="s">
        <v>106</v>
      </c>
      <c r="M2795" s="31">
        <v>45694</v>
      </c>
      <c r="N2795" s="7" t="s">
        <v>5283</v>
      </c>
      <c r="O2795" s="8">
        <v>1683</v>
      </c>
      <c r="P2795" s="24">
        <v>10018</v>
      </c>
      <c r="Q2795" s="22">
        <f>IF(COUNTIFS(A$2:A2795,A2795,I$2:I2795,I2795)=1,1,0)</f>
        <v>0</v>
      </c>
      <c r="R2795" s="22">
        <f t="shared" si="43"/>
        <v>9</v>
      </c>
      <c r="S2795" s="33">
        <f>IF(COUNTIF(O$2:O2795,O2795)=1,R2795,0)/2.5</f>
        <v>0</v>
      </c>
    </row>
    <row r="2796" spans="1:19" ht="18" customHeight="1" x14ac:dyDescent="0.25">
      <c r="A2796" s="7" t="s">
        <v>43</v>
      </c>
      <c r="B2796" s="8">
        <v>1</v>
      </c>
      <c r="C2796" s="9">
        <v>413.25</v>
      </c>
      <c r="D2796" s="29">
        <f>C2796+IF(INDEX('Справочник по %'!B:B,(MATCH(A2796,'Справочник по %'!A:A,0)))="кол-во",B2796*INDEX('Справочник по %'!C:C,(MATCH(A2796,'Справочник по %'!A:A,0))),ОТЧЕТ!C2796*INDEX('Справочник по %'!C:C,(MATCH(A2796,'Справочник по %'!A:A,0))))/100</f>
        <v>454.57499999999999</v>
      </c>
      <c r="E2796" s="29">
        <f>IF(ОТЧЕТ!A2796="SKU3",C2796+ОТЧЕТ!C2796*0.2,C2796+ОТЧЕТ!C2796*0.15)</f>
        <v>475.23750000000001</v>
      </c>
      <c r="F2796" s="7" t="s">
        <v>5284</v>
      </c>
      <c r="G2796" s="7">
        <v>263000485040</v>
      </c>
      <c r="H2796" s="20" t="s">
        <v>50</v>
      </c>
      <c r="I2796" s="22">
        <f>INDEX('Справочник Сети'!B:B,(MATCH(G2796,'Справочник Сети'!C:C,0)))</f>
        <v>0</v>
      </c>
      <c r="J2796" s="7" t="s">
        <v>110</v>
      </c>
      <c r="K2796" s="7" t="s">
        <v>552</v>
      </c>
      <c r="L2796" s="7" t="s">
        <v>110</v>
      </c>
      <c r="M2796" s="31">
        <v>45660</v>
      </c>
      <c r="N2796" s="7" t="s">
        <v>5285</v>
      </c>
      <c r="O2796" s="8">
        <v>1244</v>
      </c>
      <c r="P2796" s="24">
        <v>10023</v>
      </c>
      <c r="Q2796" s="22">
        <f>IF(COUNTIFS(A$2:A2796,A2796,I$2:I2796,I2796)=1,1,0)</f>
        <v>0</v>
      </c>
      <c r="R2796" s="22">
        <f t="shared" si="43"/>
        <v>1</v>
      </c>
      <c r="S2796" s="33">
        <f>IF(COUNTIF(O$2:O2796,O2796)=1,R2796,0)/2.5</f>
        <v>0.4</v>
      </c>
    </row>
    <row r="2797" spans="1:19" ht="18" customHeight="1" x14ac:dyDescent="0.25">
      <c r="A2797" s="7" t="s">
        <v>37</v>
      </c>
      <c r="B2797" s="8">
        <v>1</v>
      </c>
      <c r="C2797" s="9">
        <v>592</v>
      </c>
      <c r="D2797" s="29">
        <f>C2797+IF(INDEX('Справочник по %'!B:B,(MATCH(A2797,'Справочник по %'!A:A,0)))="кол-во",B2797*INDEX('Справочник по %'!C:C,(MATCH(A2797,'Справочник по %'!A:A,0))),ОТЧЕТ!C2797*INDEX('Справочник по %'!C:C,(MATCH(A2797,'Справочник по %'!A:A,0))))/100</f>
        <v>592.20000000000005</v>
      </c>
      <c r="E2797" s="29">
        <f>IF(ОТЧЕТ!A2797="SKU3",C2797+ОТЧЕТ!C2797*0.2,C2797+ОТЧЕТ!C2797*0.15)</f>
        <v>680.8</v>
      </c>
      <c r="F2797" s="7" t="s">
        <v>5284</v>
      </c>
      <c r="G2797" s="7">
        <v>7204146152</v>
      </c>
      <c r="H2797" s="20" t="s">
        <v>103</v>
      </c>
      <c r="I2797" s="22" t="str">
        <f>INDEX('Справочник Сети'!B:B,(MATCH(G2797,'Справочник Сети'!C:C,0)))</f>
        <v>36,6</v>
      </c>
      <c r="J2797" s="7" t="s">
        <v>104</v>
      </c>
      <c r="K2797" s="7" t="s">
        <v>2374</v>
      </c>
      <c r="L2797" s="7" t="s">
        <v>106</v>
      </c>
      <c r="M2797" s="31">
        <v>45694</v>
      </c>
      <c r="N2797" s="7" t="s">
        <v>5286</v>
      </c>
      <c r="O2797" s="8">
        <v>1369</v>
      </c>
      <c r="P2797" s="24">
        <v>10025</v>
      </c>
      <c r="Q2797" s="22">
        <f>IF(COUNTIFS(A$2:A2797,A2797,I$2:I2797,I2797)=1,1,0)</f>
        <v>0</v>
      </c>
      <c r="R2797" s="22">
        <f t="shared" si="43"/>
        <v>6</v>
      </c>
      <c r="S2797" s="33">
        <f>IF(COUNTIF(O$2:O2797,O2797)=1,R2797,0)/2.5</f>
        <v>0</v>
      </c>
    </row>
    <row r="2798" spans="1:19" ht="18" customHeight="1" x14ac:dyDescent="0.25">
      <c r="A2798" s="7" t="s">
        <v>43</v>
      </c>
      <c r="B2798" s="8">
        <v>1</v>
      </c>
      <c r="C2798" s="9">
        <v>424.96</v>
      </c>
      <c r="D2798" s="29">
        <f>C2798+IF(INDEX('Справочник по %'!B:B,(MATCH(A2798,'Справочник по %'!A:A,0)))="кол-во",B2798*INDEX('Справочник по %'!C:C,(MATCH(A2798,'Справочник по %'!A:A,0))),ОТЧЕТ!C2798*INDEX('Справочник по %'!C:C,(MATCH(A2798,'Справочник по %'!A:A,0))))/100</f>
        <v>467.45599999999996</v>
      </c>
      <c r="E2798" s="29">
        <f>IF(ОТЧЕТ!A2798="SKU3",C2798+ОТЧЕТ!C2798*0.2,C2798+ОТЧЕТ!C2798*0.15)</f>
        <v>488.70399999999995</v>
      </c>
      <c r="F2798" s="7" t="s">
        <v>5287</v>
      </c>
      <c r="G2798" s="7">
        <v>5504242840</v>
      </c>
      <c r="H2798" s="20" t="s">
        <v>1920</v>
      </c>
      <c r="I2798" s="22">
        <f>INDEX('Справочник Сети'!B:B,(MATCH(G2798,'Справочник Сети'!C:C,0)))</f>
        <v>0</v>
      </c>
      <c r="J2798" s="7" t="s">
        <v>255</v>
      </c>
      <c r="K2798" s="7" t="s">
        <v>1473</v>
      </c>
      <c r="L2798" s="7" t="s">
        <v>255</v>
      </c>
      <c r="M2798" s="31">
        <v>45713</v>
      </c>
      <c r="N2798" s="7" t="s">
        <v>5288</v>
      </c>
      <c r="O2798" s="8">
        <v>1930</v>
      </c>
      <c r="P2798" s="24">
        <v>10026</v>
      </c>
      <c r="Q2798" s="22">
        <f>IF(COUNTIFS(A$2:A2798,A2798,I$2:I2798,I2798)=1,1,0)</f>
        <v>0</v>
      </c>
      <c r="R2798" s="22">
        <f t="shared" si="43"/>
        <v>3</v>
      </c>
      <c r="S2798" s="33">
        <f>IF(COUNTIF(O$2:O2798,O2798)=1,R2798,0)/2.5</f>
        <v>0</v>
      </c>
    </row>
    <row r="2799" spans="1:19" ht="18" customHeight="1" x14ac:dyDescent="0.25">
      <c r="A2799" s="7" t="s">
        <v>43</v>
      </c>
      <c r="B2799" s="8">
        <v>1</v>
      </c>
      <c r="C2799" s="9">
        <v>397</v>
      </c>
      <c r="D2799" s="29">
        <f>C2799+IF(INDEX('Справочник по %'!B:B,(MATCH(A2799,'Справочник по %'!A:A,0)))="кол-во",B2799*INDEX('Справочник по %'!C:C,(MATCH(A2799,'Справочник по %'!A:A,0))),ОТЧЕТ!C2799*INDEX('Справочник по %'!C:C,(MATCH(A2799,'Справочник по %'!A:A,0))))/100</f>
        <v>436.7</v>
      </c>
      <c r="E2799" s="29">
        <f>IF(ОТЧЕТ!A2799="SKU3",C2799+ОТЧЕТ!C2799*0.2,C2799+ОТЧЕТ!C2799*0.15)</f>
        <v>456.55</v>
      </c>
      <c r="F2799" s="7" t="s">
        <v>5287</v>
      </c>
      <c r="G2799" s="7">
        <v>6166112969</v>
      </c>
      <c r="H2799" s="20" t="s">
        <v>5289</v>
      </c>
      <c r="I2799" s="22">
        <f>INDEX('Справочник Сети'!B:B,(MATCH(G2799,'Справочник Сети'!C:C,0)))</f>
        <v>0</v>
      </c>
      <c r="J2799" s="7" t="s">
        <v>203</v>
      </c>
      <c r="K2799" s="7" t="s">
        <v>589</v>
      </c>
      <c r="L2799" s="7" t="s">
        <v>203</v>
      </c>
      <c r="M2799" s="31">
        <v>45696</v>
      </c>
      <c r="N2799" s="7" t="s">
        <v>5290</v>
      </c>
      <c r="O2799" s="8">
        <v>3513</v>
      </c>
      <c r="P2799" s="24">
        <v>10028</v>
      </c>
      <c r="Q2799" s="22">
        <f>IF(COUNTIFS(A$2:A2799,A2799,I$2:I2799,I2799)=1,1,0)</f>
        <v>0</v>
      </c>
      <c r="R2799" s="22">
        <f t="shared" si="43"/>
        <v>1</v>
      </c>
      <c r="S2799" s="33">
        <f>IF(COUNTIF(O$2:O2799,O2799)=1,R2799,0)/2.5</f>
        <v>0.4</v>
      </c>
    </row>
  </sheetData>
  <sortState ref="J2:J2807">
    <sortCondition descending="1" ref="J1:J2807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43"/>
  <sheetViews>
    <sheetView workbookViewId="0">
      <selection activeCell="F27" sqref="F27"/>
    </sheetView>
  </sheetViews>
  <sheetFormatPr defaultRowHeight="15" x14ac:dyDescent="0.25"/>
  <cols>
    <col min="1" max="1" width="11" bestFit="1" customWidth="1"/>
    <col min="2" max="2" width="20.140625" customWidth="1"/>
    <col min="3" max="3" width="13" style="27" customWidth="1"/>
  </cols>
  <sheetData>
    <row r="1" spans="1:3" x14ac:dyDescent="0.25">
      <c r="A1" t="s">
        <v>12</v>
      </c>
      <c r="B1" t="s">
        <v>5291</v>
      </c>
      <c r="C1" s="26" t="s">
        <v>7944</v>
      </c>
    </row>
    <row r="2" spans="1:3" x14ac:dyDescent="0.25">
      <c r="A2" t="s">
        <v>5292</v>
      </c>
      <c r="B2" t="s">
        <v>5293</v>
      </c>
      <c r="C2" s="27">
        <v>262810470121</v>
      </c>
    </row>
    <row r="3" spans="1:3" x14ac:dyDescent="0.25">
      <c r="A3" t="s">
        <v>5294</v>
      </c>
      <c r="B3" t="s">
        <v>5293</v>
      </c>
      <c r="C3" s="27">
        <v>5402532406</v>
      </c>
    </row>
    <row r="4" spans="1:3" x14ac:dyDescent="0.25">
      <c r="A4" t="s">
        <v>5295</v>
      </c>
      <c r="B4" t="s">
        <v>5293</v>
      </c>
      <c r="C4" s="27">
        <v>2310096546</v>
      </c>
    </row>
    <row r="5" spans="1:3" x14ac:dyDescent="0.25">
      <c r="A5" t="s">
        <v>5296</v>
      </c>
      <c r="B5" t="s">
        <v>5293</v>
      </c>
      <c r="C5" s="27">
        <v>2373002156</v>
      </c>
    </row>
    <row r="6" spans="1:3" x14ac:dyDescent="0.25">
      <c r="A6" t="s">
        <v>5297</v>
      </c>
      <c r="B6" t="s">
        <v>5293</v>
      </c>
      <c r="C6" s="27">
        <v>600005787</v>
      </c>
    </row>
    <row r="7" spans="1:3" x14ac:dyDescent="0.25">
      <c r="A7" t="s">
        <v>5298</v>
      </c>
      <c r="B7" t="s">
        <v>5293</v>
      </c>
      <c r="C7" s="27">
        <v>5904196645</v>
      </c>
    </row>
    <row r="8" spans="1:3" x14ac:dyDescent="0.25">
      <c r="A8" t="s">
        <v>5299</v>
      </c>
      <c r="B8" t="s">
        <v>5293</v>
      </c>
      <c r="C8" s="27">
        <v>7020028423</v>
      </c>
    </row>
    <row r="9" spans="1:3" x14ac:dyDescent="0.25">
      <c r="A9" t="s">
        <v>5300</v>
      </c>
      <c r="B9" t="s">
        <v>5293</v>
      </c>
      <c r="C9" s="27">
        <v>2539096225</v>
      </c>
    </row>
    <row r="10" spans="1:3" x14ac:dyDescent="0.25">
      <c r="A10" t="s">
        <v>5301</v>
      </c>
      <c r="B10" t="s">
        <v>5293</v>
      </c>
      <c r="C10" s="27">
        <v>550600087993</v>
      </c>
    </row>
    <row r="11" spans="1:3" x14ac:dyDescent="0.25">
      <c r="A11" t="s">
        <v>5302</v>
      </c>
      <c r="B11" t="s">
        <v>5293</v>
      </c>
      <c r="C11" s="27">
        <v>2722039794</v>
      </c>
    </row>
    <row r="12" spans="1:3" x14ac:dyDescent="0.25">
      <c r="A12" t="s">
        <v>5303</v>
      </c>
      <c r="B12" t="s">
        <v>5293</v>
      </c>
      <c r="C12" s="27">
        <v>4522002470</v>
      </c>
    </row>
    <row r="13" spans="1:3" x14ac:dyDescent="0.25">
      <c r="A13" t="s">
        <v>5304</v>
      </c>
      <c r="B13" t="s">
        <v>5293</v>
      </c>
      <c r="C13" s="27">
        <v>7736325963</v>
      </c>
    </row>
    <row r="14" spans="1:3" x14ac:dyDescent="0.25">
      <c r="A14" t="s">
        <v>5305</v>
      </c>
      <c r="B14" t="s">
        <v>5293</v>
      </c>
      <c r="C14" s="27">
        <v>7204146152</v>
      </c>
    </row>
    <row r="15" spans="1:3" x14ac:dyDescent="0.25">
      <c r="A15" t="s">
        <v>5306</v>
      </c>
      <c r="B15" t="s">
        <v>5293</v>
      </c>
      <c r="C15" s="27">
        <v>7743376824</v>
      </c>
    </row>
    <row r="16" spans="1:3" x14ac:dyDescent="0.25">
      <c r="A16" t="s">
        <v>5307</v>
      </c>
      <c r="B16" t="s">
        <v>5293</v>
      </c>
      <c r="C16" s="27">
        <v>1513054525</v>
      </c>
    </row>
    <row r="17" spans="1:3" x14ac:dyDescent="0.25">
      <c r="A17" t="s">
        <v>5308</v>
      </c>
      <c r="B17" t="s">
        <v>5293</v>
      </c>
      <c r="C17" s="27">
        <v>105080772</v>
      </c>
    </row>
    <row r="18" spans="1:3" x14ac:dyDescent="0.25">
      <c r="A18" t="s">
        <v>5309</v>
      </c>
      <c r="B18" t="s">
        <v>5293</v>
      </c>
      <c r="C18" s="27">
        <v>32300986524</v>
      </c>
    </row>
    <row r="19" spans="1:3" x14ac:dyDescent="0.25">
      <c r="A19" t="s">
        <v>5310</v>
      </c>
      <c r="B19" t="s">
        <v>5293</v>
      </c>
      <c r="C19" s="27">
        <v>7709068298</v>
      </c>
    </row>
    <row r="20" spans="1:3" x14ac:dyDescent="0.25">
      <c r="A20" t="s">
        <v>5311</v>
      </c>
      <c r="B20" t="s">
        <v>5293</v>
      </c>
      <c r="C20" s="27">
        <v>7705947629</v>
      </c>
    </row>
    <row r="21" spans="1:3" x14ac:dyDescent="0.25">
      <c r="A21" t="s">
        <v>5312</v>
      </c>
      <c r="B21" t="s">
        <v>5293</v>
      </c>
      <c r="C21" s="27">
        <v>5024197242</v>
      </c>
    </row>
    <row r="22" spans="1:3" x14ac:dyDescent="0.25">
      <c r="A22" t="s">
        <v>5313</v>
      </c>
      <c r="B22" t="s">
        <v>5293</v>
      </c>
      <c r="C22" s="27">
        <v>5024204348</v>
      </c>
    </row>
    <row r="23" spans="1:3" x14ac:dyDescent="0.25">
      <c r="A23" t="s">
        <v>5314</v>
      </c>
      <c r="B23" t="s">
        <v>5293</v>
      </c>
      <c r="C23" s="27">
        <v>5751005717</v>
      </c>
    </row>
    <row r="24" spans="1:3" x14ac:dyDescent="0.25">
      <c r="A24" t="s">
        <v>5315</v>
      </c>
      <c r="B24" t="s">
        <v>5293</v>
      </c>
      <c r="C24" s="27">
        <v>3665012499</v>
      </c>
    </row>
    <row r="25" spans="1:3" x14ac:dyDescent="0.25">
      <c r="A25" t="s">
        <v>5316</v>
      </c>
      <c r="B25" t="s">
        <v>5293</v>
      </c>
      <c r="C25" s="27">
        <v>6679151868</v>
      </c>
    </row>
    <row r="26" spans="1:3" x14ac:dyDescent="0.25">
      <c r="A26" t="s">
        <v>5317</v>
      </c>
      <c r="B26" t="s">
        <v>5293</v>
      </c>
      <c r="C26" s="27">
        <v>2632071360</v>
      </c>
    </row>
    <row r="27" spans="1:3" x14ac:dyDescent="0.25">
      <c r="A27" t="s">
        <v>5318</v>
      </c>
      <c r="B27" t="s">
        <v>5293</v>
      </c>
      <c r="C27" s="27">
        <v>2543023195</v>
      </c>
    </row>
    <row r="28" spans="1:3" x14ac:dyDescent="0.25">
      <c r="A28" t="s">
        <v>5319</v>
      </c>
      <c r="B28" t="s">
        <v>5320</v>
      </c>
      <c r="C28" s="27">
        <v>7706795062</v>
      </c>
    </row>
    <row r="29" spans="1:3" x14ac:dyDescent="0.25">
      <c r="A29" t="s">
        <v>5321</v>
      </c>
      <c r="B29" t="s">
        <v>5320</v>
      </c>
      <c r="C29" s="27">
        <v>3801042576</v>
      </c>
    </row>
    <row r="30" spans="1:3" x14ac:dyDescent="0.25">
      <c r="A30" t="s">
        <v>5322</v>
      </c>
      <c r="B30" t="s">
        <v>5320</v>
      </c>
      <c r="C30" s="27">
        <v>5906086550</v>
      </c>
    </row>
    <row r="31" spans="1:3" x14ac:dyDescent="0.25">
      <c r="A31" t="s">
        <v>5323</v>
      </c>
      <c r="B31" t="s">
        <v>5320</v>
      </c>
      <c r="C31" s="27">
        <v>3812987851</v>
      </c>
    </row>
    <row r="32" spans="1:3" x14ac:dyDescent="0.25">
      <c r="A32" t="s">
        <v>5324</v>
      </c>
      <c r="B32" t="s">
        <v>5320</v>
      </c>
      <c r="C32" s="27">
        <v>6453161631</v>
      </c>
    </row>
    <row r="33" spans="1:3" x14ac:dyDescent="0.25">
      <c r="A33" t="s">
        <v>5325</v>
      </c>
      <c r="B33" t="s">
        <v>5320</v>
      </c>
      <c r="C33" s="27">
        <v>5907998608</v>
      </c>
    </row>
    <row r="34" spans="1:3" x14ac:dyDescent="0.25">
      <c r="A34" t="s">
        <v>5326</v>
      </c>
      <c r="B34" t="s">
        <v>5320</v>
      </c>
      <c r="C34" s="27">
        <v>7724211288</v>
      </c>
    </row>
    <row r="35" spans="1:3" x14ac:dyDescent="0.25">
      <c r="A35" t="s">
        <v>5327</v>
      </c>
      <c r="B35" t="s">
        <v>5320</v>
      </c>
      <c r="C35" s="27">
        <v>6658371284</v>
      </c>
    </row>
    <row r="36" spans="1:3" x14ac:dyDescent="0.25">
      <c r="A36" t="s">
        <v>5328</v>
      </c>
      <c r="B36" t="s">
        <v>5320</v>
      </c>
      <c r="C36" s="27">
        <v>7728339546</v>
      </c>
    </row>
    <row r="37" spans="1:3" x14ac:dyDescent="0.25">
      <c r="A37" t="s">
        <v>5329</v>
      </c>
      <c r="B37" t="s">
        <v>5320</v>
      </c>
      <c r="C37" s="27">
        <v>5902058784</v>
      </c>
    </row>
    <row r="38" spans="1:3" x14ac:dyDescent="0.25">
      <c r="A38" t="s">
        <v>5330</v>
      </c>
      <c r="B38" t="s">
        <v>5320</v>
      </c>
      <c r="C38" s="27">
        <v>5445102380</v>
      </c>
    </row>
    <row r="39" spans="1:3" x14ac:dyDescent="0.25">
      <c r="A39" t="s">
        <v>5331</v>
      </c>
      <c r="B39" t="s">
        <v>5320</v>
      </c>
      <c r="C39" s="27">
        <v>6321112412</v>
      </c>
    </row>
    <row r="40" spans="1:3" x14ac:dyDescent="0.25">
      <c r="A40" t="s">
        <v>5332</v>
      </c>
      <c r="B40" t="s">
        <v>5320</v>
      </c>
      <c r="C40" s="27">
        <v>463400414804</v>
      </c>
    </row>
    <row r="41" spans="1:3" x14ac:dyDescent="0.25">
      <c r="A41" t="s">
        <v>5333</v>
      </c>
      <c r="B41" t="s">
        <v>5320</v>
      </c>
      <c r="C41" s="27">
        <v>7721851829</v>
      </c>
    </row>
    <row r="42" spans="1:3" x14ac:dyDescent="0.25">
      <c r="A42" t="s">
        <v>5334</v>
      </c>
      <c r="B42" t="s">
        <v>5320</v>
      </c>
      <c r="C42" s="27">
        <v>7814443325</v>
      </c>
    </row>
    <row r="43" spans="1:3" x14ac:dyDescent="0.25">
      <c r="A43" t="s">
        <v>5335</v>
      </c>
      <c r="B43" t="s">
        <v>5320</v>
      </c>
      <c r="C43" s="27">
        <v>231700275769</v>
      </c>
    </row>
    <row r="44" spans="1:3" x14ac:dyDescent="0.25">
      <c r="A44" t="s">
        <v>5336</v>
      </c>
      <c r="B44" t="s">
        <v>5320</v>
      </c>
      <c r="C44" s="27">
        <v>462901346416</v>
      </c>
    </row>
    <row r="45" spans="1:3" x14ac:dyDescent="0.25">
      <c r="A45" t="s">
        <v>5337</v>
      </c>
      <c r="B45" t="s">
        <v>5320</v>
      </c>
      <c r="C45" s="27">
        <v>726024869</v>
      </c>
    </row>
    <row r="46" spans="1:3" x14ac:dyDescent="0.25">
      <c r="A46" t="s">
        <v>5338</v>
      </c>
      <c r="B46" t="s">
        <v>5320</v>
      </c>
      <c r="C46" s="27">
        <v>5003083910</v>
      </c>
    </row>
    <row r="47" spans="1:3" x14ac:dyDescent="0.25">
      <c r="A47" t="s">
        <v>5339</v>
      </c>
      <c r="B47" t="s">
        <v>5320</v>
      </c>
      <c r="C47" s="27">
        <v>2543081856</v>
      </c>
    </row>
    <row r="48" spans="1:3" x14ac:dyDescent="0.25">
      <c r="A48" t="s">
        <v>5340</v>
      </c>
      <c r="B48" t="s">
        <v>5320</v>
      </c>
      <c r="C48" s="27">
        <v>2465327355</v>
      </c>
    </row>
    <row r="49" spans="1:3" x14ac:dyDescent="0.25">
      <c r="A49" t="s">
        <v>5341</v>
      </c>
      <c r="B49" t="s">
        <v>5320</v>
      </c>
      <c r="C49" s="27">
        <v>7827008961</v>
      </c>
    </row>
    <row r="50" spans="1:3" x14ac:dyDescent="0.25">
      <c r="A50" t="s">
        <v>5342</v>
      </c>
      <c r="B50" t="s">
        <v>5320</v>
      </c>
      <c r="C50" s="27">
        <v>7732121736</v>
      </c>
    </row>
    <row r="51" spans="1:3" x14ac:dyDescent="0.25">
      <c r="A51" t="s">
        <v>5343</v>
      </c>
      <c r="B51" t="s">
        <v>5320</v>
      </c>
      <c r="C51" s="27">
        <v>260319124100</v>
      </c>
    </row>
    <row r="52" spans="1:3" x14ac:dyDescent="0.25">
      <c r="A52" t="s">
        <v>5344</v>
      </c>
      <c r="B52" t="s">
        <v>5320</v>
      </c>
      <c r="C52" s="27">
        <v>7839300921</v>
      </c>
    </row>
    <row r="53" spans="1:3" x14ac:dyDescent="0.25">
      <c r="A53" t="s">
        <v>5345</v>
      </c>
      <c r="B53" t="s">
        <v>5320</v>
      </c>
      <c r="C53" s="27">
        <v>9103014604</v>
      </c>
    </row>
    <row r="54" spans="1:3" x14ac:dyDescent="0.25">
      <c r="A54" t="s">
        <v>5346</v>
      </c>
      <c r="B54" t="s">
        <v>5320</v>
      </c>
      <c r="C54" s="27">
        <v>7714844316</v>
      </c>
    </row>
    <row r="55" spans="1:3" x14ac:dyDescent="0.25">
      <c r="A55" t="s">
        <v>5347</v>
      </c>
      <c r="B55" t="s">
        <v>5320</v>
      </c>
      <c r="C55" s="27">
        <v>2308128039</v>
      </c>
    </row>
    <row r="56" spans="1:3" x14ac:dyDescent="0.25">
      <c r="A56" t="s">
        <v>5348</v>
      </c>
      <c r="B56" t="s">
        <v>5320</v>
      </c>
      <c r="C56" s="27">
        <v>5903072982</v>
      </c>
    </row>
    <row r="57" spans="1:3" x14ac:dyDescent="0.25">
      <c r="A57" t="s">
        <v>5349</v>
      </c>
      <c r="B57" t="s">
        <v>5320</v>
      </c>
      <c r="C57" s="27">
        <v>7718280244</v>
      </c>
    </row>
    <row r="58" spans="1:3" x14ac:dyDescent="0.25">
      <c r="A58" t="s">
        <v>5350</v>
      </c>
      <c r="B58" t="s">
        <v>5320</v>
      </c>
      <c r="C58" s="27">
        <v>7814271250</v>
      </c>
    </row>
    <row r="59" spans="1:3" x14ac:dyDescent="0.25">
      <c r="A59" t="s">
        <v>5351</v>
      </c>
      <c r="B59" t="s">
        <v>5320</v>
      </c>
      <c r="C59" s="27">
        <v>4710012294</v>
      </c>
    </row>
    <row r="60" spans="1:3" x14ac:dyDescent="0.25">
      <c r="A60" t="s">
        <v>5352</v>
      </c>
      <c r="B60" t="s">
        <v>5320</v>
      </c>
      <c r="C60" s="27">
        <v>2320218433</v>
      </c>
    </row>
    <row r="61" spans="1:3" x14ac:dyDescent="0.25">
      <c r="A61" t="s">
        <v>5353</v>
      </c>
      <c r="B61" t="s">
        <v>5320</v>
      </c>
      <c r="C61" s="27">
        <v>326537584</v>
      </c>
    </row>
    <row r="62" spans="1:3" x14ac:dyDescent="0.25">
      <c r="A62" t="s">
        <v>5354</v>
      </c>
      <c r="B62" t="s">
        <v>5320</v>
      </c>
      <c r="C62" s="27">
        <v>2373007595</v>
      </c>
    </row>
    <row r="63" spans="1:3" x14ac:dyDescent="0.25">
      <c r="A63" t="s">
        <v>5355</v>
      </c>
      <c r="B63" t="s">
        <v>5320</v>
      </c>
      <c r="C63" s="27">
        <v>4703101257</v>
      </c>
    </row>
    <row r="64" spans="1:3" x14ac:dyDescent="0.25">
      <c r="A64" t="s">
        <v>5356</v>
      </c>
      <c r="B64" t="s">
        <v>5320</v>
      </c>
      <c r="C64" s="27">
        <v>9726023519</v>
      </c>
    </row>
    <row r="65" spans="1:3" x14ac:dyDescent="0.25">
      <c r="A65" t="s">
        <v>5357</v>
      </c>
      <c r="B65" t="s">
        <v>5320</v>
      </c>
      <c r="C65" s="27">
        <v>7802611649</v>
      </c>
    </row>
    <row r="66" spans="1:3" x14ac:dyDescent="0.25">
      <c r="A66" t="s">
        <v>5358</v>
      </c>
      <c r="B66" t="s">
        <v>5320</v>
      </c>
      <c r="C66" s="27">
        <v>6824002695</v>
      </c>
    </row>
    <row r="67" spans="1:3" x14ac:dyDescent="0.25">
      <c r="A67" t="s">
        <v>5359</v>
      </c>
      <c r="B67" t="s">
        <v>5320</v>
      </c>
      <c r="C67" s="27">
        <v>6630006059</v>
      </c>
    </row>
    <row r="68" spans="1:3" x14ac:dyDescent="0.25">
      <c r="A68" t="s">
        <v>5360</v>
      </c>
      <c r="B68" t="s">
        <v>5320</v>
      </c>
      <c r="C68" s="27">
        <v>2460120491</v>
      </c>
    </row>
    <row r="69" spans="1:3" x14ac:dyDescent="0.25">
      <c r="A69" t="s">
        <v>5361</v>
      </c>
      <c r="B69" t="s">
        <v>5320</v>
      </c>
      <c r="C69" s="27">
        <v>5038131629</v>
      </c>
    </row>
    <row r="70" spans="1:3" x14ac:dyDescent="0.25">
      <c r="A70" t="s">
        <v>5362</v>
      </c>
      <c r="B70" t="s">
        <v>5320</v>
      </c>
      <c r="C70" s="27">
        <v>1659064696</v>
      </c>
    </row>
    <row r="71" spans="1:3" x14ac:dyDescent="0.25">
      <c r="A71" t="s">
        <v>5363</v>
      </c>
      <c r="B71" t="s">
        <v>5320</v>
      </c>
      <c r="C71" s="27">
        <v>2901258714</v>
      </c>
    </row>
    <row r="72" spans="1:3" x14ac:dyDescent="0.25">
      <c r="A72" t="s">
        <v>5364</v>
      </c>
      <c r="B72" t="s">
        <v>5320</v>
      </c>
      <c r="C72" s="27">
        <v>2308209785</v>
      </c>
    </row>
    <row r="73" spans="1:3" x14ac:dyDescent="0.25">
      <c r="A73" t="s">
        <v>5365</v>
      </c>
      <c r="B73" t="s">
        <v>5320</v>
      </c>
      <c r="C73" s="27">
        <v>2310052764</v>
      </c>
    </row>
    <row r="74" spans="1:3" x14ac:dyDescent="0.25">
      <c r="A74" t="s">
        <v>5366</v>
      </c>
      <c r="B74" t="s">
        <v>5320</v>
      </c>
      <c r="C74" s="27">
        <v>3704004871</v>
      </c>
    </row>
    <row r="75" spans="1:3" x14ac:dyDescent="0.25">
      <c r="A75" t="s">
        <v>5367</v>
      </c>
      <c r="B75" t="s">
        <v>5320</v>
      </c>
      <c r="C75" s="27">
        <v>4205048353</v>
      </c>
    </row>
    <row r="76" spans="1:3" x14ac:dyDescent="0.25">
      <c r="A76" t="s">
        <v>5368</v>
      </c>
      <c r="B76" t="s">
        <v>5320</v>
      </c>
      <c r="C76" s="27">
        <v>4706046935</v>
      </c>
    </row>
    <row r="77" spans="1:3" x14ac:dyDescent="0.25">
      <c r="A77" t="s">
        <v>5369</v>
      </c>
      <c r="B77" t="s">
        <v>5320</v>
      </c>
      <c r="C77" s="27">
        <v>7715580916</v>
      </c>
    </row>
    <row r="78" spans="1:3" x14ac:dyDescent="0.25">
      <c r="A78" t="s">
        <v>5370</v>
      </c>
      <c r="B78" t="s">
        <v>5320</v>
      </c>
      <c r="C78" s="27">
        <v>7731334851</v>
      </c>
    </row>
    <row r="79" spans="1:3" x14ac:dyDescent="0.25">
      <c r="A79" t="s">
        <v>5371</v>
      </c>
      <c r="B79" t="s">
        <v>5320</v>
      </c>
      <c r="C79" s="27">
        <v>2310200444</v>
      </c>
    </row>
    <row r="80" spans="1:3" x14ac:dyDescent="0.25">
      <c r="A80" t="s">
        <v>5372</v>
      </c>
      <c r="B80" t="s">
        <v>5320</v>
      </c>
      <c r="C80" s="27">
        <v>5038153943</v>
      </c>
    </row>
    <row r="81" spans="1:3" x14ac:dyDescent="0.25">
      <c r="A81" t="s">
        <v>5373</v>
      </c>
      <c r="B81" t="s">
        <v>5320</v>
      </c>
      <c r="C81" s="27">
        <v>231705666100</v>
      </c>
    </row>
    <row r="82" spans="1:3" x14ac:dyDescent="0.25">
      <c r="A82" t="s">
        <v>5374</v>
      </c>
      <c r="B82" t="s">
        <v>5320</v>
      </c>
      <c r="C82" s="27">
        <v>7734732748</v>
      </c>
    </row>
    <row r="83" spans="1:3" x14ac:dyDescent="0.25">
      <c r="A83" t="s">
        <v>5375</v>
      </c>
      <c r="B83" t="s">
        <v>5320</v>
      </c>
      <c r="C83" s="27">
        <v>262511537755</v>
      </c>
    </row>
    <row r="84" spans="1:3" x14ac:dyDescent="0.25">
      <c r="A84" t="s">
        <v>5376</v>
      </c>
      <c r="B84" t="s">
        <v>5320</v>
      </c>
      <c r="C84" s="27">
        <v>4705071640</v>
      </c>
    </row>
    <row r="85" spans="1:3" x14ac:dyDescent="0.25">
      <c r="A85" t="s">
        <v>5377</v>
      </c>
      <c r="B85" t="s">
        <v>5320</v>
      </c>
      <c r="C85" s="27">
        <v>3102048889</v>
      </c>
    </row>
    <row r="86" spans="1:3" x14ac:dyDescent="0.25">
      <c r="A86" t="s">
        <v>5378</v>
      </c>
      <c r="B86" t="s">
        <v>5320</v>
      </c>
      <c r="C86" s="27">
        <v>7816483740</v>
      </c>
    </row>
    <row r="87" spans="1:3" x14ac:dyDescent="0.25">
      <c r="A87" t="s">
        <v>5379</v>
      </c>
      <c r="B87" t="s">
        <v>5320</v>
      </c>
      <c r="C87" s="27">
        <v>5904280093</v>
      </c>
    </row>
    <row r="88" spans="1:3" x14ac:dyDescent="0.25">
      <c r="A88" t="s">
        <v>5380</v>
      </c>
      <c r="B88" t="s">
        <v>5320</v>
      </c>
      <c r="C88" s="27">
        <v>573009148</v>
      </c>
    </row>
    <row r="89" spans="1:3" x14ac:dyDescent="0.25">
      <c r="A89" t="s">
        <v>5381</v>
      </c>
      <c r="B89" t="s">
        <v>5320</v>
      </c>
      <c r="C89" s="27">
        <v>3666107560</v>
      </c>
    </row>
    <row r="90" spans="1:3" x14ac:dyDescent="0.25">
      <c r="A90" t="s">
        <v>5382</v>
      </c>
      <c r="B90" t="s">
        <v>5320</v>
      </c>
      <c r="C90" s="27">
        <v>5032223231</v>
      </c>
    </row>
    <row r="91" spans="1:3" x14ac:dyDescent="0.25">
      <c r="A91" t="s">
        <v>5383</v>
      </c>
      <c r="B91" t="s">
        <v>5320</v>
      </c>
      <c r="C91" s="27">
        <v>5903090325</v>
      </c>
    </row>
    <row r="92" spans="1:3" x14ac:dyDescent="0.25">
      <c r="A92" t="s">
        <v>5384</v>
      </c>
      <c r="B92" t="s">
        <v>5320</v>
      </c>
      <c r="C92" s="27">
        <v>6316089020</v>
      </c>
    </row>
    <row r="93" spans="1:3" x14ac:dyDescent="0.25">
      <c r="A93" t="s">
        <v>5385</v>
      </c>
      <c r="B93" t="s">
        <v>5320</v>
      </c>
      <c r="C93" s="27">
        <v>7807048010</v>
      </c>
    </row>
    <row r="94" spans="1:3" x14ac:dyDescent="0.25">
      <c r="A94" t="s">
        <v>5386</v>
      </c>
      <c r="B94" t="s">
        <v>5320</v>
      </c>
      <c r="C94" s="27">
        <v>7445006539</v>
      </c>
    </row>
    <row r="95" spans="1:3" x14ac:dyDescent="0.25">
      <c r="A95" t="s">
        <v>5387</v>
      </c>
      <c r="B95" t="s">
        <v>5320</v>
      </c>
      <c r="C95" s="27">
        <v>3665071695</v>
      </c>
    </row>
    <row r="96" spans="1:3" x14ac:dyDescent="0.25">
      <c r="A96" t="s">
        <v>5388</v>
      </c>
      <c r="B96" t="s">
        <v>5320</v>
      </c>
      <c r="C96" s="27">
        <v>332908266729</v>
      </c>
    </row>
    <row r="97" spans="1:3" x14ac:dyDescent="0.25">
      <c r="A97" t="s">
        <v>5389</v>
      </c>
      <c r="B97" t="s">
        <v>5320</v>
      </c>
      <c r="C97" s="27">
        <v>7719720579</v>
      </c>
    </row>
    <row r="98" spans="1:3" x14ac:dyDescent="0.25">
      <c r="A98" t="s">
        <v>5390</v>
      </c>
      <c r="B98" t="s">
        <v>5320</v>
      </c>
      <c r="C98" s="27">
        <v>6730046175</v>
      </c>
    </row>
    <row r="99" spans="1:3" x14ac:dyDescent="0.25">
      <c r="A99" t="s">
        <v>5391</v>
      </c>
      <c r="B99" t="s">
        <v>5320</v>
      </c>
      <c r="C99" s="27">
        <v>5038055791</v>
      </c>
    </row>
    <row r="100" spans="1:3" x14ac:dyDescent="0.25">
      <c r="A100" t="s">
        <v>5392</v>
      </c>
      <c r="B100" t="s">
        <v>5320</v>
      </c>
      <c r="C100" s="27">
        <v>6166128454</v>
      </c>
    </row>
    <row r="101" spans="1:3" x14ac:dyDescent="0.25">
      <c r="A101" t="s">
        <v>5393</v>
      </c>
      <c r="B101" t="s">
        <v>5320</v>
      </c>
      <c r="C101" s="27">
        <v>1001099467</v>
      </c>
    </row>
    <row r="102" spans="1:3" x14ac:dyDescent="0.25">
      <c r="A102" t="s">
        <v>5394</v>
      </c>
      <c r="B102" t="s">
        <v>5320</v>
      </c>
      <c r="C102" s="27">
        <v>6027082040</v>
      </c>
    </row>
    <row r="103" spans="1:3" x14ac:dyDescent="0.25">
      <c r="A103" t="s">
        <v>5395</v>
      </c>
      <c r="B103" t="s">
        <v>5320</v>
      </c>
      <c r="C103" s="27">
        <v>7814139847</v>
      </c>
    </row>
    <row r="104" spans="1:3" x14ac:dyDescent="0.25">
      <c r="A104" t="s">
        <v>5396</v>
      </c>
      <c r="B104" t="s">
        <v>5397</v>
      </c>
      <c r="C104" s="27">
        <v>4715014337</v>
      </c>
    </row>
    <row r="105" spans="1:3" x14ac:dyDescent="0.25">
      <c r="A105" t="s">
        <v>5398</v>
      </c>
      <c r="B105" t="s">
        <v>5397</v>
      </c>
      <c r="C105" s="27">
        <v>6673189456</v>
      </c>
    </row>
    <row r="106" spans="1:3" x14ac:dyDescent="0.25">
      <c r="A106" t="s">
        <v>5399</v>
      </c>
      <c r="B106" t="s">
        <v>5397</v>
      </c>
      <c r="C106" s="27">
        <v>91230428255</v>
      </c>
    </row>
    <row r="107" spans="1:3" x14ac:dyDescent="0.25">
      <c r="A107" t="s">
        <v>5400</v>
      </c>
      <c r="B107" t="s">
        <v>5397</v>
      </c>
      <c r="C107" s="27">
        <v>7838103977</v>
      </c>
    </row>
    <row r="108" spans="1:3" x14ac:dyDescent="0.25">
      <c r="A108" t="s">
        <v>5401</v>
      </c>
      <c r="B108" t="s">
        <v>5397</v>
      </c>
      <c r="C108" s="27">
        <v>2310219170</v>
      </c>
    </row>
    <row r="109" spans="1:3" x14ac:dyDescent="0.25">
      <c r="A109" t="s">
        <v>5402</v>
      </c>
      <c r="B109" t="s">
        <v>5397</v>
      </c>
      <c r="C109" s="27">
        <v>3665072233</v>
      </c>
    </row>
    <row r="110" spans="1:3" x14ac:dyDescent="0.25">
      <c r="A110" t="s">
        <v>5403</v>
      </c>
      <c r="B110" t="s">
        <v>5397</v>
      </c>
      <c r="C110" s="27">
        <v>7203473252</v>
      </c>
    </row>
    <row r="111" spans="1:3" x14ac:dyDescent="0.25">
      <c r="A111" t="s">
        <v>5404</v>
      </c>
      <c r="B111" t="s">
        <v>5397</v>
      </c>
      <c r="C111" s="27">
        <v>4632170357</v>
      </c>
    </row>
    <row r="112" spans="1:3" x14ac:dyDescent="0.25">
      <c r="A112" t="s">
        <v>5405</v>
      </c>
      <c r="B112" t="s">
        <v>5397</v>
      </c>
      <c r="C112" s="27">
        <v>9203008114</v>
      </c>
    </row>
    <row r="113" spans="1:3" x14ac:dyDescent="0.25">
      <c r="A113" t="s">
        <v>5406</v>
      </c>
      <c r="B113" t="s">
        <v>5397</v>
      </c>
      <c r="C113" s="27">
        <v>231703122520</v>
      </c>
    </row>
    <row r="114" spans="1:3" x14ac:dyDescent="0.25">
      <c r="A114" t="s">
        <v>5407</v>
      </c>
      <c r="B114" t="s">
        <v>5397</v>
      </c>
      <c r="C114" s="27">
        <v>7716997445</v>
      </c>
    </row>
    <row r="115" spans="1:3" x14ac:dyDescent="0.25">
      <c r="A115" t="s">
        <v>5408</v>
      </c>
      <c r="B115" t="s">
        <v>5397</v>
      </c>
      <c r="C115" s="27">
        <v>1827018503</v>
      </c>
    </row>
    <row r="116" spans="1:3" x14ac:dyDescent="0.25">
      <c r="A116" t="s">
        <v>5409</v>
      </c>
      <c r="B116" t="s">
        <v>5397</v>
      </c>
      <c r="C116" s="27">
        <v>7818009091</v>
      </c>
    </row>
    <row r="117" spans="1:3" x14ac:dyDescent="0.25">
      <c r="A117" t="s">
        <v>5410</v>
      </c>
      <c r="B117" t="s">
        <v>5397</v>
      </c>
      <c r="C117" s="27">
        <v>5905254762</v>
      </c>
    </row>
    <row r="118" spans="1:3" x14ac:dyDescent="0.25">
      <c r="A118" t="s">
        <v>5411</v>
      </c>
      <c r="B118" t="s">
        <v>5397</v>
      </c>
      <c r="C118" s="27">
        <v>234901050224</v>
      </c>
    </row>
    <row r="119" spans="1:3" x14ac:dyDescent="0.25">
      <c r="A119" t="s">
        <v>5412</v>
      </c>
      <c r="B119" t="s">
        <v>5397</v>
      </c>
      <c r="C119" s="27">
        <v>7726551610</v>
      </c>
    </row>
    <row r="120" spans="1:3" x14ac:dyDescent="0.25">
      <c r="A120" t="s">
        <v>5413</v>
      </c>
      <c r="B120" t="s">
        <v>5397</v>
      </c>
      <c r="C120" s="27">
        <v>3123296586</v>
      </c>
    </row>
    <row r="121" spans="1:3" x14ac:dyDescent="0.25">
      <c r="A121" t="s">
        <v>5414</v>
      </c>
      <c r="B121" t="s">
        <v>5397</v>
      </c>
      <c r="C121" s="27">
        <v>5038069000</v>
      </c>
    </row>
    <row r="122" spans="1:3" x14ac:dyDescent="0.25">
      <c r="A122" t="s">
        <v>5415</v>
      </c>
      <c r="B122" t="s">
        <v>5397</v>
      </c>
      <c r="C122" s="27">
        <v>4600003787</v>
      </c>
    </row>
    <row r="123" spans="1:3" x14ac:dyDescent="0.25">
      <c r="A123" t="s">
        <v>5416</v>
      </c>
      <c r="B123" t="s">
        <v>5397</v>
      </c>
      <c r="C123" s="27">
        <v>910301025521</v>
      </c>
    </row>
    <row r="124" spans="1:3" x14ac:dyDescent="0.25">
      <c r="A124" t="s">
        <v>5417</v>
      </c>
      <c r="B124" t="s">
        <v>5397</v>
      </c>
      <c r="C124" s="27">
        <v>5190194022</v>
      </c>
    </row>
    <row r="125" spans="1:3" x14ac:dyDescent="0.25">
      <c r="A125" t="s">
        <v>5418</v>
      </c>
      <c r="B125" t="s">
        <v>5397</v>
      </c>
      <c r="C125" s="27">
        <v>1513077233</v>
      </c>
    </row>
    <row r="126" spans="1:3" x14ac:dyDescent="0.25">
      <c r="A126" t="s">
        <v>5419</v>
      </c>
      <c r="B126" t="s">
        <v>5397</v>
      </c>
      <c r="C126" s="27">
        <v>6316283317</v>
      </c>
    </row>
    <row r="127" spans="1:3" x14ac:dyDescent="0.25">
      <c r="A127" t="s">
        <v>5420</v>
      </c>
      <c r="B127" t="s">
        <v>5397</v>
      </c>
      <c r="C127" s="27">
        <v>2308241919</v>
      </c>
    </row>
    <row r="128" spans="1:3" x14ac:dyDescent="0.25">
      <c r="A128" t="s">
        <v>5421</v>
      </c>
      <c r="B128" t="s">
        <v>5397</v>
      </c>
      <c r="C128" s="27">
        <v>6164202134</v>
      </c>
    </row>
    <row r="129" spans="1:3" x14ac:dyDescent="0.25">
      <c r="A129" t="s">
        <v>5422</v>
      </c>
      <c r="B129" t="s">
        <v>5397</v>
      </c>
      <c r="C129" s="27">
        <v>1841012052</v>
      </c>
    </row>
    <row r="130" spans="1:3" x14ac:dyDescent="0.25">
      <c r="A130" t="s">
        <v>5423</v>
      </c>
      <c r="B130" t="s">
        <v>5397</v>
      </c>
      <c r="C130" s="27">
        <v>2628035915</v>
      </c>
    </row>
    <row r="131" spans="1:3" x14ac:dyDescent="0.25">
      <c r="A131" t="s">
        <v>5424</v>
      </c>
      <c r="B131" t="s">
        <v>5397</v>
      </c>
      <c r="C131" s="27">
        <v>1502045134</v>
      </c>
    </row>
    <row r="132" spans="1:3" x14ac:dyDescent="0.25">
      <c r="A132" t="s">
        <v>5425</v>
      </c>
      <c r="B132" t="s">
        <v>5397</v>
      </c>
      <c r="C132" s="27">
        <v>9719016905</v>
      </c>
    </row>
    <row r="133" spans="1:3" x14ac:dyDescent="0.25">
      <c r="A133" t="s">
        <v>5426</v>
      </c>
      <c r="B133" t="s">
        <v>5397</v>
      </c>
      <c r="C133" s="27">
        <v>234606057656</v>
      </c>
    </row>
    <row r="134" spans="1:3" x14ac:dyDescent="0.25">
      <c r="A134" t="s">
        <v>5427</v>
      </c>
      <c r="B134" t="s">
        <v>5397</v>
      </c>
      <c r="C134" s="27">
        <v>5902199859</v>
      </c>
    </row>
    <row r="135" spans="1:3" x14ac:dyDescent="0.25">
      <c r="A135" t="s">
        <v>5428</v>
      </c>
      <c r="B135" t="s">
        <v>5397</v>
      </c>
      <c r="C135" s="27">
        <v>3123221541</v>
      </c>
    </row>
    <row r="136" spans="1:3" x14ac:dyDescent="0.25">
      <c r="A136" t="s">
        <v>5429</v>
      </c>
      <c r="B136" t="s">
        <v>5397</v>
      </c>
      <c r="C136" s="27">
        <v>6166125005</v>
      </c>
    </row>
    <row r="137" spans="1:3" x14ac:dyDescent="0.25">
      <c r="A137" t="s">
        <v>5430</v>
      </c>
      <c r="B137" t="s">
        <v>5397</v>
      </c>
      <c r="C137" s="27">
        <v>56100450655</v>
      </c>
    </row>
    <row r="138" spans="1:3" x14ac:dyDescent="0.25">
      <c r="A138" t="s">
        <v>5431</v>
      </c>
      <c r="B138" t="s">
        <v>5397</v>
      </c>
      <c r="C138" s="27">
        <v>420519467016</v>
      </c>
    </row>
    <row r="139" spans="1:3" x14ac:dyDescent="0.25">
      <c r="A139" t="s">
        <v>5432</v>
      </c>
      <c r="B139" t="s">
        <v>5397</v>
      </c>
      <c r="C139" s="27">
        <v>561046931</v>
      </c>
    </row>
    <row r="140" spans="1:3" x14ac:dyDescent="0.25">
      <c r="A140" t="s">
        <v>5433</v>
      </c>
      <c r="B140" t="s">
        <v>5397</v>
      </c>
      <c r="C140" s="27">
        <v>5047162366</v>
      </c>
    </row>
    <row r="141" spans="1:3" x14ac:dyDescent="0.25">
      <c r="A141" t="s">
        <v>5434</v>
      </c>
      <c r="B141" t="s">
        <v>5397</v>
      </c>
      <c r="C141" s="27">
        <v>7720335388</v>
      </c>
    </row>
    <row r="142" spans="1:3" x14ac:dyDescent="0.25">
      <c r="A142" t="s">
        <v>5435</v>
      </c>
      <c r="B142" t="s">
        <v>5397</v>
      </c>
      <c r="C142" s="27">
        <v>9724191998</v>
      </c>
    </row>
    <row r="143" spans="1:3" x14ac:dyDescent="0.25">
      <c r="A143" t="s">
        <v>5436</v>
      </c>
      <c r="B143" t="s">
        <v>5397</v>
      </c>
      <c r="C143" s="27">
        <v>3114007189</v>
      </c>
    </row>
    <row r="144" spans="1:3" x14ac:dyDescent="0.25">
      <c r="A144" t="s">
        <v>5437</v>
      </c>
      <c r="B144" t="s">
        <v>5397</v>
      </c>
      <c r="C144" s="27">
        <v>150900884117</v>
      </c>
    </row>
    <row r="145" spans="1:3" x14ac:dyDescent="0.25">
      <c r="A145" t="s">
        <v>5438</v>
      </c>
      <c r="B145" t="s">
        <v>5397</v>
      </c>
      <c r="C145" s="27">
        <v>610401000804</v>
      </c>
    </row>
    <row r="146" spans="1:3" x14ac:dyDescent="0.25">
      <c r="A146" t="s">
        <v>5439</v>
      </c>
      <c r="B146" t="s">
        <v>5397</v>
      </c>
      <c r="C146" s="27">
        <v>5751039272</v>
      </c>
    </row>
    <row r="147" spans="1:3" x14ac:dyDescent="0.25">
      <c r="A147" t="s">
        <v>5440</v>
      </c>
      <c r="B147" t="s">
        <v>5397</v>
      </c>
      <c r="C147" s="27">
        <v>6161089650</v>
      </c>
    </row>
    <row r="148" spans="1:3" x14ac:dyDescent="0.25">
      <c r="A148" t="s">
        <v>5441</v>
      </c>
      <c r="B148" t="s">
        <v>5397</v>
      </c>
      <c r="C148" s="27">
        <v>2322018119</v>
      </c>
    </row>
    <row r="149" spans="1:3" x14ac:dyDescent="0.25">
      <c r="A149" t="s">
        <v>5442</v>
      </c>
      <c r="B149" t="s">
        <v>5397</v>
      </c>
      <c r="C149" s="27">
        <v>5903090212</v>
      </c>
    </row>
    <row r="150" spans="1:3" x14ac:dyDescent="0.25">
      <c r="A150" t="s">
        <v>5443</v>
      </c>
      <c r="B150" t="s">
        <v>5397</v>
      </c>
      <c r="C150" s="27">
        <v>2309136755</v>
      </c>
    </row>
    <row r="151" spans="1:3" x14ac:dyDescent="0.25">
      <c r="A151" t="s">
        <v>5444</v>
      </c>
      <c r="B151" t="s">
        <v>5397</v>
      </c>
      <c r="C151" s="27">
        <v>2301048666</v>
      </c>
    </row>
    <row r="152" spans="1:3" x14ac:dyDescent="0.25">
      <c r="A152" t="s">
        <v>5445</v>
      </c>
      <c r="B152" t="s">
        <v>5397</v>
      </c>
      <c r="C152" s="27">
        <v>5906152820</v>
      </c>
    </row>
    <row r="153" spans="1:3" x14ac:dyDescent="0.25">
      <c r="A153" t="s">
        <v>5446</v>
      </c>
      <c r="B153" t="s">
        <v>5397</v>
      </c>
      <c r="C153" s="27">
        <v>6166045261</v>
      </c>
    </row>
    <row r="154" spans="1:3" x14ac:dyDescent="0.25">
      <c r="A154" t="s">
        <v>5447</v>
      </c>
      <c r="B154" t="s">
        <v>5397</v>
      </c>
      <c r="C154" s="27">
        <v>7802194843</v>
      </c>
    </row>
    <row r="155" spans="1:3" x14ac:dyDescent="0.25">
      <c r="A155" t="s">
        <v>5448</v>
      </c>
      <c r="B155" t="s">
        <v>5397</v>
      </c>
      <c r="C155" s="27">
        <v>5008036897</v>
      </c>
    </row>
    <row r="156" spans="1:3" x14ac:dyDescent="0.25">
      <c r="A156" t="s">
        <v>5449</v>
      </c>
      <c r="B156" t="s">
        <v>5397</v>
      </c>
      <c r="C156" s="27">
        <v>70104610037</v>
      </c>
    </row>
    <row r="157" spans="1:3" x14ac:dyDescent="0.25">
      <c r="A157" t="s">
        <v>5450</v>
      </c>
      <c r="B157" t="s">
        <v>5397</v>
      </c>
      <c r="C157" s="27">
        <v>231402307180</v>
      </c>
    </row>
    <row r="158" spans="1:3" x14ac:dyDescent="0.25">
      <c r="A158" t="s">
        <v>5451</v>
      </c>
      <c r="B158" t="s">
        <v>5397</v>
      </c>
      <c r="C158" s="27">
        <v>56208971967</v>
      </c>
    </row>
    <row r="159" spans="1:3" x14ac:dyDescent="0.25">
      <c r="A159" t="s">
        <v>5452</v>
      </c>
      <c r="B159" t="s">
        <v>5397</v>
      </c>
      <c r="C159" s="27">
        <v>5249123031</v>
      </c>
    </row>
    <row r="160" spans="1:3" x14ac:dyDescent="0.25">
      <c r="A160" t="s">
        <v>5453</v>
      </c>
      <c r="B160" t="s">
        <v>5397</v>
      </c>
      <c r="C160" s="27">
        <v>2722060732</v>
      </c>
    </row>
    <row r="161" spans="1:3" x14ac:dyDescent="0.25">
      <c r="A161" t="s">
        <v>5454</v>
      </c>
      <c r="B161" t="s">
        <v>5397</v>
      </c>
      <c r="C161" s="27">
        <v>2727023526</v>
      </c>
    </row>
    <row r="162" spans="1:3" x14ac:dyDescent="0.25">
      <c r="A162" t="s">
        <v>5455</v>
      </c>
      <c r="B162" t="s">
        <v>5397</v>
      </c>
      <c r="C162" s="27">
        <v>9705147513</v>
      </c>
    </row>
    <row r="163" spans="1:3" x14ac:dyDescent="0.25">
      <c r="A163" t="s">
        <v>5456</v>
      </c>
      <c r="B163" t="s">
        <v>5397</v>
      </c>
      <c r="C163" s="27">
        <v>5507102175</v>
      </c>
    </row>
    <row r="164" spans="1:3" x14ac:dyDescent="0.25">
      <c r="A164" t="s">
        <v>5457</v>
      </c>
      <c r="B164" t="s">
        <v>5397</v>
      </c>
      <c r="C164" s="27">
        <v>9204023806</v>
      </c>
    </row>
    <row r="165" spans="1:3" x14ac:dyDescent="0.25">
      <c r="A165" t="s">
        <v>5458</v>
      </c>
      <c r="B165" t="s">
        <v>5397</v>
      </c>
      <c r="C165" s="27">
        <v>360300674906</v>
      </c>
    </row>
    <row r="166" spans="1:3" x14ac:dyDescent="0.25">
      <c r="A166" t="s">
        <v>5459</v>
      </c>
      <c r="B166" t="s">
        <v>5397</v>
      </c>
      <c r="C166" s="27">
        <v>5904279620</v>
      </c>
    </row>
    <row r="167" spans="1:3" x14ac:dyDescent="0.25">
      <c r="A167" t="s">
        <v>5460</v>
      </c>
      <c r="B167" t="s">
        <v>5397</v>
      </c>
      <c r="C167" s="27">
        <v>1650149440</v>
      </c>
    </row>
    <row r="168" spans="1:3" x14ac:dyDescent="0.25">
      <c r="A168" t="s">
        <v>5461</v>
      </c>
      <c r="B168" t="s">
        <v>5397</v>
      </c>
      <c r="C168" s="27">
        <v>1841015198</v>
      </c>
    </row>
    <row r="169" spans="1:3" x14ac:dyDescent="0.25">
      <c r="A169" t="s">
        <v>5462</v>
      </c>
      <c r="B169" t="s">
        <v>5397</v>
      </c>
      <c r="C169" s="27">
        <v>7810468745</v>
      </c>
    </row>
    <row r="170" spans="1:3" x14ac:dyDescent="0.25">
      <c r="A170" t="s">
        <v>5463</v>
      </c>
      <c r="B170" t="s">
        <v>5397</v>
      </c>
      <c r="C170" s="27">
        <v>2311105578</v>
      </c>
    </row>
    <row r="171" spans="1:3" x14ac:dyDescent="0.25">
      <c r="A171" t="s">
        <v>5464</v>
      </c>
      <c r="B171" t="s">
        <v>5397</v>
      </c>
      <c r="C171" s="27">
        <v>6165240020</v>
      </c>
    </row>
    <row r="172" spans="1:3" x14ac:dyDescent="0.25">
      <c r="A172" t="s">
        <v>5465</v>
      </c>
      <c r="B172" t="s">
        <v>5397</v>
      </c>
      <c r="C172" s="27">
        <v>7840411560</v>
      </c>
    </row>
    <row r="173" spans="1:3" x14ac:dyDescent="0.25">
      <c r="A173" t="s">
        <v>5466</v>
      </c>
      <c r="B173" t="s">
        <v>5397</v>
      </c>
      <c r="C173" s="27">
        <v>6670039614</v>
      </c>
    </row>
    <row r="174" spans="1:3" x14ac:dyDescent="0.25">
      <c r="A174" t="s">
        <v>5467</v>
      </c>
      <c r="B174" t="s">
        <v>5397</v>
      </c>
      <c r="C174" s="27">
        <v>2225105670</v>
      </c>
    </row>
    <row r="175" spans="1:3" x14ac:dyDescent="0.25">
      <c r="A175" t="s">
        <v>5468</v>
      </c>
      <c r="B175" t="s">
        <v>5397</v>
      </c>
      <c r="C175" s="27">
        <v>3446042846</v>
      </c>
    </row>
    <row r="176" spans="1:3" x14ac:dyDescent="0.25">
      <c r="A176" t="s">
        <v>5469</v>
      </c>
      <c r="B176" t="s">
        <v>5397</v>
      </c>
      <c r="C176" s="27">
        <v>910914194053</v>
      </c>
    </row>
    <row r="177" spans="1:3" x14ac:dyDescent="0.25">
      <c r="A177" t="s">
        <v>5470</v>
      </c>
      <c r="B177" t="s">
        <v>5397</v>
      </c>
      <c r="C177" s="27">
        <v>4222016270</v>
      </c>
    </row>
    <row r="178" spans="1:3" x14ac:dyDescent="0.25">
      <c r="A178" t="s">
        <v>5471</v>
      </c>
      <c r="B178" t="s">
        <v>5397</v>
      </c>
      <c r="C178" s="27">
        <v>5018012052</v>
      </c>
    </row>
    <row r="179" spans="1:3" x14ac:dyDescent="0.25">
      <c r="A179" t="s">
        <v>5472</v>
      </c>
      <c r="B179" t="s">
        <v>5397</v>
      </c>
      <c r="C179" s="27">
        <v>1660127012</v>
      </c>
    </row>
    <row r="180" spans="1:3" x14ac:dyDescent="0.25">
      <c r="A180" t="s">
        <v>5473</v>
      </c>
      <c r="B180" t="s">
        <v>5397</v>
      </c>
      <c r="C180" s="27">
        <v>7704865540</v>
      </c>
    </row>
    <row r="181" spans="1:3" x14ac:dyDescent="0.25">
      <c r="A181" t="s">
        <v>5474</v>
      </c>
      <c r="B181" t="s">
        <v>5397</v>
      </c>
      <c r="C181" s="27">
        <v>6376066003</v>
      </c>
    </row>
    <row r="182" spans="1:3" x14ac:dyDescent="0.25">
      <c r="A182" t="s">
        <v>5475</v>
      </c>
      <c r="B182" t="s">
        <v>5397</v>
      </c>
      <c r="C182" s="27">
        <v>6316166363</v>
      </c>
    </row>
    <row r="183" spans="1:3" x14ac:dyDescent="0.25">
      <c r="A183" t="s">
        <v>5476</v>
      </c>
      <c r="B183" t="s">
        <v>5397</v>
      </c>
      <c r="C183" s="27">
        <v>4632157814</v>
      </c>
    </row>
    <row r="184" spans="1:3" x14ac:dyDescent="0.25">
      <c r="A184" t="s">
        <v>5477</v>
      </c>
      <c r="B184" t="s">
        <v>5397</v>
      </c>
      <c r="C184" s="27">
        <v>550310361355</v>
      </c>
    </row>
    <row r="185" spans="1:3" x14ac:dyDescent="0.25">
      <c r="A185" t="s">
        <v>5478</v>
      </c>
      <c r="B185" t="s">
        <v>5397</v>
      </c>
      <c r="C185" s="27">
        <v>4632178758</v>
      </c>
    </row>
    <row r="186" spans="1:3" x14ac:dyDescent="0.25">
      <c r="A186" t="s">
        <v>5479</v>
      </c>
      <c r="B186" t="s">
        <v>5397</v>
      </c>
      <c r="C186" s="27">
        <v>3907029575</v>
      </c>
    </row>
    <row r="187" spans="1:3" x14ac:dyDescent="0.25">
      <c r="A187" t="s">
        <v>5480</v>
      </c>
      <c r="B187" t="s">
        <v>5397</v>
      </c>
      <c r="C187" s="27">
        <v>2724146424</v>
      </c>
    </row>
    <row r="188" spans="1:3" x14ac:dyDescent="0.25">
      <c r="A188" t="s">
        <v>5481</v>
      </c>
      <c r="B188" t="s">
        <v>5397</v>
      </c>
      <c r="C188" s="27">
        <v>6163224960</v>
      </c>
    </row>
    <row r="189" spans="1:3" x14ac:dyDescent="0.25">
      <c r="A189" t="s">
        <v>5482</v>
      </c>
      <c r="B189" t="s">
        <v>5397</v>
      </c>
      <c r="C189" s="27">
        <v>2724214018</v>
      </c>
    </row>
    <row r="190" spans="1:3" x14ac:dyDescent="0.25">
      <c r="A190" t="s">
        <v>5483</v>
      </c>
      <c r="B190" t="s">
        <v>5397</v>
      </c>
      <c r="C190" s="27">
        <v>2801016937</v>
      </c>
    </row>
    <row r="191" spans="1:3" x14ac:dyDescent="0.25">
      <c r="A191" t="s">
        <v>5484</v>
      </c>
      <c r="B191" t="s">
        <v>5397</v>
      </c>
      <c r="C191" s="27">
        <v>2703082561</v>
      </c>
    </row>
    <row r="192" spans="1:3" x14ac:dyDescent="0.25">
      <c r="A192" t="s">
        <v>5485</v>
      </c>
      <c r="B192" t="s">
        <v>5397</v>
      </c>
      <c r="C192" s="27">
        <v>2502077219</v>
      </c>
    </row>
    <row r="193" spans="1:3" x14ac:dyDescent="0.25">
      <c r="A193" t="s">
        <v>5486</v>
      </c>
      <c r="B193" t="s">
        <v>5397</v>
      </c>
      <c r="C193" s="27">
        <v>2543102471</v>
      </c>
    </row>
    <row r="194" spans="1:3" x14ac:dyDescent="0.25">
      <c r="A194" t="s">
        <v>5487</v>
      </c>
      <c r="B194" t="s">
        <v>5397</v>
      </c>
      <c r="C194" s="27">
        <v>2723182187</v>
      </c>
    </row>
    <row r="195" spans="1:3" x14ac:dyDescent="0.25">
      <c r="A195" t="s">
        <v>5488</v>
      </c>
      <c r="B195" t="s">
        <v>5397</v>
      </c>
      <c r="C195" s="27">
        <v>2801226275</v>
      </c>
    </row>
    <row r="196" spans="1:3" x14ac:dyDescent="0.25">
      <c r="A196" t="s">
        <v>5489</v>
      </c>
      <c r="B196" t="s">
        <v>5397</v>
      </c>
      <c r="C196" s="27">
        <v>2629011770</v>
      </c>
    </row>
    <row r="197" spans="1:3" x14ac:dyDescent="0.25">
      <c r="A197" t="s">
        <v>5490</v>
      </c>
      <c r="B197" t="s">
        <v>5397</v>
      </c>
      <c r="C197" s="27">
        <v>2319055400</v>
      </c>
    </row>
    <row r="198" spans="1:3" x14ac:dyDescent="0.25">
      <c r="A198" t="s">
        <v>5491</v>
      </c>
      <c r="B198" t="s">
        <v>5397</v>
      </c>
      <c r="C198" s="27">
        <v>4205262893</v>
      </c>
    </row>
    <row r="199" spans="1:3" x14ac:dyDescent="0.25">
      <c r="A199" t="s">
        <v>5492</v>
      </c>
      <c r="B199" t="s">
        <v>5397</v>
      </c>
      <c r="C199" s="27">
        <v>5406712110</v>
      </c>
    </row>
    <row r="200" spans="1:3" x14ac:dyDescent="0.25">
      <c r="A200" t="s">
        <v>5493</v>
      </c>
      <c r="B200" t="s">
        <v>5397</v>
      </c>
      <c r="C200" s="27">
        <v>1435268848</v>
      </c>
    </row>
    <row r="201" spans="1:3" x14ac:dyDescent="0.25">
      <c r="A201" t="s">
        <v>5494</v>
      </c>
      <c r="B201" t="s">
        <v>5397</v>
      </c>
      <c r="C201" s="27">
        <v>2537119205</v>
      </c>
    </row>
    <row r="202" spans="1:3" x14ac:dyDescent="0.25">
      <c r="A202" t="s">
        <v>5495</v>
      </c>
      <c r="B202" t="s">
        <v>5397</v>
      </c>
      <c r="C202" s="27">
        <v>5017128086</v>
      </c>
    </row>
    <row r="203" spans="1:3" x14ac:dyDescent="0.25">
      <c r="A203" t="s">
        <v>5496</v>
      </c>
      <c r="B203" t="s">
        <v>5397</v>
      </c>
      <c r="C203" s="27">
        <v>2724213007</v>
      </c>
    </row>
    <row r="204" spans="1:3" x14ac:dyDescent="0.25">
      <c r="A204" t="s">
        <v>5497</v>
      </c>
      <c r="B204" t="s">
        <v>5397</v>
      </c>
      <c r="C204" s="27">
        <v>1654038766</v>
      </c>
    </row>
    <row r="205" spans="1:3" x14ac:dyDescent="0.25">
      <c r="A205" t="s">
        <v>5498</v>
      </c>
      <c r="B205" t="s">
        <v>5397</v>
      </c>
      <c r="C205" s="27">
        <v>550704589807</v>
      </c>
    </row>
    <row r="206" spans="1:3" x14ac:dyDescent="0.25">
      <c r="A206" t="s">
        <v>5499</v>
      </c>
      <c r="B206" t="s">
        <v>5397</v>
      </c>
      <c r="C206" s="27">
        <v>7445022308</v>
      </c>
    </row>
    <row r="207" spans="1:3" x14ac:dyDescent="0.25">
      <c r="A207" t="s">
        <v>5500</v>
      </c>
      <c r="B207" t="s">
        <v>5397</v>
      </c>
      <c r="C207" s="27">
        <v>2460058282</v>
      </c>
    </row>
    <row r="208" spans="1:3" x14ac:dyDescent="0.25">
      <c r="A208" t="s">
        <v>5501</v>
      </c>
      <c r="B208" t="s">
        <v>5502</v>
      </c>
      <c r="C208" s="27">
        <v>4205392518</v>
      </c>
    </row>
    <row r="209" spans="1:3" x14ac:dyDescent="0.25">
      <c r="A209" t="s">
        <v>5503</v>
      </c>
      <c r="B209" t="s">
        <v>5502</v>
      </c>
      <c r="C209" s="27">
        <v>2455025355</v>
      </c>
    </row>
    <row r="210" spans="1:3" x14ac:dyDescent="0.25">
      <c r="A210" t="s">
        <v>5504</v>
      </c>
      <c r="B210" t="s">
        <v>5502</v>
      </c>
      <c r="C210" s="27">
        <v>632515290331</v>
      </c>
    </row>
    <row r="211" spans="1:3" x14ac:dyDescent="0.25">
      <c r="A211" t="s">
        <v>5505</v>
      </c>
      <c r="B211" t="s">
        <v>5502</v>
      </c>
      <c r="C211" s="27">
        <v>4217058652</v>
      </c>
    </row>
    <row r="212" spans="1:3" x14ac:dyDescent="0.25">
      <c r="A212" t="s">
        <v>5506</v>
      </c>
      <c r="B212" t="s">
        <v>5502</v>
      </c>
      <c r="C212" s="27">
        <v>2222896536</v>
      </c>
    </row>
    <row r="213" spans="1:3" x14ac:dyDescent="0.25">
      <c r="A213" t="s">
        <v>5507</v>
      </c>
      <c r="B213" t="s">
        <v>5502</v>
      </c>
      <c r="C213" s="27">
        <v>5502039191</v>
      </c>
    </row>
    <row r="214" spans="1:3" x14ac:dyDescent="0.25">
      <c r="A214" t="s">
        <v>5508</v>
      </c>
      <c r="B214" t="s">
        <v>5502</v>
      </c>
      <c r="C214" s="27">
        <v>6671434857</v>
      </c>
    </row>
    <row r="215" spans="1:3" x14ac:dyDescent="0.25">
      <c r="A215" t="s">
        <v>5509</v>
      </c>
      <c r="B215" t="s">
        <v>5502</v>
      </c>
      <c r="C215" s="27">
        <v>2227005590</v>
      </c>
    </row>
    <row r="216" spans="1:3" x14ac:dyDescent="0.25">
      <c r="A216" t="s">
        <v>5510</v>
      </c>
      <c r="B216" t="s">
        <v>5502</v>
      </c>
      <c r="C216" s="27">
        <v>7733179584</v>
      </c>
    </row>
    <row r="217" spans="1:3" x14ac:dyDescent="0.25">
      <c r="A217" t="s">
        <v>5511</v>
      </c>
      <c r="B217" t="s">
        <v>5502</v>
      </c>
      <c r="C217" s="27">
        <v>2221025247</v>
      </c>
    </row>
    <row r="218" spans="1:3" x14ac:dyDescent="0.25">
      <c r="A218" t="s">
        <v>5512</v>
      </c>
      <c r="B218" t="s">
        <v>5502</v>
      </c>
      <c r="C218" s="27">
        <v>2456004196</v>
      </c>
    </row>
    <row r="219" spans="1:3" x14ac:dyDescent="0.25">
      <c r="A219" t="s">
        <v>5513</v>
      </c>
      <c r="B219" t="s">
        <v>5502</v>
      </c>
      <c r="C219" s="27">
        <v>6324029650</v>
      </c>
    </row>
    <row r="220" spans="1:3" x14ac:dyDescent="0.25">
      <c r="A220" t="s">
        <v>5514</v>
      </c>
      <c r="B220" t="s">
        <v>5502</v>
      </c>
      <c r="C220" s="27">
        <v>4217178886</v>
      </c>
    </row>
    <row r="221" spans="1:3" x14ac:dyDescent="0.25">
      <c r="A221" t="s">
        <v>5515</v>
      </c>
      <c r="B221" t="s">
        <v>5502</v>
      </c>
      <c r="C221" s="27">
        <v>2466189073</v>
      </c>
    </row>
    <row r="222" spans="1:3" x14ac:dyDescent="0.25">
      <c r="A222" t="s">
        <v>5516</v>
      </c>
      <c r="B222" t="s">
        <v>5502</v>
      </c>
      <c r="C222" s="27">
        <v>2308110232</v>
      </c>
    </row>
    <row r="223" spans="1:3" x14ac:dyDescent="0.25">
      <c r="A223" t="s">
        <v>5517</v>
      </c>
      <c r="B223" t="s">
        <v>5502</v>
      </c>
      <c r="C223" s="27">
        <v>5903092146</v>
      </c>
    </row>
    <row r="224" spans="1:3" x14ac:dyDescent="0.25">
      <c r="A224" t="s">
        <v>5518</v>
      </c>
      <c r="B224" t="s">
        <v>5502</v>
      </c>
      <c r="C224" s="27">
        <v>6670370833</v>
      </c>
    </row>
    <row r="225" spans="1:3" x14ac:dyDescent="0.25">
      <c r="A225" t="s">
        <v>5519</v>
      </c>
      <c r="B225" t="s">
        <v>5502</v>
      </c>
      <c r="C225" s="27">
        <v>7328057900</v>
      </c>
    </row>
    <row r="226" spans="1:3" x14ac:dyDescent="0.25">
      <c r="A226" t="s">
        <v>5520</v>
      </c>
      <c r="B226" t="s">
        <v>5502</v>
      </c>
      <c r="C226" s="27">
        <v>2543009225</v>
      </c>
    </row>
    <row r="227" spans="1:3" x14ac:dyDescent="0.25">
      <c r="A227" t="s">
        <v>5521</v>
      </c>
      <c r="B227" t="s">
        <v>5502</v>
      </c>
      <c r="C227" s="27">
        <v>9729384961</v>
      </c>
    </row>
    <row r="228" spans="1:3" x14ac:dyDescent="0.25">
      <c r="A228" t="s">
        <v>5522</v>
      </c>
      <c r="B228" t="s">
        <v>5502</v>
      </c>
      <c r="C228" s="27">
        <v>2225224388</v>
      </c>
    </row>
    <row r="229" spans="1:3" x14ac:dyDescent="0.25">
      <c r="A229" t="s">
        <v>5523</v>
      </c>
      <c r="B229" t="s">
        <v>5502</v>
      </c>
      <c r="C229" s="27">
        <v>2508131430</v>
      </c>
    </row>
    <row r="230" spans="1:3" x14ac:dyDescent="0.25">
      <c r="A230" t="s">
        <v>5524</v>
      </c>
      <c r="B230" t="s">
        <v>5502</v>
      </c>
      <c r="C230" s="27">
        <v>5007081463</v>
      </c>
    </row>
    <row r="231" spans="1:3" x14ac:dyDescent="0.25">
      <c r="A231" t="s">
        <v>5525</v>
      </c>
      <c r="B231" t="s">
        <v>5502</v>
      </c>
      <c r="C231" s="27">
        <v>9704011823</v>
      </c>
    </row>
    <row r="232" spans="1:3" x14ac:dyDescent="0.25">
      <c r="A232" t="s">
        <v>5526</v>
      </c>
      <c r="B232" t="s">
        <v>5502</v>
      </c>
      <c r="C232" s="27">
        <v>6505011975</v>
      </c>
    </row>
    <row r="233" spans="1:3" x14ac:dyDescent="0.25">
      <c r="A233" t="s">
        <v>5527</v>
      </c>
      <c r="B233" t="s">
        <v>5502</v>
      </c>
      <c r="C233" s="27">
        <v>632200529922</v>
      </c>
    </row>
    <row r="234" spans="1:3" x14ac:dyDescent="0.25">
      <c r="A234" t="s">
        <v>5528</v>
      </c>
      <c r="B234" t="s">
        <v>5502</v>
      </c>
      <c r="C234" s="27">
        <v>550104300741</v>
      </c>
    </row>
    <row r="235" spans="1:3" x14ac:dyDescent="0.25">
      <c r="A235" t="s">
        <v>5529</v>
      </c>
      <c r="B235" t="s">
        <v>5502</v>
      </c>
      <c r="C235" s="27">
        <v>2724156550</v>
      </c>
    </row>
    <row r="236" spans="1:3" x14ac:dyDescent="0.25">
      <c r="A236" t="s">
        <v>5530</v>
      </c>
      <c r="B236" t="s">
        <v>5502</v>
      </c>
      <c r="C236" s="27">
        <v>5824901122</v>
      </c>
    </row>
    <row r="237" spans="1:3" x14ac:dyDescent="0.25">
      <c r="A237" t="s">
        <v>5531</v>
      </c>
      <c r="B237" t="s">
        <v>5502</v>
      </c>
      <c r="C237" s="27">
        <v>2536220940</v>
      </c>
    </row>
    <row r="238" spans="1:3" x14ac:dyDescent="0.25">
      <c r="A238" t="s">
        <v>5532</v>
      </c>
      <c r="B238" t="s">
        <v>5502</v>
      </c>
      <c r="C238" s="27">
        <v>235100187194</v>
      </c>
    </row>
    <row r="239" spans="1:3" x14ac:dyDescent="0.25">
      <c r="A239" t="s">
        <v>5533</v>
      </c>
      <c r="B239" t="s">
        <v>5502</v>
      </c>
      <c r="C239" s="27">
        <v>5050136454</v>
      </c>
    </row>
    <row r="240" spans="1:3" x14ac:dyDescent="0.25">
      <c r="A240" t="s">
        <v>5534</v>
      </c>
      <c r="B240" t="s">
        <v>5502</v>
      </c>
      <c r="C240" s="27">
        <v>5321132777</v>
      </c>
    </row>
    <row r="241" spans="1:3" x14ac:dyDescent="0.25">
      <c r="A241" t="s">
        <v>5535</v>
      </c>
      <c r="B241" t="s">
        <v>5502</v>
      </c>
      <c r="C241" s="27">
        <v>910902132895</v>
      </c>
    </row>
    <row r="242" spans="1:3" x14ac:dyDescent="0.25">
      <c r="A242" t="s">
        <v>5536</v>
      </c>
      <c r="B242" t="s">
        <v>5502</v>
      </c>
      <c r="C242" s="27">
        <v>583404790668</v>
      </c>
    </row>
    <row r="243" spans="1:3" x14ac:dyDescent="0.25">
      <c r="A243" t="s">
        <v>5537</v>
      </c>
      <c r="B243" t="s">
        <v>5502</v>
      </c>
      <c r="C243" s="27">
        <v>6102064251</v>
      </c>
    </row>
    <row r="244" spans="1:3" x14ac:dyDescent="0.25">
      <c r="A244" t="s">
        <v>5538</v>
      </c>
      <c r="B244" t="s">
        <v>5502</v>
      </c>
      <c r="C244" s="27">
        <v>504402998020</v>
      </c>
    </row>
    <row r="245" spans="1:3" x14ac:dyDescent="0.25">
      <c r="A245" t="s">
        <v>5539</v>
      </c>
      <c r="B245" t="s">
        <v>5502</v>
      </c>
      <c r="C245" s="27">
        <v>6673189463</v>
      </c>
    </row>
    <row r="246" spans="1:3" x14ac:dyDescent="0.25">
      <c r="A246" t="s">
        <v>5540</v>
      </c>
      <c r="B246" t="s">
        <v>5502</v>
      </c>
      <c r="C246" s="27">
        <v>2311242366</v>
      </c>
    </row>
    <row r="247" spans="1:3" x14ac:dyDescent="0.25">
      <c r="A247" t="s">
        <v>5541</v>
      </c>
      <c r="B247" t="s">
        <v>5502</v>
      </c>
      <c r="C247" s="27">
        <v>5405072034</v>
      </c>
    </row>
    <row r="248" spans="1:3" x14ac:dyDescent="0.25">
      <c r="A248" t="s">
        <v>5542</v>
      </c>
      <c r="B248" t="s">
        <v>5502</v>
      </c>
      <c r="C248" s="27">
        <v>5903114664</v>
      </c>
    </row>
    <row r="249" spans="1:3" x14ac:dyDescent="0.25">
      <c r="A249" t="s">
        <v>5543</v>
      </c>
      <c r="B249" t="s">
        <v>5502</v>
      </c>
      <c r="C249" s="27">
        <v>2721134283</v>
      </c>
    </row>
    <row r="250" spans="1:3" x14ac:dyDescent="0.25">
      <c r="A250" t="s">
        <v>5544</v>
      </c>
      <c r="B250" t="s">
        <v>5502</v>
      </c>
      <c r="C250" s="27">
        <v>2801183906</v>
      </c>
    </row>
    <row r="251" spans="1:3" x14ac:dyDescent="0.25">
      <c r="A251" t="s">
        <v>5545</v>
      </c>
      <c r="B251" t="s">
        <v>5502</v>
      </c>
      <c r="C251" s="27">
        <v>707019359</v>
      </c>
    </row>
    <row r="252" spans="1:3" x14ac:dyDescent="0.25">
      <c r="A252" t="s">
        <v>5546</v>
      </c>
      <c r="B252" t="s">
        <v>5502</v>
      </c>
      <c r="C252" s="27">
        <v>381600345706</v>
      </c>
    </row>
    <row r="253" spans="1:3" x14ac:dyDescent="0.25">
      <c r="A253" t="s">
        <v>5547</v>
      </c>
      <c r="B253" t="s">
        <v>5502</v>
      </c>
      <c r="C253" s="27">
        <v>7806271560</v>
      </c>
    </row>
    <row r="254" spans="1:3" x14ac:dyDescent="0.25">
      <c r="A254" t="s">
        <v>5548</v>
      </c>
      <c r="B254" t="s">
        <v>5502</v>
      </c>
      <c r="C254" s="27">
        <v>2310212231</v>
      </c>
    </row>
    <row r="255" spans="1:3" x14ac:dyDescent="0.25">
      <c r="A255" t="s">
        <v>5549</v>
      </c>
      <c r="B255" t="s">
        <v>5502</v>
      </c>
      <c r="C255" s="27">
        <v>4025419873</v>
      </c>
    </row>
    <row r="256" spans="1:3" x14ac:dyDescent="0.25">
      <c r="A256" t="s">
        <v>5550</v>
      </c>
      <c r="B256" t="s">
        <v>5502</v>
      </c>
      <c r="C256" s="27">
        <v>9104005000</v>
      </c>
    </row>
    <row r="257" spans="1:3" x14ac:dyDescent="0.25">
      <c r="A257" t="s">
        <v>5551</v>
      </c>
      <c r="B257" t="s">
        <v>5502</v>
      </c>
      <c r="C257" s="27">
        <v>3665820714</v>
      </c>
    </row>
    <row r="258" spans="1:3" x14ac:dyDescent="0.25">
      <c r="A258" t="s">
        <v>5552</v>
      </c>
      <c r="B258" t="s">
        <v>5502</v>
      </c>
      <c r="C258" s="27">
        <v>2310174811</v>
      </c>
    </row>
    <row r="259" spans="1:3" x14ac:dyDescent="0.25">
      <c r="A259" t="s">
        <v>5553</v>
      </c>
      <c r="B259" t="s">
        <v>5554</v>
      </c>
      <c r="C259" s="27">
        <v>7702427300</v>
      </c>
    </row>
    <row r="260" spans="1:3" x14ac:dyDescent="0.25">
      <c r="A260" t="s">
        <v>5555</v>
      </c>
      <c r="B260" t="s">
        <v>5554</v>
      </c>
      <c r="C260" s="27">
        <v>312101087630</v>
      </c>
    </row>
    <row r="261" spans="1:3" x14ac:dyDescent="0.25">
      <c r="A261" t="s">
        <v>5556</v>
      </c>
      <c r="B261" t="s">
        <v>5554</v>
      </c>
      <c r="C261" s="27">
        <v>6684008694</v>
      </c>
    </row>
    <row r="262" spans="1:3" x14ac:dyDescent="0.25">
      <c r="A262" t="s">
        <v>5557</v>
      </c>
      <c r="B262" t="s">
        <v>5554</v>
      </c>
      <c r="C262" s="27">
        <v>5610067407</v>
      </c>
    </row>
    <row r="263" spans="1:3" x14ac:dyDescent="0.25">
      <c r="A263" t="s">
        <v>5558</v>
      </c>
      <c r="B263" t="s">
        <v>5554</v>
      </c>
      <c r="C263" s="27">
        <v>910914952765</v>
      </c>
    </row>
    <row r="264" spans="1:3" x14ac:dyDescent="0.25">
      <c r="A264" t="s">
        <v>5559</v>
      </c>
      <c r="B264" t="s">
        <v>5554</v>
      </c>
      <c r="C264" s="27">
        <v>2723197553</v>
      </c>
    </row>
    <row r="265" spans="1:3" x14ac:dyDescent="0.25">
      <c r="A265" t="s">
        <v>5560</v>
      </c>
      <c r="B265" t="s">
        <v>5554</v>
      </c>
      <c r="C265" s="27">
        <v>2367012318</v>
      </c>
    </row>
    <row r="266" spans="1:3" x14ac:dyDescent="0.25">
      <c r="A266" t="s">
        <v>5561</v>
      </c>
      <c r="B266" t="s">
        <v>5554</v>
      </c>
      <c r="C266" s="27">
        <v>504406410859</v>
      </c>
    </row>
    <row r="267" spans="1:3" x14ac:dyDescent="0.25">
      <c r="A267" t="s">
        <v>5562</v>
      </c>
      <c r="B267" t="s">
        <v>5554</v>
      </c>
      <c r="C267" s="27">
        <v>1652023411</v>
      </c>
    </row>
    <row r="268" spans="1:3" x14ac:dyDescent="0.25">
      <c r="A268" t="s">
        <v>5563</v>
      </c>
      <c r="B268" t="s">
        <v>5554</v>
      </c>
      <c r="C268" s="27">
        <v>550711904930</v>
      </c>
    </row>
    <row r="269" spans="1:3" x14ac:dyDescent="0.25">
      <c r="A269" t="s">
        <v>5564</v>
      </c>
      <c r="B269" t="s">
        <v>5554</v>
      </c>
      <c r="C269" s="27">
        <v>311900553029</v>
      </c>
    </row>
    <row r="270" spans="1:3" x14ac:dyDescent="0.25">
      <c r="A270" t="s">
        <v>5565</v>
      </c>
      <c r="B270" t="s">
        <v>5554</v>
      </c>
      <c r="C270" s="27">
        <v>9108122392</v>
      </c>
    </row>
    <row r="271" spans="1:3" x14ac:dyDescent="0.25">
      <c r="A271" t="s">
        <v>5566</v>
      </c>
      <c r="B271" t="s">
        <v>5554</v>
      </c>
      <c r="C271" s="27">
        <v>2511103056</v>
      </c>
    </row>
    <row r="272" spans="1:3" x14ac:dyDescent="0.25">
      <c r="A272" t="s">
        <v>5567</v>
      </c>
      <c r="B272" t="s">
        <v>5554</v>
      </c>
      <c r="C272" s="27">
        <v>702405465818</v>
      </c>
    </row>
    <row r="273" spans="1:3" x14ac:dyDescent="0.25">
      <c r="A273" t="s">
        <v>5568</v>
      </c>
      <c r="B273" t="s">
        <v>5554</v>
      </c>
      <c r="C273" s="27">
        <v>5505206161</v>
      </c>
    </row>
    <row r="274" spans="1:3" x14ac:dyDescent="0.25">
      <c r="A274" t="s">
        <v>5569</v>
      </c>
      <c r="B274" t="s">
        <v>5554</v>
      </c>
      <c r="C274" s="27">
        <v>7751203399</v>
      </c>
    </row>
    <row r="275" spans="1:3" x14ac:dyDescent="0.25">
      <c r="A275" t="s">
        <v>5570</v>
      </c>
      <c r="B275" t="s">
        <v>5554</v>
      </c>
      <c r="C275" s="27">
        <v>1831060811</v>
      </c>
    </row>
    <row r="276" spans="1:3" x14ac:dyDescent="0.25">
      <c r="A276" t="s">
        <v>5571</v>
      </c>
      <c r="B276" t="s">
        <v>5554</v>
      </c>
      <c r="C276" s="27">
        <v>3906353770</v>
      </c>
    </row>
    <row r="277" spans="1:3" x14ac:dyDescent="0.25">
      <c r="A277" t="s">
        <v>5572</v>
      </c>
      <c r="B277" t="s">
        <v>5554</v>
      </c>
      <c r="C277" s="27">
        <v>1510017998</v>
      </c>
    </row>
    <row r="278" spans="1:3" x14ac:dyDescent="0.25">
      <c r="A278" t="s">
        <v>5573</v>
      </c>
      <c r="B278" t="s">
        <v>5554</v>
      </c>
      <c r="C278" s="27">
        <v>2700023857</v>
      </c>
    </row>
    <row r="279" spans="1:3" x14ac:dyDescent="0.25">
      <c r="A279" t="s">
        <v>5574</v>
      </c>
      <c r="B279" t="s">
        <v>5554</v>
      </c>
      <c r="C279" s="27">
        <v>9103086863</v>
      </c>
    </row>
    <row r="280" spans="1:3" x14ac:dyDescent="0.25">
      <c r="A280" t="s">
        <v>5575</v>
      </c>
      <c r="B280" t="s">
        <v>5554</v>
      </c>
      <c r="C280" s="27">
        <v>3301015172</v>
      </c>
    </row>
    <row r="281" spans="1:3" x14ac:dyDescent="0.25">
      <c r="A281" t="s">
        <v>5576</v>
      </c>
      <c r="B281" t="s">
        <v>5554</v>
      </c>
      <c r="C281" s="27">
        <v>312301825966</v>
      </c>
    </row>
    <row r="282" spans="1:3" x14ac:dyDescent="0.25">
      <c r="A282" t="s">
        <v>5577</v>
      </c>
      <c r="B282" t="s">
        <v>5554</v>
      </c>
      <c r="C282" s="27">
        <v>5501207372</v>
      </c>
    </row>
    <row r="283" spans="1:3" x14ac:dyDescent="0.25">
      <c r="A283" t="s">
        <v>5578</v>
      </c>
      <c r="B283" t="s">
        <v>5554</v>
      </c>
      <c r="C283" s="27">
        <v>253804596643</v>
      </c>
    </row>
    <row r="284" spans="1:3" x14ac:dyDescent="0.25">
      <c r="A284" t="s">
        <v>5579</v>
      </c>
      <c r="B284" t="s">
        <v>5554</v>
      </c>
      <c r="C284" s="27">
        <v>5700009022</v>
      </c>
    </row>
    <row r="285" spans="1:3" x14ac:dyDescent="0.25">
      <c r="A285" t="s">
        <v>5580</v>
      </c>
      <c r="B285" t="s">
        <v>5554</v>
      </c>
      <c r="C285" s="27">
        <v>6949114450</v>
      </c>
    </row>
    <row r="286" spans="1:3" x14ac:dyDescent="0.25">
      <c r="A286" t="s">
        <v>5581</v>
      </c>
      <c r="B286" t="s">
        <v>5554</v>
      </c>
      <c r="C286" s="27">
        <v>322702994012</v>
      </c>
    </row>
    <row r="287" spans="1:3" x14ac:dyDescent="0.25">
      <c r="A287" t="s">
        <v>5582</v>
      </c>
      <c r="B287" t="s">
        <v>5554</v>
      </c>
      <c r="C287" s="27">
        <v>7839442436</v>
      </c>
    </row>
    <row r="288" spans="1:3" x14ac:dyDescent="0.25">
      <c r="A288" t="s">
        <v>5583</v>
      </c>
      <c r="B288" t="s">
        <v>5554</v>
      </c>
      <c r="C288" s="27">
        <v>3661180936</v>
      </c>
    </row>
    <row r="289" spans="1:3" x14ac:dyDescent="0.25">
      <c r="A289" t="s">
        <v>5584</v>
      </c>
      <c r="B289" t="s">
        <v>5554</v>
      </c>
      <c r="C289" s="27">
        <v>4632054054</v>
      </c>
    </row>
    <row r="290" spans="1:3" x14ac:dyDescent="0.25">
      <c r="A290" t="s">
        <v>5585</v>
      </c>
      <c r="B290" t="s">
        <v>5554</v>
      </c>
      <c r="C290" s="27">
        <v>8904057220</v>
      </c>
    </row>
    <row r="291" spans="1:3" x14ac:dyDescent="0.25">
      <c r="A291" t="s">
        <v>5586</v>
      </c>
      <c r="B291" t="s">
        <v>5554</v>
      </c>
      <c r="C291" s="27">
        <v>9102213935</v>
      </c>
    </row>
    <row r="292" spans="1:3" x14ac:dyDescent="0.25">
      <c r="A292" t="s">
        <v>5587</v>
      </c>
      <c r="B292" t="s">
        <v>5554</v>
      </c>
      <c r="C292" s="27">
        <v>6164078092</v>
      </c>
    </row>
    <row r="293" spans="1:3" x14ac:dyDescent="0.25">
      <c r="A293" t="s">
        <v>5588</v>
      </c>
      <c r="B293" t="s">
        <v>5554</v>
      </c>
      <c r="C293" s="27">
        <v>6200008907</v>
      </c>
    </row>
    <row r="294" spans="1:3" x14ac:dyDescent="0.25">
      <c r="A294" t="s">
        <v>5589</v>
      </c>
      <c r="B294" t="s">
        <v>5554</v>
      </c>
      <c r="C294" s="27">
        <v>2460216059</v>
      </c>
    </row>
    <row r="295" spans="1:3" x14ac:dyDescent="0.25">
      <c r="A295" t="s">
        <v>5590</v>
      </c>
      <c r="B295" t="s">
        <v>5554</v>
      </c>
      <c r="C295" s="27">
        <v>4632068829</v>
      </c>
    </row>
    <row r="296" spans="1:3" x14ac:dyDescent="0.25">
      <c r="A296" t="s">
        <v>5591</v>
      </c>
      <c r="B296" t="s">
        <v>5554</v>
      </c>
      <c r="C296" s="27">
        <v>5405074850</v>
      </c>
    </row>
    <row r="297" spans="1:3" x14ac:dyDescent="0.25">
      <c r="A297" t="s">
        <v>5592</v>
      </c>
      <c r="B297" t="s">
        <v>5554</v>
      </c>
      <c r="C297" s="27">
        <v>550607761989</v>
      </c>
    </row>
    <row r="298" spans="1:3" x14ac:dyDescent="0.25">
      <c r="A298" t="s">
        <v>5593</v>
      </c>
      <c r="B298" t="s">
        <v>5554</v>
      </c>
      <c r="C298" s="27">
        <v>7723516248</v>
      </c>
    </row>
    <row r="299" spans="1:3" x14ac:dyDescent="0.25">
      <c r="A299" t="s">
        <v>5594</v>
      </c>
      <c r="B299" t="s">
        <v>5554</v>
      </c>
      <c r="C299" s="27">
        <v>583500580818</v>
      </c>
    </row>
    <row r="300" spans="1:3" x14ac:dyDescent="0.25">
      <c r="A300" t="s">
        <v>5595</v>
      </c>
      <c r="B300" t="s">
        <v>5554</v>
      </c>
      <c r="C300" s="27">
        <v>4612002756</v>
      </c>
    </row>
    <row r="301" spans="1:3" x14ac:dyDescent="0.25">
      <c r="A301" t="s">
        <v>5596</v>
      </c>
      <c r="B301" t="s">
        <v>5554</v>
      </c>
      <c r="C301" s="27">
        <v>5262292840</v>
      </c>
    </row>
    <row r="302" spans="1:3" x14ac:dyDescent="0.25">
      <c r="A302" t="s">
        <v>5597</v>
      </c>
      <c r="B302" t="s">
        <v>5554</v>
      </c>
      <c r="C302" s="27">
        <v>7801162790</v>
      </c>
    </row>
    <row r="303" spans="1:3" x14ac:dyDescent="0.25">
      <c r="A303" t="s">
        <v>5598</v>
      </c>
      <c r="B303" t="s">
        <v>5554</v>
      </c>
      <c r="C303" s="27">
        <v>5903090332</v>
      </c>
    </row>
    <row r="304" spans="1:3" x14ac:dyDescent="0.25">
      <c r="A304" t="s">
        <v>5599</v>
      </c>
      <c r="B304" t="s">
        <v>5554</v>
      </c>
      <c r="C304" s="27">
        <v>5752042253</v>
      </c>
    </row>
    <row r="305" spans="1:3" x14ac:dyDescent="0.25">
      <c r="A305" t="s">
        <v>5600</v>
      </c>
      <c r="B305" t="s">
        <v>5554</v>
      </c>
      <c r="C305" s="27">
        <v>5800000070</v>
      </c>
    </row>
    <row r="306" spans="1:3" x14ac:dyDescent="0.25">
      <c r="A306" t="s">
        <v>5601</v>
      </c>
      <c r="B306" t="s">
        <v>5554</v>
      </c>
      <c r="C306" s="27">
        <v>910521658600</v>
      </c>
    </row>
    <row r="307" spans="1:3" x14ac:dyDescent="0.25">
      <c r="A307" t="s">
        <v>5602</v>
      </c>
      <c r="B307" t="s">
        <v>5554</v>
      </c>
      <c r="C307" s="27">
        <v>2801060559</v>
      </c>
    </row>
    <row r="308" spans="1:3" x14ac:dyDescent="0.25">
      <c r="A308" t="s">
        <v>5603</v>
      </c>
      <c r="B308" t="s">
        <v>5554</v>
      </c>
      <c r="C308" s="27">
        <v>4025044367</v>
      </c>
    </row>
    <row r="309" spans="1:3" x14ac:dyDescent="0.25">
      <c r="A309" t="s">
        <v>5604</v>
      </c>
      <c r="B309" t="s">
        <v>5554</v>
      </c>
      <c r="C309" s="27">
        <v>2632087553</v>
      </c>
    </row>
    <row r="310" spans="1:3" x14ac:dyDescent="0.25">
      <c r="A310" t="s">
        <v>5605</v>
      </c>
      <c r="B310" t="s">
        <v>5554</v>
      </c>
      <c r="C310" s="27">
        <v>2320091240</v>
      </c>
    </row>
    <row r="311" spans="1:3" x14ac:dyDescent="0.25">
      <c r="A311" t="s">
        <v>5606</v>
      </c>
      <c r="B311" t="s">
        <v>5554</v>
      </c>
      <c r="C311" s="27">
        <v>3252501890</v>
      </c>
    </row>
    <row r="312" spans="1:3" x14ac:dyDescent="0.25">
      <c r="A312" t="s">
        <v>5607</v>
      </c>
      <c r="B312" t="s">
        <v>5554</v>
      </c>
      <c r="C312" s="27">
        <v>7804349161</v>
      </c>
    </row>
    <row r="313" spans="1:3" x14ac:dyDescent="0.25">
      <c r="A313" t="s">
        <v>5608</v>
      </c>
      <c r="B313" t="s">
        <v>5554</v>
      </c>
      <c r="C313" s="27">
        <v>5105005196</v>
      </c>
    </row>
    <row r="314" spans="1:3" x14ac:dyDescent="0.25">
      <c r="A314" t="s">
        <v>5609</v>
      </c>
      <c r="B314" t="s">
        <v>5554</v>
      </c>
      <c r="C314" s="27">
        <v>6318128740</v>
      </c>
    </row>
    <row r="315" spans="1:3" x14ac:dyDescent="0.25">
      <c r="A315" t="s">
        <v>5610</v>
      </c>
      <c r="B315" t="s">
        <v>5554</v>
      </c>
      <c r="C315" s="27">
        <v>9201014546</v>
      </c>
    </row>
    <row r="316" spans="1:3" x14ac:dyDescent="0.25">
      <c r="A316" t="s">
        <v>5611</v>
      </c>
      <c r="B316" t="s">
        <v>5554</v>
      </c>
      <c r="C316" s="27">
        <v>4205243001</v>
      </c>
    </row>
    <row r="317" spans="1:3" x14ac:dyDescent="0.25">
      <c r="A317" t="s">
        <v>5612</v>
      </c>
      <c r="B317" t="s">
        <v>5554</v>
      </c>
      <c r="C317" s="27">
        <v>5256060907</v>
      </c>
    </row>
    <row r="318" spans="1:3" x14ac:dyDescent="0.25">
      <c r="A318" t="s">
        <v>5613</v>
      </c>
      <c r="B318" t="s">
        <v>5554</v>
      </c>
      <c r="C318" s="27">
        <v>462901745241</v>
      </c>
    </row>
    <row r="319" spans="1:3" x14ac:dyDescent="0.25">
      <c r="A319" t="s">
        <v>5614</v>
      </c>
      <c r="B319" t="s">
        <v>5554</v>
      </c>
      <c r="C319" s="27">
        <v>1655391276</v>
      </c>
    </row>
    <row r="320" spans="1:3" x14ac:dyDescent="0.25">
      <c r="A320" t="s">
        <v>5615</v>
      </c>
      <c r="B320" t="s">
        <v>5554</v>
      </c>
      <c r="C320" s="27">
        <v>6325024260</v>
      </c>
    </row>
    <row r="321" spans="1:3" x14ac:dyDescent="0.25">
      <c r="A321" t="s">
        <v>5616</v>
      </c>
      <c r="B321" t="s">
        <v>5554</v>
      </c>
      <c r="C321" s="27">
        <v>7839481347</v>
      </c>
    </row>
    <row r="322" spans="1:3" x14ac:dyDescent="0.25">
      <c r="A322" t="s">
        <v>5617</v>
      </c>
      <c r="B322" t="s">
        <v>5554</v>
      </c>
      <c r="C322" s="27">
        <v>6913000925</v>
      </c>
    </row>
    <row r="323" spans="1:3" x14ac:dyDescent="0.25">
      <c r="A323" t="s">
        <v>5618</v>
      </c>
      <c r="B323" t="s">
        <v>5554</v>
      </c>
      <c r="C323" s="27">
        <v>7726423062</v>
      </c>
    </row>
    <row r="324" spans="1:3" x14ac:dyDescent="0.25">
      <c r="A324" t="s">
        <v>5619</v>
      </c>
      <c r="B324" t="s">
        <v>5554</v>
      </c>
      <c r="C324" s="27">
        <v>2537009629</v>
      </c>
    </row>
    <row r="325" spans="1:3" x14ac:dyDescent="0.25">
      <c r="A325" t="s">
        <v>5620</v>
      </c>
      <c r="B325" t="s">
        <v>5554</v>
      </c>
      <c r="C325" s="27">
        <v>3123122460</v>
      </c>
    </row>
    <row r="326" spans="1:3" x14ac:dyDescent="0.25">
      <c r="A326" t="s">
        <v>5621</v>
      </c>
      <c r="B326" t="s">
        <v>5554</v>
      </c>
      <c r="C326" s="27">
        <v>7810379421</v>
      </c>
    </row>
    <row r="327" spans="1:3" x14ac:dyDescent="0.25">
      <c r="A327" t="s">
        <v>5622</v>
      </c>
      <c r="B327" t="s">
        <v>5554</v>
      </c>
      <c r="C327" s="27">
        <v>212006861</v>
      </c>
    </row>
    <row r="328" spans="1:3" x14ac:dyDescent="0.25">
      <c r="A328" t="s">
        <v>5623</v>
      </c>
      <c r="B328" t="s">
        <v>5554</v>
      </c>
      <c r="C328" s="27">
        <v>2309137766</v>
      </c>
    </row>
    <row r="329" spans="1:3" x14ac:dyDescent="0.25">
      <c r="A329" t="s">
        <v>5624</v>
      </c>
      <c r="B329" t="s">
        <v>5554</v>
      </c>
      <c r="C329" s="27">
        <v>7702514360</v>
      </c>
    </row>
    <row r="330" spans="1:3" x14ac:dyDescent="0.25">
      <c r="A330" t="s">
        <v>5625</v>
      </c>
      <c r="B330" t="s">
        <v>5554</v>
      </c>
      <c r="C330" s="27">
        <v>4345232120</v>
      </c>
    </row>
    <row r="331" spans="1:3" x14ac:dyDescent="0.25">
      <c r="A331" t="s">
        <v>5626</v>
      </c>
      <c r="B331" t="s">
        <v>5554</v>
      </c>
      <c r="C331" s="27">
        <v>5257118934</v>
      </c>
    </row>
    <row r="332" spans="1:3" x14ac:dyDescent="0.25">
      <c r="A332" t="s">
        <v>5627</v>
      </c>
      <c r="B332" t="s">
        <v>5554</v>
      </c>
      <c r="C332" s="27">
        <v>5700011864</v>
      </c>
    </row>
    <row r="333" spans="1:3" x14ac:dyDescent="0.25">
      <c r="A333" t="s">
        <v>5628</v>
      </c>
      <c r="B333" t="s">
        <v>5554</v>
      </c>
      <c r="C333" s="27">
        <v>3662290762</v>
      </c>
    </row>
    <row r="334" spans="1:3" x14ac:dyDescent="0.25">
      <c r="A334" t="s">
        <v>5629</v>
      </c>
      <c r="B334" t="s">
        <v>5554</v>
      </c>
      <c r="C334" s="27">
        <v>330702151880</v>
      </c>
    </row>
    <row r="335" spans="1:3" x14ac:dyDescent="0.25">
      <c r="A335" t="s">
        <v>5630</v>
      </c>
      <c r="B335" t="s">
        <v>5554</v>
      </c>
      <c r="C335" s="27">
        <v>7206026206</v>
      </c>
    </row>
    <row r="336" spans="1:3" x14ac:dyDescent="0.25">
      <c r="A336" t="s">
        <v>5631</v>
      </c>
      <c r="B336" t="s">
        <v>5554</v>
      </c>
      <c r="C336" s="27">
        <v>1701039819</v>
      </c>
    </row>
    <row r="337" spans="1:3" x14ac:dyDescent="0.25">
      <c r="A337" t="s">
        <v>5632</v>
      </c>
      <c r="B337" t="s">
        <v>5554</v>
      </c>
      <c r="C337" s="27">
        <v>132701647000</v>
      </c>
    </row>
    <row r="338" spans="1:3" x14ac:dyDescent="0.25">
      <c r="A338" t="s">
        <v>5633</v>
      </c>
      <c r="B338" t="s">
        <v>5554</v>
      </c>
      <c r="C338" s="27">
        <v>602700120511</v>
      </c>
    </row>
    <row r="339" spans="1:3" x14ac:dyDescent="0.25">
      <c r="A339" t="s">
        <v>5634</v>
      </c>
      <c r="B339" t="s">
        <v>5554</v>
      </c>
      <c r="C339" s="27">
        <v>4709006112</v>
      </c>
    </row>
    <row r="340" spans="1:3" x14ac:dyDescent="0.25">
      <c r="A340" t="s">
        <v>5635</v>
      </c>
      <c r="B340" t="s">
        <v>5554</v>
      </c>
      <c r="C340" s="27">
        <v>6833012604</v>
      </c>
    </row>
    <row r="341" spans="1:3" x14ac:dyDescent="0.25">
      <c r="A341" t="s">
        <v>5636</v>
      </c>
      <c r="B341" t="s">
        <v>5554</v>
      </c>
      <c r="C341" s="27">
        <v>5321137817</v>
      </c>
    </row>
    <row r="342" spans="1:3" x14ac:dyDescent="0.25">
      <c r="A342" t="s">
        <v>5637</v>
      </c>
      <c r="B342" t="s">
        <v>5554</v>
      </c>
      <c r="C342" s="27">
        <v>5521008777</v>
      </c>
    </row>
    <row r="343" spans="1:3" x14ac:dyDescent="0.25">
      <c r="A343" t="s">
        <v>5638</v>
      </c>
      <c r="B343" t="s">
        <v>5554</v>
      </c>
      <c r="C343" s="27">
        <v>2311241820</v>
      </c>
    </row>
    <row r="344" spans="1:3" x14ac:dyDescent="0.25">
      <c r="A344" t="s">
        <v>5639</v>
      </c>
      <c r="B344" t="s">
        <v>5554</v>
      </c>
      <c r="C344" s="27">
        <v>6166126591</v>
      </c>
    </row>
    <row r="345" spans="1:3" x14ac:dyDescent="0.25">
      <c r="A345" t="s">
        <v>5640</v>
      </c>
      <c r="B345" t="s">
        <v>5554</v>
      </c>
      <c r="C345" s="27">
        <v>1650103421</v>
      </c>
    </row>
    <row r="346" spans="1:3" x14ac:dyDescent="0.25">
      <c r="A346" t="s">
        <v>5641</v>
      </c>
      <c r="B346" t="s">
        <v>5554</v>
      </c>
      <c r="C346" s="27">
        <v>5902003880</v>
      </c>
    </row>
    <row r="347" spans="1:3" x14ac:dyDescent="0.25">
      <c r="A347" t="s">
        <v>5642</v>
      </c>
      <c r="B347" t="s">
        <v>5554</v>
      </c>
      <c r="C347" s="27">
        <v>7806510994</v>
      </c>
    </row>
    <row r="348" spans="1:3" x14ac:dyDescent="0.25">
      <c r="A348" t="s">
        <v>5643</v>
      </c>
      <c r="B348" t="s">
        <v>5554</v>
      </c>
      <c r="C348" s="27">
        <v>2310031475</v>
      </c>
    </row>
    <row r="349" spans="1:3" x14ac:dyDescent="0.25">
      <c r="A349" t="s">
        <v>5644</v>
      </c>
      <c r="B349" t="s">
        <v>5554</v>
      </c>
      <c r="C349" s="27">
        <v>1001054160</v>
      </c>
    </row>
    <row r="350" spans="1:3" x14ac:dyDescent="0.25">
      <c r="A350" t="s">
        <v>5645</v>
      </c>
      <c r="B350" t="s">
        <v>5554</v>
      </c>
      <c r="C350" s="27">
        <v>6141060243</v>
      </c>
    </row>
    <row r="351" spans="1:3" x14ac:dyDescent="0.25">
      <c r="A351" t="s">
        <v>5646</v>
      </c>
      <c r="B351" t="s">
        <v>5554</v>
      </c>
      <c r="C351" s="27">
        <v>5321156432</v>
      </c>
    </row>
    <row r="352" spans="1:3" x14ac:dyDescent="0.25">
      <c r="A352" t="s">
        <v>5647</v>
      </c>
      <c r="B352" t="s">
        <v>5554</v>
      </c>
      <c r="C352" s="27">
        <v>463100329795</v>
      </c>
    </row>
    <row r="353" spans="1:3" x14ac:dyDescent="0.25">
      <c r="A353" t="s">
        <v>5648</v>
      </c>
      <c r="B353" t="s">
        <v>5554</v>
      </c>
      <c r="C353" s="27">
        <v>7727402570</v>
      </c>
    </row>
    <row r="354" spans="1:3" x14ac:dyDescent="0.25">
      <c r="A354" t="s">
        <v>5649</v>
      </c>
      <c r="B354" t="s">
        <v>5554</v>
      </c>
      <c r="C354" s="27">
        <v>263400474332</v>
      </c>
    </row>
    <row r="355" spans="1:3" x14ac:dyDescent="0.25">
      <c r="A355" t="s">
        <v>5650</v>
      </c>
      <c r="B355" t="s">
        <v>5554</v>
      </c>
      <c r="C355" s="27">
        <v>7202191897</v>
      </c>
    </row>
    <row r="356" spans="1:3" x14ac:dyDescent="0.25">
      <c r="A356" t="s">
        <v>5651</v>
      </c>
      <c r="B356" t="s">
        <v>5554</v>
      </c>
      <c r="C356" s="27">
        <v>4710024740</v>
      </c>
    </row>
    <row r="357" spans="1:3" x14ac:dyDescent="0.25">
      <c r="A357" t="s">
        <v>5652</v>
      </c>
      <c r="B357" t="s">
        <v>5554</v>
      </c>
      <c r="C357" s="27">
        <v>7714456627</v>
      </c>
    </row>
    <row r="358" spans="1:3" x14ac:dyDescent="0.25">
      <c r="A358" t="s">
        <v>5653</v>
      </c>
      <c r="B358" t="s">
        <v>5554</v>
      </c>
      <c r="C358" s="27">
        <v>583602249404</v>
      </c>
    </row>
    <row r="359" spans="1:3" x14ac:dyDescent="0.25">
      <c r="A359" t="s">
        <v>5654</v>
      </c>
      <c r="B359" t="s">
        <v>5554</v>
      </c>
      <c r="C359" s="27">
        <v>2635240471</v>
      </c>
    </row>
    <row r="360" spans="1:3" x14ac:dyDescent="0.25">
      <c r="A360" t="s">
        <v>5655</v>
      </c>
      <c r="B360" t="s">
        <v>5554</v>
      </c>
      <c r="C360" s="27">
        <v>6025017945</v>
      </c>
    </row>
    <row r="361" spans="1:3" x14ac:dyDescent="0.25">
      <c r="A361" t="s">
        <v>5656</v>
      </c>
      <c r="B361" t="s">
        <v>5554</v>
      </c>
      <c r="C361" s="27">
        <v>5834062035</v>
      </c>
    </row>
    <row r="362" spans="1:3" x14ac:dyDescent="0.25">
      <c r="A362" t="s">
        <v>5657</v>
      </c>
      <c r="B362" t="s">
        <v>5554</v>
      </c>
      <c r="C362" s="27">
        <v>4720031507</v>
      </c>
    </row>
    <row r="363" spans="1:3" x14ac:dyDescent="0.25">
      <c r="A363" t="s">
        <v>5658</v>
      </c>
      <c r="B363" t="s">
        <v>5554</v>
      </c>
      <c r="C363" s="27">
        <v>3123081206</v>
      </c>
    </row>
    <row r="364" spans="1:3" x14ac:dyDescent="0.25">
      <c r="A364" t="s">
        <v>5659</v>
      </c>
      <c r="B364" t="s">
        <v>5554</v>
      </c>
      <c r="C364" s="27">
        <v>7714411792</v>
      </c>
    </row>
    <row r="365" spans="1:3" x14ac:dyDescent="0.25">
      <c r="A365" t="s">
        <v>5660</v>
      </c>
      <c r="B365" t="s">
        <v>5554</v>
      </c>
      <c r="C365" s="27">
        <v>2464162083</v>
      </c>
    </row>
    <row r="366" spans="1:3" x14ac:dyDescent="0.25">
      <c r="A366" t="s">
        <v>5661</v>
      </c>
      <c r="B366" t="s">
        <v>5554</v>
      </c>
      <c r="C366" s="27">
        <v>7825491923</v>
      </c>
    </row>
    <row r="367" spans="1:3" x14ac:dyDescent="0.25">
      <c r="A367" t="s">
        <v>5662</v>
      </c>
      <c r="B367" t="s">
        <v>5554</v>
      </c>
      <c r="C367" s="27">
        <v>9718187810</v>
      </c>
    </row>
    <row r="368" spans="1:3" x14ac:dyDescent="0.25">
      <c r="A368" t="s">
        <v>5663</v>
      </c>
      <c r="B368" t="s">
        <v>5554</v>
      </c>
      <c r="C368" s="27">
        <v>7724666849</v>
      </c>
    </row>
    <row r="369" spans="1:3" x14ac:dyDescent="0.25">
      <c r="A369" t="s">
        <v>5664</v>
      </c>
      <c r="B369" t="s">
        <v>5554</v>
      </c>
      <c r="C369" s="27">
        <v>910906054486</v>
      </c>
    </row>
    <row r="370" spans="1:3" x14ac:dyDescent="0.25">
      <c r="A370" t="s">
        <v>5665</v>
      </c>
      <c r="B370" t="s">
        <v>5554</v>
      </c>
      <c r="C370" s="27">
        <v>7816221906</v>
      </c>
    </row>
    <row r="371" spans="1:3" x14ac:dyDescent="0.25">
      <c r="A371" t="s">
        <v>5666</v>
      </c>
      <c r="B371" t="s">
        <v>5554</v>
      </c>
      <c r="C371" s="27">
        <v>7801709313</v>
      </c>
    </row>
    <row r="372" spans="1:3" x14ac:dyDescent="0.25">
      <c r="A372" t="s">
        <v>5667</v>
      </c>
      <c r="B372" t="s">
        <v>5554</v>
      </c>
      <c r="C372" s="27">
        <v>4632202577</v>
      </c>
    </row>
    <row r="373" spans="1:3" x14ac:dyDescent="0.25">
      <c r="A373" t="s">
        <v>5668</v>
      </c>
      <c r="B373" t="s">
        <v>5554</v>
      </c>
      <c r="C373" s="27">
        <v>2373006425</v>
      </c>
    </row>
    <row r="374" spans="1:3" x14ac:dyDescent="0.25">
      <c r="A374" t="s">
        <v>5669</v>
      </c>
      <c r="B374" t="s">
        <v>5554</v>
      </c>
      <c r="C374" s="27">
        <v>6312076214</v>
      </c>
    </row>
    <row r="375" spans="1:3" x14ac:dyDescent="0.25">
      <c r="A375" t="s">
        <v>5670</v>
      </c>
      <c r="B375" t="s">
        <v>5554</v>
      </c>
      <c r="C375" s="27">
        <v>1500002738</v>
      </c>
    </row>
    <row r="376" spans="1:3" x14ac:dyDescent="0.25">
      <c r="A376" t="s">
        <v>5671</v>
      </c>
      <c r="B376" t="s">
        <v>5554</v>
      </c>
      <c r="C376" s="27">
        <v>7202072917</v>
      </c>
    </row>
    <row r="377" spans="1:3" x14ac:dyDescent="0.25">
      <c r="A377" t="s">
        <v>5672</v>
      </c>
      <c r="B377" t="s">
        <v>5554</v>
      </c>
      <c r="C377" s="27">
        <v>7708250064</v>
      </c>
    </row>
    <row r="378" spans="1:3" x14ac:dyDescent="0.25">
      <c r="A378" t="s">
        <v>5673</v>
      </c>
      <c r="B378" t="s">
        <v>5554</v>
      </c>
      <c r="C378" s="27">
        <v>2635251025</v>
      </c>
    </row>
    <row r="379" spans="1:3" x14ac:dyDescent="0.25">
      <c r="A379" t="s">
        <v>5674</v>
      </c>
      <c r="B379" t="s">
        <v>5554</v>
      </c>
      <c r="C379" s="27">
        <v>721007179</v>
      </c>
    </row>
    <row r="380" spans="1:3" x14ac:dyDescent="0.25">
      <c r="A380" t="s">
        <v>5675</v>
      </c>
      <c r="B380" t="s">
        <v>5554</v>
      </c>
      <c r="C380" s="27">
        <v>5405071520</v>
      </c>
    </row>
    <row r="381" spans="1:3" x14ac:dyDescent="0.25">
      <c r="A381" t="s">
        <v>5676</v>
      </c>
      <c r="B381" t="s">
        <v>5554</v>
      </c>
      <c r="C381" s="27">
        <v>4702014562</v>
      </c>
    </row>
    <row r="382" spans="1:3" x14ac:dyDescent="0.25">
      <c r="A382" t="s">
        <v>5677</v>
      </c>
      <c r="B382" t="s">
        <v>5554</v>
      </c>
      <c r="C382" s="27">
        <v>2311244941</v>
      </c>
    </row>
    <row r="383" spans="1:3" x14ac:dyDescent="0.25">
      <c r="A383" t="s">
        <v>5678</v>
      </c>
      <c r="B383" t="s">
        <v>5554</v>
      </c>
      <c r="C383" s="27">
        <v>7840368240</v>
      </c>
    </row>
    <row r="384" spans="1:3" x14ac:dyDescent="0.25">
      <c r="A384" t="s">
        <v>5679</v>
      </c>
      <c r="B384" t="s">
        <v>5554</v>
      </c>
      <c r="C384" s="27">
        <v>6311997438</v>
      </c>
    </row>
    <row r="385" spans="1:3" x14ac:dyDescent="0.25">
      <c r="A385" t="s">
        <v>5680</v>
      </c>
      <c r="B385" t="s">
        <v>5554</v>
      </c>
      <c r="C385" s="27">
        <v>7743897369</v>
      </c>
    </row>
    <row r="386" spans="1:3" x14ac:dyDescent="0.25">
      <c r="A386" t="s">
        <v>5681</v>
      </c>
      <c r="B386" t="s">
        <v>5554</v>
      </c>
      <c r="C386" s="27">
        <v>253712415590</v>
      </c>
    </row>
    <row r="387" spans="1:3" x14ac:dyDescent="0.25">
      <c r="A387" t="s">
        <v>5682</v>
      </c>
      <c r="B387" t="s">
        <v>5554</v>
      </c>
      <c r="C387" s="27">
        <v>5001136356</v>
      </c>
    </row>
    <row r="388" spans="1:3" x14ac:dyDescent="0.25">
      <c r="A388" t="s">
        <v>5683</v>
      </c>
      <c r="B388" t="s">
        <v>5554</v>
      </c>
      <c r="C388" s="27">
        <v>4702057044</v>
      </c>
    </row>
    <row r="389" spans="1:3" x14ac:dyDescent="0.25">
      <c r="A389" t="s">
        <v>5684</v>
      </c>
      <c r="B389" t="s">
        <v>5554</v>
      </c>
      <c r="C389" s="27">
        <v>2463043196</v>
      </c>
    </row>
    <row r="390" spans="1:3" x14ac:dyDescent="0.25">
      <c r="A390" t="s">
        <v>5685</v>
      </c>
      <c r="B390" t="s">
        <v>5554</v>
      </c>
      <c r="C390" s="27">
        <v>6165197342</v>
      </c>
    </row>
    <row r="391" spans="1:3" x14ac:dyDescent="0.25">
      <c r="A391" t="s">
        <v>5686</v>
      </c>
      <c r="B391" t="s">
        <v>5554</v>
      </c>
      <c r="C391" s="27">
        <v>9701041428</v>
      </c>
    </row>
    <row r="392" spans="1:3" x14ac:dyDescent="0.25">
      <c r="A392" t="s">
        <v>5687</v>
      </c>
      <c r="B392" t="s">
        <v>5554</v>
      </c>
      <c r="C392" s="27">
        <v>5902834187</v>
      </c>
    </row>
    <row r="393" spans="1:3" x14ac:dyDescent="0.25">
      <c r="A393" t="s">
        <v>5688</v>
      </c>
      <c r="B393" t="s">
        <v>5554</v>
      </c>
      <c r="C393" s="27">
        <v>6903044867</v>
      </c>
    </row>
    <row r="394" spans="1:3" x14ac:dyDescent="0.25">
      <c r="A394" t="s">
        <v>5689</v>
      </c>
      <c r="B394" t="s">
        <v>5554</v>
      </c>
      <c r="C394" s="27">
        <v>5406712079</v>
      </c>
    </row>
    <row r="395" spans="1:3" x14ac:dyDescent="0.25">
      <c r="A395" t="s">
        <v>5690</v>
      </c>
      <c r="B395" t="s">
        <v>5554</v>
      </c>
      <c r="C395" s="27">
        <v>6150070304</v>
      </c>
    </row>
    <row r="396" spans="1:3" x14ac:dyDescent="0.25">
      <c r="A396" t="s">
        <v>5691</v>
      </c>
      <c r="B396" t="s">
        <v>5554</v>
      </c>
      <c r="C396" s="27">
        <v>5003041251</v>
      </c>
    </row>
    <row r="397" spans="1:3" x14ac:dyDescent="0.25">
      <c r="A397" t="s">
        <v>5692</v>
      </c>
      <c r="B397" t="s">
        <v>5554</v>
      </c>
      <c r="C397" s="27">
        <v>9722020820</v>
      </c>
    </row>
    <row r="398" spans="1:3" x14ac:dyDescent="0.25">
      <c r="A398" t="s">
        <v>5693</v>
      </c>
      <c r="B398" t="s">
        <v>5554</v>
      </c>
      <c r="C398" s="27">
        <v>5903137414</v>
      </c>
    </row>
    <row r="399" spans="1:3" x14ac:dyDescent="0.25">
      <c r="A399" t="s">
        <v>5694</v>
      </c>
      <c r="B399" t="s">
        <v>5554</v>
      </c>
      <c r="C399" s="27">
        <v>6808003370</v>
      </c>
    </row>
    <row r="400" spans="1:3" x14ac:dyDescent="0.25">
      <c r="A400" t="s">
        <v>5695</v>
      </c>
      <c r="B400" t="s">
        <v>5554</v>
      </c>
      <c r="C400" s="27">
        <v>3250522485</v>
      </c>
    </row>
    <row r="401" spans="1:3" x14ac:dyDescent="0.25">
      <c r="A401" t="s">
        <v>5696</v>
      </c>
      <c r="B401" t="s">
        <v>5554</v>
      </c>
      <c r="C401" s="27">
        <v>2225172517</v>
      </c>
    </row>
    <row r="402" spans="1:3" x14ac:dyDescent="0.25">
      <c r="A402" t="s">
        <v>5697</v>
      </c>
      <c r="B402" t="s">
        <v>5554</v>
      </c>
      <c r="C402" s="27">
        <v>4703067077</v>
      </c>
    </row>
    <row r="403" spans="1:3" x14ac:dyDescent="0.25">
      <c r="A403" t="s">
        <v>5698</v>
      </c>
      <c r="B403" t="s">
        <v>5554</v>
      </c>
      <c r="C403" s="27">
        <v>5916027419</v>
      </c>
    </row>
    <row r="404" spans="1:3" x14ac:dyDescent="0.25">
      <c r="A404" t="s">
        <v>5699</v>
      </c>
      <c r="B404" t="s">
        <v>5554</v>
      </c>
      <c r="C404" s="27">
        <v>7726707307</v>
      </c>
    </row>
    <row r="405" spans="1:3" x14ac:dyDescent="0.25">
      <c r="A405" t="s">
        <v>5700</v>
      </c>
      <c r="B405" t="s">
        <v>5554</v>
      </c>
      <c r="C405" s="27">
        <v>222212876151</v>
      </c>
    </row>
    <row r="406" spans="1:3" x14ac:dyDescent="0.25">
      <c r="A406" t="s">
        <v>5701</v>
      </c>
      <c r="B406" t="s">
        <v>5554</v>
      </c>
      <c r="C406" s="27">
        <v>402701797950</v>
      </c>
    </row>
    <row r="407" spans="1:3" x14ac:dyDescent="0.25">
      <c r="A407" t="s">
        <v>5702</v>
      </c>
      <c r="C407" s="27">
        <v>3906313657</v>
      </c>
    </row>
    <row r="408" spans="1:3" x14ac:dyDescent="0.25">
      <c r="A408" t="s">
        <v>5703</v>
      </c>
      <c r="C408" s="27">
        <v>4253046074</v>
      </c>
    </row>
    <row r="409" spans="1:3" x14ac:dyDescent="0.25">
      <c r="A409" t="s">
        <v>5704</v>
      </c>
      <c r="C409" s="27">
        <v>7751007972</v>
      </c>
    </row>
    <row r="410" spans="1:3" x14ac:dyDescent="0.25">
      <c r="A410" t="s">
        <v>5705</v>
      </c>
      <c r="C410" s="27">
        <v>7802634533</v>
      </c>
    </row>
    <row r="411" spans="1:3" x14ac:dyDescent="0.25">
      <c r="A411" t="s">
        <v>5706</v>
      </c>
      <c r="C411" s="27">
        <v>6162043915</v>
      </c>
    </row>
    <row r="412" spans="1:3" x14ac:dyDescent="0.25">
      <c r="A412" t="s">
        <v>5707</v>
      </c>
      <c r="C412" s="27">
        <v>5408026558</v>
      </c>
    </row>
    <row r="413" spans="1:3" x14ac:dyDescent="0.25">
      <c r="A413" t="s">
        <v>5708</v>
      </c>
      <c r="C413" s="27">
        <v>2308120424</v>
      </c>
    </row>
    <row r="414" spans="1:3" x14ac:dyDescent="0.25">
      <c r="A414" t="s">
        <v>5709</v>
      </c>
      <c r="C414" s="27">
        <v>7728554303</v>
      </c>
    </row>
    <row r="415" spans="1:3" x14ac:dyDescent="0.25">
      <c r="A415" t="s">
        <v>5710</v>
      </c>
      <c r="C415" s="27">
        <v>9729056880</v>
      </c>
    </row>
    <row r="416" spans="1:3" x14ac:dyDescent="0.25">
      <c r="A416" t="s">
        <v>5711</v>
      </c>
      <c r="C416" s="27">
        <v>7715816671</v>
      </c>
    </row>
    <row r="417" spans="1:3" x14ac:dyDescent="0.25">
      <c r="A417" t="s">
        <v>5712</v>
      </c>
      <c r="C417" s="27">
        <v>3123226109</v>
      </c>
    </row>
    <row r="418" spans="1:3" x14ac:dyDescent="0.25">
      <c r="A418" t="s">
        <v>5713</v>
      </c>
      <c r="C418" s="27">
        <v>6166102417</v>
      </c>
    </row>
    <row r="419" spans="1:3" x14ac:dyDescent="0.25">
      <c r="A419" t="s">
        <v>5714</v>
      </c>
      <c r="C419" s="27">
        <v>5077020094</v>
      </c>
    </row>
    <row r="420" spans="1:3" x14ac:dyDescent="0.25">
      <c r="A420" t="s">
        <v>5715</v>
      </c>
      <c r="C420" s="27">
        <v>4501118949</v>
      </c>
    </row>
    <row r="421" spans="1:3" x14ac:dyDescent="0.25">
      <c r="A421" t="s">
        <v>5716</v>
      </c>
      <c r="C421" s="27">
        <v>5009135330</v>
      </c>
    </row>
    <row r="422" spans="1:3" x14ac:dyDescent="0.25">
      <c r="A422" t="s">
        <v>5717</v>
      </c>
      <c r="C422" s="27">
        <v>2902074981</v>
      </c>
    </row>
    <row r="423" spans="1:3" x14ac:dyDescent="0.25">
      <c r="A423" t="s">
        <v>5718</v>
      </c>
      <c r="C423" s="27">
        <v>7728395276</v>
      </c>
    </row>
    <row r="424" spans="1:3" x14ac:dyDescent="0.25">
      <c r="A424" t="s">
        <v>5719</v>
      </c>
      <c r="C424" s="27">
        <v>390768010380</v>
      </c>
    </row>
    <row r="425" spans="1:3" x14ac:dyDescent="0.25">
      <c r="A425" t="s">
        <v>5720</v>
      </c>
      <c r="C425" s="27">
        <v>9109010910</v>
      </c>
    </row>
    <row r="426" spans="1:3" x14ac:dyDescent="0.25">
      <c r="A426" t="s">
        <v>5721</v>
      </c>
      <c r="C426" s="27">
        <v>5753032473</v>
      </c>
    </row>
    <row r="427" spans="1:3" x14ac:dyDescent="0.25">
      <c r="A427" t="s">
        <v>5722</v>
      </c>
      <c r="C427" s="27">
        <v>7720869862</v>
      </c>
    </row>
    <row r="428" spans="1:3" x14ac:dyDescent="0.25">
      <c r="A428" t="s">
        <v>5723</v>
      </c>
      <c r="C428" s="27">
        <v>3662166934</v>
      </c>
    </row>
    <row r="429" spans="1:3" x14ac:dyDescent="0.25">
      <c r="A429" t="s">
        <v>5724</v>
      </c>
      <c r="C429" s="27">
        <v>150402161852</v>
      </c>
    </row>
    <row r="430" spans="1:3" x14ac:dyDescent="0.25">
      <c r="A430" t="s">
        <v>5725</v>
      </c>
      <c r="C430" s="27">
        <v>7203539016</v>
      </c>
    </row>
    <row r="431" spans="1:3" x14ac:dyDescent="0.25">
      <c r="A431" t="s">
        <v>5726</v>
      </c>
      <c r="C431" s="27">
        <v>6163222723</v>
      </c>
    </row>
    <row r="432" spans="1:3" x14ac:dyDescent="0.25">
      <c r="A432" t="s">
        <v>5727</v>
      </c>
      <c r="C432" s="27">
        <v>2311334955</v>
      </c>
    </row>
    <row r="433" spans="1:3" x14ac:dyDescent="0.25">
      <c r="A433" t="s">
        <v>5728</v>
      </c>
      <c r="C433" s="27">
        <v>5700011550</v>
      </c>
    </row>
    <row r="434" spans="1:3" x14ac:dyDescent="0.25">
      <c r="A434" t="s">
        <v>5729</v>
      </c>
      <c r="C434" s="27">
        <v>7723530517</v>
      </c>
    </row>
    <row r="435" spans="1:3" x14ac:dyDescent="0.25">
      <c r="A435" t="s">
        <v>5730</v>
      </c>
      <c r="C435" s="27">
        <v>6319162952</v>
      </c>
    </row>
    <row r="436" spans="1:3" x14ac:dyDescent="0.25">
      <c r="A436" t="s">
        <v>5731</v>
      </c>
      <c r="C436" s="27">
        <v>3917503579</v>
      </c>
    </row>
    <row r="437" spans="1:3" x14ac:dyDescent="0.25">
      <c r="A437" t="s">
        <v>5732</v>
      </c>
      <c r="C437" s="27">
        <v>550700455672</v>
      </c>
    </row>
    <row r="438" spans="1:3" x14ac:dyDescent="0.25">
      <c r="A438" t="s">
        <v>5733</v>
      </c>
      <c r="C438" s="27">
        <v>6831013384</v>
      </c>
    </row>
    <row r="439" spans="1:3" x14ac:dyDescent="0.25">
      <c r="A439" t="s">
        <v>5734</v>
      </c>
      <c r="C439" s="27">
        <v>5044071512</v>
      </c>
    </row>
    <row r="440" spans="1:3" x14ac:dyDescent="0.25">
      <c r="A440" t="s">
        <v>5735</v>
      </c>
      <c r="C440" s="27">
        <v>2320070071</v>
      </c>
    </row>
    <row r="441" spans="1:3" x14ac:dyDescent="0.25">
      <c r="A441" t="s">
        <v>5736</v>
      </c>
      <c r="C441" s="27">
        <v>7719859281</v>
      </c>
    </row>
    <row r="442" spans="1:3" x14ac:dyDescent="0.25">
      <c r="A442" t="s">
        <v>5737</v>
      </c>
      <c r="C442" s="27">
        <v>9204011303</v>
      </c>
    </row>
    <row r="443" spans="1:3" x14ac:dyDescent="0.25">
      <c r="A443" t="s">
        <v>5738</v>
      </c>
      <c r="C443" s="27">
        <v>151004134555</v>
      </c>
    </row>
    <row r="444" spans="1:3" x14ac:dyDescent="0.25">
      <c r="A444" t="s">
        <v>5739</v>
      </c>
      <c r="C444" s="27">
        <v>7805180253</v>
      </c>
    </row>
    <row r="445" spans="1:3" x14ac:dyDescent="0.25">
      <c r="A445" t="s">
        <v>5740</v>
      </c>
      <c r="C445" s="27">
        <v>7604045624</v>
      </c>
    </row>
    <row r="446" spans="1:3" x14ac:dyDescent="0.25">
      <c r="A446" t="s">
        <v>5741</v>
      </c>
      <c r="C446" s="27">
        <v>7734231220</v>
      </c>
    </row>
    <row r="447" spans="1:3" x14ac:dyDescent="0.25">
      <c r="A447" t="s">
        <v>5742</v>
      </c>
      <c r="C447" s="27">
        <v>1657116324</v>
      </c>
    </row>
    <row r="448" spans="1:3" x14ac:dyDescent="0.25">
      <c r="A448" t="s">
        <v>5743</v>
      </c>
      <c r="C448" s="27">
        <v>5261094588</v>
      </c>
    </row>
    <row r="449" spans="1:3" x14ac:dyDescent="0.25">
      <c r="A449" t="s">
        <v>5744</v>
      </c>
      <c r="C449" s="27">
        <v>5257096230</v>
      </c>
    </row>
    <row r="450" spans="1:3" x14ac:dyDescent="0.25">
      <c r="A450" t="s">
        <v>5745</v>
      </c>
      <c r="C450" s="27">
        <v>3666218213</v>
      </c>
    </row>
    <row r="451" spans="1:3" x14ac:dyDescent="0.25">
      <c r="A451" t="s">
        <v>5746</v>
      </c>
      <c r="C451" s="27">
        <v>721001032</v>
      </c>
    </row>
    <row r="452" spans="1:3" x14ac:dyDescent="0.25">
      <c r="A452" t="s">
        <v>5747</v>
      </c>
      <c r="C452" s="27">
        <v>1511019564</v>
      </c>
    </row>
    <row r="453" spans="1:3" x14ac:dyDescent="0.25">
      <c r="A453" t="s">
        <v>5748</v>
      </c>
      <c r="C453" s="27">
        <v>6452120720</v>
      </c>
    </row>
    <row r="454" spans="1:3" x14ac:dyDescent="0.25">
      <c r="A454" t="s">
        <v>5749</v>
      </c>
      <c r="C454" s="27">
        <v>7810955072</v>
      </c>
    </row>
    <row r="455" spans="1:3" x14ac:dyDescent="0.25">
      <c r="A455" t="s">
        <v>5750</v>
      </c>
      <c r="C455" s="27">
        <v>700003374</v>
      </c>
    </row>
    <row r="456" spans="1:3" x14ac:dyDescent="0.25">
      <c r="A456" t="s">
        <v>5751</v>
      </c>
      <c r="C456" s="27">
        <v>7724762285</v>
      </c>
    </row>
    <row r="457" spans="1:3" x14ac:dyDescent="0.25">
      <c r="A457" t="s">
        <v>5752</v>
      </c>
      <c r="C457" s="27">
        <v>6318194327</v>
      </c>
    </row>
    <row r="458" spans="1:3" x14ac:dyDescent="0.25">
      <c r="A458" t="s">
        <v>5753</v>
      </c>
      <c r="C458" s="27">
        <v>3821001306</v>
      </c>
    </row>
    <row r="459" spans="1:3" x14ac:dyDescent="0.25">
      <c r="A459" t="s">
        <v>5754</v>
      </c>
      <c r="C459" s="27">
        <v>7814809234</v>
      </c>
    </row>
    <row r="460" spans="1:3" x14ac:dyDescent="0.25">
      <c r="A460" t="s">
        <v>5755</v>
      </c>
      <c r="C460" s="27">
        <v>9102031685</v>
      </c>
    </row>
    <row r="461" spans="1:3" x14ac:dyDescent="0.25">
      <c r="A461" t="s">
        <v>5756</v>
      </c>
      <c r="C461" s="27">
        <v>6829055852</v>
      </c>
    </row>
    <row r="462" spans="1:3" x14ac:dyDescent="0.25">
      <c r="A462" t="s">
        <v>5757</v>
      </c>
      <c r="C462" s="27">
        <v>4821011747</v>
      </c>
    </row>
    <row r="463" spans="1:3" x14ac:dyDescent="0.25">
      <c r="A463" t="s">
        <v>5758</v>
      </c>
      <c r="C463" s="27">
        <v>6134012880</v>
      </c>
    </row>
    <row r="464" spans="1:3" x14ac:dyDescent="0.25">
      <c r="A464" t="s">
        <v>5759</v>
      </c>
      <c r="C464" s="27">
        <v>6659049231</v>
      </c>
    </row>
    <row r="465" spans="1:3" x14ac:dyDescent="0.25">
      <c r="A465" t="s">
        <v>5760</v>
      </c>
      <c r="C465" s="27">
        <v>2373007348</v>
      </c>
    </row>
    <row r="466" spans="1:3" x14ac:dyDescent="0.25">
      <c r="A466" t="s">
        <v>5761</v>
      </c>
      <c r="C466" s="27">
        <v>5260408672</v>
      </c>
    </row>
    <row r="467" spans="1:3" x14ac:dyDescent="0.25">
      <c r="A467" t="s">
        <v>5762</v>
      </c>
      <c r="C467" s="27">
        <v>2227026014</v>
      </c>
    </row>
    <row r="468" spans="1:3" x14ac:dyDescent="0.25">
      <c r="A468">
        <v>7719840450</v>
      </c>
      <c r="C468" s="27">
        <v>7719840450</v>
      </c>
    </row>
    <row r="469" spans="1:3" x14ac:dyDescent="0.25">
      <c r="A469" t="s">
        <v>5763</v>
      </c>
      <c r="C469" s="27">
        <v>7720588903</v>
      </c>
    </row>
    <row r="470" spans="1:3" x14ac:dyDescent="0.25">
      <c r="A470" t="s">
        <v>5764</v>
      </c>
      <c r="C470" s="27">
        <v>1513045383</v>
      </c>
    </row>
    <row r="471" spans="1:3" x14ac:dyDescent="0.25">
      <c r="A471" t="s">
        <v>5765</v>
      </c>
      <c r="C471" s="27">
        <v>151504541439</v>
      </c>
    </row>
    <row r="472" spans="1:3" x14ac:dyDescent="0.25">
      <c r="A472" t="s">
        <v>5766</v>
      </c>
      <c r="C472" s="27">
        <v>7733556176</v>
      </c>
    </row>
    <row r="473" spans="1:3" x14ac:dyDescent="0.25">
      <c r="A473" t="s">
        <v>5767</v>
      </c>
      <c r="C473" s="27">
        <v>7719136780</v>
      </c>
    </row>
    <row r="474" spans="1:3" x14ac:dyDescent="0.25">
      <c r="A474" t="s">
        <v>5768</v>
      </c>
      <c r="C474" s="27">
        <v>6163055215</v>
      </c>
    </row>
    <row r="475" spans="1:3" x14ac:dyDescent="0.25">
      <c r="A475" t="s">
        <v>5769</v>
      </c>
      <c r="C475" s="27">
        <v>6950118467</v>
      </c>
    </row>
    <row r="476" spans="1:3" x14ac:dyDescent="0.25">
      <c r="A476" t="s">
        <v>5770</v>
      </c>
      <c r="C476" s="27">
        <v>1501019660</v>
      </c>
    </row>
    <row r="477" spans="1:3" x14ac:dyDescent="0.25">
      <c r="A477" t="s">
        <v>5771</v>
      </c>
      <c r="C477" s="27">
        <v>7840370306</v>
      </c>
    </row>
    <row r="478" spans="1:3" x14ac:dyDescent="0.25">
      <c r="A478" t="s">
        <v>5772</v>
      </c>
      <c r="C478" s="27">
        <v>2537044341</v>
      </c>
    </row>
    <row r="479" spans="1:3" x14ac:dyDescent="0.25">
      <c r="A479" t="s">
        <v>5773</v>
      </c>
      <c r="C479" s="27">
        <v>6321290768</v>
      </c>
    </row>
    <row r="480" spans="1:3" x14ac:dyDescent="0.25">
      <c r="A480" t="s">
        <v>5774</v>
      </c>
      <c r="C480" s="27">
        <v>5409012082</v>
      </c>
    </row>
    <row r="481" spans="1:3" x14ac:dyDescent="0.25">
      <c r="A481" t="s">
        <v>5775</v>
      </c>
      <c r="C481" s="27">
        <v>360408014623</v>
      </c>
    </row>
    <row r="482" spans="1:3" x14ac:dyDescent="0.25">
      <c r="A482" t="s">
        <v>5776</v>
      </c>
      <c r="C482" s="27">
        <v>2310076405</v>
      </c>
    </row>
    <row r="483" spans="1:3" x14ac:dyDescent="0.25">
      <c r="A483" t="s">
        <v>5777</v>
      </c>
      <c r="C483" s="27">
        <v>5902132100</v>
      </c>
    </row>
    <row r="484" spans="1:3" x14ac:dyDescent="0.25">
      <c r="A484" t="s">
        <v>5778</v>
      </c>
      <c r="C484" s="27">
        <v>2466238612</v>
      </c>
    </row>
    <row r="485" spans="1:3" x14ac:dyDescent="0.25">
      <c r="A485" t="s">
        <v>5779</v>
      </c>
      <c r="C485" s="27">
        <v>3821011030</v>
      </c>
    </row>
    <row r="486" spans="1:3" x14ac:dyDescent="0.25">
      <c r="A486" t="s">
        <v>5780</v>
      </c>
      <c r="C486" s="27">
        <v>4205407651</v>
      </c>
    </row>
    <row r="487" spans="1:3" x14ac:dyDescent="0.25">
      <c r="A487" t="s">
        <v>5781</v>
      </c>
      <c r="C487" s="27">
        <v>4206030711</v>
      </c>
    </row>
    <row r="488" spans="1:3" x14ac:dyDescent="0.25">
      <c r="A488" t="s">
        <v>5782</v>
      </c>
      <c r="C488" s="27">
        <v>2234009147</v>
      </c>
    </row>
    <row r="489" spans="1:3" x14ac:dyDescent="0.25">
      <c r="A489" t="s">
        <v>5783</v>
      </c>
      <c r="C489" s="27">
        <v>4821012349</v>
      </c>
    </row>
    <row r="490" spans="1:3" x14ac:dyDescent="0.25">
      <c r="A490" t="s">
        <v>5784</v>
      </c>
      <c r="C490" s="27">
        <v>2311169959</v>
      </c>
    </row>
    <row r="491" spans="1:3" x14ac:dyDescent="0.25">
      <c r="A491" t="s">
        <v>5785</v>
      </c>
      <c r="C491" s="27">
        <v>4202019442</v>
      </c>
    </row>
    <row r="492" spans="1:3" x14ac:dyDescent="0.25">
      <c r="A492" t="s">
        <v>5786</v>
      </c>
      <c r="C492" s="27">
        <v>6312056730</v>
      </c>
    </row>
    <row r="493" spans="1:3" x14ac:dyDescent="0.25">
      <c r="A493" t="s">
        <v>5787</v>
      </c>
      <c r="C493" s="27">
        <v>580500809531</v>
      </c>
    </row>
    <row r="494" spans="1:3" x14ac:dyDescent="0.25">
      <c r="A494" t="s">
        <v>5788</v>
      </c>
      <c r="C494" s="27">
        <v>3328456544</v>
      </c>
    </row>
    <row r="495" spans="1:3" x14ac:dyDescent="0.25">
      <c r="A495" t="s">
        <v>5789</v>
      </c>
      <c r="C495" s="27">
        <v>5252019979</v>
      </c>
    </row>
    <row r="496" spans="1:3" x14ac:dyDescent="0.25">
      <c r="A496" t="s">
        <v>5790</v>
      </c>
      <c r="C496" s="27">
        <v>5036107437</v>
      </c>
    </row>
    <row r="497" spans="1:3" x14ac:dyDescent="0.25">
      <c r="A497" t="s">
        <v>5791</v>
      </c>
      <c r="C497" s="27">
        <v>6321290013</v>
      </c>
    </row>
    <row r="498" spans="1:3" x14ac:dyDescent="0.25">
      <c r="A498" t="s">
        <v>5792</v>
      </c>
      <c r="C498" s="27">
        <v>7751527121</v>
      </c>
    </row>
    <row r="499" spans="1:3" x14ac:dyDescent="0.25">
      <c r="A499" t="s">
        <v>5793</v>
      </c>
      <c r="C499" s="27">
        <v>1644016474</v>
      </c>
    </row>
    <row r="500" spans="1:3" x14ac:dyDescent="0.25">
      <c r="A500" t="s">
        <v>5794</v>
      </c>
      <c r="C500" s="27">
        <v>732712429987</v>
      </c>
    </row>
    <row r="501" spans="1:3" x14ac:dyDescent="0.25">
      <c r="A501" t="s">
        <v>5795</v>
      </c>
      <c r="C501" s="27">
        <v>5038049773</v>
      </c>
    </row>
    <row r="502" spans="1:3" x14ac:dyDescent="0.25">
      <c r="A502" t="s">
        <v>5796</v>
      </c>
      <c r="C502" s="27">
        <v>5029041584</v>
      </c>
    </row>
    <row r="503" spans="1:3" x14ac:dyDescent="0.25">
      <c r="A503" t="s">
        <v>5797</v>
      </c>
      <c r="C503" s="27">
        <v>6315619564</v>
      </c>
    </row>
    <row r="504" spans="1:3" x14ac:dyDescent="0.25">
      <c r="A504" t="s">
        <v>5798</v>
      </c>
      <c r="C504" s="27">
        <v>249008343</v>
      </c>
    </row>
    <row r="505" spans="1:3" x14ac:dyDescent="0.25">
      <c r="A505" t="s">
        <v>5799</v>
      </c>
      <c r="C505" s="27">
        <v>5610054704</v>
      </c>
    </row>
    <row r="506" spans="1:3" x14ac:dyDescent="0.25">
      <c r="A506" t="s">
        <v>5800</v>
      </c>
      <c r="C506" s="27">
        <v>7722491054</v>
      </c>
    </row>
    <row r="507" spans="1:3" x14ac:dyDescent="0.25">
      <c r="A507" t="s">
        <v>5801</v>
      </c>
      <c r="C507" s="27">
        <v>5002062932</v>
      </c>
    </row>
    <row r="508" spans="1:3" x14ac:dyDescent="0.25">
      <c r="A508" t="s">
        <v>5802</v>
      </c>
      <c r="C508" s="27">
        <v>7017431262</v>
      </c>
    </row>
    <row r="509" spans="1:3" x14ac:dyDescent="0.25">
      <c r="A509" t="s">
        <v>5803</v>
      </c>
      <c r="C509" s="27">
        <v>6376066010</v>
      </c>
    </row>
    <row r="510" spans="1:3" x14ac:dyDescent="0.25">
      <c r="A510" t="s">
        <v>5804</v>
      </c>
      <c r="C510" s="27">
        <v>7720386880</v>
      </c>
    </row>
    <row r="511" spans="1:3" x14ac:dyDescent="0.25">
      <c r="A511" t="s">
        <v>5805</v>
      </c>
      <c r="C511" s="27">
        <v>6376062753</v>
      </c>
    </row>
    <row r="512" spans="1:3" x14ac:dyDescent="0.25">
      <c r="A512" t="s">
        <v>5806</v>
      </c>
      <c r="C512" s="27">
        <v>326599196</v>
      </c>
    </row>
    <row r="513" spans="1:3" x14ac:dyDescent="0.25">
      <c r="A513" t="s">
        <v>5807</v>
      </c>
      <c r="C513" s="27">
        <v>6166127355</v>
      </c>
    </row>
    <row r="514" spans="1:3" x14ac:dyDescent="0.25">
      <c r="A514" t="s">
        <v>5808</v>
      </c>
      <c r="C514" s="27">
        <v>6312089260</v>
      </c>
    </row>
    <row r="515" spans="1:3" x14ac:dyDescent="0.25">
      <c r="A515" t="s">
        <v>5809</v>
      </c>
      <c r="C515" s="27">
        <v>6451005443</v>
      </c>
    </row>
    <row r="516" spans="1:3" x14ac:dyDescent="0.25">
      <c r="A516" t="s">
        <v>5810</v>
      </c>
      <c r="C516" s="27">
        <v>2312178145</v>
      </c>
    </row>
    <row r="517" spans="1:3" x14ac:dyDescent="0.25">
      <c r="A517" t="s">
        <v>5811</v>
      </c>
      <c r="C517" s="27">
        <v>390501470299</v>
      </c>
    </row>
    <row r="518" spans="1:3" x14ac:dyDescent="0.25">
      <c r="A518" t="s">
        <v>5812</v>
      </c>
      <c r="C518" s="27">
        <v>3905036680</v>
      </c>
    </row>
    <row r="519" spans="1:3" x14ac:dyDescent="0.25">
      <c r="A519" t="s">
        <v>5813</v>
      </c>
      <c r="C519" s="27">
        <v>5407223112</v>
      </c>
    </row>
    <row r="520" spans="1:3" x14ac:dyDescent="0.25">
      <c r="A520" t="s">
        <v>5814</v>
      </c>
      <c r="C520" s="27">
        <v>6316166557</v>
      </c>
    </row>
    <row r="521" spans="1:3" x14ac:dyDescent="0.25">
      <c r="A521" t="s">
        <v>5815</v>
      </c>
      <c r="C521" s="27">
        <v>3128007710</v>
      </c>
    </row>
    <row r="522" spans="1:3" x14ac:dyDescent="0.25">
      <c r="A522" t="s">
        <v>5816</v>
      </c>
      <c r="C522" s="27">
        <v>6316092792</v>
      </c>
    </row>
    <row r="523" spans="1:3" x14ac:dyDescent="0.25">
      <c r="A523" t="s">
        <v>5817</v>
      </c>
      <c r="C523" s="27">
        <v>4312119457</v>
      </c>
    </row>
    <row r="524" spans="1:3" x14ac:dyDescent="0.25">
      <c r="A524" t="s">
        <v>5818</v>
      </c>
      <c r="C524" s="27">
        <v>9102158152</v>
      </c>
    </row>
    <row r="525" spans="1:3" x14ac:dyDescent="0.25">
      <c r="A525" t="s">
        <v>5819</v>
      </c>
      <c r="C525" s="27">
        <v>230907071819</v>
      </c>
    </row>
    <row r="526" spans="1:3" x14ac:dyDescent="0.25">
      <c r="A526" t="s">
        <v>5820</v>
      </c>
      <c r="C526" s="27">
        <v>2900000247</v>
      </c>
    </row>
    <row r="527" spans="1:3" x14ac:dyDescent="0.25">
      <c r="A527" t="s">
        <v>5821</v>
      </c>
      <c r="C527" s="27">
        <v>164601519053</v>
      </c>
    </row>
    <row r="528" spans="1:3" x14ac:dyDescent="0.25">
      <c r="A528" t="s">
        <v>5822</v>
      </c>
      <c r="C528" s="27">
        <v>9724064132</v>
      </c>
    </row>
    <row r="529" spans="1:3" x14ac:dyDescent="0.25">
      <c r="A529" t="s">
        <v>5823</v>
      </c>
      <c r="C529" s="27">
        <v>5505212084</v>
      </c>
    </row>
    <row r="530" spans="1:3" x14ac:dyDescent="0.25">
      <c r="A530" t="s">
        <v>5824</v>
      </c>
      <c r="C530" s="27">
        <v>3123207226</v>
      </c>
    </row>
    <row r="531" spans="1:3" x14ac:dyDescent="0.25">
      <c r="A531" t="s">
        <v>5825</v>
      </c>
      <c r="C531" s="27">
        <v>5517010163</v>
      </c>
    </row>
    <row r="532" spans="1:3" x14ac:dyDescent="0.25">
      <c r="A532" t="s">
        <v>5826</v>
      </c>
      <c r="C532" s="27">
        <v>6311997188</v>
      </c>
    </row>
    <row r="533" spans="1:3" x14ac:dyDescent="0.25">
      <c r="A533" t="s">
        <v>5827</v>
      </c>
      <c r="C533" s="27">
        <v>3448023905</v>
      </c>
    </row>
    <row r="534" spans="1:3" x14ac:dyDescent="0.25">
      <c r="A534" t="s">
        <v>5828</v>
      </c>
      <c r="C534" s="27">
        <v>10501244124</v>
      </c>
    </row>
    <row r="535" spans="1:3" x14ac:dyDescent="0.25">
      <c r="A535" t="s">
        <v>5829</v>
      </c>
      <c r="C535" s="27">
        <v>7722765724</v>
      </c>
    </row>
    <row r="536" spans="1:3" x14ac:dyDescent="0.25">
      <c r="A536" t="s">
        <v>5830</v>
      </c>
      <c r="C536" s="27">
        <v>6318193683</v>
      </c>
    </row>
    <row r="537" spans="1:3" x14ac:dyDescent="0.25">
      <c r="A537" t="s">
        <v>5831</v>
      </c>
      <c r="C537" s="27">
        <v>6454125393</v>
      </c>
    </row>
    <row r="538" spans="1:3" x14ac:dyDescent="0.25">
      <c r="A538" t="s">
        <v>5832</v>
      </c>
      <c r="C538" s="27">
        <v>6658090572</v>
      </c>
    </row>
    <row r="539" spans="1:3" x14ac:dyDescent="0.25">
      <c r="A539" t="s">
        <v>5833</v>
      </c>
      <c r="C539" s="27">
        <v>3128092177</v>
      </c>
    </row>
    <row r="540" spans="1:3" x14ac:dyDescent="0.25">
      <c r="A540" t="s">
        <v>5834</v>
      </c>
      <c r="C540" s="27">
        <v>5047302670</v>
      </c>
    </row>
    <row r="541" spans="1:3" x14ac:dyDescent="0.25">
      <c r="A541" t="s">
        <v>5835</v>
      </c>
      <c r="C541" s="27">
        <v>6315637436</v>
      </c>
    </row>
    <row r="542" spans="1:3" x14ac:dyDescent="0.25">
      <c r="A542" t="s">
        <v>5836</v>
      </c>
      <c r="C542" s="27">
        <v>7811335113</v>
      </c>
    </row>
    <row r="543" spans="1:3" x14ac:dyDescent="0.25">
      <c r="A543" t="s">
        <v>5837</v>
      </c>
      <c r="C543" s="27">
        <v>232000540195</v>
      </c>
    </row>
    <row r="544" spans="1:3" x14ac:dyDescent="0.25">
      <c r="A544" t="s">
        <v>5838</v>
      </c>
      <c r="C544" s="27">
        <v>5902199785</v>
      </c>
    </row>
    <row r="545" spans="1:3" x14ac:dyDescent="0.25">
      <c r="A545" t="s">
        <v>5839</v>
      </c>
      <c r="C545" s="27">
        <v>7813354866</v>
      </c>
    </row>
    <row r="546" spans="1:3" x14ac:dyDescent="0.25">
      <c r="A546" t="s">
        <v>5840</v>
      </c>
      <c r="C546" s="27">
        <v>2536335901</v>
      </c>
    </row>
    <row r="547" spans="1:3" x14ac:dyDescent="0.25">
      <c r="A547" t="s">
        <v>5841</v>
      </c>
      <c r="C547" s="27">
        <v>1513008247</v>
      </c>
    </row>
    <row r="548" spans="1:3" x14ac:dyDescent="0.25">
      <c r="A548" t="s">
        <v>5842</v>
      </c>
      <c r="C548" s="27">
        <v>7536033360</v>
      </c>
    </row>
    <row r="549" spans="1:3" x14ac:dyDescent="0.25">
      <c r="A549" t="s">
        <v>5843</v>
      </c>
      <c r="C549" s="27">
        <v>6731044438</v>
      </c>
    </row>
    <row r="550" spans="1:3" x14ac:dyDescent="0.25">
      <c r="A550" t="s">
        <v>5844</v>
      </c>
      <c r="C550" s="27">
        <v>1433010272</v>
      </c>
    </row>
    <row r="551" spans="1:3" x14ac:dyDescent="0.25">
      <c r="A551" t="s">
        <v>5845</v>
      </c>
      <c r="C551" s="27">
        <v>2502035346</v>
      </c>
    </row>
    <row r="552" spans="1:3" x14ac:dyDescent="0.25">
      <c r="A552" t="s">
        <v>5846</v>
      </c>
      <c r="C552" s="27">
        <v>1435227150</v>
      </c>
    </row>
    <row r="553" spans="1:3" x14ac:dyDescent="0.25">
      <c r="A553" t="s">
        <v>5847</v>
      </c>
      <c r="C553" s="27">
        <v>6671131450</v>
      </c>
    </row>
    <row r="554" spans="1:3" x14ac:dyDescent="0.25">
      <c r="A554" t="s">
        <v>5848</v>
      </c>
      <c r="C554" s="27">
        <v>143511131416</v>
      </c>
    </row>
    <row r="555" spans="1:3" x14ac:dyDescent="0.25">
      <c r="A555" t="s">
        <v>5849</v>
      </c>
      <c r="C555" s="27">
        <v>2724167093</v>
      </c>
    </row>
    <row r="556" spans="1:3" x14ac:dyDescent="0.25">
      <c r="A556" t="s">
        <v>5850</v>
      </c>
      <c r="C556" s="27">
        <v>5020046161</v>
      </c>
    </row>
    <row r="557" spans="1:3" x14ac:dyDescent="0.25">
      <c r="A557" t="s">
        <v>5851</v>
      </c>
      <c r="C557" s="27">
        <v>1833058575</v>
      </c>
    </row>
    <row r="558" spans="1:3" x14ac:dyDescent="0.25">
      <c r="A558" t="s">
        <v>5852</v>
      </c>
      <c r="C558" s="27">
        <v>551500408469</v>
      </c>
    </row>
    <row r="559" spans="1:3" x14ac:dyDescent="0.25">
      <c r="A559" t="s">
        <v>5853</v>
      </c>
      <c r="C559" s="27">
        <v>3255051913</v>
      </c>
    </row>
    <row r="560" spans="1:3" x14ac:dyDescent="0.25">
      <c r="A560" t="s">
        <v>5854</v>
      </c>
      <c r="C560" s="27">
        <v>5506232453</v>
      </c>
    </row>
    <row r="561" spans="1:3" x14ac:dyDescent="0.25">
      <c r="A561" t="s">
        <v>5855</v>
      </c>
      <c r="C561" s="27">
        <v>1433021154</v>
      </c>
    </row>
    <row r="562" spans="1:3" x14ac:dyDescent="0.25">
      <c r="A562" t="s">
        <v>5856</v>
      </c>
      <c r="C562" s="27">
        <v>2224212012</v>
      </c>
    </row>
    <row r="563" spans="1:3" x14ac:dyDescent="0.25">
      <c r="A563" t="s">
        <v>5857</v>
      </c>
      <c r="C563" s="27">
        <v>6911031220</v>
      </c>
    </row>
    <row r="564" spans="1:3" x14ac:dyDescent="0.25">
      <c r="A564" t="s">
        <v>5858</v>
      </c>
      <c r="C564" s="27">
        <v>5501068383</v>
      </c>
    </row>
    <row r="565" spans="1:3" x14ac:dyDescent="0.25">
      <c r="A565" t="s">
        <v>5859</v>
      </c>
      <c r="C565" s="27">
        <v>5044094397</v>
      </c>
    </row>
    <row r="566" spans="1:3" x14ac:dyDescent="0.25">
      <c r="A566" t="s">
        <v>5860</v>
      </c>
      <c r="C566" s="27">
        <v>7722710108</v>
      </c>
    </row>
    <row r="567" spans="1:3" x14ac:dyDescent="0.25">
      <c r="A567" t="s">
        <v>5861</v>
      </c>
      <c r="C567" s="27">
        <v>2311237567</v>
      </c>
    </row>
    <row r="568" spans="1:3" x14ac:dyDescent="0.25">
      <c r="A568" t="s">
        <v>5862</v>
      </c>
      <c r="C568" s="27">
        <v>3257018220</v>
      </c>
    </row>
    <row r="569" spans="1:3" x14ac:dyDescent="0.25">
      <c r="A569" t="s">
        <v>5863</v>
      </c>
      <c r="C569" s="27">
        <v>4205210983</v>
      </c>
    </row>
    <row r="570" spans="1:3" x14ac:dyDescent="0.25">
      <c r="A570" t="s">
        <v>5864</v>
      </c>
      <c r="C570" s="27">
        <v>2130121786</v>
      </c>
    </row>
    <row r="571" spans="1:3" x14ac:dyDescent="0.25">
      <c r="A571" t="s">
        <v>5865</v>
      </c>
      <c r="C571" s="27">
        <v>7743165037</v>
      </c>
    </row>
    <row r="572" spans="1:3" x14ac:dyDescent="0.25">
      <c r="A572" t="s">
        <v>5866</v>
      </c>
      <c r="C572" s="27">
        <v>5042082981</v>
      </c>
    </row>
    <row r="573" spans="1:3" x14ac:dyDescent="0.25">
      <c r="A573" t="s">
        <v>5867</v>
      </c>
      <c r="C573" s="27">
        <v>6501267905</v>
      </c>
    </row>
    <row r="574" spans="1:3" x14ac:dyDescent="0.25">
      <c r="A574" t="s">
        <v>5868</v>
      </c>
      <c r="C574" s="27">
        <v>5751059649</v>
      </c>
    </row>
    <row r="575" spans="1:3" x14ac:dyDescent="0.25">
      <c r="A575" t="s">
        <v>5869</v>
      </c>
      <c r="C575" s="27">
        <v>3662228080</v>
      </c>
    </row>
    <row r="576" spans="1:3" x14ac:dyDescent="0.25">
      <c r="A576" t="s">
        <v>5870</v>
      </c>
      <c r="C576" s="27">
        <v>4345501679</v>
      </c>
    </row>
    <row r="577" spans="1:3" x14ac:dyDescent="0.25">
      <c r="A577" t="s">
        <v>5871</v>
      </c>
      <c r="C577" s="27">
        <v>56000111480</v>
      </c>
    </row>
    <row r="578" spans="1:3" x14ac:dyDescent="0.25">
      <c r="A578" t="s">
        <v>5872</v>
      </c>
      <c r="C578" s="27">
        <v>3604000062</v>
      </c>
    </row>
    <row r="579" spans="1:3" x14ac:dyDescent="0.25">
      <c r="A579" t="s">
        <v>5873</v>
      </c>
      <c r="C579" s="27">
        <v>590800909501</v>
      </c>
    </row>
    <row r="580" spans="1:3" x14ac:dyDescent="0.25">
      <c r="A580" t="s">
        <v>5874</v>
      </c>
      <c r="C580" s="27">
        <v>2464263772</v>
      </c>
    </row>
    <row r="581" spans="1:3" x14ac:dyDescent="0.25">
      <c r="A581" t="s">
        <v>5875</v>
      </c>
      <c r="C581" s="27">
        <v>2308209746</v>
      </c>
    </row>
    <row r="582" spans="1:3" x14ac:dyDescent="0.25">
      <c r="A582" t="s">
        <v>5876</v>
      </c>
      <c r="C582" s="27">
        <v>4025439260</v>
      </c>
    </row>
    <row r="583" spans="1:3" x14ac:dyDescent="0.25">
      <c r="A583" t="s">
        <v>5877</v>
      </c>
      <c r="C583" s="27">
        <v>4246002196</v>
      </c>
    </row>
    <row r="584" spans="1:3" x14ac:dyDescent="0.25">
      <c r="A584" t="s">
        <v>5878</v>
      </c>
      <c r="C584" s="27">
        <v>2465284398</v>
      </c>
    </row>
    <row r="585" spans="1:3" x14ac:dyDescent="0.25">
      <c r="A585" t="s">
        <v>5879</v>
      </c>
      <c r="C585" s="27">
        <v>5906107055</v>
      </c>
    </row>
    <row r="586" spans="1:3" x14ac:dyDescent="0.25">
      <c r="A586" t="s">
        <v>5880</v>
      </c>
      <c r="C586" s="27">
        <v>273908666</v>
      </c>
    </row>
    <row r="587" spans="1:3" x14ac:dyDescent="0.25">
      <c r="A587" t="s">
        <v>5881</v>
      </c>
      <c r="C587" s="27">
        <v>231709059900</v>
      </c>
    </row>
    <row r="588" spans="1:3" x14ac:dyDescent="0.25">
      <c r="A588" t="s">
        <v>5882</v>
      </c>
      <c r="C588" s="27">
        <v>261801823114</v>
      </c>
    </row>
    <row r="589" spans="1:3" x14ac:dyDescent="0.25">
      <c r="A589" t="s">
        <v>5883</v>
      </c>
      <c r="C589" s="27">
        <v>1650403633</v>
      </c>
    </row>
    <row r="590" spans="1:3" x14ac:dyDescent="0.25">
      <c r="A590" t="s">
        <v>5884</v>
      </c>
      <c r="C590" s="27">
        <v>6679106128</v>
      </c>
    </row>
    <row r="591" spans="1:3" x14ac:dyDescent="0.25">
      <c r="A591" t="s">
        <v>5885</v>
      </c>
      <c r="C591" s="27">
        <v>4003012322</v>
      </c>
    </row>
    <row r="592" spans="1:3" x14ac:dyDescent="0.25">
      <c r="A592" t="s">
        <v>5886</v>
      </c>
      <c r="C592" s="27">
        <v>6829154691</v>
      </c>
    </row>
    <row r="593" spans="1:3" x14ac:dyDescent="0.25">
      <c r="A593" t="s">
        <v>5887</v>
      </c>
      <c r="C593" s="27">
        <v>5834113402</v>
      </c>
    </row>
    <row r="594" spans="1:3" x14ac:dyDescent="0.25">
      <c r="A594" t="s">
        <v>5888</v>
      </c>
      <c r="C594" s="27">
        <v>7729524534</v>
      </c>
    </row>
    <row r="595" spans="1:3" x14ac:dyDescent="0.25">
      <c r="A595" t="s">
        <v>5889</v>
      </c>
      <c r="C595" s="27">
        <v>1841013786</v>
      </c>
    </row>
    <row r="596" spans="1:3" x14ac:dyDescent="0.25">
      <c r="A596" t="s">
        <v>5890</v>
      </c>
      <c r="C596" s="27">
        <v>5904195200</v>
      </c>
    </row>
    <row r="597" spans="1:3" x14ac:dyDescent="0.25">
      <c r="A597" t="s">
        <v>5891</v>
      </c>
      <c r="C597" s="27">
        <v>7729480598</v>
      </c>
    </row>
    <row r="598" spans="1:3" x14ac:dyDescent="0.25">
      <c r="A598" t="s">
        <v>5892</v>
      </c>
      <c r="C598" s="27">
        <v>7802697244</v>
      </c>
    </row>
    <row r="599" spans="1:3" x14ac:dyDescent="0.25">
      <c r="A599" t="s">
        <v>5893</v>
      </c>
      <c r="C599" s="27">
        <v>6670286980</v>
      </c>
    </row>
    <row r="600" spans="1:3" x14ac:dyDescent="0.25">
      <c r="A600" t="s">
        <v>5894</v>
      </c>
      <c r="C600" s="27">
        <v>231700119537</v>
      </c>
    </row>
    <row r="601" spans="1:3" x14ac:dyDescent="0.25">
      <c r="A601" t="s">
        <v>5895</v>
      </c>
      <c r="C601" s="27">
        <v>2538047433</v>
      </c>
    </row>
    <row r="602" spans="1:3" x14ac:dyDescent="0.25">
      <c r="A602" t="s">
        <v>5896</v>
      </c>
      <c r="C602" s="27">
        <v>7807231471</v>
      </c>
    </row>
    <row r="603" spans="1:3" x14ac:dyDescent="0.25">
      <c r="A603" t="s">
        <v>5897</v>
      </c>
      <c r="C603" s="27">
        <v>6166112655</v>
      </c>
    </row>
    <row r="604" spans="1:3" x14ac:dyDescent="0.25">
      <c r="A604" t="s">
        <v>5898</v>
      </c>
      <c r="C604" s="27">
        <v>695202856534</v>
      </c>
    </row>
    <row r="605" spans="1:3" x14ac:dyDescent="0.25">
      <c r="A605" t="s">
        <v>5899</v>
      </c>
      <c r="C605" s="27">
        <v>5800010141</v>
      </c>
    </row>
    <row r="606" spans="1:3" x14ac:dyDescent="0.25">
      <c r="A606" t="s">
        <v>5900</v>
      </c>
      <c r="C606" s="27">
        <v>7455020934</v>
      </c>
    </row>
    <row r="607" spans="1:3" x14ac:dyDescent="0.25">
      <c r="A607" t="s">
        <v>5901</v>
      </c>
      <c r="C607" s="27">
        <v>6000009727</v>
      </c>
    </row>
    <row r="608" spans="1:3" x14ac:dyDescent="0.25">
      <c r="A608" t="s">
        <v>5902</v>
      </c>
      <c r="C608" s="27">
        <v>4501127083</v>
      </c>
    </row>
    <row r="609" spans="1:3" x14ac:dyDescent="0.25">
      <c r="A609" t="s">
        <v>5903</v>
      </c>
      <c r="C609" s="27">
        <v>6685164706</v>
      </c>
    </row>
    <row r="610" spans="1:3" x14ac:dyDescent="0.25">
      <c r="A610" t="s">
        <v>5904</v>
      </c>
      <c r="C610" s="27">
        <v>6673189417</v>
      </c>
    </row>
    <row r="611" spans="1:3" x14ac:dyDescent="0.25">
      <c r="A611" t="s">
        <v>5905</v>
      </c>
      <c r="C611" s="27">
        <v>1659108128</v>
      </c>
    </row>
    <row r="612" spans="1:3" x14ac:dyDescent="0.25">
      <c r="A612" t="s">
        <v>5906</v>
      </c>
      <c r="C612" s="27">
        <v>9703138898</v>
      </c>
    </row>
    <row r="613" spans="1:3" x14ac:dyDescent="0.25">
      <c r="A613" t="s">
        <v>5907</v>
      </c>
      <c r="C613" s="27">
        <v>27415104806</v>
      </c>
    </row>
    <row r="614" spans="1:3" x14ac:dyDescent="0.25">
      <c r="A614" t="s">
        <v>5908</v>
      </c>
      <c r="C614" s="27">
        <v>7720304767</v>
      </c>
    </row>
    <row r="615" spans="1:3" x14ac:dyDescent="0.25">
      <c r="A615" t="s">
        <v>5909</v>
      </c>
      <c r="C615" s="27">
        <v>2373007468</v>
      </c>
    </row>
    <row r="616" spans="1:3" x14ac:dyDescent="0.25">
      <c r="A616" t="s">
        <v>5910</v>
      </c>
      <c r="C616" s="27">
        <v>7721452648</v>
      </c>
    </row>
    <row r="617" spans="1:3" x14ac:dyDescent="0.25">
      <c r="A617" t="s">
        <v>5911</v>
      </c>
      <c r="C617" s="27">
        <v>3702228192</v>
      </c>
    </row>
    <row r="618" spans="1:3" x14ac:dyDescent="0.25">
      <c r="A618" t="s">
        <v>5912</v>
      </c>
      <c r="C618" s="27">
        <v>6452145130</v>
      </c>
    </row>
    <row r="619" spans="1:3" x14ac:dyDescent="0.25">
      <c r="A619" t="s">
        <v>5913</v>
      </c>
      <c r="C619" s="27">
        <v>3661052490</v>
      </c>
    </row>
    <row r="620" spans="1:3" x14ac:dyDescent="0.25">
      <c r="A620" t="s">
        <v>5914</v>
      </c>
      <c r="C620" s="27">
        <v>9203002578</v>
      </c>
    </row>
    <row r="621" spans="1:3" x14ac:dyDescent="0.25">
      <c r="A621" t="s">
        <v>5915</v>
      </c>
      <c r="C621" s="27">
        <v>2310230255</v>
      </c>
    </row>
    <row r="622" spans="1:3" x14ac:dyDescent="0.25">
      <c r="A622" t="s">
        <v>5916</v>
      </c>
      <c r="C622" s="27">
        <v>3525142956</v>
      </c>
    </row>
    <row r="623" spans="1:3" x14ac:dyDescent="0.25">
      <c r="A623" t="s">
        <v>5917</v>
      </c>
      <c r="C623" s="27">
        <v>6905007564</v>
      </c>
    </row>
    <row r="624" spans="1:3" x14ac:dyDescent="0.25">
      <c r="A624" t="s">
        <v>5918</v>
      </c>
      <c r="C624" s="27">
        <v>5027195204</v>
      </c>
    </row>
    <row r="625" spans="1:3" x14ac:dyDescent="0.25">
      <c r="A625" t="s">
        <v>5919</v>
      </c>
      <c r="C625" s="27">
        <v>5259121749</v>
      </c>
    </row>
    <row r="626" spans="1:3" x14ac:dyDescent="0.25">
      <c r="A626" t="s">
        <v>5920</v>
      </c>
      <c r="C626" s="27">
        <v>5250048325</v>
      </c>
    </row>
    <row r="627" spans="1:3" x14ac:dyDescent="0.25">
      <c r="A627" t="s">
        <v>5921</v>
      </c>
      <c r="C627" s="27">
        <v>5404151808</v>
      </c>
    </row>
    <row r="628" spans="1:3" x14ac:dyDescent="0.25">
      <c r="A628" t="s">
        <v>5922</v>
      </c>
      <c r="C628" s="27">
        <v>2461029929</v>
      </c>
    </row>
    <row r="629" spans="1:3" x14ac:dyDescent="0.25">
      <c r="A629" t="s">
        <v>5923</v>
      </c>
      <c r="C629" s="27">
        <v>6722022100</v>
      </c>
    </row>
    <row r="630" spans="1:3" x14ac:dyDescent="0.25">
      <c r="A630" t="s">
        <v>5924</v>
      </c>
      <c r="C630" s="27">
        <v>2315191306</v>
      </c>
    </row>
    <row r="631" spans="1:3" x14ac:dyDescent="0.25">
      <c r="A631" t="s">
        <v>5925</v>
      </c>
      <c r="C631" s="27">
        <v>7814793055</v>
      </c>
    </row>
    <row r="632" spans="1:3" x14ac:dyDescent="0.25">
      <c r="A632" t="s">
        <v>5926</v>
      </c>
      <c r="C632" s="27">
        <v>9102037849</v>
      </c>
    </row>
    <row r="633" spans="1:3" x14ac:dyDescent="0.25">
      <c r="A633" t="s">
        <v>5927</v>
      </c>
      <c r="C633" s="27">
        <v>6324008265</v>
      </c>
    </row>
    <row r="634" spans="1:3" x14ac:dyDescent="0.25">
      <c r="A634" t="s">
        <v>5928</v>
      </c>
      <c r="C634" s="27">
        <v>6162056128</v>
      </c>
    </row>
    <row r="635" spans="1:3" x14ac:dyDescent="0.25">
      <c r="A635" t="s">
        <v>5929</v>
      </c>
      <c r="C635" s="27">
        <v>262603464842</v>
      </c>
    </row>
    <row r="636" spans="1:3" x14ac:dyDescent="0.25">
      <c r="A636" t="s">
        <v>5930</v>
      </c>
      <c r="C636" s="27">
        <v>4707024042</v>
      </c>
    </row>
    <row r="637" spans="1:3" x14ac:dyDescent="0.25">
      <c r="A637" t="s">
        <v>5931</v>
      </c>
      <c r="C637" s="27">
        <v>890401717796</v>
      </c>
    </row>
    <row r="638" spans="1:3" x14ac:dyDescent="0.25">
      <c r="A638" t="s">
        <v>5932</v>
      </c>
      <c r="C638" s="27">
        <v>246506597538</v>
      </c>
    </row>
    <row r="639" spans="1:3" x14ac:dyDescent="0.25">
      <c r="A639" t="s">
        <v>5933</v>
      </c>
      <c r="C639" s="27">
        <v>5024180739</v>
      </c>
    </row>
    <row r="640" spans="1:3" x14ac:dyDescent="0.25">
      <c r="A640" t="s">
        <v>5934</v>
      </c>
      <c r="C640" s="27">
        <v>7841441905</v>
      </c>
    </row>
    <row r="641" spans="1:3" x14ac:dyDescent="0.25">
      <c r="A641" t="s">
        <v>5935</v>
      </c>
      <c r="C641" s="27">
        <v>6162056110</v>
      </c>
    </row>
    <row r="642" spans="1:3" x14ac:dyDescent="0.25">
      <c r="A642" t="s">
        <v>5936</v>
      </c>
      <c r="C642" s="27">
        <v>4702013921</v>
      </c>
    </row>
    <row r="643" spans="1:3" x14ac:dyDescent="0.25">
      <c r="A643" t="s">
        <v>5937</v>
      </c>
      <c r="C643" s="27">
        <v>5023010773</v>
      </c>
    </row>
    <row r="644" spans="1:3" x14ac:dyDescent="0.25">
      <c r="A644" t="s">
        <v>5938</v>
      </c>
      <c r="C644" s="27">
        <v>9102293835</v>
      </c>
    </row>
    <row r="645" spans="1:3" x14ac:dyDescent="0.25">
      <c r="A645" t="s">
        <v>5939</v>
      </c>
      <c r="C645" s="27">
        <v>9203545831</v>
      </c>
    </row>
    <row r="646" spans="1:3" x14ac:dyDescent="0.25">
      <c r="A646" t="s">
        <v>5940</v>
      </c>
      <c r="C646" s="27">
        <v>6168041590</v>
      </c>
    </row>
    <row r="647" spans="1:3" x14ac:dyDescent="0.25">
      <c r="A647" t="s">
        <v>5941</v>
      </c>
      <c r="C647" s="27">
        <v>4205405125</v>
      </c>
    </row>
    <row r="648" spans="1:3" x14ac:dyDescent="0.25">
      <c r="A648" t="s">
        <v>5942</v>
      </c>
      <c r="C648" s="27">
        <v>3811464778</v>
      </c>
    </row>
    <row r="649" spans="1:3" x14ac:dyDescent="0.25">
      <c r="A649" t="s">
        <v>5943</v>
      </c>
      <c r="C649" s="27">
        <v>5438110616</v>
      </c>
    </row>
    <row r="650" spans="1:3" x14ac:dyDescent="0.25">
      <c r="A650" t="s">
        <v>5944</v>
      </c>
      <c r="C650" s="27">
        <v>5501088686</v>
      </c>
    </row>
    <row r="651" spans="1:3" x14ac:dyDescent="0.25">
      <c r="A651" t="s">
        <v>5945</v>
      </c>
      <c r="C651" s="27">
        <v>5505200385</v>
      </c>
    </row>
    <row r="652" spans="1:3" x14ac:dyDescent="0.25">
      <c r="A652" t="s">
        <v>5946</v>
      </c>
      <c r="C652" s="27">
        <v>5032305519</v>
      </c>
    </row>
    <row r="653" spans="1:3" x14ac:dyDescent="0.25">
      <c r="A653" t="s">
        <v>5947</v>
      </c>
      <c r="C653" s="27">
        <v>2607019687</v>
      </c>
    </row>
    <row r="654" spans="1:3" x14ac:dyDescent="0.25">
      <c r="A654" t="s">
        <v>5948</v>
      </c>
      <c r="C654" s="27">
        <v>6454141420</v>
      </c>
    </row>
    <row r="655" spans="1:3" x14ac:dyDescent="0.25">
      <c r="A655" t="s">
        <v>5949</v>
      </c>
      <c r="C655" s="27">
        <v>7734254940</v>
      </c>
    </row>
    <row r="656" spans="1:3" x14ac:dyDescent="0.25">
      <c r="A656" t="s">
        <v>5950</v>
      </c>
      <c r="C656" s="27">
        <v>5258126286</v>
      </c>
    </row>
    <row r="657" spans="1:3" x14ac:dyDescent="0.25">
      <c r="A657" t="s">
        <v>5951</v>
      </c>
      <c r="C657" s="27">
        <v>544509941504</v>
      </c>
    </row>
    <row r="658" spans="1:3" x14ac:dyDescent="0.25">
      <c r="A658" t="s">
        <v>5952</v>
      </c>
      <c r="C658" s="27">
        <v>920100174061</v>
      </c>
    </row>
    <row r="659" spans="1:3" x14ac:dyDescent="0.25">
      <c r="A659" t="s">
        <v>5953</v>
      </c>
      <c r="C659" s="27">
        <v>9728078016</v>
      </c>
    </row>
    <row r="660" spans="1:3" x14ac:dyDescent="0.25">
      <c r="A660" t="s">
        <v>5954</v>
      </c>
      <c r="C660" s="27">
        <v>5506080120</v>
      </c>
    </row>
    <row r="661" spans="1:3" x14ac:dyDescent="0.25">
      <c r="A661" t="s">
        <v>5955</v>
      </c>
      <c r="C661" s="27">
        <v>277900450</v>
      </c>
    </row>
    <row r="662" spans="1:3" x14ac:dyDescent="0.25">
      <c r="A662" t="s">
        <v>5956</v>
      </c>
      <c r="C662" s="27">
        <v>8603041347</v>
      </c>
    </row>
    <row r="663" spans="1:3" x14ac:dyDescent="0.25">
      <c r="A663" t="s">
        <v>5957</v>
      </c>
      <c r="C663" s="27">
        <v>2311278771</v>
      </c>
    </row>
    <row r="664" spans="1:3" x14ac:dyDescent="0.25">
      <c r="A664" t="s">
        <v>5958</v>
      </c>
      <c r="C664" s="27">
        <v>7841065802</v>
      </c>
    </row>
    <row r="665" spans="1:3" x14ac:dyDescent="0.25">
      <c r="A665" t="s">
        <v>5959</v>
      </c>
      <c r="C665" s="27">
        <v>1657111870</v>
      </c>
    </row>
    <row r="666" spans="1:3" x14ac:dyDescent="0.25">
      <c r="A666" t="s">
        <v>5960</v>
      </c>
      <c r="C666" s="27">
        <v>5257110237</v>
      </c>
    </row>
    <row r="667" spans="1:3" x14ac:dyDescent="0.25">
      <c r="A667" t="s">
        <v>5961</v>
      </c>
      <c r="C667" s="27">
        <v>7722859468</v>
      </c>
    </row>
    <row r="668" spans="1:3" x14ac:dyDescent="0.25">
      <c r="A668" t="s">
        <v>5962</v>
      </c>
      <c r="C668" s="27">
        <v>3906245340</v>
      </c>
    </row>
    <row r="669" spans="1:3" x14ac:dyDescent="0.25">
      <c r="A669" t="s">
        <v>5963</v>
      </c>
      <c r="C669" s="27">
        <v>7751011009</v>
      </c>
    </row>
    <row r="670" spans="1:3" x14ac:dyDescent="0.25">
      <c r="A670" t="s">
        <v>5964</v>
      </c>
      <c r="C670" s="27">
        <v>3122504674</v>
      </c>
    </row>
    <row r="671" spans="1:3" x14ac:dyDescent="0.25">
      <c r="A671" t="s">
        <v>5965</v>
      </c>
      <c r="C671" s="27">
        <v>7719520795</v>
      </c>
    </row>
    <row r="672" spans="1:3" x14ac:dyDescent="0.25">
      <c r="A672" t="s">
        <v>5966</v>
      </c>
      <c r="C672" s="27">
        <v>2724157659</v>
      </c>
    </row>
    <row r="673" spans="1:3" x14ac:dyDescent="0.25">
      <c r="A673" t="s">
        <v>5967</v>
      </c>
      <c r="C673" s="27">
        <v>3414014959</v>
      </c>
    </row>
    <row r="674" spans="1:3" x14ac:dyDescent="0.25">
      <c r="A674" t="s">
        <v>5968</v>
      </c>
      <c r="C674" s="27">
        <v>5018076923</v>
      </c>
    </row>
    <row r="675" spans="1:3" x14ac:dyDescent="0.25">
      <c r="A675" t="s">
        <v>5969</v>
      </c>
      <c r="C675" s="27">
        <v>2465207700</v>
      </c>
    </row>
    <row r="676" spans="1:3" x14ac:dyDescent="0.25">
      <c r="A676" t="s">
        <v>5970</v>
      </c>
      <c r="C676" s="27">
        <v>7735141836</v>
      </c>
    </row>
    <row r="677" spans="1:3" x14ac:dyDescent="0.25">
      <c r="A677" t="s">
        <v>5971</v>
      </c>
      <c r="C677" s="27">
        <v>5007108813</v>
      </c>
    </row>
    <row r="678" spans="1:3" x14ac:dyDescent="0.25">
      <c r="A678" t="s">
        <v>5972</v>
      </c>
      <c r="C678" s="27">
        <v>2369008130</v>
      </c>
    </row>
    <row r="679" spans="1:3" x14ac:dyDescent="0.25">
      <c r="A679" t="s">
        <v>5973</v>
      </c>
      <c r="C679" s="27">
        <v>9102158674</v>
      </c>
    </row>
    <row r="680" spans="1:3" x14ac:dyDescent="0.25">
      <c r="A680" t="s">
        <v>5974</v>
      </c>
      <c r="C680" s="27">
        <v>2367002662</v>
      </c>
    </row>
    <row r="681" spans="1:3" x14ac:dyDescent="0.25">
      <c r="A681" t="s">
        <v>5975</v>
      </c>
      <c r="C681" s="27">
        <v>3025039245</v>
      </c>
    </row>
    <row r="682" spans="1:3" x14ac:dyDescent="0.25">
      <c r="A682" t="s">
        <v>5976</v>
      </c>
      <c r="C682" s="27">
        <v>2365034490</v>
      </c>
    </row>
    <row r="683" spans="1:3" x14ac:dyDescent="0.25">
      <c r="A683" t="s">
        <v>5977</v>
      </c>
      <c r="C683" s="27">
        <v>262674676716</v>
      </c>
    </row>
    <row r="684" spans="1:3" x14ac:dyDescent="0.25">
      <c r="A684" t="s">
        <v>5978</v>
      </c>
      <c r="C684" s="27">
        <v>7714696851</v>
      </c>
    </row>
    <row r="685" spans="1:3" x14ac:dyDescent="0.25">
      <c r="A685" t="s">
        <v>5979</v>
      </c>
      <c r="C685" s="27">
        <v>2458015556</v>
      </c>
    </row>
    <row r="686" spans="1:3" x14ac:dyDescent="0.25">
      <c r="A686" t="s">
        <v>5980</v>
      </c>
      <c r="C686" s="27">
        <v>7733277359</v>
      </c>
    </row>
    <row r="687" spans="1:3" x14ac:dyDescent="0.25">
      <c r="A687" t="s">
        <v>5981</v>
      </c>
      <c r="C687" s="27">
        <v>470300187806</v>
      </c>
    </row>
    <row r="688" spans="1:3" x14ac:dyDescent="0.25">
      <c r="A688" t="s">
        <v>5982</v>
      </c>
      <c r="C688" s="27">
        <v>233001488246</v>
      </c>
    </row>
    <row r="689" spans="1:3" x14ac:dyDescent="0.25">
      <c r="A689" t="s">
        <v>5983</v>
      </c>
      <c r="C689" s="27">
        <v>9102240343</v>
      </c>
    </row>
    <row r="690" spans="1:3" x14ac:dyDescent="0.25">
      <c r="A690" t="s">
        <v>5984</v>
      </c>
      <c r="C690" s="27">
        <v>773401016776</v>
      </c>
    </row>
    <row r="691" spans="1:3" x14ac:dyDescent="0.25">
      <c r="A691" t="s">
        <v>5985</v>
      </c>
      <c r="C691" s="27">
        <v>4824022754</v>
      </c>
    </row>
    <row r="692" spans="1:3" x14ac:dyDescent="0.25">
      <c r="A692" t="s">
        <v>5986</v>
      </c>
      <c r="C692" s="27">
        <v>5228008944</v>
      </c>
    </row>
    <row r="693" spans="1:3" x14ac:dyDescent="0.25">
      <c r="A693" t="s">
        <v>5987</v>
      </c>
      <c r="C693" s="27">
        <v>7704729709</v>
      </c>
    </row>
    <row r="694" spans="1:3" x14ac:dyDescent="0.25">
      <c r="A694" t="s">
        <v>5988</v>
      </c>
      <c r="C694" s="27">
        <v>1900005902</v>
      </c>
    </row>
    <row r="695" spans="1:3" x14ac:dyDescent="0.25">
      <c r="A695" t="s">
        <v>5989</v>
      </c>
      <c r="C695" s="27">
        <v>1903023120</v>
      </c>
    </row>
    <row r="696" spans="1:3" x14ac:dyDescent="0.25">
      <c r="A696" t="s">
        <v>5990</v>
      </c>
      <c r="C696" s="27">
        <v>5905265563</v>
      </c>
    </row>
    <row r="697" spans="1:3" x14ac:dyDescent="0.25">
      <c r="A697" t="s">
        <v>5991</v>
      </c>
      <c r="C697" s="27">
        <v>6319152665</v>
      </c>
    </row>
    <row r="698" spans="1:3" x14ac:dyDescent="0.25">
      <c r="A698" t="s">
        <v>5992</v>
      </c>
      <c r="C698" s="27">
        <v>5410052611</v>
      </c>
    </row>
    <row r="699" spans="1:3" x14ac:dyDescent="0.25">
      <c r="A699" t="s">
        <v>5993</v>
      </c>
      <c r="C699" s="27">
        <v>5024198006</v>
      </c>
    </row>
    <row r="700" spans="1:3" x14ac:dyDescent="0.25">
      <c r="A700" t="s">
        <v>5994</v>
      </c>
      <c r="C700" s="27">
        <v>5906088959</v>
      </c>
    </row>
    <row r="701" spans="1:3" x14ac:dyDescent="0.25">
      <c r="A701" t="s">
        <v>5995</v>
      </c>
      <c r="C701" s="27">
        <v>522200441362</v>
      </c>
    </row>
    <row r="702" spans="1:3" x14ac:dyDescent="0.25">
      <c r="A702" t="s">
        <v>5996</v>
      </c>
      <c r="C702" s="27">
        <v>2311141449</v>
      </c>
    </row>
    <row r="703" spans="1:3" x14ac:dyDescent="0.25">
      <c r="A703" t="s">
        <v>5997</v>
      </c>
      <c r="C703" s="27">
        <v>366600085420</v>
      </c>
    </row>
    <row r="704" spans="1:3" x14ac:dyDescent="0.25">
      <c r="A704" t="s">
        <v>5998</v>
      </c>
      <c r="C704" s="27">
        <v>312301459188</v>
      </c>
    </row>
    <row r="705" spans="1:3" x14ac:dyDescent="0.25">
      <c r="A705" t="s">
        <v>5999</v>
      </c>
      <c r="C705" s="27">
        <v>7718908440</v>
      </c>
    </row>
    <row r="706" spans="1:3" x14ac:dyDescent="0.25">
      <c r="A706" t="s">
        <v>6000</v>
      </c>
      <c r="C706" s="27">
        <v>4632230101</v>
      </c>
    </row>
    <row r="707" spans="1:3" x14ac:dyDescent="0.25">
      <c r="A707" t="s">
        <v>6001</v>
      </c>
      <c r="C707" s="27">
        <v>712600194808</v>
      </c>
    </row>
    <row r="708" spans="1:3" x14ac:dyDescent="0.25">
      <c r="A708" t="s">
        <v>6002</v>
      </c>
      <c r="C708" s="27">
        <v>5005007369</v>
      </c>
    </row>
    <row r="709" spans="1:3" x14ac:dyDescent="0.25">
      <c r="A709" t="s">
        <v>6003</v>
      </c>
      <c r="C709" s="27">
        <v>5047243022</v>
      </c>
    </row>
    <row r="710" spans="1:3" x14ac:dyDescent="0.25">
      <c r="A710" t="s">
        <v>6004</v>
      </c>
      <c r="C710" s="27">
        <v>7804448772</v>
      </c>
    </row>
    <row r="711" spans="1:3" x14ac:dyDescent="0.25">
      <c r="A711" t="s">
        <v>6005</v>
      </c>
      <c r="C711" s="27">
        <v>3525348273</v>
      </c>
    </row>
    <row r="712" spans="1:3" x14ac:dyDescent="0.25">
      <c r="A712" t="s">
        <v>6006</v>
      </c>
      <c r="C712" s="27">
        <v>7816512800</v>
      </c>
    </row>
    <row r="713" spans="1:3" x14ac:dyDescent="0.25">
      <c r="A713" t="s">
        <v>6007</v>
      </c>
      <c r="C713" s="27">
        <v>7203440352</v>
      </c>
    </row>
    <row r="714" spans="1:3" x14ac:dyDescent="0.25">
      <c r="A714" t="s">
        <v>6008</v>
      </c>
      <c r="C714" s="27">
        <v>7203540678</v>
      </c>
    </row>
    <row r="715" spans="1:3" x14ac:dyDescent="0.25">
      <c r="A715" t="s">
        <v>6009</v>
      </c>
      <c r="C715" s="27">
        <v>7722582752</v>
      </c>
    </row>
    <row r="716" spans="1:3" x14ac:dyDescent="0.25">
      <c r="A716" t="s">
        <v>6010</v>
      </c>
      <c r="C716" s="27">
        <v>3525115166</v>
      </c>
    </row>
    <row r="717" spans="1:3" x14ac:dyDescent="0.25">
      <c r="A717" t="s">
        <v>6011</v>
      </c>
      <c r="C717" s="27">
        <v>6452067315</v>
      </c>
    </row>
    <row r="718" spans="1:3" x14ac:dyDescent="0.25">
      <c r="A718" t="s">
        <v>6012</v>
      </c>
      <c r="C718" s="27">
        <v>3252007200</v>
      </c>
    </row>
    <row r="719" spans="1:3" x14ac:dyDescent="0.25">
      <c r="A719" t="s">
        <v>6013</v>
      </c>
      <c r="C719" s="27">
        <v>1840003432</v>
      </c>
    </row>
    <row r="720" spans="1:3" x14ac:dyDescent="0.25">
      <c r="A720" t="s">
        <v>6014</v>
      </c>
      <c r="C720" s="27">
        <v>4246023446</v>
      </c>
    </row>
    <row r="721" spans="1:3" x14ac:dyDescent="0.25">
      <c r="A721" t="s">
        <v>6015</v>
      </c>
      <c r="C721" s="27">
        <v>800002078</v>
      </c>
    </row>
    <row r="722" spans="1:3" x14ac:dyDescent="0.25">
      <c r="A722" t="s">
        <v>6016</v>
      </c>
      <c r="C722" s="27">
        <v>5073005507</v>
      </c>
    </row>
    <row r="723" spans="1:3" x14ac:dyDescent="0.25">
      <c r="A723" t="s">
        <v>6017</v>
      </c>
      <c r="C723" s="27">
        <v>2305021136</v>
      </c>
    </row>
    <row r="724" spans="1:3" x14ac:dyDescent="0.25">
      <c r="A724" t="s">
        <v>6018</v>
      </c>
      <c r="C724" s="27">
        <v>910309344625</v>
      </c>
    </row>
    <row r="725" spans="1:3" x14ac:dyDescent="0.25">
      <c r="A725" t="s">
        <v>6019</v>
      </c>
      <c r="C725" s="27">
        <v>7728380488</v>
      </c>
    </row>
    <row r="726" spans="1:3" x14ac:dyDescent="0.25">
      <c r="A726" t="s">
        <v>6020</v>
      </c>
      <c r="C726" s="27">
        <v>5045061073</v>
      </c>
    </row>
    <row r="727" spans="1:3" x14ac:dyDescent="0.25">
      <c r="A727" t="s">
        <v>6021</v>
      </c>
      <c r="C727" s="27">
        <v>5027200567</v>
      </c>
    </row>
    <row r="728" spans="1:3" x14ac:dyDescent="0.25">
      <c r="A728" t="s">
        <v>6022</v>
      </c>
      <c r="C728" s="27">
        <v>1501017335</v>
      </c>
    </row>
    <row r="729" spans="1:3" x14ac:dyDescent="0.25">
      <c r="A729" t="s">
        <v>6023</v>
      </c>
      <c r="C729" s="27">
        <v>1660217971</v>
      </c>
    </row>
    <row r="730" spans="1:3" x14ac:dyDescent="0.25">
      <c r="A730" t="s">
        <v>6024</v>
      </c>
      <c r="C730" s="27">
        <v>7122000226</v>
      </c>
    </row>
    <row r="731" spans="1:3" x14ac:dyDescent="0.25">
      <c r="A731" t="s">
        <v>6025</v>
      </c>
      <c r="C731" s="27">
        <v>2373005069</v>
      </c>
    </row>
    <row r="732" spans="1:3" x14ac:dyDescent="0.25">
      <c r="A732" t="s">
        <v>6026</v>
      </c>
      <c r="C732" s="27">
        <v>5030088555</v>
      </c>
    </row>
    <row r="733" spans="1:3" x14ac:dyDescent="0.25">
      <c r="A733" t="s">
        <v>6027</v>
      </c>
      <c r="C733" s="27">
        <v>7712034877</v>
      </c>
    </row>
    <row r="734" spans="1:3" x14ac:dyDescent="0.25">
      <c r="A734" t="s">
        <v>6028</v>
      </c>
      <c r="C734" s="27">
        <v>3811055662</v>
      </c>
    </row>
    <row r="735" spans="1:3" x14ac:dyDescent="0.25">
      <c r="A735" t="s">
        <v>6029</v>
      </c>
      <c r="C735" s="27">
        <v>2126003123</v>
      </c>
    </row>
    <row r="736" spans="1:3" x14ac:dyDescent="0.25">
      <c r="A736" t="s">
        <v>6030</v>
      </c>
      <c r="C736" s="27">
        <v>463224663217</v>
      </c>
    </row>
    <row r="737" spans="1:3" x14ac:dyDescent="0.25">
      <c r="A737" t="s">
        <v>6031</v>
      </c>
      <c r="C737" s="27">
        <v>6450038686</v>
      </c>
    </row>
    <row r="738" spans="1:3" x14ac:dyDescent="0.25">
      <c r="A738" t="s">
        <v>6032</v>
      </c>
      <c r="C738" s="27">
        <v>636700220030</v>
      </c>
    </row>
    <row r="739" spans="1:3" x14ac:dyDescent="0.25">
      <c r="A739" t="s">
        <v>6033</v>
      </c>
      <c r="C739" s="27">
        <v>4909131093</v>
      </c>
    </row>
    <row r="740" spans="1:3" x14ac:dyDescent="0.25">
      <c r="A740" t="s">
        <v>6034</v>
      </c>
      <c r="C740" s="27">
        <v>400101204548</v>
      </c>
    </row>
    <row r="741" spans="1:3" x14ac:dyDescent="0.25">
      <c r="A741" t="s">
        <v>6035</v>
      </c>
      <c r="C741" s="27">
        <v>5261074790</v>
      </c>
    </row>
    <row r="742" spans="1:3" x14ac:dyDescent="0.25">
      <c r="A742" t="s">
        <v>6036</v>
      </c>
      <c r="C742" s="27">
        <v>2721065128</v>
      </c>
    </row>
    <row r="743" spans="1:3" x14ac:dyDescent="0.25">
      <c r="A743" t="s">
        <v>6037</v>
      </c>
      <c r="C743" s="27">
        <v>9103070398</v>
      </c>
    </row>
    <row r="744" spans="1:3" x14ac:dyDescent="0.25">
      <c r="A744" t="s">
        <v>6038</v>
      </c>
      <c r="C744" s="27">
        <v>2722084010</v>
      </c>
    </row>
    <row r="745" spans="1:3" x14ac:dyDescent="0.25">
      <c r="A745" t="s">
        <v>6039</v>
      </c>
      <c r="C745" s="27">
        <v>2722095407</v>
      </c>
    </row>
    <row r="746" spans="1:3" x14ac:dyDescent="0.25">
      <c r="A746" t="s">
        <v>6040</v>
      </c>
      <c r="C746" s="27">
        <v>6315619557</v>
      </c>
    </row>
    <row r="747" spans="1:3" x14ac:dyDescent="0.25">
      <c r="A747" t="s">
        <v>6041</v>
      </c>
      <c r="C747" s="27">
        <v>3233504253</v>
      </c>
    </row>
    <row r="748" spans="1:3" x14ac:dyDescent="0.25">
      <c r="A748" t="s">
        <v>6042</v>
      </c>
      <c r="C748" s="27">
        <v>7202157342</v>
      </c>
    </row>
    <row r="749" spans="1:3" x14ac:dyDescent="0.25">
      <c r="A749" t="s">
        <v>6043</v>
      </c>
      <c r="C749" s="27">
        <v>6165239271</v>
      </c>
    </row>
    <row r="750" spans="1:3" x14ac:dyDescent="0.25">
      <c r="A750" t="s">
        <v>6044</v>
      </c>
      <c r="C750" s="27">
        <v>330404856771</v>
      </c>
    </row>
    <row r="751" spans="1:3" x14ac:dyDescent="0.25">
      <c r="A751" t="s">
        <v>6045</v>
      </c>
      <c r="C751" s="27">
        <v>6827022548</v>
      </c>
    </row>
    <row r="752" spans="1:3" x14ac:dyDescent="0.25">
      <c r="A752" t="s">
        <v>6046</v>
      </c>
      <c r="C752" s="27">
        <v>5504201273</v>
      </c>
    </row>
    <row r="753" spans="1:3" x14ac:dyDescent="0.25">
      <c r="A753" t="s">
        <v>6047</v>
      </c>
      <c r="C753" s="27">
        <v>5401957526</v>
      </c>
    </row>
    <row r="754" spans="1:3" x14ac:dyDescent="0.25">
      <c r="A754" t="s">
        <v>6048</v>
      </c>
      <c r="C754" s="27">
        <v>5505212045</v>
      </c>
    </row>
    <row r="755" spans="1:3" x14ac:dyDescent="0.25">
      <c r="A755" t="s">
        <v>6049</v>
      </c>
      <c r="C755" s="27">
        <v>6321289201</v>
      </c>
    </row>
    <row r="756" spans="1:3" x14ac:dyDescent="0.25">
      <c r="A756" t="s">
        <v>6050</v>
      </c>
      <c r="C756" s="27">
        <v>2308124789</v>
      </c>
    </row>
    <row r="757" spans="1:3" x14ac:dyDescent="0.25">
      <c r="A757" t="s">
        <v>6051</v>
      </c>
      <c r="C757" s="27">
        <v>5260136299</v>
      </c>
    </row>
    <row r="758" spans="1:3" x14ac:dyDescent="0.25">
      <c r="A758" t="s">
        <v>6052</v>
      </c>
      <c r="C758" s="27">
        <v>3327315854</v>
      </c>
    </row>
    <row r="759" spans="1:3" x14ac:dyDescent="0.25">
      <c r="A759" t="s">
        <v>6053</v>
      </c>
      <c r="C759" s="27">
        <v>3327826190</v>
      </c>
    </row>
    <row r="760" spans="1:3" x14ac:dyDescent="0.25">
      <c r="A760" t="s">
        <v>6054</v>
      </c>
      <c r="C760" s="27">
        <v>4821016618</v>
      </c>
    </row>
    <row r="761" spans="1:3" x14ac:dyDescent="0.25">
      <c r="A761" t="s">
        <v>6055</v>
      </c>
      <c r="C761" s="27">
        <v>5906086542</v>
      </c>
    </row>
    <row r="762" spans="1:3" x14ac:dyDescent="0.25">
      <c r="A762" t="s">
        <v>6056</v>
      </c>
      <c r="C762" s="27">
        <v>2124026502</v>
      </c>
    </row>
    <row r="763" spans="1:3" x14ac:dyDescent="0.25">
      <c r="A763" t="s">
        <v>6057</v>
      </c>
      <c r="C763" s="27">
        <v>732803066554</v>
      </c>
    </row>
    <row r="764" spans="1:3" x14ac:dyDescent="0.25">
      <c r="A764" t="s">
        <v>6058</v>
      </c>
      <c r="C764" s="27">
        <v>5019021902</v>
      </c>
    </row>
    <row r="765" spans="1:3" x14ac:dyDescent="0.25">
      <c r="A765" t="s">
        <v>6059</v>
      </c>
      <c r="C765" s="27">
        <v>261600979009</v>
      </c>
    </row>
    <row r="766" spans="1:3" x14ac:dyDescent="0.25">
      <c r="A766" t="s">
        <v>6060</v>
      </c>
      <c r="C766" s="27">
        <v>614309507981</v>
      </c>
    </row>
    <row r="767" spans="1:3" x14ac:dyDescent="0.25">
      <c r="A767" t="s">
        <v>6061</v>
      </c>
      <c r="C767" s="27">
        <v>323411103</v>
      </c>
    </row>
    <row r="768" spans="1:3" x14ac:dyDescent="0.25">
      <c r="A768" t="s">
        <v>6062</v>
      </c>
      <c r="C768" s="27">
        <v>5406844981</v>
      </c>
    </row>
    <row r="769" spans="1:3" x14ac:dyDescent="0.25">
      <c r="A769" t="s">
        <v>6063</v>
      </c>
      <c r="C769" s="27">
        <v>7801703921</v>
      </c>
    </row>
    <row r="770" spans="1:3" x14ac:dyDescent="0.25">
      <c r="A770" t="s">
        <v>6064</v>
      </c>
      <c r="C770" s="27">
        <v>5403142230</v>
      </c>
    </row>
    <row r="771" spans="1:3" x14ac:dyDescent="0.25">
      <c r="A771" t="s">
        <v>6065</v>
      </c>
      <c r="C771" s="27">
        <v>5607046990</v>
      </c>
    </row>
    <row r="772" spans="1:3" x14ac:dyDescent="0.25">
      <c r="A772" t="s">
        <v>6066</v>
      </c>
      <c r="C772" s="27">
        <v>2311315293</v>
      </c>
    </row>
    <row r="773" spans="1:3" x14ac:dyDescent="0.25">
      <c r="A773" t="s">
        <v>6067</v>
      </c>
      <c r="C773" s="27">
        <v>231006313119</v>
      </c>
    </row>
    <row r="774" spans="1:3" x14ac:dyDescent="0.25">
      <c r="A774" t="s">
        <v>6068</v>
      </c>
      <c r="C774" s="27">
        <v>5828003088</v>
      </c>
    </row>
    <row r="775" spans="1:3" x14ac:dyDescent="0.25">
      <c r="A775" t="s">
        <v>6069</v>
      </c>
      <c r="C775" s="27">
        <v>4611009325</v>
      </c>
    </row>
    <row r="776" spans="1:3" x14ac:dyDescent="0.25">
      <c r="A776" t="s">
        <v>6070</v>
      </c>
      <c r="C776" s="27">
        <v>1659176826</v>
      </c>
    </row>
    <row r="777" spans="1:3" x14ac:dyDescent="0.25">
      <c r="A777" t="s">
        <v>6071</v>
      </c>
      <c r="C777" s="27">
        <v>9204016527</v>
      </c>
    </row>
    <row r="778" spans="1:3" x14ac:dyDescent="0.25">
      <c r="A778" t="s">
        <v>6072</v>
      </c>
      <c r="C778" s="27">
        <v>3904046036</v>
      </c>
    </row>
    <row r="779" spans="1:3" x14ac:dyDescent="0.25">
      <c r="A779" t="s">
        <v>6073</v>
      </c>
      <c r="C779" s="27">
        <v>6319710246</v>
      </c>
    </row>
    <row r="780" spans="1:3" x14ac:dyDescent="0.25">
      <c r="A780" t="s">
        <v>6074</v>
      </c>
      <c r="C780" s="27">
        <v>5002092447</v>
      </c>
    </row>
    <row r="781" spans="1:3" x14ac:dyDescent="0.25">
      <c r="A781" t="s">
        <v>6075</v>
      </c>
      <c r="C781" s="27">
        <v>7728442896</v>
      </c>
    </row>
    <row r="782" spans="1:3" x14ac:dyDescent="0.25">
      <c r="A782" t="s">
        <v>6076</v>
      </c>
      <c r="C782" s="27">
        <v>2538017661</v>
      </c>
    </row>
    <row r="783" spans="1:3" x14ac:dyDescent="0.25">
      <c r="A783" t="s">
        <v>6077</v>
      </c>
      <c r="C783" s="27">
        <v>2724167086</v>
      </c>
    </row>
    <row r="784" spans="1:3" x14ac:dyDescent="0.25">
      <c r="A784" t="s">
        <v>6078</v>
      </c>
      <c r="C784" s="27">
        <v>2502053747</v>
      </c>
    </row>
    <row r="785" spans="1:3" x14ac:dyDescent="0.25">
      <c r="A785" t="s">
        <v>6079</v>
      </c>
      <c r="C785" s="27">
        <v>4230013690</v>
      </c>
    </row>
    <row r="786" spans="1:3" x14ac:dyDescent="0.25">
      <c r="A786" t="s">
        <v>6080</v>
      </c>
      <c r="C786" s="27">
        <v>2463057304</v>
      </c>
    </row>
    <row r="787" spans="1:3" x14ac:dyDescent="0.25">
      <c r="A787" t="s">
        <v>6081</v>
      </c>
      <c r="C787" s="27">
        <v>2520010094</v>
      </c>
    </row>
    <row r="788" spans="1:3" x14ac:dyDescent="0.25">
      <c r="A788" t="s">
        <v>6082</v>
      </c>
      <c r="C788" s="27">
        <v>6452123591</v>
      </c>
    </row>
    <row r="789" spans="1:3" x14ac:dyDescent="0.25">
      <c r="A789" t="s">
        <v>6083</v>
      </c>
      <c r="C789" s="27">
        <v>271400670964</v>
      </c>
    </row>
    <row r="790" spans="1:3" x14ac:dyDescent="0.25">
      <c r="A790" t="s">
        <v>6084</v>
      </c>
      <c r="C790" s="27">
        <v>3810327546</v>
      </c>
    </row>
    <row r="791" spans="1:3" x14ac:dyDescent="0.25">
      <c r="A791" t="s">
        <v>6085</v>
      </c>
      <c r="C791" s="27">
        <v>333412028128</v>
      </c>
    </row>
    <row r="792" spans="1:3" x14ac:dyDescent="0.25">
      <c r="A792" t="s">
        <v>6086</v>
      </c>
      <c r="C792" s="27">
        <v>773406836405</v>
      </c>
    </row>
    <row r="793" spans="1:3" x14ac:dyDescent="0.25">
      <c r="A793" t="s">
        <v>6087</v>
      </c>
      <c r="C793" s="27">
        <v>6321303671</v>
      </c>
    </row>
    <row r="794" spans="1:3" x14ac:dyDescent="0.25">
      <c r="A794" t="s">
        <v>6088</v>
      </c>
      <c r="C794" s="27">
        <v>7724854659</v>
      </c>
    </row>
    <row r="795" spans="1:3" x14ac:dyDescent="0.25">
      <c r="A795" t="s">
        <v>6089</v>
      </c>
      <c r="C795" s="27">
        <v>4703177312</v>
      </c>
    </row>
    <row r="796" spans="1:3" x14ac:dyDescent="0.25">
      <c r="A796" t="s">
        <v>6090</v>
      </c>
      <c r="C796" s="27">
        <v>2309111912</v>
      </c>
    </row>
    <row r="797" spans="1:3" x14ac:dyDescent="0.25">
      <c r="A797" t="s">
        <v>6091</v>
      </c>
      <c r="C797" s="27">
        <v>2340020671</v>
      </c>
    </row>
    <row r="798" spans="1:3" x14ac:dyDescent="0.25">
      <c r="A798" t="s">
        <v>6092</v>
      </c>
      <c r="C798" s="27">
        <v>2221034932</v>
      </c>
    </row>
    <row r="799" spans="1:3" x14ac:dyDescent="0.25">
      <c r="A799" t="s">
        <v>6093</v>
      </c>
      <c r="C799" s="27">
        <v>4707025487</v>
      </c>
    </row>
    <row r="800" spans="1:3" x14ac:dyDescent="0.25">
      <c r="A800" t="s">
        <v>6094</v>
      </c>
      <c r="C800" s="27">
        <v>3128097785</v>
      </c>
    </row>
    <row r="801" spans="1:3" x14ac:dyDescent="0.25">
      <c r="A801" t="s">
        <v>6095</v>
      </c>
      <c r="C801" s="27">
        <v>1435170472</v>
      </c>
    </row>
    <row r="802" spans="1:3" x14ac:dyDescent="0.25">
      <c r="A802" t="s">
        <v>6096</v>
      </c>
      <c r="C802" s="27">
        <v>5501217490</v>
      </c>
    </row>
    <row r="803" spans="1:3" x14ac:dyDescent="0.25">
      <c r="A803" t="s">
        <v>6097</v>
      </c>
      <c r="C803" s="27">
        <v>235501621940</v>
      </c>
    </row>
    <row r="804" spans="1:3" x14ac:dyDescent="0.25">
      <c r="A804" t="s">
        <v>6098</v>
      </c>
      <c r="C804" s="27">
        <v>631902731599</v>
      </c>
    </row>
    <row r="805" spans="1:3" x14ac:dyDescent="0.25">
      <c r="A805" t="s">
        <v>6099</v>
      </c>
      <c r="C805" s="27">
        <v>2308196455</v>
      </c>
    </row>
    <row r="806" spans="1:3" x14ac:dyDescent="0.25">
      <c r="A806" t="s">
        <v>6100</v>
      </c>
      <c r="C806" s="27">
        <v>1650137276</v>
      </c>
    </row>
    <row r="807" spans="1:3" x14ac:dyDescent="0.25">
      <c r="A807" t="s">
        <v>6101</v>
      </c>
      <c r="C807" s="27">
        <v>2310200204</v>
      </c>
    </row>
    <row r="808" spans="1:3" x14ac:dyDescent="0.25">
      <c r="A808" t="s">
        <v>6102</v>
      </c>
      <c r="C808" s="27">
        <v>6453163942</v>
      </c>
    </row>
    <row r="809" spans="1:3" x14ac:dyDescent="0.25">
      <c r="A809" t="s">
        <v>6103</v>
      </c>
      <c r="C809" s="27">
        <v>1103036610</v>
      </c>
    </row>
    <row r="810" spans="1:3" x14ac:dyDescent="0.25">
      <c r="A810" t="s">
        <v>6104</v>
      </c>
      <c r="C810" s="27">
        <v>320206302824</v>
      </c>
    </row>
    <row r="811" spans="1:3" x14ac:dyDescent="0.25">
      <c r="A811" t="s">
        <v>6105</v>
      </c>
      <c r="C811" s="27">
        <v>263213243536</v>
      </c>
    </row>
    <row r="812" spans="1:3" x14ac:dyDescent="0.25">
      <c r="A812" t="s">
        <v>6106</v>
      </c>
      <c r="C812" s="27">
        <v>5260406072</v>
      </c>
    </row>
    <row r="813" spans="1:3" x14ac:dyDescent="0.25">
      <c r="A813" t="s">
        <v>6107</v>
      </c>
      <c r="C813" s="27">
        <v>2225198434</v>
      </c>
    </row>
    <row r="814" spans="1:3" x14ac:dyDescent="0.25">
      <c r="A814" t="s">
        <v>6108</v>
      </c>
      <c r="C814" s="27">
        <v>5031094791</v>
      </c>
    </row>
    <row r="815" spans="1:3" x14ac:dyDescent="0.25">
      <c r="A815" t="s">
        <v>6109</v>
      </c>
      <c r="C815" s="27">
        <v>3606002925</v>
      </c>
    </row>
    <row r="816" spans="1:3" x14ac:dyDescent="0.25">
      <c r="A816" t="s">
        <v>6110</v>
      </c>
      <c r="C816" s="27">
        <v>3528155329</v>
      </c>
    </row>
    <row r="817" spans="1:3" x14ac:dyDescent="0.25">
      <c r="A817" t="s">
        <v>6111</v>
      </c>
      <c r="C817" s="27">
        <v>7743105359</v>
      </c>
    </row>
    <row r="818" spans="1:3" x14ac:dyDescent="0.25">
      <c r="A818" t="s">
        <v>6112</v>
      </c>
      <c r="C818" s="27">
        <v>7723865337</v>
      </c>
    </row>
    <row r="819" spans="1:3" x14ac:dyDescent="0.25">
      <c r="A819" t="s">
        <v>6113</v>
      </c>
      <c r="C819" s="27">
        <v>320301637676</v>
      </c>
    </row>
    <row r="820" spans="1:3" x14ac:dyDescent="0.25">
      <c r="A820" t="s">
        <v>6114</v>
      </c>
      <c r="C820" s="27">
        <v>6453164914</v>
      </c>
    </row>
    <row r="821" spans="1:3" x14ac:dyDescent="0.25">
      <c r="A821" t="s">
        <v>6115</v>
      </c>
      <c r="C821" s="27">
        <v>132807141277</v>
      </c>
    </row>
    <row r="822" spans="1:3" x14ac:dyDescent="0.25">
      <c r="A822" t="s">
        <v>6116</v>
      </c>
      <c r="C822" s="27">
        <v>5507289445</v>
      </c>
    </row>
    <row r="823" spans="1:3" x14ac:dyDescent="0.25">
      <c r="A823" t="s">
        <v>6117</v>
      </c>
      <c r="C823" s="27">
        <v>460802483217</v>
      </c>
    </row>
    <row r="824" spans="1:3" x14ac:dyDescent="0.25">
      <c r="A824" t="s">
        <v>6118</v>
      </c>
      <c r="C824" s="27">
        <v>7722536227</v>
      </c>
    </row>
    <row r="825" spans="1:3" x14ac:dyDescent="0.25">
      <c r="A825" t="s">
        <v>6119</v>
      </c>
      <c r="C825" s="27">
        <v>2311237253</v>
      </c>
    </row>
    <row r="826" spans="1:3" x14ac:dyDescent="0.25">
      <c r="A826" t="s">
        <v>6120</v>
      </c>
      <c r="C826" s="27">
        <v>151100105437</v>
      </c>
    </row>
    <row r="827" spans="1:3" x14ac:dyDescent="0.25">
      <c r="A827" t="s">
        <v>6121</v>
      </c>
      <c r="C827" s="27">
        <v>5904280086</v>
      </c>
    </row>
    <row r="828" spans="1:3" x14ac:dyDescent="0.25">
      <c r="A828" t="s">
        <v>6122</v>
      </c>
      <c r="C828" s="27">
        <v>7610085897</v>
      </c>
    </row>
    <row r="829" spans="1:3" x14ac:dyDescent="0.25">
      <c r="A829" t="s">
        <v>6123</v>
      </c>
      <c r="C829" s="27">
        <v>1101111598</v>
      </c>
    </row>
    <row r="830" spans="1:3" x14ac:dyDescent="0.25">
      <c r="A830" t="s">
        <v>6124</v>
      </c>
      <c r="C830" s="27">
        <v>6679109841</v>
      </c>
    </row>
    <row r="831" spans="1:3" x14ac:dyDescent="0.25">
      <c r="A831" t="s">
        <v>6125</v>
      </c>
      <c r="C831" s="27">
        <v>4202029419</v>
      </c>
    </row>
    <row r="832" spans="1:3" x14ac:dyDescent="0.25">
      <c r="A832" t="s">
        <v>6126</v>
      </c>
      <c r="C832" s="27">
        <v>910800091897</v>
      </c>
    </row>
    <row r="833" spans="1:3" x14ac:dyDescent="0.25">
      <c r="A833" t="s">
        <v>6127</v>
      </c>
      <c r="C833" s="27">
        <v>5050111516</v>
      </c>
    </row>
    <row r="834" spans="1:3" x14ac:dyDescent="0.25">
      <c r="A834" t="s">
        <v>6128</v>
      </c>
      <c r="C834" s="27">
        <v>4802008724</v>
      </c>
    </row>
    <row r="835" spans="1:3" x14ac:dyDescent="0.25">
      <c r="A835" t="s">
        <v>6129</v>
      </c>
      <c r="C835" s="27">
        <v>71400034459</v>
      </c>
    </row>
    <row r="836" spans="1:3" x14ac:dyDescent="0.25">
      <c r="A836" t="s">
        <v>6130</v>
      </c>
      <c r="C836" s="27">
        <v>7736351554</v>
      </c>
    </row>
    <row r="837" spans="1:3" x14ac:dyDescent="0.25">
      <c r="A837" t="s">
        <v>6131</v>
      </c>
      <c r="C837" s="27">
        <v>5001095195</v>
      </c>
    </row>
    <row r="838" spans="1:3" x14ac:dyDescent="0.25">
      <c r="A838" t="s">
        <v>6132</v>
      </c>
      <c r="C838" s="27">
        <v>7606127752</v>
      </c>
    </row>
    <row r="839" spans="1:3" x14ac:dyDescent="0.25">
      <c r="A839" t="s">
        <v>6133</v>
      </c>
      <c r="C839" s="27">
        <v>6122020005</v>
      </c>
    </row>
    <row r="840" spans="1:3" x14ac:dyDescent="0.25">
      <c r="A840" t="s">
        <v>6134</v>
      </c>
      <c r="C840" s="27">
        <v>6163232898</v>
      </c>
    </row>
    <row r="841" spans="1:3" x14ac:dyDescent="0.25">
      <c r="A841" t="s">
        <v>6135</v>
      </c>
      <c r="C841" s="27">
        <v>7710951170</v>
      </c>
    </row>
    <row r="842" spans="1:3" x14ac:dyDescent="0.25">
      <c r="A842" t="s">
        <v>6136</v>
      </c>
      <c r="C842" s="27">
        <v>7702398353</v>
      </c>
    </row>
    <row r="843" spans="1:3" x14ac:dyDescent="0.25">
      <c r="A843" t="s">
        <v>6137</v>
      </c>
      <c r="C843" s="27">
        <v>5047138589</v>
      </c>
    </row>
    <row r="844" spans="1:3" x14ac:dyDescent="0.25">
      <c r="A844" t="s">
        <v>6138</v>
      </c>
      <c r="C844" s="27">
        <v>150102268386</v>
      </c>
    </row>
    <row r="845" spans="1:3" x14ac:dyDescent="0.25">
      <c r="A845" t="s">
        <v>6139</v>
      </c>
      <c r="C845" s="27">
        <v>5751053260</v>
      </c>
    </row>
    <row r="846" spans="1:3" x14ac:dyDescent="0.25">
      <c r="A846" t="s">
        <v>6140</v>
      </c>
      <c r="C846" s="27">
        <v>312301857100</v>
      </c>
    </row>
    <row r="847" spans="1:3" x14ac:dyDescent="0.25">
      <c r="A847" t="s">
        <v>6141</v>
      </c>
      <c r="C847" s="27">
        <v>261803158110</v>
      </c>
    </row>
    <row r="848" spans="1:3" x14ac:dyDescent="0.25">
      <c r="A848" t="s">
        <v>6142</v>
      </c>
      <c r="C848" s="27">
        <v>782577502693</v>
      </c>
    </row>
    <row r="849" spans="1:3" x14ac:dyDescent="0.25">
      <c r="A849" t="s">
        <v>6143</v>
      </c>
      <c r="C849" s="27">
        <v>4401090930</v>
      </c>
    </row>
    <row r="850" spans="1:3" x14ac:dyDescent="0.25">
      <c r="A850" t="s">
        <v>6144</v>
      </c>
      <c r="C850" s="27">
        <v>7726301113</v>
      </c>
    </row>
    <row r="851" spans="1:3" x14ac:dyDescent="0.25">
      <c r="A851" t="s">
        <v>6145</v>
      </c>
      <c r="C851" s="27">
        <v>220300048989</v>
      </c>
    </row>
    <row r="852" spans="1:3" x14ac:dyDescent="0.25">
      <c r="A852" t="s">
        <v>6146</v>
      </c>
      <c r="C852" s="27">
        <v>4324008335</v>
      </c>
    </row>
    <row r="853" spans="1:3" x14ac:dyDescent="0.25">
      <c r="A853" t="s">
        <v>6147</v>
      </c>
      <c r="C853" s="27">
        <v>4826022196</v>
      </c>
    </row>
    <row r="854" spans="1:3" x14ac:dyDescent="0.25">
      <c r="A854" t="s">
        <v>6148</v>
      </c>
      <c r="C854" s="27">
        <v>2636049485</v>
      </c>
    </row>
    <row r="855" spans="1:3" x14ac:dyDescent="0.25">
      <c r="A855" t="s">
        <v>6149</v>
      </c>
      <c r="C855" s="27">
        <v>5406712093</v>
      </c>
    </row>
    <row r="856" spans="1:3" x14ac:dyDescent="0.25">
      <c r="A856" t="s">
        <v>6150</v>
      </c>
      <c r="C856" s="27">
        <v>7723729944</v>
      </c>
    </row>
    <row r="857" spans="1:3" x14ac:dyDescent="0.25">
      <c r="A857" t="s">
        <v>6151</v>
      </c>
      <c r="C857" s="27">
        <v>5031085885</v>
      </c>
    </row>
    <row r="858" spans="1:3" x14ac:dyDescent="0.25">
      <c r="A858" t="s">
        <v>6152</v>
      </c>
      <c r="C858" s="27">
        <v>7743919164</v>
      </c>
    </row>
    <row r="859" spans="1:3" x14ac:dyDescent="0.25">
      <c r="A859" t="s">
        <v>6153</v>
      </c>
      <c r="C859" s="27">
        <v>1841070255</v>
      </c>
    </row>
    <row r="860" spans="1:3" x14ac:dyDescent="0.25">
      <c r="A860" t="s">
        <v>6154</v>
      </c>
      <c r="C860" s="27">
        <v>3808198075</v>
      </c>
    </row>
    <row r="861" spans="1:3" x14ac:dyDescent="0.25">
      <c r="A861" t="s">
        <v>6155</v>
      </c>
      <c r="C861" s="27">
        <v>5034012973</v>
      </c>
    </row>
    <row r="862" spans="1:3" x14ac:dyDescent="0.25">
      <c r="A862" t="s">
        <v>6156</v>
      </c>
      <c r="C862" s="27">
        <v>220500259063</v>
      </c>
    </row>
    <row r="863" spans="1:3" x14ac:dyDescent="0.25">
      <c r="A863" t="s">
        <v>6157</v>
      </c>
      <c r="C863" s="27">
        <v>5409113098</v>
      </c>
    </row>
    <row r="864" spans="1:3" x14ac:dyDescent="0.25">
      <c r="A864" t="s">
        <v>6158</v>
      </c>
      <c r="C864" s="27">
        <v>2464238470</v>
      </c>
    </row>
    <row r="865" spans="1:3" x14ac:dyDescent="0.25">
      <c r="A865" t="s">
        <v>6159</v>
      </c>
      <c r="C865" s="27">
        <v>5012072383</v>
      </c>
    </row>
    <row r="866" spans="1:3" x14ac:dyDescent="0.25">
      <c r="A866" t="s">
        <v>6160</v>
      </c>
      <c r="C866" s="27">
        <v>4307017594</v>
      </c>
    </row>
    <row r="867" spans="1:3" x14ac:dyDescent="0.25">
      <c r="A867" t="s">
        <v>6161</v>
      </c>
      <c r="C867" s="27">
        <v>2511117281</v>
      </c>
    </row>
    <row r="868" spans="1:3" x14ac:dyDescent="0.25">
      <c r="A868" t="s">
        <v>6162</v>
      </c>
      <c r="C868" s="27">
        <v>6141021477</v>
      </c>
    </row>
    <row r="869" spans="1:3" x14ac:dyDescent="0.25">
      <c r="A869" t="s">
        <v>6163</v>
      </c>
      <c r="C869" s="27">
        <v>2130121793</v>
      </c>
    </row>
    <row r="870" spans="1:3" x14ac:dyDescent="0.25">
      <c r="A870" t="s">
        <v>6164</v>
      </c>
      <c r="C870" s="27">
        <v>4221012971</v>
      </c>
    </row>
    <row r="871" spans="1:3" x14ac:dyDescent="0.25">
      <c r="A871" t="s">
        <v>6165</v>
      </c>
      <c r="C871" s="27">
        <v>6161098076</v>
      </c>
    </row>
    <row r="872" spans="1:3" x14ac:dyDescent="0.25">
      <c r="A872" t="s">
        <v>6166</v>
      </c>
      <c r="C872" s="27">
        <v>573012140</v>
      </c>
    </row>
    <row r="873" spans="1:3" x14ac:dyDescent="0.25">
      <c r="A873" t="s">
        <v>6167</v>
      </c>
      <c r="C873" s="27">
        <v>6319037334</v>
      </c>
    </row>
    <row r="874" spans="1:3" x14ac:dyDescent="0.25">
      <c r="A874" t="s">
        <v>6168</v>
      </c>
      <c r="C874" s="27">
        <v>130300522169</v>
      </c>
    </row>
    <row r="875" spans="1:3" x14ac:dyDescent="0.25">
      <c r="A875" t="s">
        <v>6169</v>
      </c>
      <c r="C875" s="27">
        <v>420532403580</v>
      </c>
    </row>
    <row r="876" spans="1:3" x14ac:dyDescent="0.25">
      <c r="A876" t="s">
        <v>6170</v>
      </c>
      <c r="C876" s="27">
        <v>6312069707</v>
      </c>
    </row>
    <row r="877" spans="1:3" x14ac:dyDescent="0.25">
      <c r="A877" t="s">
        <v>6171</v>
      </c>
      <c r="C877" s="27">
        <v>2801240230</v>
      </c>
    </row>
    <row r="878" spans="1:3" x14ac:dyDescent="0.25">
      <c r="A878" t="s">
        <v>6172</v>
      </c>
      <c r="C878" s="27">
        <v>2308119605</v>
      </c>
    </row>
    <row r="879" spans="1:3" x14ac:dyDescent="0.25">
      <c r="A879" t="s">
        <v>6173</v>
      </c>
      <c r="C879" s="27">
        <v>7710641442</v>
      </c>
    </row>
    <row r="880" spans="1:3" x14ac:dyDescent="0.25">
      <c r="A880" t="s">
        <v>6174</v>
      </c>
      <c r="C880" s="27">
        <v>7715427682</v>
      </c>
    </row>
    <row r="881" spans="1:3" x14ac:dyDescent="0.25">
      <c r="A881" t="s">
        <v>6175</v>
      </c>
      <c r="C881" s="27">
        <v>6451128364</v>
      </c>
    </row>
    <row r="882" spans="1:3" x14ac:dyDescent="0.25">
      <c r="A882" t="s">
        <v>6176</v>
      </c>
      <c r="C882" s="27">
        <v>2337035036</v>
      </c>
    </row>
    <row r="883" spans="1:3" x14ac:dyDescent="0.25">
      <c r="A883" t="s">
        <v>6177</v>
      </c>
      <c r="C883" s="27">
        <v>610109657848</v>
      </c>
    </row>
    <row r="884" spans="1:3" x14ac:dyDescent="0.25">
      <c r="A884" t="s">
        <v>6178</v>
      </c>
      <c r="C884" s="27">
        <v>5024070454</v>
      </c>
    </row>
    <row r="885" spans="1:3" x14ac:dyDescent="0.25">
      <c r="A885" t="s">
        <v>6179</v>
      </c>
      <c r="C885" s="27">
        <v>5075017434</v>
      </c>
    </row>
    <row r="886" spans="1:3" x14ac:dyDescent="0.25">
      <c r="A886" t="s">
        <v>6180</v>
      </c>
      <c r="C886" s="27">
        <v>6027088290</v>
      </c>
    </row>
    <row r="887" spans="1:3" x14ac:dyDescent="0.25">
      <c r="A887" t="s">
        <v>6181</v>
      </c>
      <c r="C887" s="27">
        <v>6453148479</v>
      </c>
    </row>
    <row r="888" spans="1:3" x14ac:dyDescent="0.25">
      <c r="A888" t="s">
        <v>6182</v>
      </c>
      <c r="C888" s="27">
        <v>2311242609</v>
      </c>
    </row>
    <row r="889" spans="1:3" x14ac:dyDescent="0.25">
      <c r="A889" t="s">
        <v>6183</v>
      </c>
      <c r="C889" s="27">
        <v>5902850365</v>
      </c>
    </row>
    <row r="890" spans="1:3" x14ac:dyDescent="0.25">
      <c r="A890" t="s">
        <v>6184</v>
      </c>
      <c r="C890" s="27">
        <v>5024172985</v>
      </c>
    </row>
    <row r="891" spans="1:3" x14ac:dyDescent="0.25">
      <c r="A891" t="s">
        <v>6185</v>
      </c>
      <c r="C891" s="27">
        <v>273907969</v>
      </c>
    </row>
    <row r="892" spans="1:3" x14ac:dyDescent="0.25">
      <c r="A892" t="s">
        <v>6186</v>
      </c>
      <c r="C892" s="27">
        <v>7106083225</v>
      </c>
    </row>
    <row r="893" spans="1:3" x14ac:dyDescent="0.25">
      <c r="A893" t="s">
        <v>6187</v>
      </c>
      <c r="C893" s="27">
        <v>5906086888</v>
      </c>
    </row>
    <row r="894" spans="1:3" x14ac:dyDescent="0.25">
      <c r="A894" t="s">
        <v>6188</v>
      </c>
      <c r="C894" s="27">
        <v>2460058998</v>
      </c>
    </row>
    <row r="895" spans="1:3" x14ac:dyDescent="0.25">
      <c r="A895" t="s">
        <v>6189</v>
      </c>
      <c r="C895" s="27">
        <v>5257158327</v>
      </c>
    </row>
    <row r="896" spans="1:3" x14ac:dyDescent="0.25">
      <c r="A896" t="s">
        <v>6190</v>
      </c>
      <c r="C896" s="27">
        <v>5504121444</v>
      </c>
    </row>
    <row r="897" spans="1:3" x14ac:dyDescent="0.25">
      <c r="A897" t="s">
        <v>6191</v>
      </c>
      <c r="C897" s="27">
        <v>7724778359</v>
      </c>
    </row>
    <row r="898" spans="1:3" x14ac:dyDescent="0.25">
      <c r="A898" t="s">
        <v>6192</v>
      </c>
      <c r="C898" s="27">
        <v>612200482870</v>
      </c>
    </row>
    <row r="899" spans="1:3" x14ac:dyDescent="0.25">
      <c r="A899" t="s">
        <v>6193</v>
      </c>
      <c r="C899" s="27">
        <v>262603465010</v>
      </c>
    </row>
    <row r="900" spans="1:3" x14ac:dyDescent="0.25">
      <c r="A900" t="s">
        <v>6194</v>
      </c>
      <c r="C900" s="27">
        <v>5908041850</v>
      </c>
    </row>
    <row r="901" spans="1:3" x14ac:dyDescent="0.25">
      <c r="A901" t="s">
        <v>6195</v>
      </c>
      <c r="C901" s="27">
        <v>7723884650</v>
      </c>
    </row>
    <row r="902" spans="1:3" x14ac:dyDescent="0.25">
      <c r="A902" t="s">
        <v>6196</v>
      </c>
      <c r="C902" s="27">
        <v>151302547702</v>
      </c>
    </row>
    <row r="903" spans="1:3" x14ac:dyDescent="0.25">
      <c r="A903" t="s">
        <v>6197</v>
      </c>
      <c r="C903" s="27">
        <v>231101937090</v>
      </c>
    </row>
    <row r="904" spans="1:3" x14ac:dyDescent="0.25">
      <c r="A904" t="s">
        <v>6198</v>
      </c>
      <c r="C904" s="27">
        <v>7713469334</v>
      </c>
    </row>
    <row r="905" spans="1:3" x14ac:dyDescent="0.25">
      <c r="A905" t="s">
        <v>6199</v>
      </c>
      <c r="C905" s="27">
        <v>275912643</v>
      </c>
    </row>
    <row r="906" spans="1:3" x14ac:dyDescent="0.25">
      <c r="A906" t="s">
        <v>6200</v>
      </c>
      <c r="C906" s="27">
        <v>236502184438</v>
      </c>
    </row>
    <row r="907" spans="1:3" x14ac:dyDescent="0.25">
      <c r="A907" t="s">
        <v>6201</v>
      </c>
      <c r="C907" s="27">
        <v>9718073080</v>
      </c>
    </row>
    <row r="908" spans="1:3" x14ac:dyDescent="0.25">
      <c r="A908" t="s">
        <v>6202</v>
      </c>
      <c r="C908" s="27">
        <v>2311242373</v>
      </c>
    </row>
    <row r="909" spans="1:3" x14ac:dyDescent="0.25">
      <c r="A909" t="s">
        <v>6203</v>
      </c>
      <c r="C909" s="27">
        <v>6659219691</v>
      </c>
    </row>
    <row r="910" spans="1:3" x14ac:dyDescent="0.25">
      <c r="A910" t="s">
        <v>6204</v>
      </c>
      <c r="C910" s="27">
        <v>7814164723</v>
      </c>
    </row>
    <row r="911" spans="1:3" x14ac:dyDescent="0.25">
      <c r="A911" t="s">
        <v>6205</v>
      </c>
      <c r="C911" s="27">
        <v>9102163000</v>
      </c>
    </row>
    <row r="912" spans="1:3" x14ac:dyDescent="0.25">
      <c r="A912" t="s">
        <v>6206</v>
      </c>
      <c r="C912" s="27">
        <v>9201013415</v>
      </c>
    </row>
    <row r="913" spans="1:3" x14ac:dyDescent="0.25">
      <c r="A913" t="s">
        <v>6207</v>
      </c>
      <c r="C913" s="27">
        <v>5260245562</v>
      </c>
    </row>
    <row r="914" spans="1:3" x14ac:dyDescent="0.25">
      <c r="A914" t="s">
        <v>6208</v>
      </c>
      <c r="C914" s="27">
        <v>2327002578</v>
      </c>
    </row>
    <row r="915" spans="1:3" x14ac:dyDescent="0.25">
      <c r="A915" t="s">
        <v>6209</v>
      </c>
      <c r="C915" s="27">
        <v>7743680493</v>
      </c>
    </row>
    <row r="916" spans="1:3" x14ac:dyDescent="0.25">
      <c r="A916" t="s">
        <v>6210</v>
      </c>
      <c r="C916" s="27">
        <v>572200115561</v>
      </c>
    </row>
    <row r="917" spans="1:3" x14ac:dyDescent="0.25">
      <c r="A917" t="s">
        <v>6211</v>
      </c>
      <c r="C917" s="27">
        <v>261803502451</v>
      </c>
    </row>
    <row r="918" spans="1:3" x14ac:dyDescent="0.25">
      <c r="A918" t="s">
        <v>6212</v>
      </c>
      <c r="C918" s="27">
        <v>360201542634</v>
      </c>
    </row>
    <row r="919" spans="1:3" x14ac:dyDescent="0.25">
      <c r="A919" t="s">
        <v>6213</v>
      </c>
      <c r="C919" s="27">
        <v>9102278121</v>
      </c>
    </row>
    <row r="920" spans="1:3" x14ac:dyDescent="0.25">
      <c r="A920" t="s">
        <v>6214</v>
      </c>
      <c r="C920" s="27">
        <v>5752082513</v>
      </c>
    </row>
    <row r="921" spans="1:3" x14ac:dyDescent="0.25">
      <c r="A921" t="s">
        <v>6215</v>
      </c>
      <c r="C921" s="27">
        <v>1656073445</v>
      </c>
    </row>
    <row r="922" spans="1:3" x14ac:dyDescent="0.25">
      <c r="A922" t="s">
        <v>6216</v>
      </c>
      <c r="C922" s="27">
        <v>3123001987</v>
      </c>
    </row>
    <row r="923" spans="1:3" x14ac:dyDescent="0.25">
      <c r="A923" t="s">
        <v>6217</v>
      </c>
      <c r="C923" s="27">
        <v>5020031366</v>
      </c>
    </row>
    <row r="924" spans="1:3" x14ac:dyDescent="0.25">
      <c r="A924" t="s">
        <v>6218</v>
      </c>
      <c r="C924" s="27">
        <v>9705163561</v>
      </c>
    </row>
    <row r="925" spans="1:3" x14ac:dyDescent="0.25">
      <c r="A925" t="s">
        <v>6219</v>
      </c>
      <c r="C925" s="27">
        <v>4619005114</v>
      </c>
    </row>
    <row r="926" spans="1:3" x14ac:dyDescent="0.25">
      <c r="A926" t="s">
        <v>6220</v>
      </c>
      <c r="C926" s="27">
        <v>9102269448</v>
      </c>
    </row>
    <row r="927" spans="1:3" x14ac:dyDescent="0.25">
      <c r="A927" t="s">
        <v>6221</v>
      </c>
      <c r="C927" s="27">
        <v>9110003850</v>
      </c>
    </row>
    <row r="928" spans="1:3" x14ac:dyDescent="0.25">
      <c r="A928" t="s">
        <v>6222</v>
      </c>
      <c r="C928" s="27">
        <v>2311221856</v>
      </c>
    </row>
    <row r="929" spans="1:3" x14ac:dyDescent="0.25">
      <c r="A929" t="s">
        <v>6223</v>
      </c>
      <c r="C929" s="27">
        <v>3443012297</v>
      </c>
    </row>
    <row r="930" spans="1:3" x14ac:dyDescent="0.25">
      <c r="A930" t="s">
        <v>6224</v>
      </c>
      <c r="C930" s="27">
        <v>7816735549</v>
      </c>
    </row>
    <row r="931" spans="1:3" x14ac:dyDescent="0.25">
      <c r="A931" t="s">
        <v>6225</v>
      </c>
      <c r="C931" s="27">
        <v>7811774093</v>
      </c>
    </row>
    <row r="932" spans="1:3" x14ac:dyDescent="0.25">
      <c r="A932" t="s">
        <v>6226</v>
      </c>
      <c r="C932" s="27">
        <v>1655169916</v>
      </c>
    </row>
    <row r="933" spans="1:3" x14ac:dyDescent="0.25">
      <c r="A933" t="s">
        <v>6227</v>
      </c>
      <c r="C933" s="27">
        <v>6168072366</v>
      </c>
    </row>
    <row r="934" spans="1:3" x14ac:dyDescent="0.25">
      <c r="A934" t="s">
        <v>6228</v>
      </c>
      <c r="C934" s="27">
        <v>9731012199</v>
      </c>
    </row>
    <row r="935" spans="1:3" x14ac:dyDescent="0.25">
      <c r="A935" t="s">
        <v>6229</v>
      </c>
      <c r="C935" s="27">
        <v>7708702666</v>
      </c>
    </row>
    <row r="936" spans="1:3" x14ac:dyDescent="0.25">
      <c r="A936" t="s">
        <v>6230</v>
      </c>
      <c r="C936" s="27">
        <v>5905265683</v>
      </c>
    </row>
    <row r="937" spans="1:3" x14ac:dyDescent="0.25">
      <c r="A937" t="s">
        <v>6231</v>
      </c>
      <c r="C937" s="27">
        <v>5036113367</v>
      </c>
    </row>
    <row r="938" spans="1:3" x14ac:dyDescent="0.25">
      <c r="A938" t="s">
        <v>6232</v>
      </c>
      <c r="C938" s="27">
        <v>3666260617</v>
      </c>
    </row>
    <row r="939" spans="1:3" x14ac:dyDescent="0.25">
      <c r="A939" t="s">
        <v>6233</v>
      </c>
      <c r="C939" s="27">
        <v>262813431882</v>
      </c>
    </row>
    <row r="940" spans="1:3" x14ac:dyDescent="0.25">
      <c r="A940" t="s">
        <v>6234</v>
      </c>
      <c r="C940" s="27">
        <v>7805286404</v>
      </c>
    </row>
    <row r="941" spans="1:3" x14ac:dyDescent="0.25">
      <c r="A941" t="s">
        <v>6235</v>
      </c>
      <c r="C941" s="27">
        <v>5903110437</v>
      </c>
    </row>
    <row r="942" spans="1:3" x14ac:dyDescent="0.25">
      <c r="A942" t="s">
        <v>6236</v>
      </c>
      <c r="C942" s="27">
        <v>1513065326</v>
      </c>
    </row>
    <row r="943" spans="1:3" x14ac:dyDescent="0.25">
      <c r="A943" t="s">
        <v>6237</v>
      </c>
      <c r="C943" s="27">
        <v>5904196606</v>
      </c>
    </row>
    <row r="944" spans="1:3" x14ac:dyDescent="0.25">
      <c r="A944" t="s">
        <v>6238</v>
      </c>
      <c r="C944" s="27">
        <v>3460081558</v>
      </c>
    </row>
    <row r="945" spans="1:3" x14ac:dyDescent="0.25">
      <c r="A945" t="s">
        <v>6239</v>
      </c>
      <c r="C945" s="27">
        <v>7701722293</v>
      </c>
    </row>
    <row r="946" spans="1:3" x14ac:dyDescent="0.25">
      <c r="A946" t="s">
        <v>6240</v>
      </c>
      <c r="C946" s="27">
        <v>5906086535</v>
      </c>
    </row>
    <row r="947" spans="1:3" x14ac:dyDescent="0.25">
      <c r="A947" t="s">
        <v>6241</v>
      </c>
      <c r="C947" s="27">
        <v>5249081230</v>
      </c>
    </row>
    <row r="948" spans="1:3" x14ac:dyDescent="0.25">
      <c r="A948" t="s">
        <v>6242</v>
      </c>
      <c r="C948" s="27">
        <v>2320251222</v>
      </c>
    </row>
    <row r="949" spans="1:3" x14ac:dyDescent="0.25">
      <c r="A949" t="s">
        <v>6243</v>
      </c>
      <c r="C949" s="27">
        <v>9111012270</v>
      </c>
    </row>
    <row r="950" spans="1:3" x14ac:dyDescent="0.25">
      <c r="A950" t="s">
        <v>6244</v>
      </c>
      <c r="C950" s="27">
        <v>6318174560</v>
      </c>
    </row>
    <row r="951" spans="1:3" x14ac:dyDescent="0.25">
      <c r="A951" t="s">
        <v>6245</v>
      </c>
      <c r="C951" s="27">
        <v>640201090260</v>
      </c>
    </row>
    <row r="952" spans="1:3" x14ac:dyDescent="0.25">
      <c r="A952" t="s">
        <v>6246</v>
      </c>
      <c r="C952" s="27">
        <v>222508776331</v>
      </c>
    </row>
    <row r="953" spans="1:3" x14ac:dyDescent="0.25">
      <c r="A953" t="s">
        <v>6247</v>
      </c>
      <c r="C953" s="27">
        <v>5452116190</v>
      </c>
    </row>
    <row r="954" spans="1:3" x14ac:dyDescent="0.25">
      <c r="A954" t="s">
        <v>6248</v>
      </c>
      <c r="C954" s="27">
        <v>4726002975</v>
      </c>
    </row>
    <row r="955" spans="1:3" x14ac:dyDescent="0.25">
      <c r="A955" t="s">
        <v>6249</v>
      </c>
      <c r="C955" s="27">
        <v>2312262615</v>
      </c>
    </row>
    <row r="956" spans="1:3" x14ac:dyDescent="0.25">
      <c r="A956" t="s">
        <v>6250</v>
      </c>
      <c r="C956" s="27">
        <v>7705343433</v>
      </c>
    </row>
    <row r="957" spans="1:3" x14ac:dyDescent="0.25">
      <c r="A957" t="s">
        <v>6251</v>
      </c>
      <c r="C957" s="27">
        <v>2921127879</v>
      </c>
    </row>
    <row r="958" spans="1:3" x14ac:dyDescent="0.25">
      <c r="A958" t="s">
        <v>6252</v>
      </c>
      <c r="C958" s="27">
        <v>7839469131</v>
      </c>
    </row>
    <row r="959" spans="1:3" x14ac:dyDescent="0.25">
      <c r="A959" t="s">
        <v>6253</v>
      </c>
      <c r="C959" s="27">
        <v>7840054942</v>
      </c>
    </row>
    <row r="960" spans="1:3" x14ac:dyDescent="0.25">
      <c r="A960" t="s">
        <v>6254</v>
      </c>
      <c r="C960" s="27">
        <v>5906139794</v>
      </c>
    </row>
    <row r="961" spans="1:3" x14ac:dyDescent="0.25">
      <c r="A961" t="s">
        <v>6255</v>
      </c>
      <c r="C961" s="27">
        <v>257014051</v>
      </c>
    </row>
    <row r="962" spans="1:3" x14ac:dyDescent="0.25">
      <c r="A962" t="s">
        <v>6256</v>
      </c>
      <c r="C962" s="27">
        <v>7820310299</v>
      </c>
    </row>
    <row r="963" spans="1:3" x14ac:dyDescent="0.25">
      <c r="A963" t="s">
        <v>6257</v>
      </c>
      <c r="C963" s="27">
        <v>6501038623</v>
      </c>
    </row>
    <row r="964" spans="1:3" x14ac:dyDescent="0.25">
      <c r="A964" t="s">
        <v>6258</v>
      </c>
      <c r="C964" s="27">
        <v>6501290485</v>
      </c>
    </row>
    <row r="965" spans="1:3" x14ac:dyDescent="0.25">
      <c r="A965" t="s">
        <v>6259</v>
      </c>
      <c r="C965" s="27">
        <v>7017466762</v>
      </c>
    </row>
    <row r="966" spans="1:3" x14ac:dyDescent="0.25">
      <c r="A966" t="s">
        <v>6260</v>
      </c>
      <c r="C966" s="27">
        <v>2537037591</v>
      </c>
    </row>
    <row r="967" spans="1:3" x14ac:dyDescent="0.25">
      <c r="A967" t="s">
        <v>6261</v>
      </c>
      <c r="C967" s="27">
        <v>278036377</v>
      </c>
    </row>
    <row r="968" spans="1:3" x14ac:dyDescent="0.25">
      <c r="A968" t="s">
        <v>6262</v>
      </c>
      <c r="C968" s="27">
        <v>744708719394</v>
      </c>
    </row>
    <row r="969" spans="1:3" x14ac:dyDescent="0.25">
      <c r="A969" t="s">
        <v>6263</v>
      </c>
      <c r="C969" s="27">
        <v>544505317704</v>
      </c>
    </row>
    <row r="970" spans="1:3" x14ac:dyDescent="0.25">
      <c r="A970" t="s">
        <v>6264</v>
      </c>
      <c r="C970" s="27">
        <v>2466283527</v>
      </c>
    </row>
    <row r="971" spans="1:3" x14ac:dyDescent="0.25">
      <c r="A971" t="s">
        <v>6265</v>
      </c>
      <c r="C971" s="27">
        <v>5424951665</v>
      </c>
    </row>
    <row r="972" spans="1:3" x14ac:dyDescent="0.25">
      <c r="A972" t="s">
        <v>6266</v>
      </c>
      <c r="C972" s="27">
        <v>90902252035</v>
      </c>
    </row>
    <row r="973" spans="1:3" x14ac:dyDescent="0.25">
      <c r="A973" t="s">
        <v>6267</v>
      </c>
      <c r="C973" s="27">
        <v>7729735292</v>
      </c>
    </row>
    <row r="974" spans="1:3" x14ac:dyDescent="0.25">
      <c r="A974" t="s">
        <v>6268</v>
      </c>
      <c r="C974" s="27">
        <v>4632045966</v>
      </c>
    </row>
    <row r="975" spans="1:3" x14ac:dyDescent="0.25">
      <c r="A975" t="s">
        <v>6269</v>
      </c>
      <c r="C975" s="27">
        <v>2722060740</v>
      </c>
    </row>
    <row r="976" spans="1:3" x14ac:dyDescent="0.25">
      <c r="A976" t="s">
        <v>6270</v>
      </c>
      <c r="C976" s="27">
        <v>450110070733</v>
      </c>
    </row>
    <row r="977" spans="1:3" x14ac:dyDescent="0.25">
      <c r="A977" t="s">
        <v>6271</v>
      </c>
      <c r="C977" s="27">
        <v>2724155394</v>
      </c>
    </row>
    <row r="978" spans="1:3" x14ac:dyDescent="0.25">
      <c r="A978" t="s">
        <v>6272</v>
      </c>
      <c r="C978" s="27">
        <v>3230007119</v>
      </c>
    </row>
    <row r="979" spans="1:3" x14ac:dyDescent="0.25">
      <c r="A979" t="s">
        <v>6273</v>
      </c>
      <c r="C979" s="27">
        <v>5402036790</v>
      </c>
    </row>
    <row r="980" spans="1:3" x14ac:dyDescent="0.25">
      <c r="A980" t="s">
        <v>6274</v>
      </c>
      <c r="C980" s="27">
        <v>4230033872</v>
      </c>
    </row>
    <row r="981" spans="1:3" x14ac:dyDescent="0.25">
      <c r="A981" t="s">
        <v>6275</v>
      </c>
      <c r="C981" s="27">
        <v>2373005076</v>
      </c>
    </row>
    <row r="982" spans="1:3" x14ac:dyDescent="0.25">
      <c r="A982" t="s">
        <v>6276</v>
      </c>
      <c r="C982" s="27">
        <v>7733709256</v>
      </c>
    </row>
    <row r="983" spans="1:3" x14ac:dyDescent="0.25">
      <c r="A983" t="s">
        <v>6277</v>
      </c>
      <c r="C983" s="27">
        <v>9102260029</v>
      </c>
    </row>
    <row r="984" spans="1:3" x14ac:dyDescent="0.25">
      <c r="A984" t="s">
        <v>6278</v>
      </c>
      <c r="C984" s="27">
        <v>1515921501</v>
      </c>
    </row>
    <row r="985" spans="1:3" x14ac:dyDescent="0.25">
      <c r="A985" t="s">
        <v>6279</v>
      </c>
      <c r="C985" s="27">
        <v>463240392204</v>
      </c>
    </row>
    <row r="986" spans="1:3" x14ac:dyDescent="0.25">
      <c r="A986" t="s">
        <v>6280</v>
      </c>
      <c r="C986" s="27">
        <v>3906115197</v>
      </c>
    </row>
    <row r="987" spans="1:3" x14ac:dyDescent="0.25">
      <c r="A987" t="s">
        <v>6281</v>
      </c>
      <c r="C987" s="27">
        <v>3123036482</v>
      </c>
    </row>
    <row r="988" spans="1:3" x14ac:dyDescent="0.25">
      <c r="A988" t="s">
        <v>6282</v>
      </c>
      <c r="C988" s="27">
        <v>5022559200</v>
      </c>
    </row>
    <row r="989" spans="1:3" x14ac:dyDescent="0.25">
      <c r="A989" t="s">
        <v>6283</v>
      </c>
      <c r="C989" s="27">
        <v>4217146404</v>
      </c>
    </row>
    <row r="990" spans="1:3" x14ac:dyDescent="0.25">
      <c r="A990" t="s">
        <v>6284</v>
      </c>
      <c r="C990" s="27">
        <v>5072000680</v>
      </c>
    </row>
    <row r="991" spans="1:3" x14ac:dyDescent="0.25">
      <c r="A991" t="s">
        <v>6285</v>
      </c>
      <c r="C991" s="27">
        <v>5906126795</v>
      </c>
    </row>
    <row r="992" spans="1:3" x14ac:dyDescent="0.25">
      <c r="A992" t="s">
        <v>6286</v>
      </c>
      <c r="C992" s="27">
        <v>6658518667</v>
      </c>
    </row>
    <row r="993" spans="1:3" x14ac:dyDescent="0.25">
      <c r="A993" t="s">
        <v>6287</v>
      </c>
      <c r="C993" s="27">
        <v>1435146818</v>
      </c>
    </row>
    <row r="994" spans="1:3" x14ac:dyDescent="0.25">
      <c r="A994" t="s">
        <v>6288</v>
      </c>
      <c r="C994" s="27">
        <v>2308218885</v>
      </c>
    </row>
    <row r="995" spans="1:3" x14ac:dyDescent="0.25">
      <c r="A995" t="s">
        <v>6289</v>
      </c>
      <c r="C995" s="27">
        <v>5504206024</v>
      </c>
    </row>
    <row r="996" spans="1:3" x14ac:dyDescent="0.25">
      <c r="A996" t="s">
        <v>6290</v>
      </c>
      <c r="C996" s="27">
        <v>610903459609</v>
      </c>
    </row>
    <row r="997" spans="1:3" x14ac:dyDescent="0.25">
      <c r="A997" t="s">
        <v>6291</v>
      </c>
      <c r="C997" s="27">
        <v>6226004914</v>
      </c>
    </row>
    <row r="998" spans="1:3" x14ac:dyDescent="0.25">
      <c r="A998" t="s">
        <v>6292</v>
      </c>
      <c r="C998" s="27">
        <v>9102037817</v>
      </c>
    </row>
    <row r="999" spans="1:3" x14ac:dyDescent="0.25">
      <c r="A999" t="s">
        <v>6293</v>
      </c>
      <c r="C999" s="27">
        <v>1650016360</v>
      </c>
    </row>
    <row r="1000" spans="1:3" x14ac:dyDescent="0.25">
      <c r="A1000" t="s">
        <v>6294</v>
      </c>
      <c r="C1000" s="27">
        <v>1661022911</v>
      </c>
    </row>
    <row r="1001" spans="1:3" x14ac:dyDescent="0.25">
      <c r="A1001" t="s">
        <v>6295</v>
      </c>
      <c r="C1001" s="27">
        <v>2319058136</v>
      </c>
    </row>
    <row r="1002" spans="1:3" x14ac:dyDescent="0.25">
      <c r="A1002" t="s">
        <v>6296</v>
      </c>
      <c r="C1002" s="27">
        <v>341302409483</v>
      </c>
    </row>
    <row r="1003" spans="1:3" x14ac:dyDescent="0.25">
      <c r="A1003" t="s">
        <v>6297</v>
      </c>
      <c r="C1003" s="27">
        <v>7203252630</v>
      </c>
    </row>
    <row r="1004" spans="1:3" x14ac:dyDescent="0.25">
      <c r="A1004" t="s">
        <v>6298</v>
      </c>
      <c r="C1004" s="27">
        <v>9104031930</v>
      </c>
    </row>
    <row r="1005" spans="1:3" x14ac:dyDescent="0.25">
      <c r="A1005" t="s">
        <v>6299</v>
      </c>
      <c r="C1005" s="27">
        <v>5007080251</v>
      </c>
    </row>
    <row r="1006" spans="1:3" x14ac:dyDescent="0.25">
      <c r="A1006" t="s">
        <v>6300</v>
      </c>
      <c r="C1006" s="27">
        <v>382800535671</v>
      </c>
    </row>
    <row r="1007" spans="1:3" x14ac:dyDescent="0.25">
      <c r="A1007" t="s">
        <v>6301</v>
      </c>
      <c r="C1007" s="27">
        <v>9107036084</v>
      </c>
    </row>
    <row r="1008" spans="1:3" x14ac:dyDescent="0.25">
      <c r="A1008" t="s">
        <v>6302</v>
      </c>
      <c r="C1008" s="27">
        <v>5030054034</v>
      </c>
    </row>
    <row r="1009" spans="1:3" x14ac:dyDescent="0.25">
      <c r="A1009" t="s">
        <v>6303</v>
      </c>
      <c r="C1009" s="27">
        <v>6166112687</v>
      </c>
    </row>
    <row r="1010" spans="1:3" x14ac:dyDescent="0.25">
      <c r="A1010" t="s">
        <v>6304</v>
      </c>
      <c r="C1010" s="27">
        <v>721018808</v>
      </c>
    </row>
    <row r="1011" spans="1:3" x14ac:dyDescent="0.25">
      <c r="A1011" t="s">
        <v>6305</v>
      </c>
      <c r="C1011" s="27">
        <v>6166074953</v>
      </c>
    </row>
    <row r="1012" spans="1:3" x14ac:dyDescent="0.25">
      <c r="A1012" t="s">
        <v>6306</v>
      </c>
      <c r="C1012" s="27">
        <v>5043052820</v>
      </c>
    </row>
    <row r="1013" spans="1:3" x14ac:dyDescent="0.25">
      <c r="A1013" t="s">
        <v>6307</v>
      </c>
      <c r="C1013" s="27">
        <v>462902365556</v>
      </c>
    </row>
    <row r="1014" spans="1:3" x14ac:dyDescent="0.25">
      <c r="A1014" t="s">
        <v>6308</v>
      </c>
      <c r="C1014" s="27">
        <v>2466233830</v>
      </c>
    </row>
    <row r="1015" spans="1:3" x14ac:dyDescent="0.25">
      <c r="A1015" t="s">
        <v>6309</v>
      </c>
      <c r="C1015" s="27">
        <v>7705607887</v>
      </c>
    </row>
    <row r="1016" spans="1:3" x14ac:dyDescent="0.25">
      <c r="A1016" t="s">
        <v>6310</v>
      </c>
      <c r="C1016" s="27">
        <v>8602269518</v>
      </c>
    </row>
    <row r="1017" spans="1:3" x14ac:dyDescent="0.25">
      <c r="A1017" t="s">
        <v>6311</v>
      </c>
      <c r="C1017" s="27">
        <v>2311177597</v>
      </c>
    </row>
    <row r="1018" spans="1:3" x14ac:dyDescent="0.25">
      <c r="A1018" t="s">
        <v>6312</v>
      </c>
      <c r="C1018" s="27">
        <v>6685031424</v>
      </c>
    </row>
    <row r="1019" spans="1:3" x14ac:dyDescent="0.25">
      <c r="A1019" t="s">
        <v>6313</v>
      </c>
      <c r="C1019" s="27">
        <v>5404027293</v>
      </c>
    </row>
    <row r="1020" spans="1:3" x14ac:dyDescent="0.25">
      <c r="A1020" t="s">
        <v>6314</v>
      </c>
      <c r="C1020" s="27">
        <v>4230000436</v>
      </c>
    </row>
    <row r="1021" spans="1:3" x14ac:dyDescent="0.25">
      <c r="A1021" t="s">
        <v>6315</v>
      </c>
      <c r="C1021" s="27">
        <v>700001842</v>
      </c>
    </row>
    <row r="1022" spans="1:3" x14ac:dyDescent="0.25">
      <c r="A1022" t="s">
        <v>6316</v>
      </c>
      <c r="C1022" s="27">
        <v>9203545824</v>
      </c>
    </row>
    <row r="1023" spans="1:3" x14ac:dyDescent="0.25">
      <c r="A1023" t="s">
        <v>6317</v>
      </c>
      <c r="C1023" s="27">
        <v>5753061587</v>
      </c>
    </row>
    <row r="1024" spans="1:3" x14ac:dyDescent="0.25">
      <c r="A1024" t="s">
        <v>6318</v>
      </c>
      <c r="C1024" s="27">
        <v>7723521600</v>
      </c>
    </row>
    <row r="1025" spans="1:3" x14ac:dyDescent="0.25">
      <c r="A1025" t="s">
        <v>6319</v>
      </c>
      <c r="C1025" s="27">
        <v>6315637891</v>
      </c>
    </row>
    <row r="1026" spans="1:3" x14ac:dyDescent="0.25">
      <c r="A1026" t="s">
        <v>6320</v>
      </c>
      <c r="C1026" s="27">
        <v>5025030246</v>
      </c>
    </row>
    <row r="1027" spans="1:3" x14ac:dyDescent="0.25">
      <c r="A1027" t="s">
        <v>6321</v>
      </c>
      <c r="C1027" s="27">
        <v>5074091153</v>
      </c>
    </row>
    <row r="1028" spans="1:3" x14ac:dyDescent="0.25">
      <c r="A1028" t="s">
        <v>6322</v>
      </c>
      <c r="C1028" s="27">
        <v>9105010570</v>
      </c>
    </row>
    <row r="1029" spans="1:3" x14ac:dyDescent="0.25">
      <c r="A1029" t="s">
        <v>6323</v>
      </c>
      <c r="C1029" s="27">
        <v>7709723274</v>
      </c>
    </row>
    <row r="1030" spans="1:3" x14ac:dyDescent="0.25">
      <c r="A1030" t="s">
        <v>6324</v>
      </c>
      <c r="C1030" s="27">
        <v>5445015346</v>
      </c>
    </row>
    <row r="1031" spans="1:3" x14ac:dyDescent="0.25">
      <c r="A1031" t="s">
        <v>6325</v>
      </c>
      <c r="C1031" s="27">
        <v>1834051861</v>
      </c>
    </row>
    <row r="1032" spans="1:3" x14ac:dyDescent="0.25">
      <c r="A1032" t="s">
        <v>6326</v>
      </c>
      <c r="C1032" s="27">
        <v>5916030161</v>
      </c>
    </row>
    <row r="1033" spans="1:3" x14ac:dyDescent="0.25">
      <c r="A1033" t="s">
        <v>6327</v>
      </c>
      <c r="C1033" s="27">
        <v>6514009524</v>
      </c>
    </row>
    <row r="1034" spans="1:3" x14ac:dyDescent="0.25">
      <c r="A1034" t="s">
        <v>6328</v>
      </c>
      <c r="C1034" s="27">
        <v>4725000407</v>
      </c>
    </row>
    <row r="1035" spans="1:3" x14ac:dyDescent="0.25">
      <c r="A1035" t="s">
        <v>6329</v>
      </c>
      <c r="C1035" s="27">
        <v>6452124997</v>
      </c>
    </row>
    <row r="1036" spans="1:3" x14ac:dyDescent="0.25">
      <c r="A1036" t="s">
        <v>6330</v>
      </c>
      <c r="C1036" s="27">
        <v>6800011891</v>
      </c>
    </row>
    <row r="1037" spans="1:3" x14ac:dyDescent="0.25">
      <c r="A1037" t="s">
        <v>6331</v>
      </c>
      <c r="C1037" s="27">
        <v>544505035403</v>
      </c>
    </row>
    <row r="1038" spans="1:3" x14ac:dyDescent="0.25">
      <c r="A1038" t="s">
        <v>6332</v>
      </c>
      <c r="C1038" s="27">
        <v>6122007396</v>
      </c>
    </row>
    <row r="1039" spans="1:3" x14ac:dyDescent="0.25">
      <c r="A1039" t="s">
        <v>6333</v>
      </c>
      <c r="C1039" s="27">
        <v>2223031172</v>
      </c>
    </row>
    <row r="1040" spans="1:3" x14ac:dyDescent="0.25">
      <c r="A1040" t="s">
        <v>6334</v>
      </c>
      <c r="C1040" s="27">
        <v>550113994373</v>
      </c>
    </row>
    <row r="1041" spans="1:3" x14ac:dyDescent="0.25">
      <c r="A1041" t="s">
        <v>6335</v>
      </c>
      <c r="C1041" s="27">
        <v>910900095729</v>
      </c>
    </row>
    <row r="1042" spans="1:3" x14ac:dyDescent="0.25">
      <c r="A1042" t="s">
        <v>6336</v>
      </c>
      <c r="C1042" s="27">
        <v>7500024436</v>
      </c>
    </row>
    <row r="1043" spans="1:3" x14ac:dyDescent="0.25">
      <c r="A1043" t="s">
        <v>6337</v>
      </c>
      <c r="C1043" s="27">
        <v>6802003590</v>
      </c>
    </row>
    <row r="1044" spans="1:3" x14ac:dyDescent="0.25">
      <c r="A1044" t="s">
        <v>6338</v>
      </c>
      <c r="C1044" s="27">
        <v>2460202627</v>
      </c>
    </row>
    <row r="1045" spans="1:3" x14ac:dyDescent="0.25">
      <c r="A1045" t="s">
        <v>6339</v>
      </c>
      <c r="C1045" s="27">
        <v>6722000089</v>
      </c>
    </row>
    <row r="1046" spans="1:3" x14ac:dyDescent="0.25">
      <c r="A1046" t="s">
        <v>6340</v>
      </c>
      <c r="C1046" s="27">
        <v>6122019715</v>
      </c>
    </row>
    <row r="1047" spans="1:3" x14ac:dyDescent="0.25">
      <c r="A1047" t="s">
        <v>6341</v>
      </c>
      <c r="C1047" s="27">
        <v>6452127074</v>
      </c>
    </row>
    <row r="1048" spans="1:3" x14ac:dyDescent="0.25">
      <c r="A1048" t="s">
        <v>6342</v>
      </c>
      <c r="C1048" s="27">
        <v>7838435820</v>
      </c>
    </row>
    <row r="1049" spans="1:3" x14ac:dyDescent="0.25">
      <c r="A1049" t="s">
        <v>6343</v>
      </c>
      <c r="C1049" s="27">
        <v>9724043037</v>
      </c>
    </row>
    <row r="1050" spans="1:3" x14ac:dyDescent="0.25">
      <c r="A1050" t="s">
        <v>6344</v>
      </c>
      <c r="C1050" s="27">
        <v>151602806725</v>
      </c>
    </row>
    <row r="1051" spans="1:3" x14ac:dyDescent="0.25">
      <c r="A1051" t="s">
        <v>6345</v>
      </c>
      <c r="C1051" s="27">
        <v>550116244749</v>
      </c>
    </row>
    <row r="1052" spans="1:3" x14ac:dyDescent="0.25">
      <c r="A1052" t="s">
        <v>6346</v>
      </c>
      <c r="C1052" s="27">
        <v>6168071436</v>
      </c>
    </row>
    <row r="1053" spans="1:3" x14ac:dyDescent="0.25">
      <c r="A1053" t="s">
        <v>6347</v>
      </c>
      <c r="C1053" s="27">
        <v>2204092892</v>
      </c>
    </row>
    <row r="1054" spans="1:3" x14ac:dyDescent="0.25">
      <c r="A1054" t="s">
        <v>6348</v>
      </c>
      <c r="C1054" s="27">
        <v>390602906775</v>
      </c>
    </row>
    <row r="1055" spans="1:3" x14ac:dyDescent="0.25">
      <c r="A1055" t="s">
        <v>6349</v>
      </c>
      <c r="C1055" s="27">
        <v>9102236756</v>
      </c>
    </row>
    <row r="1056" spans="1:3" x14ac:dyDescent="0.25">
      <c r="A1056" t="s">
        <v>6350</v>
      </c>
      <c r="C1056" s="27">
        <v>1841054694</v>
      </c>
    </row>
    <row r="1057" spans="1:3" x14ac:dyDescent="0.25">
      <c r="A1057" t="s">
        <v>6351</v>
      </c>
      <c r="C1057" s="27">
        <v>6658501504</v>
      </c>
    </row>
    <row r="1058" spans="1:3" x14ac:dyDescent="0.25">
      <c r="A1058" t="s">
        <v>6352</v>
      </c>
      <c r="C1058" s="27">
        <v>7721189203</v>
      </c>
    </row>
    <row r="1059" spans="1:3" x14ac:dyDescent="0.25">
      <c r="A1059" t="s">
        <v>6353</v>
      </c>
      <c r="C1059" s="27">
        <v>550200008740</v>
      </c>
    </row>
    <row r="1060" spans="1:3" x14ac:dyDescent="0.25">
      <c r="A1060" t="s">
        <v>6354</v>
      </c>
      <c r="C1060" s="27">
        <v>2308217200</v>
      </c>
    </row>
    <row r="1061" spans="1:3" x14ac:dyDescent="0.25">
      <c r="A1061" t="s">
        <v>6355</v>
      </c>
      <c r="C1061" s="27">
        <v>3662094373</v>
      </c>
    </row>
    <row r="1062" spans="1:3" x14ac:dyDescent="0.25">
      <c r="A1062" t="s">
        <v>6356</v>
      </c>
      <c r="C1062" s="27">
        <v>5751019438</v>
      </c>
    </row>
    <row r="1063" spans="1:3" x14ac:dyDescent="0.25">
      <c r="A1063" t="s">
        <v>6357</v>
      </c>
      <c r="C1063" s="27">
        <v>4824064024</v>
      </c>
    </row>
    <row r="1064" spans="1:3" x14ac:dyDescent="0.25">
      <c r="A1064" t="s">
        <v>6358</v>
      </c>
      <c r="C1064" s="27">
        <v>312825165467</v>
      </c>
    </row>
    <row r="1065" spans="1:3" x14ac:dyDescent="0.25">
      <c r="A1065" t="s">
        <v>6359</v>
      </c>
      <c r="C1065" s="27">
        <v>816030095</v>
      </c>
    </row>
    <row r="1066" spans="1:3" x14ac:dyDescent="0.25">
      <c r="A1066" t="s">
        <v>6360</v>
      </c>
      <c r="C1066" s="27">
        <v>3310002469</v>
      </c>
    </row>
    <row r="1067" spans="1:3" x14ac:dyDescent="0.25">
      <c r="A1067" t="s">
        <v>6361</v>
      </c>
      <c r="C1067" s="27">
        <v>9204508110</v>
      </c>
    </row>
    <row r="1068" spans="1:3" x14ac:dyDescent="0.25">
      <c r="A1068" t="s">
        <v>6362</v>
      </c>
      <c r="C1068" s="27">
        <v>7710496700</v>
      </c>
    </row>
    <row r="1069" spans="1:3" x14ac:dyDescent="0.25">
      <c r="A1069" t="s">
        <v>6363</v>
      </c>
      <c r="C1069" s="27">
        <v>9718014983</v>
      </c>
    </row>
    <row r="1070" spans="1:3" x14ac:dyDescent="0.25">
      <c r="A1070" t="s">
        <v>6364</v>
      </c>
      <c r="C1070" s="27">
        <v>7802699523</v>
      </c>
    </row>
    <row r="1071" spans="1:3" x14ac:dyDescent="0.25">
      <c r="A1071" t="s">
        <v>6365</v>
      </c>
      <c r="C1071" s="27">
        <v>3662283966</v>
      </c>
    </row>
    <row r="1072" spans="1:3" x14ac:dyDescent="0.25">
      <c r="A1072" t="s">
        <v>6366</v>
      </c>
      <c r="C1072" s="27">
        <v>635002333810</v>
      </c>
    </row>
    <row r="1073" spans="1:3" x14ac:dyDescent="0.25">
      <c r="A1073" t="s">
        <v>6367</v>
      </c>
      <c r="C1073" s="27">
        <v>4003033989</v>
      </c>
    </row>
    <row r="1074" spans="1:3" x14ac:dyDescent="0.25">
      <c r="A1074" t="s">
        <v>6368</v>
      </c>
      <c r="C1074" s="27">
        <v>1500020825</v>
      </c>
    </row>
    <row r="1075" spans="1:3" x14ac:dyDescent="0.25">
      <c r="A1075" t="s">
        <v>6369</v>
      </c>
      <c r="C1075" s="27">
        <v>7713666808</v>
      </c>
    </row>
    <row r="1076" spans="1:3" x14ac:dyDescent="0.25">
      <c r="A1076" t="s">
        <v>6370</v>
      </c>
      <c r="C1076" s="27">
        <v>5752201190</v>
      </c>
    </row>
    <row r="1077" spans="1:3" x14ac:dyDescent="0.25">
      <c r="A1077" t="s">
        <v>6371</v>
      </c>
      <c r="C1077" s="27">
        <v>1655482068</v>
      </c>
    </row>
    <row r="1078" spans="1:3" x14ac:dyDescent="0.25">
      <c r="A1078" t="s">
        <v>6372</v>
      </c>
      <c r="C1078" s="27">
        <v>6315637806</v>
      </c>
    </row>
    <row r="1079" spans="1:3" x14ac:dyDescent="0.25">
      <c r="A1079" t="s">
        <v>6373</v>
      </c>
      <c r="C1079" s="27">
        <v>3665116392</v>
      </c>
    </row>
    <row r="1080" spans="1:3" x14ac:dyDescent="0.25">
      <c r="A1080" t="s">
        <v>6374</v>
      </c>
      <c r="C1080" s="27">
        <v>5504242840</v>
      </c>
    </row>
    <row r="1081" spans="1:3" x14ac:dyDescent="0.25">
      <c r="A1081" t="s">
        <v>6375</v>
      </c>
      <c r="C1081" s="27">
        <v>7203036340</v>
      </c>
    </row>
    <row r="1082" spans="1:3" x14ac:dyDescent="0.25">
      <c r="A1082" t="s">
        <v>6376</v>
      </c>
      <c r="C1082" s="27">
        <v>7720023269</v>
      </c>
    </row>
    <row r="1083" spans="1:3" x14ac:dyDescent="0.25">
      <c r="A1083" t="s">
        <v>6377</v>
      </c>
      <c r="C1083" s="27">
        <v>4230032244</v>
      </c>
    </row>
    <row r="1084" spans="1:3" x14ac:dyDescent="0.25">
      <c r="A1084" t="s">
        <v>6378</v>
      </c>
      <c r="C1084" s="27">
        <v>2724203369</v>
      </c>
    </row>
    <row r="1085" spans="1:3" x14ac:dyDescent="0.25">
      <c r="A1085" t="s">
        <v>6379</v>
      </c>
      <c r="C1085" s="27">
        <v>6439092457</v>
      </c>
    </row>
    <row r="1086" spans="1:3" x14ac:dyDescent="0.25">
      <c r="A1086" t="s">
        <v>6380</v>
      </c>
      <c r="C1086" s="27">
        <v>326544302</v>
      </c>
    </row>
    <row r="1087" spans="1:3" x14ac:dyDescent="0.25">
      <c r="A1087" t="s">
        <v>6381</v>
      </c>
      <c r="C1087" s="27">
        <v>572500119165</v>
      </c>
    </row>
    <row r="1088" spans="1:3" x14ac:dyDescent="0.25">
      <c r="A1088" t="s">
        <v>6382</v>
      </c>
      <c r="C1088" s="27">
        <v>6318162011</v>
      </c>
    </row>
    <row r="1089" spans="1:3" x14ac:dyDescent="0.25">
      <c r="A1089" t="s">
        <v>6383</v>
      </c>
      <c r="C1089" s="27">
        <v>6311110328</v>
      </c>
    </row>
    <row r="1090" spans="1:3" x14ac:dyDescent="0.25">
      <c r="A1090" t="s">
        <v>6384</v>
      </c>
      <c r="C1090" s="27">
        <v>5751005040</v>
      </c>
    </row>
    <row r="1091" spans="1:3" x14ac:dyDescent="0.25">
      <c r="A1091" t="s">
        <v>6385</v>
      </c>
      <c r="C1091" s="27">
        <v>7734345467</v>
      </c>
    </row>
    <row r="1092" spans="1:3" x14ac:dyDescent="0.25">
      <c r="A1092" t="s">
        <v>6386</v>
      </c>
      <c r="C1092" s="27">
        <v>2465174606</v>
      </c>
    </row>
    <row r="1093" spans="1:3" x14ac:dyDescent="0.25">
      <c r="A1093" t="s">
        <v>6387</v>
      </c>
      <c r="C1093" s="27">
        <v>5903090300</v>
      </c>
    </row>
    <row r="1094" spans="1:3" x14ac:dyDescent="0.25">
      <c r="A1094" t="s">
        <v>6388</v>
      </c>
      <c r="C1094" s="27">
        <v>7203271048</v>
      </c>
    </row>
    <row r="1095" spans="1:3" x14ac:dyDescent="0.25">
      <c r="A1095" t="s">
        <v>6389</v>
      </c>
      <c r="C1095" s="27">
        <v>1628007970</v>
      </c>
    </row>
    <row r="1096" spans="1:3" x14ac:dyDescent="0.25">
      <c r="A1096" t="s">
        <v>6390</v>
      </c>
      <c r="C1096" s="27">
        <v>3801147145</v>
      </c>
    </row>
    <row r="1097" spans="1:3" x14ac:dyDescent="0.25">
      <c r="A1097" t="s">
        <v>6391</v>
      </c>
      <c r="C1097" s="27">
        <v>4217146387</v>
      </c>
    </row>
    <row r="1098" spans="1:3" x14ac:dyDescent="0.25">
      <c r="A1098" t="s">
        <v>6392</v>
      </c>
      <c r="C1098" s="27">
        <v>4217146394</v>
      </c>
    </row>
    <row r="1099" spans="1:3" x14ac:dyDescent="0.25">
      <c r="A1099" t="s">
        <v>6393</v>
      </c>
      <c r="C1099" s="27">
        <v>7018021477</v>
      </c>
    </row>
    <row r="1100" spans="1:3" x14ac:dyDescent="0.25">
      <c r="A1100" t="s">
        <v>6394</v>
      </c>
      <c r="C1100" s="27">
        <v>312302054836</v>
      </c>
    </row>
    <row r="1101" spans="1:3" x14ac:dyDescent="0.25">
      <c r="A1101" t="s">
        <v>6395</v>
      </c>
      <c r="C1101" s="27">
        <v>2222837890</v>
      </c>
    </row>
    <row r="1102" spans="1:3" x14ac:dyDescent="0.25">
      <c r="A1102" t="s">
        <v>6396</v>
      </c>
      <c r="C1102" s="27">
        <v>1903016067</v>
      </c>
    </row>
    <row r="1103" spans="1:3" x14ac:dyDescent="0.25">
      <c r="A1103" t="s">
        <v>6397</v>
      </c>
      <c r="C1103" s="27">
        <v>6155064128</v>
      </c>
    </row>
    <row r="1104" spans="1:3" x14ac:dyDescent="0.25">
      <c r="A1104" t="s">
        <v>6398</v>
      </c>
      <c r="C1104" s="27">
        <v>7329034060</v>
      </c>
    </row>
    <row r="1105" spans="1:3" x14ac:dyDescent="0.25">
      <c r="A1105" t="s">
        <v>6399</v>
      </c>
      <c r="C1105" s="27">
        <v>3305719564</v>
      </c>
    </row>
    <row r="1106" spans="1:3" x14ac:dyDescent="0.25">
      <c r="A1106" t="s">
        <v>6400</v>
      </c>
      <c r="C1106" s="27">
        <v>2123012338</v>
      </c>
    </row>
    <row r="1107" spans="1:3" x14ac:dyDescent="0.25">
      <c r="A1107" t="s">
        <v>6401</v>
      </c>
      <c r="C1107" s="27">
        <v>732191701870</v>
      </c>
    </row>
    <row r="1108" spans="1:3" x14ac:dyDescent="0.25">
      <c r="A1108" t="s">
        <v>6402</v>
      </c>
      <c r="C1108" s="27">
        <v>6234180254</v>
      </c>
    </row>
    <row r="1109" spans="1:3" x14ac:dyDescent="0.25">
      <c r="A1109" t="s">
        <v>6403</v>
      </c>
      <c r="C1109" s="27">
        <v>5024140567</v>
      </c>
    </row>
    <row r="1110" spans="1:3" x14ac:dyDescent="0.25">
      <c r="A1110" t="s">
        <v>6404</v>
      </c>
      <c r="C1110" s="27">
        <v>6166112662</v>
      </c>
    </row>
    <row r="1111" spans="1:3" x14ac:dyDescent="0.25">
      <c r="A1111" t="s">
        <v>6405</v>
      </c>
      <c r="C1111" s="27">
        <v>1701061123</v>
      </c>
    </row>
    <row r="1112" spans="1:3" x14ac:dyDescent="0.25">
      <c r="A1112" t="s">
        <v>6406</v>
      </c>
      <c r="C1112" s="27">
        <v>5001113493</v>
      </c>
    </row>
    <row r="1113" spans="1:3" x14ac:dyDescent="0.25">
      <c r="A1113" t="s">
        <v>6407</v>
      </c>
      <c r="C1113" s="27">
        <v>6315637122</v>
      </c>
    </row>
    <row r="1114" spans="1:3" x14ac:dyDescent="0.25">
      <c r="A1114" t="s">
        <v>6408</v>
      </c>
      <c r="C1114" s="27">
        <v>7128500722</v>
      </c>
    </row>
    <row r="1115" spans="1:3" x14ac:dyDescent="0.25">
      <c r="A1115" t="s">
        <v>6409</v>
      </c>
      <c r="C1115" s="27">
        <v>5803012468</v>
      </c>
    </row>
    <row r="1116" spans="1:3" x14ac:dyDescent="0.25">
      <c r="A1116" t="s">
        <v>6410</v>
      </c>
      <c r="C1116" s="27">
        <v>6234128670</v>
      </c>
    </row>
    <row r="1117" spans="1:3" x14ac:dyDescent="0.25">
      <c r="A1117" t="s">
        <v>6411</v>
      </c>
      <c r="C1117" s="27">
        <v>9110027996</v>
      </c>
    </row>
    <row r="1118" spans="1:3" x14ac:dyDescent="0.25">
      <c r="A1118" t="s">
        <v>6412</v>
      </c>
      <c r="C1118" s="27">
        <v>7814431591</v>
      </c>
    </row>
    <row r="1119" spans="1:3" x14ac:dyDescent="0.25">
      <c r="A1119" t="s">
        <v>6413</v>
      </c>
      <c r="C1119" s="27">
        <v>2635020395</v>
      </c>
    </row>
    <row r="1120" spans="1:3" x14ac:dyDescent="0.25">
      <c r="A1120" t="s">
        <v>6414</v>
      </c>
      <c r="C1120" s="27">
        <v>2724207973</v>
      </c>
    </row>
    <row r="1121" spans="1:3" x14ac:dyDescent="0.25">
      <c r="A1121" t="s">
        <v>6415</v>
      </c>
      <c r="C1121" s="27">
        <v>7731082971</v>
      </c>
    </row>
    <row r="1122" spans="1:3" x14ac:dyDescent="0.25">
      <c r="A1122" t="s">
        <v>6416</v>
      </c>
      <c r="C1122" s="27">
        <v>672702290009</v>
      </c>
    </row>
    <row r="1123" spans="1:3" x14ac:dyDescent="0.25">
      <c r="A1123" t="s">
        <v>6417</v>
      </c>
      <c r="C1123" s="27">
        <v>7328047637</v>
      </c>
    </row>
    <row r="1124" spans="1:3" x14ac:dyDescent="0.25">
      <c r="A1124" t="s">
        <v>6418</v>
      </c>
      <c r="C1124" s="27">
        <v>4205389561</v>
      </c>
    </row>
    <row r="1125" spans="1:3" x14ac:dyDescent="0.25">
      <c r="A1125" t="s">
        <v>6419</v>
      </c>
      <c r="C1125" s="27">
        <v>2373007450</v>
      </c>
    </row>
    <row r="1126" spans="1:3" x14ac:dyDescent="0.25">
      <c r="A1126" t="s">
        <v>6420</v>
      </c>
      <c r="C1126" s="27">
        <v>9718164298</v>
      </c>
    </row>
    <row r="1127" spans="1:3" x14ac:dyDescent="0.25">
      <c r="A1127" t="s">
        <v>6421</v>
      </c>
      <c r="C1127" s="27">
        <v>6350021985</v>
      </c>
    </row>
    <row r="1128" spans="1:3" x14ac:dyDescent="0.25">
      <c r="A1128" t="s">
        <v>6422</v>
      </c>
      <c r="C1128" s="27">
        <v>6166127940</v>
      </c>
    </row>
    <row r="1129" spans="1:3" x14ac:dyDescent="0.25">
      <c r="A1129" t="s">
        <v>6423</v>
      </c>
      <c r="C1129" s="27">
        <v>5024100719</v>
      </c>
    </row>
    <row r="1130" spans="1:3" x14ac:dyDescent="0.25">
      <c r="A1130" t="s">
        <v>6424</v>
      </c>
      <c r="C1130" s="27">
        <v>5610242970</v>
      </c>
    </row>
    <row r="1131" spans="1:3" x14ac:dyDescent="0.25">
      <c r="A1131" t="s">
        <v>6425</v>
      </c>
      <c r="C1131" s="27">
        <v>1831197654</v>
      </c>
    </row>
    <row r="1132" spans="1:3" x14ac:dyDescent="0.25">
      <c r="A1132" t="s">
        <v>6426</v>
      </c>
      <c r="C1132" s="27">
        <v>4705032746</v>
      </c>
    </row>
    <row r="1133" spans="1:3" x14ac:dyDescent="0.25">
      <c r="A1133" t="s">
        <v>6427</v>
      </c>
      <c r="C1133" s="27">
        <v>2724236773</v>
      </c>
    </row>
    <row r="1134" spans="1:3" x14ac:dyDescent="0.25">
      <c r="A1134" t="s">
        <v>6428</v>
      </c>
      <c r="C1134" s="27">
        <v>6166112969</v>
      </c>
    </row>
    <row r="1135" spans="1:3" x14ac:dyDescent="0.25">
      <c r="A1135" t="s">
        <v>6429</v>
      </c>
      <c r="C1135" s="27">
        <v>6166074939</v>
      </c>
    </row>
    <row r="1136" spans="1:3" x14ac:dyDescent="0.25">
      <c r="A1136" t="s">
        <v>6430</v>
      </c>
      <c r="C1136" s="27">
        <v>231304995192</v>
      </c>
    </row>
    <row r="1137" spans="1:3" x14ac:dyDescent="0.25">
      <c r="A1137" t="s">
        <v>6431</v>
      </c>
      <c r="C1137" s="27">
        <v>150500834633</v>
      </c>
    </row>
    <row r="1138" spans="1:3" x14ac:dyDescent="0.25">
      <c r="A1138" t="s">
        <v>6432</v>
      </c>
      <c r="C1138" s="27">
        <v>6722021240</v>
      </c>
    </row>
    <row r="1139" spans="1:3" x14ac:dyDescent="0.25">
      <c r="A1139" t="s">
        <v>6433</v>
      </c>
      <c r="C1139" s="27">
        <v>5258128981</v>
      </c>
    </row>
    <row r="1140" spans="1:3" x14ac:dyDescent="0.25">
      <c r="A1140" t="s">
        <v>6434</v>
      </c>
      <c r="C1140" s="27">
        <v>6164289657</v>
      </c>
    </row>
    <row r="1141" spans="1:3" x14ac:dyDescent="0.25">
      <c r="A1141" t="s">
        <v>6435</v>
      </c>
      <c r="C1141" s="27">
        <v>2367037714</v>
      </c>
    </row>
    <row r="1142" spans="1:3" x14ac:dyDescent="0.25">
      <c r="A1142" t="s">
        <v>6436</v>
      </c>
      <c r="C1142" s="27">
        <v>7733778644</v>
      </c>
    </row>
    <row r="1143" spans="1:3" x14ac:dyDescent="0.25">
      <c r="A1143" t="s">
        <v>6437</v>
      </c>
      <c r="C1143" s="27">
        <v>2466220291</v>
      </c>
    </row>
    <row r="1144" spans="1:3" x14ac:dyDescent="0.25">
      <c r="A1144" t="s">
        <v>6438</v>
      </c>
      <c r="C1144" s="27">
        <v>4823022007</v>
      </c>
    </row>
    <row r="1145" spans="1:3" x14ac:dyDescent="0.25">
      <c r="A1145" t="s">
        <v>6439</v>
      </c>
      <c r="C1145" s="27">
        <v>6319151654</v>
      </c>
    </row>
    <row r="1146" spans="1:3" x14ac:dyDescent="0.25">
      <c r="A1146" t="s">
        <v>6440</v>
      </c>
      <c r="C1146" s="27">
        <v>5473008767</v>
      </c>
    </row>
    <row r="1147" spans="1:3" x14ac:dyDescent="0.25">
      <c r="A1147" t="s">
        <v>6441</v>
      </c>
      <c r="C1147" s="27">
        <v>6726022848</v>
      </c>
    </row>
    <row r="1148" spans="1:3" x14ac:dyDescent="0.25">
      <c r="A1148" t="s">
        <v>6442</v>
      </c>
      <c r="C1148" s="27">
        <v>6321110574</v>
      </c>
    </row>
    <row r="1149" spans="1:3" x14ac:dyDescent="0.25">
      <c r="A1149" t="s">
        <v>6443</v>
      </c>
      <c r="C1149" s="27">
        <v>7802844019</v>
      </c>
    </row>
    <row r="1150" spans="1:3" x14ac:dyDescent="0.25">
      <c r="A1150" t="s">
        <v>6444</v>
      </c>
      <c r="C1150" s="27">
        <v>773118455442</v>
      </c>
    </row>
    <row r="1151" spans="1:3" x14ac:dyDescent="0.25">
      <c r="A1151" t="s">
        <v>6445</v>
      </c>
      <c r="C1151" s="27">
        <v>4513001769</v>
      </c>
    </row>
    <row r="1152" spans="1:3" x14ac:dyDescent="0.25">
      <c r="A1152" t="s">
        <v>6446</v>
      </c>
      <c r="C1152" s="27">
        <v>7736337422</v>
      </c>
    </row>
    <row r="1153" spans="1:3" x14ac:dyDescent="0.25">
      <c r="A1153" t="s">
        <v>6447</v>
      </c>
      <c r="C1153" s="27">
        <v>9723093966</v>
      </c>
    </row>
    <row r="1154" spans="1:3" x14ac:dyDescent="0.25">
      <c r="A1154" t="s">
        <v>6448</v>
      </c>
      <c r="C1154" s="27">
        <v>7720715037</v>
      </c>
    </row>
    <row r="1155" spans="1:3" x14ac:dyDescent="0.25">
      <c r="A1155" t="s">
        <v>6449</v>
      </c>
      <c r="C1155" s="27">
        <v>5405452565</v>
      </c>
    </row>
    <row r="1156" spans="1:3" x14ac:dyDescent="0.25">
      <c r="A1156" t="s">
        <v>6450</v>
      </c>
      <c r="C1156" s="27">
        <v>1515922470</v>
      </c>
    </row>
    <row r="1157" spans="1:3" x14ac:dyDescent="0.25">
      <c r="A1157" t="s">
        <v>6451</v>
      </c>
      <c r="C1157" s="27">
        <v>5908077832</v>
      </c>
    </row>
    <row r="1158" spans="1:3" x14ac:dyDescent="0.25">
      <c r="A1158" t="s">
        <v>6452</v>
      </c>
      <c r="C1158" s="27">
        <v>323374846</v>
      </c>
    </row>
    <row r="1159" spans="1:3" x14ac:dyDescent="0.25">
      <c r="A1159" t="s">
        <v>6453</v>
      </c>
      <c r="C1159" s="27">
        <v>616613147119</v>
      </c>
    </row>
    <row r="1160" spans="1:3" x14ac:dyDescent="0.25">
      <c r="A1160" t="s">
        <v>6454</v>
      </c>
      <c r="C1160" s="27">
        <v>6454131608</v>
      </c>
    </row>
    <row r="1161" spans="1:3" x14ac:dyDescent="0.25">
      <c r="A1161" t="s">
        <v>6455</v>
      </c>
      <c r="C1161" s="27">
        <v>6909008760</v>
      </c>
    </row>
    <row r="1162" spans="1:3" x14ac:dyDescent="0.25">
      <c r="A1162" t="s">
        <v>6456</v>
      </c>
      <c r="C1162" s="27">
        <v>2311334923</v>
      </c>
    </row>
    <row r="1163" spans="1:3" x14ac:dyDescent="0.25">
      <c r="A1163" t="s">
        <v>6457</v>
      </c>
      <c r="C1163" s="27">
        <v>5017123480</v>
      </c>
    </row>
    <row r="1164" spans="1:3" x14ac:dyDescent="0.25">
      <c r="A1164" t="s">
        <v>6458</v>
      </c>
      <c r="C1164" s="27">
        <v>7606077043</v>
      </c>
    </row>
    <row r="1165" spans="1:3" x14ac:dyDescent="0.25">
      <c r="A1165" t="s">
        <v>6459</v>
      </c>
      <c r="C1165" s="27">
        <v>344801920882</v>
      </c>
    </row>
    <row r="1166" spans="1:3" x14ac:dyDescent="0.25">
      <c r="A1166" t="s">
        <v>6460</v>
      </c>
      <c r="C1166" s="27">
        <v>6316161654</v>
      </c>
    </row>
    <row r="1167" spans="1:3" x14ac:dyDescent="0.25">
      <c r="A1167" t="s">
        <v>6461</v>
      </c>
      <c r="C1167" s="27">
        <v>6213014136</v>
      </c>
    </row>
    <row r="1168" spans="1:3" x14ac:dyDescent="0.25">
      <c r="A1168" t="s">
        <v>6462</v>
      </c>
      <c r="C1168" s="27">
        <v>701701549583</v>
      </c>
    </row>
    <row r="1169" spans="1:3" x14ac:dyDescent="0.25">
      <c r="A1169" t="s">
        <v>6463</v>
      </c>
      <c r="C1169" s="27">
        <v>4632047297</v>
      </c>
    </row>
    <row r="1170" spans="1:3" x14ac:dyDescent="0.25">
      <c r="A1170" t="s">
        <v>6464</v>
      </c>
      <c r="C1170" s="27">
        <v>7203539383</v>
      </c>
    </row>
    <row r="1171" spans="1:3" x14ac:dyDescent="0.25">
      <c r="A1171" t="s">
        <v>6465</v>
      </c>
      <c r="C1171" s="27">
        <v>6315619589</v>
      </c>
    </row>
    <row r="1172" spans="1:3" x14ac:dyDescent="0.25">
      <c r="A1172" t="s">
        <v>6466</v>
      </c>
      <c r="C1172" s="27">
        <v>7806232391</v>
      </c>
    </row>
    <row r="1173" spans="1:3" x14ac:dyDescent="0.25">
      <c r="A1173" t="s">
        <v>6467</v>
      </c>
      <c r="C1173" s="27">
        <v>3662214289</v>
      </c>
    </row>
    <row r="1174" spans="1:3" x14ac:dyDescent="0.25">
      <c r="A1174" t="s">
        <v>6468</v>
      </c>
      <c r="C1174" s="27">
        <v>7716944620</v>
      </c>
    </row>
    <row r="1175" spans="1:3" x14ac:dyDescent="0.25">
      <c r="A1175" t="s">
        <v>6469</v>
      </c>
      <c r="C1175" s="27">
        <v>6713011856</v>
      </c>
    </row>
    <row r="1176" spans="1:3" x14ac:dyDescent="0.25">
      <c r="A1176" t="s">
        <v>6470</v>
      </c>
      <c r="C1176" s="27">
        <v>7721813037</v>
      </c>
    </row>
    <row r="1177" spans="1:3" x14ac:dyDescent="0.25">
      <c r="A1177" t="s">
        <v>6471</v>
      </c>
      <c r="C1177" s="27">
        <v>7720477833</v>
      </c>
    </row>
    <row r="1178" spans="1:3" x14ac:dyDescent="0.25">
      <c r="A1178" t="s">
        <v>6472</v>
      </c>
      <c r="C1178" s="27">
        <v>3616025329</v>
      </c>
    </row>
    <row r="1179" spans="1:3" x14ac:dyDescent="0.25">
      <c r="A1179" t="s">
        <v>6473</v>
      </c>
      <c r="C1179" s="27">
        <v>554002370</v>
      </c>
    </row>
    <row r="1180" spans="1:3" x14ac:dyDescent="0.25">
      <c r="A1180" t="s">
        <v>6474</v>
      </c>
      <c r="C1180" s="27">
        <v>420900305030</v>
      </c>
    </row>
    <row r="1181" spans="1:3" x14ac:dyDescent="0.25">
      <c r="A1181" t="s">
        <v>6475</v>
      </c>
      <c r="C1181" s="27">
        <v>5074023259</v>
      </c>
    </row>
    <row r="1182" spans="1:3" x14ac:dyDescent="0.25">
      <c r="A1182" t="s">
        <v>6476</v>
      </c>
      <c r="C1182" s="27">
        <v>3328411688</v>
      </c>
    </row>
    <row r="1183" spans="1:3" x14ac:dyDescent="0.25">
      <c r="A1183" t="s">
        <v>6477</v>
      </c>
      <c r="C1183" s="27">
        <v>7715677080</v>
      </c>
    </row>
    <row r="1184" spans="1:3" x14ac:dyDescent="0.25">
      <c r="A1184" t="s">
        <v>6478</v>
      </c>
      <c r="C1184" s="27">
        <v>3252007433</v>
      </c>
    </row>
    <row r="1185" spans="1:3" x14ac:dyDescent="0.25">
      <c r="A1185" t="s">
        <v>6479</v>
      </c>
      <c r="C1185" s="27">
        <v>2310174829</v>
      </c>
    </row>
    <row r="1186" spans="1:3" x14ac:dyDescent="0.25">
      <c r="A1186" t="s">
        <v>6480</v>
      </c>
      <c r="C1186" s="27">
        <v>571008484</v>
      </c>
    </row>
    <row r="1187" spans="1:3" x14ac:dyDescent="0.25">
      <c r="A1187" t="s">
        <v>6481</v>
      </c>
      <c r="C1187" s="27">
        <v>323208850109</v>
      </c>
    </row>
    <row r="1188" spans="1:3" x14ac:dyDescent="0.25">
      <c r="A1188" t="s">
        <v>6482</v>
      </c>
      <c r="C1188" s="27">
        <v>781709822193</v>
      </c>
    </row>
    <row r="1189" spans="1:3" x14ac:dyDescent="0.25">
      <c r="A1189" t="s">
        <v>6483</v>
      </c>
      <c r="C1189" s="27">
        <v>7743104394</v>
      </c>
    </row>
    <row r="1190" spans="1:3" x14ac:dyDescent="0.25">
      <c r="A1190" t="s">
        <v>6484</v>
      </c>
      <c r="C1190" s="27">
        <v>5904196476</v>
      </c>
    </row>
    <row r="1191" spans="1:3" x14ac:dyDescent="0.25">
      <c r="A1191" t="s">
        <v>6485</v>
      </c>
      <c r="C1191" s="27">
        <v>5050115574</v>
      </c>
    </row>
    <row r="1192" spans="1:3" x14ac:dyDescent="0.25">
      <c r="A1192" t="s">
        <v>6486</v>
      </c>
      <c r="C1192" s="27">
        <v>2309141018</v>
      </c>
    </row>
    <row r="1193" spans="1:3" x14ac:dyDescent="0.25">
      <c r="A1193" t="s">
        <v>6487</v>
      </c>
      <c r="C1193" s="27">
        <v>5105090650</v>
      </c>
    </row>
    <row r="1194" spans="1:3" x14ac:dyDescent="0.25">
      <c r="A1194" t="s">
        <v>6488</v>
      </c>
      <c r="C1194" s="27">
        <v>550006133</v>
      </c>
    </row>
    <row r="1195" spans="1:3" x14ac:dyDescent="0.25">
      <c r="A1195" t="s">
        <v>6489</v>
      </c>
      <c r="C1195" s="27">
        <v>460900016059</v>
      </c>
    </row>
    <row r="1196" spans="1:3" x14ac:dyDescent="0.25">
      <c r="A1196" t="s">
        <v>6490</v>
      </c>
      <c r="C1196" s="27">
        <v>5103301129</v>
      </c>
    </row>
    <row r="1197" spans="1:3" x14ac:dyDescent="0.25">
      <c r="A1197" t="s">
        <v>6491</v>
      </c>
      <c r="C1197" s="27">
        <v>7224088491</v>
      </c>
    </row>
    <row r="1198" spans="1:3" x14ac:dyDescent="0.25">
      <c r="A1198" t="s">
        <v>6492</v>
      </c>
      <c r="C1198" s="27">
        <v>246008965267</v>
      </c>
    </row>
    <row r="1199" spans="1:3" x14ac:dyDescent="0.25">
      <c r="A1199" t="s">
        <v>6493</v>
      </c>
      <c r="C1199" s="27">
        <v>7313011525</v>
      </c>
    </row>
    <row r="1200" spans="1:3" x14ac:dyDescent="0.25">
      <c r="A1200" t="s">
        <v>6494</v>
      </c>
      <c r="C1200" s="27">
        <v>2510004398</v>
      </c>
    </row>
    <row r="1201" spans="1:3" x14ac:dyDescent="0.25">
      <c r="A1201" t="s">
        <v>6495</v>
      </c>
      <c r="C1201" s="27">
        <v>6312053182</v>
      </c>
    </row>
    <row r="1202" spans="1:3" x14ac:dyDescent="0.25">
      <c r="A1202" t="s">
        <v>6496</v>
      </c>
      <c r="C1202" s="27">
        <v>2312262911</v>
      </c>
    </row>
    <row r="1203" spans="1:3" x14ac:dyDescent="0.25">
      <c r="A1203" t="s">
        <v>6497</v>
      </c>
      <c r="C1203" s="27">
        <v>6673189431</v>
      </c>
    </row>
    <row r="1204" spans="1:3" x14ac:dyDescent="0.25">
      <c r="A1204" t="s">
        <v>6498</v>
      </c>
      <c r="C1204" s="27">
        <v>262100728873</v>
      </c>
    </row>
    <row r="1205" spans="1:3" x14ac:dyDescent="0.25">
      <c r="A1205" t="s">
        <v>6499</v>
      </c>
      <c r="C1205" s="27">
        <v>422200149397</v>
      </c>
    </row>
    <row r="1206" spans="1:3" x14ac:dyDescent="0.25">
      <c r="A1206" t="s">
        <v>6500</v>
      </c>
      <c r="C1206" s="27">
        <v>1650081538</v>
      </c>
    </row>
    <row r="1207" spans="1:3" x14ac:dyDescent="0.25">
      <c r="A1207" t="s">
        <v>6501</v>
      </c>
      <c r="C1207" s="27">
        <v>3664114730</v>
      </c>
    </row>
    <row r="1208" spans="1:3" x14ac:dyDescent="0.25">
      <c r="A1208" t="s">
        <v>6502</v>
      </c>
      <c r="C1208" s="27">
        <v>2724110354</v>
      </c>
    </row>
    <row r="1209" spans="1:3" x14ac:dyDescent="0.25">
      <c r="A1209" t="s">
        <v>6503</v>
      </c>
      <c r="C1209" s="27">
        <v>4205407669</v>
      </c>
    </row>
    <row r="1210" spans="1:3" x14ac:dyDescent="0.25">
      <c r="A1210" t="s">
        <v>6504</v>
      </c>
      <c r="C1210" s="27">
        <v>615500943090</v>
      </c>
    </row>
    <row r="1211" spans="1:3" x14ac:dyDescent="0.25">
      <c r="A1211" t="s">
        <v>6505</v>
      </c>
      <c r="C1211" s="27">
        <v>344600461131</v>
      </c>
    </row>
    <row r="1212" spans="1:3" x14ac:dyDescent="0.25">
      <c r="A1212" t="s">
        <v>6506</v>
      </c>
      <c r="C1212" s="27">
        <v>631903094864</v>
      </c>
    </row>
    <row r="1213" spans="1:3" x14ac:dyDescent="0.25">
      <c r="A1213" t="s">
        <v>6507</v>
      </c>
      <c r="C1213" s="27">
        <v>6311130275</v>
      </c>
    </row>
    <row r="1214" spans="1:3" x14ac:dyDescent="0.25">
      <c r="A1214" t="s">
        <v>6508</v>
      </c>
      <c r="C1214" s="27">
        <v>5501201317</v>
      </c>
    </row>
    <row r="1215" spans="1:3" x14ac:dyDescent="0.25">
      <c r="A1215" t="s">
        <v>6509</v>
      </c>
      <c r="C1215" s="27">
        <v>7729050901</v>
      </c>
    </row>
    <row r="1216" spans="1:3" x14ac:dyDescent="0.25">
      <c r="A1216" t="s">
        <v>6510</v>
      </c>
      <c r="C1216" s="27">
        <v>5604032149</v>
      </c>
    </row>
    <row r="1217" spans="1:3" x14ac:dyDescent="0.25">
      <c r="A1217" t="s">
        <v>6511</v>
      </c>
      <c r="C1217" s="27">
        <v>9729278681</v>
      </c>
    </row>
    <row r="1218" spans="1:3" x14ac:dyDescent="0.25">
      <c r="A1218" t="s">
        <v>6512</v>
      </c>
      <c r="C1218" s="27">
        <v>150102061261</v>
      </c>
    </row>
    <row r="1219" spans="1:3" x14ac:dyDescent="0.25">
      <c r="A1219" t="s">
        <v>6513</v>
      </c>
      <c r="C1219" s="27">
        <v>6166069696</v>
      </c>
    </row>
    <row r="1220" spans="1:3" x14ac:dyDescent="0.25">
      <c r="A1220" t="s">
        <v>6514</v>
      </c>
      <c r="C1220" s="27">
        <v>231700679497</v>
      </c>
    </row>
    <row r="1221" spans="1:3" x14ac:dyDescent="0.25">
      <c r="A1221" t="s">
        <v>6515</v>
      </c>
      <c r="C1221" s="27">
        <v>332901026090</v>
      </c>
    </row>
    <row r="1222" spans="1:3" x14ac:dyDescent="0.25">
      <c r="A1222" t="s">
        <v>6516</v>
      </c>
      <c r="C1222" s="27">
        <v>7806432601</v>
      </c>
    </row>
    <row r="1223" spans="1:3" x14ac:dyDescent="0.25">
      <c r="A1223" t="s">
        <v>6517</v>
      </c>
      <c r="C1223" s="27">
        <v>2221019606</v>
      </c>
    </row>
    <row r="1224" spans="1:3" x14ac:dyDescent="0.25">
      <c r="A1224" t="s">
        <v>6518</v>
      </c>
      <c r="C1224" s="27">
        <v>6670059843</v>
      </c>
    </row>
    <row r="1225" spans="1:3" x14ac:dyDescent="0.25">
      <c r="A1225" t="s">
        <v>6519</v>
      </c>
      <c r="C1225" s="27">
        <v>1433031836</v>
      </c>
    </row>
    <row r="1226" spans="1:3" x14ac:dyDescent="0.25">
      <c r="A1226" t="s">
        <v>6520</v>
      </c>
      <c r="C1226" s="27">
        <v>2703061956</v>
      </c>
    </row>
    <row r="1227" spans="1:3" x14ac:dyDescent="0.25">
      <c r="A1227" t="s">
        <v>6521</v>
      </c>
      <c r="C1227" s="27">
        <v>9715414535</v>
      </c>
    </row>
    <row r="1228" spans="1:3" x14ac:dyDescent="0.25">
      <c r="A1228" t="s">
        <v>6522</v>
      </c>
      <c r="C1228" s="27">
        <v>2311241316</v>
      </c>
    </row>
    <row r="1229" spans="1:3" x14ac:dyDescent="0.25">
      <c r="A1229" t="s">
        <v>6523</v>
      </c>
      <c r="C1229" s="27">
        <v>2720030027</v>
      </c>
    </row>
    <row r="1230" spans="1:3" x14ac:dyDescent="0.25">
      <c r="A1230" t="s">
        <v>6524</v>
      </c>
      <c r="C1230" s="27">
        <v>2464128646</v>
      </c>
    </row>
    <row r="1231" spans="1:3" x14ac:dyDescent="0.25">
      <c r="A1231" t="s">
        <v>6525</v>
      </c>
      <c r="C1231" s="27">
        <v>553000048187</v>
      </c>
    </row>
    <row r="1232" spans="1:3" x14ac:dyDescent="0.25">
      <c r="A1232" t="s">
        <v>6526</v>
      </c>
      <c r="C1232" s="27">
        <v>525617721745</v>
      </c>
    </row>
    <row r="1233" spans="1:3" x14ac:dyDescent="0.25">
      <c r="A1233" t="s">
        <v>6527</v>
      </c>
      <c r="C1233" s="27">
        <v>6950178265</v>
      </c>
    </row>
    <row r="1234" spans="1:3" x14ac:dyDescent="0.25">
      <c r="A1234" t="s">
        <v>6528</v>
      </c>
      <c r="C1234" s="27">
        <v>4404004311</v>
      </c>
    </row>
    <row r="1235" spans="1:3" x14ac:dyDescent="0.25">
      <c r="A1235" t="s">
        <v>6529</v>
      </c>
      <c r="C1235" s="27">
        <v>2510011194</v>
      </c>
    </row>
    <row r="1236" spans="1:3" x14ac:dyDescent="0.25">
      <c r="A1236" t="s">
        <v>6530</v>
      </c>
      <c r="C1236" s="27">
        <v>3801063304</v>
      </c>
    </row>
    <row r="1237" spans="1:3" x14ac:dyDescent="0.25">
      <c r="A1237" t="s">
        <v>6531</v>
      </c>
      <c r="C1237" s="27">
        <v>2336011970</v>
      </c>
    </row>
    <row r="1238" spans="1:3" x14ac:dyDescent="0.25">
      <c r="A1238" t="s">
        <v>6532</v>
      </c>
      <c r="C1238" s="27">
        <v>7707355441</v>
      </c>
    </row>
    <row r="1239" spans="1:3" x14ac:dyDescent="0.25">
      <c r="A1239" t="s">
        <v>6533</v>
      </c>
      <c r="C1239" s="27">
        <v>3201000327</v>
      </c>
    </row>
    <row r="1240" spans="1:3" x14ac:dyDescent="0.25">
      <c r="A1240" t="s">
        <v>6534</v>
      </c>
      <c r="C1240" s="27">
        <v>550502319283</v>
      </c>
    </row>
    <row r="1241" spans="1:3" x14ac:dyDescent="0.25">
      <c r="A1241" t="s">
        <v>6535</v>
      </c>
      <c r="C1241" s="27">
        <v>7608039340</v>
      </c>
    </row>
    <row r="1242" spans="1:3" x14ac:dyDescent="0.25">
      <c r="A1242" t="s">
        <v>6536</v>
      </c>
      <c r="C1242" s="27">
        <v>8602141405</v>
      </c>
    </row>
    <row r="1243" spans="1:3" x14ac:dyDescent="0.25">
      <c r="A1243" t="s">
        <v>6537</v>
      </c>
      <c r="C1243" s="27">
        <v>5403362764</v>
      </c>
    </row>
    <row r="1244" spans="1:3" x14ac:dyDescent="0.25">
      <c r="A1244" t="s">
        <v>6538</v>
      </c>
      <c r="C1244" s="27">
        <v>5012079068</v>
      </c>
    </row>
    <row r="1245" spans="1:3" x14ac:dyDescent="0.25">
      <c r="A1245" t="s">
        <v>6539</v>
      </c>
      <c r="C1245" s="27">
        <v>5410087692</v>
      </c>
    </row>
    <row r="1246" spans="1:3" x14ac:dyDescent="0.25">
      <c r="A1246" t="s">
        <v>6540</v>
      </c>
      <c r="C1246" s="27">
        <v>5610219642</v>
      </c>
    </row>
    <row r="1247" spans="1:3" x14ac:dyDescent="0.25">
      <c r="A1247" t="s">
        <v>6541</v>
      </c>
      <c r="C1247" s="27">
        <v>6154164176</v>
      </c>
    </row>
    <row r="1248" spans="1:3" x14ac:dyDescent="0.25">
      <c r="A1248" t="s">
        <v>6542</v>
      </c>
      <c r="C1248" s="27">
        <v>7719591210</v>
      </c>
    </row>
    <row r="1249" spans="1:3" x14ac:dyDescent="0.25">
      <c r="A1249" t="s">
        <v>6543</v>
      </c>
      <c r="C1249" s="27">
        <v>3435147678</v>
      </c>
    </row>
    <row r="1250" spans="1:3" x14ac:dyDescent="0.25">
      <c r="A1250" t="s">
        <v>6544</v>
      </c>
      <c r="C1250" s="27">
        <v>3817027703</v>
      </c>
    </row>
    <row r="1251" spans="1:3" x14ac:dyDescent="0.25">
      <c r="A1251" t="s">
        <v>6545</v>
      </c>
      <c r="C1251" s="27">
        <v>3665104372</v>
      </c>
    </row>
    <row r="1252" spans="1:3" x14ac:dyDescent="0.25">
      <c r="A1252" t="s">
        <v>6546</v>
      </c>
      <c r="C1252" s="27">
        <v>1646010157</v>
      </c>
    </row>
    <row r="1253" spans="1:3" x14ac:dyDescent="0.25">
      <c r="A1253" t="s">
        <v>6547</v>
      </c>
      <c r="C1253" s="27">
        <v>2539074817</v>
      </c>
    </row>
    <row r="1254" spans="1:3" x14ac:dyDescent="0.25">
      <c r="A1254" t="s">
        <v>6548</v>
      </c>
      <c r="C1254" s="27">
        <v>4218105425</v>
      </c>
    </row>
    <row r="1255" spans="1:3" x14ac:dyDescent="0.25">
      <c r="A1255" t="s">
        <v>6549</v>
      </c>
      <c r="C1255" s="27">
        <v>1433028960</v>
      </c>
    </row>
    <row r="1256" spans="1:3" x14ac:dyDescent="0.25">
      <c r="A1256" t="s">
        <v>6550</v>
      </c>
      <c r="C1256" s="27">
        <v>7820003322</v>
      </c>
    </row>
    <row r="1257" spans="1:3" x14ac:dyDescent="0.25">
      <c r="A1257" t="s">
        <v>6551</v>
      </c>
      <c r="C1257" s="27">
        <v>2310200613</v>
      </c>
    </row>
    <row r="1258" spans="1:3" x14ac:dyDescent="0.25">
      <c r="A1258" t="s">
        <v>6552</v>
      </c>
      <c r="C1258" s="27">
        <v>9201016367</v>
      </c>
    </row>
    <row r="1259" spans="1:3" x14ac:dyDescent="0.25">
      <c r="A1259" t="s">
        <v>6553</v>
      </c>
      <c r="C1259" s="27">
        <v>4027034318</v>
      </c>
    </row>
    <row r="1260" spans="1:3" x14ac:dyDescent="0.25">
      <c r="A1260" t="s">
        <v>6554</v>
      </c>
      <c r="C1260" s="27">
        <v>7702397455</v>
      </c>
    </row>
    <row r="1261" spans="1:3" x14ac:dyDescent="0.25">
      <c r="A1261" t="s">
        <v>6555</v>
      </c>
      <c r="C1261" s="27">
        <v>231517245187</v>
      </c>
    </row>
    <row r="1262" spans="1:3" x14ac:dyDescent="0.25">
      <c r="A1262" t="s">
        <v>6556</v>
      </c>
      <c r="C1262" s="27">
        <v>5700000260</v>
      </c>
    </row>
    <row r="1263" spans="1:3" x14ac:dyDescent="0.25">
      <c r="A1263" t="s">
        <v>6557</v>
      </c>
      <c r="C1263" s="27">
        <v>390613814477</v>
      </c>
    </row>
    <row r="1264" spans="1:3" x14ac:dyDescent="0.25">
      <c r="A1264" t="s">
        <v>6558</v>
      </c>
      <c r="C1264" s="27">
        <v>7802726022</v>
      </c>
    </row>
    <row r="1265" spans="1:3" x14ac:dyDescent="0.25">
      <c r="A1265" t="s">
        <v>6559</v>
      </c>
      <c r="C1265" s="27">
        <v>2367027473</v>
      </c>
    </row>
    <row r="1266" spans="1:3" x14ac:dyDescent="0.25">
      <c r="A1266" t="s">
        <v>6560</v>
      </c>
      <c r="C1266" s="27">
        <v>5431105977</v>
      </c>
    </row>
    <row r="1267" spans="1:3" x14ac:dyDescent="0.25">
      <c r="A1267" t="s">
        <v>6561</v>
      </c>
      <c r="C1267" s="27">
        <v>5837066084</v>
      </c>
    </row>
    <row r="1268" spans="1:3" x14ac:dyDescent="0.25">
      <c r="A1268" t="s">
        <v>6562</v>
      </c>
      <c r="C1268" s="27">
        <v>5751055549</v>
      </c>
    </row>
    <row r="1269" spans="1:3" x14ac:dyDescent="0.25">
      <c r="A1269" t="s">
        <v>6563</v>
      </c>
      <c r="C1269" s="27">
        <v>2465354616</v>
      </c>
    </row>
    <row r="1270" spans="1:3" x14ac:dyDescent="0.25">
      <c r="A1270" t="s">
        <v>6564</v>
      </c>
      <c r="C1270" s="27">
        <v>421101282999</v>
      </c>
    </row>
    <row r="1271" spans="1:3" x14ac:dyDescent="0.25">
      <c r="A1271" t="s">
        <v>6565</v>
      </c>
      <c r="C1271" s="27">
        <v>7453295531</v>
      </c>
    </row>
    <row r="1272" spans="1:3" x14ac:dyDescent="0.25">
      <c r="A1272" t="s">
        <v>6566</v>
      </c>
      <c r="C1272" s="27">
        <v>5032262061</v>
      </c>
    </row>
    <row r="1273" spans="1:3" x14ac:dyDescent="0.25">
      <c r="A1273" t="s">
        <v>6567</v>
      </c>
      <c r="C1273" s="27">
        <v>920150453014</v>
      </c>
    </row>
    <row r="1274" spans="1:3" x14ac:dyDescent="0.25">
      <c r="A1274" t="s">
        <v>6568</v>
      </c>
      <c r="C1274" s="27">
        <v>2301088387</v>
      </c>
    </row>
    <row r="1275" spans="1:3" x14ac:dyDescent="0.25">
      <c r="A1275" t="s">
        <v>6569</v>
      </c>
      <c r="C1275" s="27">
        <v>7723912435</v>
      </c>
    </row>
    <row r="1276" spans="1:3" x14ac:dyDescent="0.25">
      <c r="A1276" t="s">
        <v>6570</v>
      </c>
      <c r="C1276" s="27">
        <v>3628008712</v>
      </c>
    </row>
    <row r="1277" spans="1:3" x14ac:dyDescent="0.25">
      <c r="A1277" t="s">
        <v>6571</v>
      </c>
      <c r="C1277" s="27">
        <v>7810068296</v>
      </c>
    </row>
    <row r="1278" spans="1:3" x14ac:dyDescent="0.25">
      <c r="A1278" t="s">
        <v>6572</v>
      </c>
      <c r="C1278" s="27">
        <v>2636087829</v>
      </c>
    </row>
    <row r="1279" spans="1:3" x14ac:dyDescent="0.25">
      <c r="A1279" t="s">
        <v>6573</v>
      </c>
      <c r="C1279" s="27">
        <v>5250039698</v>
      </c>
    </row>
    <row r="1280" spans="1:3" x14ac:dyDescent="0.25">
      <c r="A1280" t="s">
        <v>6574</v>
      </c>
      <c r="C1280" s="27">
        <v>3230005312</v>
      </c>
    </row>
    <row r="1281" spans="1:3" x14ac:dyDescent="0.25">
      <c r="A1281" t="s">
        <v>6575</v>
      </c>
      <c r="C1281" s="27">
        <v>3128009179</v>
      </c>
    </row>
    <row r="1282" spans="1:3" x14ac:dyDescent="0.25">
      <c r="A1282" t="s">
        <v>6576</v>
      </c>
      <c r="C1282" s="27">
        <v>56000069735</v>
      </c>
    </row>
    <row r="1283" spans="1:3" x14ac:dyDescent="0.25">
      <c r="A1283" t="s">
        <v>6577</v>
      </c>
      <c r="C1283" s="27">
        <v>6164224554</v>
      </c>
    </row>
    <row r="1284" spans="1:3" x14ac:dyDescent="0.25">
      <c r="A1284" t="s">
        <v>6578</v>
      </c>
      <c r="C1284" s="27">
        <v>151101585257</v>
      </c>
    </row>
    <row r="1285" spans="1:3" x14ac:dyDescent="0.25">
      <c r="A1285" t="s">
        <v>6579</v>
      </c>
      <c r="C1285" s="27">
        <v>544512075044</v>
      </c>
    </row>
    <row r="1286" spans="1:3" x14ac:dyDescent="0.25">
      <c r="A1286" t="s">
        <v>6580</v>
      </c>
      <c r="C1286" s="27">
        <v>402800810760</v>
      </c>
    </row>
    <row r="1287" spans="1:3" x14ac:dyDescent="0.25">
      <c r="A1287" t="s">
        <v>6581</v>
      </c>
      <c r="C1287" s="27">
        <v>5902862610</v>
      </c>
    </row>
    <row r="1288" spans="1:3" x14ac:dyDescent="0.25">
      <c r="A1288" t="s">
        <v>6582</v>
      </c>
      <c r="C1288" s="27">
        <v>9111021355</v>
      </c>
    </row>
    <row r="1289" spans="1:3" x14ac:dyDescent="0.25">
      <c r="A1289" t="s">
        <v>6583</v>
      </c>
      <c r="C1289" s="27">
        <v>2302061194</v>
      </c>
    </row>
    <row r="1290" spans="1:3" x14ac:dyDescent="0.25">
      <c r="A1290" t="s">
        <v>6584</v>
      </c>
      <c r="C1290" s="27">
        <v>7816557790</v>
      </c>
    </row>
    <row r="1291" spans="1:3" x14ac:dyDescent="0.25">
      <c r="A1291" t="s">
        <v>6585</v>
      </c>
      <c r="C1291" s="27">
        <v>5906146600</v>
      </c>
    </row>
    <row r="1292" spans="1:3" x14ac:dyDescent="0.25">
      <c r="A1292" t="s">
        <v>6586</v>
      </c>
      <c r="C1292" s="27">
        <v>9203545775</v>
      </c>
    </row>
    <row r="1293" spans="1:3" x14ac:dyDescent="0.25">
      <c r="A1293" t="s">
        <v>6587</v>
      </c>
      <c r="C1293" s="27">
        <v>9705190974</v>
      </c>
    </row>
    <row r="1294" spans="1:3" x14ac:dyDescent="0.25">
      <c r="A1294" t="s">
        <v>6588</v>
      </c>
      <c r="C1294" s="27">
        <v>545026575</v>
      </c>
    </row>
    <row r="1295" spans="1:3" x14ac:dyDescent="0.25">
      <c r="A1295" t="s">
        <v>6589</v>
      </c>
      <c r="C1295" s="27">
        <v>3620010526</v>
      </c>
    </row>
    <row r="1296" spans="1:3" x14ac:dyDescent="0.25">
      <c r="A1296" t="s">
        <v>6590</v>
      </c>
      <c r="C1296" s="27">
        <v>5260398400</v>
      </c>
    </row>
    <row r="1297" spans="1:3" x14ac:dyDescent="0.25">
      <c r="A1297" t="s">
        <v>6591</v>
      </c>
      <c r="C1297" s="27">
        <v>7017467050</v>
      </c>
    </row>
    <row r="1298" spans="1:3" x14ac:dyDescent="0.25">
      <c r="A1298" t="s">
        <v>6592</v>
      </c>
      <c r="C1298" s="27">
        <v>5047301362</v>
      </c>
    </row>
    <row r="1299" spans="1:3" x14ac:dyDescent="0.25">
      <c r="A1299" t="s">
        <v>6593</v>
      </c>
      <c r="C1299" s="27">
        <v>7106040020</v>
      </c>
    </row>
    <row r="1300" spans="1:3" x14ac:dyDescent="0.25">
      <c r="A1300" t="s">
        <v>6594</v>
      </c>
      <c r="C1300" s="27">
        <v>7724397441</v>
      </c>
    </row>
    <row r="1301" spans="1:3" x14ac:dyDescent="0.25">
      <c r="A1301" t="s">
        <v>6595</v>
      </c>
      <c r="C1301" s="27">
        <v>4632014220</v>
      </c>
    </row>
    <row r="1302" spans="1:3" x14ac:dyDescent="0.25">
      <c r="A1302" t="s">
        <v>6596</v>
      </c>
      <c r="C1302" s="27">
        <v>2373006418</v>
      </c>
    </row>
    <row r="1303" spans="1:3" x14ac:dyDescent="0.25">
      <c r="A1303" t="s">
        <v>6597</v>
      </c>
      <c r="C1303" s="27">
        <v>7727696961</v>
      </c>
    </row>
    <row r="1304" spans="1:3" x14ac:dyDescent="0.25">
      <c r="A1304" t="s">
        <v>6598</v>
      </c>
      <c r="C1304" s="27">
        <v>7819042775</v>
      </c>
    </row>
    <row r="1305" spans="1:3" x14ac:dyDescent="0.25">
      <c r="A1305" t="s">
        <v>6599</v>
      </c>
      <c r="C1305" s="27">
        <v>7720292600</v>
      </c>
    </row>
    <row r="1306" spans="1:3" x14ac:dyDescent="0.25">
      <c r="A1306" t="s">
        <v>6600</v>
      </c>
      <c r="C1306" s="27">
        <v>5043065851</v>
      </c>
    </row>
    <row r="1307" spans="1:3" x14ac:dyDescent="0.25">
      <c r="A1307" t="s">
        <v>6601</v>
      </c>
      <c r="C1307" s="27">
        <v>402707443989</v>
      </c>
    </row>
    <row r="1308" spans="1:3" x14ac:dyDescent="0.25">
      <c r="A1308" t="s">
        <v>6602</v>
      </c>
      <c r="C1308" s="27">
        <v>9723198278</v>
      </c>
    </row>
    <row r="1309" spans="1:3" x14ac:dyDescent="0.25">
      <c r="A1309" t="s">
        <v>6603</v>
      </c>
      <c r="C1309" s="27">
        <v>7806468196</v>
      </c>
    </row>
    <row r="1310" spans="1:3" x14ac:dyDescent="0.25">
      <c r="A1310" t="s">
        <v>6604</v>
      </c>
      <c r="C1310" s="27">
        <v>7713695615</v>
      </c>
    </row>
    <row r="1311" spans="1:3" x14ac:dyDescent="0.25">
      <c r="A1311" t="s">
        <v>6605</v>
      </c>
      <c r="C1311" s="27">
        <v>71100174335</v>
      </c>
    </row>
    <row r="1312" spans="1:3" x14ac:dyDescent="0.25">
      <c r="A1312" t="s">
        <v>6606</v>
      </c>
      <c r="C1312" s="27">
        <v>7205022390</v>
      </c>
    </row>
    <row r="1313" spans="1:3" x14ac:dyDescent="0.25">
      <c r="A1313" t="s">
        <v>6607</v>
      </c>
      <c r="C1313" s="27">
        <v>5907998615</v>
      </c>
    </row>
    <row r="1314" spans="1:3" x14ac:dyDescent="0.25">
      <c r="A1314" t="s">
        <v>6608</v>
      </c>
      <c r="C1314" s="27">
        <v>6150024869</v>
      </c>
    </row>
    <row r="1315" spans="1:3" x14ac:dyDescent="0.25">
      <c r="A1315" t="s">
        <v>6609</v>
      </c>
      <c r="C1315" s="27">
        <v>370212291072</v>
      </c>
    </row>
    <row r="1316" spans="1:3" x14ac:dyDescent="0.25">
      <c r="A1316" t="s">
        <v>6610</v>
      </c>
      <c r="C1316" s="27">
        <v>9102280480</v>
      </c>
    </row>
    <row r="1317" spans="1:3" x14ac:dyDescent="0.25">
      <c r="A1317" t="s">
        <v>6611</v>
      </c>
      <c r="C1317" s="27">
        <v>644910942683</v>
      </c>
    </row>
    <row r="1318" spans="1:3" x14ac:dyDescent="0.25">
      <c r="A1318" t="s">
        <v>6612</v>
      </c>
      <c r="C1318" s="27">
        <v>2223639387</v>
      </c>
    </row>
    <row r="1319" spans="1:3" x14ac:dyDescent="0.25">
      <c r="A1319" t="s">
        <v>6613</v>
      </c>
      <c r="C1319" s="27">
        <v>9106000335</v>
      </c>
    </row>
    <row r="1320" spans="1:3" x14ac:dyDescent="0.25">
      <c r="A1320" t="s">
        <v>6614</v>
      </c>
      <c r="C1320" s="27">
        <v>6319151774</v>
      </c>
    </row>
    <row r="1321" spans="1:3" x14ac:dyDescent="0.25">
      <c r="A1321" t="s">
        <v>6615</v>
      </c>
      <c r="C1321" s="27">
        <v>450107067138</v>
      </c>
    </row>
    <row r="1322" spans="1:3" x14ac:dyDescent="0.25">
      <c r="A1322" t="s">
        <v>6616</v>
      </c>
      <c r="C1322" s="27">
        <v>3601006482</v>
      </c>
    </row>
    <row r="1323" spans="1:3" x14ac:dyDescent="0.25">
      <c r="A1323" t="s">
        <v>6617</v>
      </c>
      <c r="C1323" s="27">
        <v>9203008139</v>
      </c>
    </row>
    <row r="1324" spans="1:3" x14ac:dyDescent="0.25">
      <c r="A1324" t="s">
        <v>6618</v>
      </c>
      <c r="C1324" s="27">
        <v>323346824</v>
      </c>
    </row>
    <row r="1325" spans="1:3" x14ac:dyDescent="0.25">
      <c r="A1325" t="s">
        <v>6619</v>
      </c>
      <c r="C1325" s="27">
        <v>5446020645</v>
      </c>
    </row>
    <row r="1326" spans="1:3" x14ac:dyDescent="0.25">
      <c r="A1326" t="s">
        <v>6620</v>
      </c>
      <c r="C1326" s="27">
        <v>9106000310</v>
      </c>
    </row>
    <row r="1327" spans="1:3" x14ac:dyDescent="0.25">
      <c r="A1327" t="s">
        <v>6621</v>
      </c>
      <c r="C1327" s="27">
        <v>5403051261</v>
      </c>
    </row>
    <row r="1328" spans="1:3" x14ac:dyDescent="0.25">
      <c r="A1328" t="s">
        <v>6622</v>
      </c>
      <c r="C1328" s="27">
        <v>3808138301</v>
      </c>
    </row>
    <row r="1329" spans="1:3" x14ac:dyDescent="0.25">
      <c r="A1329" t="s">
        <v>6623</v>
      </c>
      <c r="C1329" s="27">
        <v>2330035735</v>
      </c>
    </row>
    <row r="1330" spans="1:3" x14ac:dyDescent="0.25">
      <c r="A1330" t="s">
        <v>6624</v>
      </c>
      <c r="C1330" s="27">
        <v>2428004155</v>
      </c>
    </row>
    <row r="1331" spans="1:3" x14ac:dyDescent="0.25">
      <c r="A1331" t="s">
        <v>6625</v>
      </c>
      <c r="C1331" s="27">
        <v>5651021419</v>
      </c>
    </row>
    <row r="1332" spans="1:3" x14ac:dyDescent="0.25">
      <c r="A1332" t="s">
        <v>6626</v>
      </c>
      <c r="C1332" s="27">
        <v>6820015196</v>
      </c>
    </row>
    <row r="1333" spans="1:3" x14ac:dyDescent="0.25">
      <c r="A1333" t="s">
        <v>6627</v>
      </c>
      <c r="C1333" s="27">
        <v>7722319430</v>
      </c>
    </row>
    <row r="1334" spans="1:3" x14ac:dyDescent="0.25">
      <c r="A1334" t="s">
        <v>6628</v>
      </c>
      <c r="C1334" s="27">
        <v>614301557290</v>
      </c>
    </row>
    <row r="1335" spans="1:3" x14ac:dyDescent="0.25">
      <c r="A1335" t="s">
        <v>6629</v>
      </c>
      <c r="C1335" s="27">
        <v>7802697886</v>
      </c>
    </row>
    <row r="1336" spans="1:3" x14ac:dyDescent="0.25">
      <c r="A1336" t="s">
        <v>6630</v>
      </c>
      <c r="C1336" s="27">
        <v>6316110096</v>
      </c>
    </row>
    <row r="1337" spans="1:3" x14ac:dyDescent="0.25">
      <c r="A1337" t="s">
        <v>6631</v>
      </c>
      <c r="C1337" s="27">
        <v>4629049054</v>
      </c>
    </row>
    <row r="1338" spans="1:3" x14ac:dyDescent="0.25">
      <c r="A1338" t="s">
        <v>6632</v>
      </c>
      <c r="C1338" s="27">
        <v>2301097462</v>
      </c>
    </row>
    <row r="1339" spans="1:3" x14ac:dyDescent="0.25">
      <c r="A1339" t="s">
        <v>6633</v>
      </c>
      <c r="C1339" s="27">
        <v>6671048146</v>
      </c>
    </row>
    <row r="1340" spans="1:3" x14ac:dyDescent="0.25">
      <c r="A1340" t="s">
        <v>6634</v>
      </c>
      <c r="C1340" s="27">
        <v>590315536910</v>
      </c>
    </row>
    <row r="1341" spans="1:3" x14ac:dyDescent="0.25">
      <c r="A1341" t="s">
        <v>6635</v>
      </c>
      <c r="C1341" s="27">
        <v>6165076884</v>
      </c>
    </row>
    <row r="1342" spans="1:3" x14ac:dyDescent="0.25">
      <c r="A1342" t="s">
        <v>6636</v>
      </c>
      <c r="C1342" s="27">
        <v>5321059679</v>
      </c>
    </row>
    <row r="1343" spans="1:3" x14ac:dyDescent="0.25">
      <c r="A1343" t="s">
        <v>6637</v>
      </c>
      <c r="C1343" s="27">
        <v>725031327</v>
      </c>
    </row>
    <row r="1344" spans="1:3" x14ac:dyDescent="0.25">
      <c r="A1344" t="s">
        <v>6638</v>
      </c>
      <c r="C1344" s="27">
        <v>7724328977</v>
      </c>
    </row>
    <row r="1345" spans="1:3" x14ac:dyDescent="0.25">
      <c r="A1345" t="s">
        <v>6639</v>
      </c>
      <c r="C1345" s="27">
        <v>7806358228</v>
      </c>
    </row>
    <row r="1346" spans="1:3" x14ac:dyDescent="0.25">
      <c r="A1346" t="s">
        <v>6640</v>
      </c>
      <c r="C1346" s="27">
        <v>9725063558</v>
      </c>
    </row>
    <row r="1347" spans="1:3" x14ac:dyDescent="0.25">
      <c r="A1347" t="s">
        <v>6641</v>
      </c>
      <c r="C1347" s="27">
        <v>262702165723</v>
      </c>
    </row>
    <row r="1348" spans="1:3" x14ac:dyDescent="0.25">
      <c r="A1348" t="s">
        <v>6642</v>
      </c>
      <c r="C1348" s="27">
        <v>6658554055</v>
      </c>
    </row>
    <row r="1349" spans="1:3" x14ac:dyDescent="0.25">
      <c r="A1349" t="s">
        <v>6643</v>
      </c>
      <c r="C1349" s="27">
        <v>4632192826</v>
      </c>
    </row>
    <row r="1350" spans="1:3" x14ac:dyDescent="0.25">
      <c r="A1350" t="s">
        <v>6644</v>
      </c>
      <c r="C1350" s="27">
        <v>231104421440</v>
      </c>
    </row>
    <row r="1351" spans="1:3" x14ac:dyDescent="0.25">
      <c r="A1351" t="s">
        <v>6645</v>
      </c>
      <c r="C1351" s="27">
        <v>5010007773</v>
      </c>
    </row>
    <row r="1352" spans="1:3" x14ac:dyDescent="0.25">
      <c r="A1352" t="s">
        <v>6646</v>
      </c>
      <c r="C1352" s="27">
        <v>230900454812</v>
      </c>
    </row>
    <row r="1353" spans="1:3" x14ac:dyDescent="0.25">
      <c r="A1353" t="s">
        <v>6647</v>
      </c>
      <c r="C1353" s="27">
        <v>71500577145</v>
      </c>
    </row>
    <row r="1354" spans="1:3" x14ac:dyDescent="0.25">
      <c r="A1354" t="s">
        <v>6648</v>
      </c>
      <c r="C1354" s="27">
        <v>6800013017</v>
      </c>
    </row>
    <row r="1355" spans="1:3" x14ac:dyDescent="0.25">
      <c r="A1355" t="s">
        <v>6649</v>
      </c>
      <c r="C1355" s="27">
        <v>5258157580</v>
      </c>
    </row>
    <row r="1356" spans="1:3" x14ac:dyDescent="0.25">
      <c r="A1356" t="s">
        <v>6650</v>
      </c>
      <c r="C1356" s="27">
        <v>224802279828</v>
      </c>
    </row>
    <row r="1357" spans="1:3" x14ac:dyDescent="0.25">
      <c r="A1357" t="s">
        <v>6651</v>
      </c>
      <c r="C1357" s="27">
        <v>233002711761</v>
      </c>
    </row>
    <row r="1358" spans="1:3" x14ac:dyDescent="0.25">
      <c r="A1358" t="s">
        <v>6652</v>
      </c>
      <c r="C1358" s="27">
        <v>917040572</v>
      </c>
    </row>
    <row r="1359" spans="1:3" x14ac:dyDescent="0.25">
      <c r="A1359" t="s">
        <v>6653</v>
      </c>
      <c r="C1359" s="27">
        <v>6453150767</v>
      </c>
    </row>
    <row r="1360" spans="1:3" x14ac:dyDescent="0.25">
      <c r="A1360" t="s">
        <v>6654</v>
      </c>
      <c r="C1360" s="27">
        <v>615147307748</v>
      </c>
    </row>
    <row r="1361" spans="1:3" x14ac:dyDescent="0.25">
      <c r="A1361" t="s">
        <v>6655</v>
      </c>
      <c r="C1361" s="27">
        <v>7801073388</v>
      </c>
    </row>
    <row r="1362" spans="1:3" x14ac:dyDescent="0.25">
      <c r="A1362" t="s">
        <v>6656</v>
      </c>
      <c r="C1362" s="27">
        <v>5027168240</v>
      </c>
    </row>
    <row r="1363" spans="1:3" x14ac:dyDescent="0.25">
      <c r="A1363" t="s">
        <v>6657</v>
      </c>
      <c r="C1363" s="27">
        <v>2320226650</v>
      </c>
    </row>
    <row r="1364" spans="1:3" x14ac:dyDescent="0.25">
      <c r="A1364" t="s">
        <v>6658</v>
      </c>
      <c r="C1364" s="27">
        <v>6454036873</v>
      </c>
    </row>
    <row r="1365" spans="1:3" x14ac:dyDescent="0.25">
      <c r="A1365" t="s">
        <v>6659</v>
      </c>
      <c r="C1365" s="27">
        <v>6111984791</v>
      </c>
    </row>
    <row r="1366" spans="1:3" x14ac:dyDescent="0.25">
      <c r="A1366" t="s">
        <v>6660</v>
      </c>
      <c r="C1366" s="27">
        <v>3652012879</v>
      </c>
    </row>
    <row r="1367" spans="1:3" x14ac:dyDescent="0.25">
      <c r="A1367" t="s">
        <v>6661</v>
      </c>
      <c r="C1367" s="27">
        <v>6166112694</v>
      </c>
    </row>
    <row r="1368" spans="1:3" x14ac:dyDescent="0.25">
      <c r="A1368" t="s">
        <v>6662</v>
      </c>
      <c r="C1368" s="27">
        <v>6311109989</v>
      </c>
    </row>
    <row r="1369" spans="1:3" x14ac:dyDescent="0.25">
      <c r="A1369" t="s">
        <v>6663</v>
      </c>
      <c r="C1369" s="27">
        <v>7751160265</v>
      </c>
    </row>
    <row r="1370" spans="1:3" x14ac:dyDescent="0.25">
      <c r="A1370" t="s">
        <v>6664</v>
      </c>
      <c r="C1370" s="27">
        <v>5252034180</v>
      </c>
    </row>
    <row r="1371" spans="1:3" x14ac:dyDescent="0.25">
      <c r="A1371" t="s">
        <v>6665</v>
      </c>
      <c r="C1371" s="27">
        <v>312301594204</v>
      </c>
    </row>
    <row r="1372" spans="1:3" x14ac:dyDescent="0.25">
      <c r="A1372" t="s">
        <v>6666</v>
      </c>
      <c r="C1372" s="27">
        <v>583408956515</v>
      </c>
    </row>
    <row r="1373" spans="1:3" x14ac:dyDescent="0.25">
      <c r="A1373" t="s">
        <v>6667</v>
      </c>
      <c r="C1373" s="27">
        <v>5034015237</v>
      </c>
    </row>
    <row r="1374" spans="1:3" x14ac:dyDescent="0.25">
      <c r="A1374" t="s">
        <v>6668</v>
      </c>
      <c r="C1374" s="27">
        <v>2315225643</v>
      </c>
    </row>
    <row r="1375" spans="1:3" x14ac:dyDescent="0.25">
      <c r="A1375" t="s">
        <v>6669</v>
      </c>
      <c r="C1375" s="27">
        <v>5017124275</v>
      </c>
    </row>
    <row r="1376" spans="1:3" x14ac:dyDescent="0.25">
      <c r="A1376" t="s">
        <v>6670</v>
      </c>
      <c r="C1376" s="27">
        <v>6674334297</v>
      </c>
    </row>
    <row r="1377" spans="1:3" x14ac:dyDescent="0.25">
      <c r="A1377" t="s">
        <v>6671</v>
      </c>
      <c r="C1377" s="27">
        <v>344800984940</v>
      </c>
    </row>
    <row r="1378" spans="1:3" x14ac:dyDescent="0.25">
      <c r="A1378" t="s">
        <v>6672</v>
      </c>
      <c r="C1378" s="27">
        <v>2372027790</v>
      </c>
    </row>
    <row r="1379" spans="1:3" x14ac:dyDescent="0.25">
      <c r="A1379" t="s">
        <v>6673</v>
      </c>
      <c r="C1379" s="27">
        <v>3123458269</v>
      </c>
    </row>
    <row r="1380" spans="1:3" x14ac:dyDescent="0.25">
      <c r="A1380" t="s">
        <v>6674</v>
      </c>
      <c r="C1380" s="27">
        <v>6376023987</v>
      </c>
    </row>
    <row r="1381" spans="1:3" x14ac:dyDescent="0.25">
      <c r="A1381" t="s">
        <v>6675</v>
      </c>
      <c r="C1381" s="27">
        <v>7715633822</v>
      </c>
    </row>
    <row r="1382" spans="1:3" x14ac:dyDescent="0.25">
      <c r="A1382" t="s">
        <v>6676</v>
      </c>
      <c r="C1382" s="27">
        <v>462003016756</v>
      </c>
    </row>
    <row r="1383" spans="1:3" x14ac:dyDescent="0.25">
      <c r="A1383" t="s">
        <v>6677</v>
      </c>
      <c r="C1383" s="27">
        <v>2367014690</v>
      </c>
    </row>
    <row r="1384" spans="1:3" x14ac:dyDescent="0.25">
      <c r="A1384" t="s">
        <v>6678</v>
      </c>
      <c r="C1384" s="27">
        <v>9102288722</v>
      </c>
    </row>
    <row r="1385" spans="1:3" x14ac:dyDescent="0.25">
      <c r="A1385" t="s">
        <v>6679</v>
      </c>
      <c r="C1385" s="27">
        <v>581202781314</v>
      </c>
    </row>
    <row r="1386" spans="1:3" x14ac:dyDescent="0.25">
      <c r="A1386" t="s">
        <v>6680</v>
      </c>
      <c r="C1386" s="27">
        <v>3664068185</v>
      </c>
    </row>
    <row r="1387" spans="1:3" x14ac:dyDescent="0.25">
      <c r="A1387" t="s">
        <v>6681</v>
      </c>
      <c r="C1387" s="27">
        <v>5262295174</v>
      </c>
    </row>
    <row r="1388" spans="1:3" x14ac:dyDescent="0.25">
      <c r="A1388" t="s">
        <v>6682</v>
      </c>
      <c r="C1388" s="27">
        <v>5036163329</v>
      </c>
    </row>
    <row r="1389" spans="1:3" x14ac:dyDescent="0.25">
      <c r="A1389" t="s">
        <v>6683</v>
      </c>
      <c r="C1389" s="27">
        <v>3123337761</v>
      </c>
    </row>
    <row r="1390" spans="1:3" x14ac:dyDescent="0.25">
      <c r="A1390" t="s">
        <v>6684</v>
      </c>
      <c r="C1390" s="27">
        <v>5835063641</v>
      </c>
    </row>
    <row r="1391" spans="1:3" x14ac:dyDescent="0.25">
      <c r="A1391" t="s">
        <v>6685</v>
      </c>
      <c r="C1391" s="27">
        <v>7714635601</v>
      </c>
    </row>
    <row r="1392" spans="1:3" x14ac:dyDescent="0.25">
      <c r="A1392" t="s">
        <v>6686</v>
      </c>
      <c r="C1392" s="27">
        <v>2721128441</v>
      </c>
    </row>
    <row r="1393" spans="1:3" x14ac:dyDescent="0.25">
      <c r="A1393" t="s">
        <v>6687</v>
      </c>
      <c r="C1393" s="27">
        <v>6316237783</v>
      </c>
    </row>
    <row r="1394" spans="1:3" x14ac:dyDescent="0.25">
      <c r="A1394" t="s">
        <v>6688</v>
      </c>
      <c r="C1394" s="27">
        <v>5836308742</v>
      </c>
    </row>
    <row r="1395" spans="1:3" x14ac:dyDescent="0.25">
      <c r="A1395" t="s">
        <v>6689</v>
      </c>
      <c r="C1395" s="27">
        <v>5406181780</v>
      </c>
    </row>
    <row r="1396" spans="1:3" x14ac:dyDescent="0.25">
      <c r="A1396" t="s">
        <v>6690</v>
      </c>
      <c r="C1396" s="27">
        <v>9724002714</v>
      </c>
    </row>
    <row r="1397" spans="1:3" x14ac:dyDescent="0.25">
      <c r="A1397" t="s">
        <v>6691</v>
      </c>
      <c r="C1397" s="27">
        <v>3119003036</v>
      </c>
    </row>
    <row r="1398" spans="1:3" x14ac:dyDescent="0.25">
      <c r="A1398" t="s">
        <v>6692</v>
      </c>
      <c r="C1398" s="27">
        <v>7718698722</v>
      </c>
    </row>
    <row r="1399" spans="1:3" x14ac:dyDescent="0.25">
      <c r="A1399" t="s">
        <v>6693</v>
      </c>
      <c r="C1399" s="27">
        <v>323116228</v>
      </c>
    </row>
    <row r="1400" spans="1:3" x14ac:dyDescent="0.25">
      <c r="A1400" t="s">
        <v>6694</v>
      </c>
      <c r="C1400" s="27">
        <v>7733236560</v>
      </c>
    </row>
    <row r="1401" spans="1:3" x14ac:dyDescent="0.25">
      <c r="A1401" t="s">
        <v>6695</v>
      </c>
      <c r="C1401" s="27">
        <v>682502490409</v>
      </c>
    </row>
    <row r="1402" spans="1:3" x14ac:dyDescent="0.25">
      <c r="A1402" t="s">
        <v>6696</v>
      </c>
      <c r="C1402" s="27">
        <v>6915005661</v>
      </c>
    </row>
    <row r="1403" spans="1:3" x14ac:dyDescent="0.25">
      <c r="A1403" t="s">
        <v>6697</v>
      </c>
      <c r="C1403" s="27">
        <v>611803163462</v>
      </c>
    </row>
    <row r="1404" spans="1:3" x14ac:dyDescent="0.25">
      <c r="A1404" t="s">
        <v>6698</v>
      </c>
      <c r="C1404" s="27">
        <v>32500079749</v>
      </c>
    </row>
    <row r="1405" spans="1:3" x14ac:dyDescent="0.25">
      <c r="A1405" t="s">
        <v>6699</v>
      </c>
      <c r="C1405" s="27">
        <v>614000606465</v>
      </c>
    </row>
    <row r="1406" spans="1:3" x14ac:dyDescent="0.25">
      <c r="A1406" t="s">
        <v>6700</v>
      </c>
      <c r="C1406" s="27">
        <v>524301167328</v>
      </c>
    </row>
    <row r="1407" spans="1:3" x14ac:dyDescent="0.25">
      <c r="A1407" t="s">
        <v>6701</v>
      </c>
      <c r="C1407" s="27">
        <v>7701369310</v>
      </c>
    </row>
    <row r="1408" spans="1:3" x14ac:dyDescent="0.25">
      <c r="A1408" t="s">
        <v>6702</v>
      </c>
      <c r="C1408" s="27">
        <v>166107499440</v>
      </c>
    </row>
    <row r="1409" spans="1:3" x14ac:dyDescent="0.25">
      <c r="A1409" t="s">
        <v>6703</v>
      </c>
      <c r="C1409" s="27">
        <v>5638073055</v>
      </c>
    </row>
    <row r="1410" spans="1:3" x14ac:dyDescent="0.25">
      <c r="A1410" t="s">
        <v>6704</v>
      </c>
      <c r="C1410" s="27">
        <v>5009127201</v>
      </c>
    </row>
    <row r="1411" spans="1:3" x14ac:dyDescent="0.25">
      <c r="A1411" t="s">
        <v>6705</v>
      </c>
      <c r="C1411" s="27">
        <v>4217146370</v>
      </c>
    </row>
    <row r="1412" spans="1:3" x14ac:dyDescent="0.25">
      <c r="A1412" t="s">
        <v>6706</v>
      </c>
      <c r="C1412" s="27">
        <v>2502051690</v>
      </c>
    </row>
    <row r="1413" spans="1:3" x14ac:dyDescent="0.25">
      <c r="A1413" t="s">
        <v>6707</v>
      </c>
      <c r="C1413" s="27">
        <v>1901111188</v>
      </c>
    </row>
    <row r="1414" spans="1:3" x14ac:dyDescent="0.25">
      <c r="A1414" t="s">
        <v>6708</v>
      </c>
      <c r="C1414" s="27">
        <v>6321468786</v>
      </c>
    </row>
    <row r="1415" spans="1:3" x14ac:dyDescent="0.25">
      <c r="A1415" t="s">
        <v>6709</v>
      </c>
      <c r="C1415" s="27">
        <v>6143038532</v>
      </c>
    </row>
    <row r="1416" spans="1:3" x14ac:dyDescent="0.25">
      <c r="A1416" t="s">
        <v>6710</v>
      </c>
      <c r="C1416" s="27">
        <v>2464261510</v>
      </c>
    </row>
    <row r="1417" spans="1:3" x14ac:dyDescent="0.25">
      <c r="A1417" t="s">
        <v>6711</v>
      </c>
      <c r="C1417" s="27">
        <v>5403055185</v>
      </c>
    </row>
    <row r="1418" spans="1:3" x14ac:dyDescent="0.25">
      <c r="A1418" t="s">
        <v>6712</v>
      </c>
      <c r="C1418" s="27">
        <v>6652030048</v>
      </c>
    </row>
    <row r="1419" spans="1:3" x14ac:dyDescent="0.25">
      <c r="A1419" t="s">
        <v>6713</v>
      </c>
      <c r="C1419" s="27">
        <v>6325041515</v>
      </c>
    </row>
    <row r="1420" spans="1:3" x14ac:dyDescent="0.25">
      <c r="A1420" t="s">
        <v>6714</v>
      </c>
      <c r="C1420" s="27">
        <v>2463029917</v>
      </c>
    </row>
    <row r="1421" spans="1:3" x14ac:dyDescent="0.25">
      <c r="A1421" t="s">
        <v>6715</v>
      </c>
      <c r="C1421" s="27">
        <v>7715946600</v>
      </c>
    </row>
    <row r="1422" spans="1:3" x14ac:dyDescent="0.25">
      <c r="A1422" t="s">
        <v>6716</v>
      </c>
      <c r="C1422" s="27">
        <v>6450927244</v>
      </c>
    </row>
    <row r="1423" spans="1:3" x14ac:dyDescent="0.25">
      <c r="A1423" t="s">
        <v>6717</v>
      </c>
      <c r="C1423" s="27">
        <v>323212645448</v>
      </c>
    </row>
    <row r="1424" spans="1:3" x14ac:dyDescent="0.25">
      <c r="A1424" t="s">
        <v>6718</v>
      </c>
      <c r="C1424" s="27">
        <v>3651010149</v>
      </c>
    </row>
    <row r="1425" spans="1:3" x14ac:dyDescent="0.25">
      <c r="A1425" t="s">
        <v>6719</v>
      </c>
      <c r="C1425" s="27">
        <v>5042142944</v>
      </c>
    </row>
    <row r="1426" spans="1:3" x14ac:dyDescent="0.25">
      <c r="A1426" t="s">
        <v>6720</v>
      </c>
      <c r="C1426" s="27">
        <v>8602161472</v>
      </c>
    </row>
    <row r="1427" spans="1:3" x14ac:dyDescent="0.25">
      <c r="A1427" t="s">
        <v>6721</v>
      </c>
      <c r="C1427" s="27">
        <v>246102584100</v>
      </c>
    </row>
    <row r="1428" spans="1:3" x14ac:dyDescent="0.25">
      <c r="A1428" t="s">
        <v>6722</v>
      </c>
      <c r="C1428" s="27">
        <v>5404341397</v>
      </c>
    </row>
    <row r="1429" spans="1:3" x14ac:dyDescent="0.25">
      <c r="A1429" t="s">
        <v>6723</v>
      </c>
      <c r="C1429" s="27">
        <v>3102046610</v>
      </c>
    </row>
    <row r="1430" spans="1:3" x14ac:dyDescent="0.25">
      <c r="A1430" t="s">
        <v>6724</v>
      </c>
      <c r="C1430" s="27">
        <v>9102252973</v>
      </c>
    </row>
    <row r="1431" spans="1:3" x14ac:dyDescent="0.25">
      <c r="A1431" t="s">
        <v>6725</v>
      </c>
      <c r="C1431" s="27">
        <v>910912630811</v>
      </c>
    </row>
    <row r="1432" spans="1:3" x14ac:dyDescent="0.25">
      <c r="A1432" t="s">
        <v>6726</v>
      </c>
      <c r="C1432" s="27">
        <v>7715517826</v>
      </c>
    </row>
    <row r="1433" spans="1:3" x14ac:dyDescent="0.25">
      <c r="A1433" t="s">
        <v>6727</v>
      </c>
      <c r="C1433" s="27">
        <v>5406252833</v>
      </c>
    </row>
    <row r="1434" spans="1:3" x14ac:dyDescent="0.25">
      <c r="A1434" t="s">
        <v>6728</v>
      </c>
      <c r="C1434" s="27">
        <v>6312069305</v>
      </c>
    </row>
    <row r="1435" spans="1:3" x14ac:dyDescent="0.25">
      <c r="A1435" t="s">
        <v>6729</v>
      </c>
      <c r="C1435" s="27">
        <v>553401365786</v>
      </c>
    </row>
    <row r="1436" spans="1:3" x14ac:dyDescent="0.25">
      <c r="A1436" t="s">
        <v>6730</v>
      </c>
      <c r="C1436" s="27">
        <v>381602196908</v>
      </c>
    </row>
    <row r="1437" spans="1:3" x14ac:dyDescent="0.25">
      <c r="A1437" t="s">
        <v>6731</v>
      </c>
      <c r="C1437" s="27">
        <v>7721737555</v>
      </c>
    </row>
    <row r="1438" spans="1:3" x14ac:dyDescent="0.25">
      <c r="A1438" t="s">
        <v>6732</v>
      </c>
      <c r="C1438" s="27">
        <v>744500262013</v>
      </c>
    </row>
    <row r="1439" spans="1:3" x14ac:dyDescent="0.25">
      <c r="A1439" t="s">
        <v>6733</v>
      </c>
      <c r="C1439" s="27">
        <v>6316259160</v>
      </c>
    </row>
    <row r="1440" spans="1:3" x14ac:dyDescent="0.25">
      <c r="A1440" t="s">
        <v>6734</v>
      </c>
      <c r="C1440" s="27">
        <v>4202053330</v>
      </c>
    </row>
    <row r="1441" spans="1:3" x14ac:dyDescent="0.25">
      <c r="A1441" t="s">
        <v>6735</v>
      </c>
      <c r="C1441" s="27">
        <v>2311089630</v>
      </c>
    </row>
    <row r="1442" spans="1:3" x14ac:dyDescent="0.25">
      <c r="A1442" t="s">
        <v>6736</v>
      </c>
      <c r="C1442" s="27">
        <v>5603045000</v>
      </c>
    </row>
    <row r="1443" spans="1:3" x14ac:dyDescent="0.25">
      <c r="A1443" t="s">
        <v>6737</v>
      </c>
      <c r="C1443" s="27">
        <v>9715000284</v>
      </c>
    </row>
    <row r="1444" spans="1:3" x14ac:dyDescent="0.25">
      <c r="A1444" t="s">
        <v>6738</v>
      </c>
      <c r="C1444" s="27">
        <v>3816032651</v>
      </c>
    </row>
    <row r="1445" spans="1:3" x14ac:dyDescent="0.25">
      <c r="A1445" t="s">
        <v>6739</v>
      </c>
      <c r="C1445" s="27">
        <v>278124390</v>
      </c>
    </row>
    <row r="1446" spans="1:3" x14ac:dyDescent="0.25">
      <c r="A1446" t="s">
        <v>6740</v>
      </c>
      <c r="C1446" s="27">
        <v>311901786964</v>
      </c>
    </row>
    <row r="1447" spans="1:3" x14ac:dyDescent="0.25">
      <c r="A1447" t="s">
        <v>6741</v>
      </c>
      <c r="C1447" s="27">
        <v>4025073784</v>
      </c>
    </row>
    <row r="1448" spans="1:3" x14ac:dyDescent="0.25">
      <c r="A1448" t="s">
        <v>6742</v>
      </c>
      <c r="C1448" s="27">
        <v>7701047916</v>
      </c>
    </row>
    <row r="1449" spans="1:3" x14ac:dyDescent="0.25">
      <c r="A1449" t="s">
        <v>6743</v>
      </c>
      <c r="C1449" s="27">
        <v>5009121560</v>
      </c>
    </row>
    <row r="1450" spans="1:3" x14ac:dyDescent="0.25">
      <c r="A1450" t="s">
        <v>6744</v>
      </c>
      <c r="C1450" s="27">
        <v>7708639358</v>
      </c>
    </row>
    <row r="1451" spans="1:3" x14ac:dyDescent="0.25">
      <c r="A1451" t="s">
        <v>6745</v>
      </c>
      <c r="C1451" s="27">
        <v>366502131332</v>
      </c>
    </row>
    <row r="1452" spans="1:3" x14ac:dyDescent="0.25">
      <c r="A1452" t="s">
        <v>6746</v>
      </c>
      <c r="C1452" s="27">
        <v>381800153744</v>
      </c>
    </row>
    <row r="1453" spans="1:3" x14ac:dyDescent="0.25">
      <c r="A1453" t="s">
        <v>6747</v>
      </c>
      <c r="C1453" s="27">
        <v>3661037485</v>
      </c>
    </row>
    <row r="1454" spans="1:3" x14ac:dyDescent="0.25">
      <c r="A1454" t="s">
        <v>6748</v>
      </c>
      <c r="C1454" s="27">
        <v>2464230625</v>
      </c>
    </row>
    <row r="1455" spans="1:3" x14ac:dyDescent="0.25">
      <c r="A1455" t="s">
        <v>6749</v>
      </c>
      <c r="C1455" s="27">
        <v>6350008920</v>
      </c>
    </row>
    <row r="1456" spans="1:3" x14ac:dyDescent="0.25">
      <c r="A1456" t="s">
        <v>6750</v>
      </c>
      <c r="C1456" s="27">
        <v>7017105710</v>
      </c>
    </row>
    <row r="1457" spans="1:3" x14ac:dyDescent="0.25">
      <c r="A1457" t="s">
        <v>6751</v>
      </c>
      <c r="C1457" s="27">
        <v>6924002152</v>
      </c>
    </row>
    <row r="1458" spans="1:3" x14ac:dyDescent="0.25">
      <c r="A1458" t="s">
        <v>6752</v>
      </c>
      <c r="C1458" s="27">
        <v>2329014392</v>
      </c>
    </row>
    <row r="1459" spans="1:3" x14ac:dyDescent="0.25">
      <c r="A1459" t="s">
        <v>6753</v>
      </c>
      <c r="C1459" s="27">
        <v>1513001650</v>
      </c>
    </row>
    <row r="1460" spans="1:3" x14ac:dyDescent="0.25">
      <c r="A1460" t="s">
        <v>6754</v>
      </c>
      <c r="C1460" s="27">
        <v>3232025258</v>
      </c>
    </row>
    <row r="1461" spans="1:3" x14ac:dyDescent="0.25">
      <c r="A1461" t="s">
        <v>6755</v>
      </c>
      <c r="C1461" s="27">
        <v>105031038</v>
      </c>
    </row>
    <row r="1462" spans="1:3" x14ac:dyDescent="0.25">
      <c r="A1462" t="s">
        <v>6756</v>
      </c>
      <c r="C1462" s="27">
        <v>615403933636</v>
      </c>
    </row>
    <row r="1463" spans="1:3" x14ac:dyDescent="0.25">
      <c r="A1463" t="s">
        <v>6757</v>
      </c>
      <c r="C1463" s="27">
        <v>9203545630</v>
      </c>
    </row>
    <row r="1464" spans="1:3" x14ac:dyDescent="0.25">
      <c r="A1464" t="s">
        <v>6758</v>
      </c>
      <c r="C1464" s="27">
        <v>9102042038</v>
      </c>
    </row>
    <row r="1465" spans="1:3" x14ac:dyDescent="0.25">
      <c r="A1465" t="s">
        <v>6759</v>
      </c>
      <c r="C1465" s="27">
        <v>910226030400</v>
      </c>
    </row>
    <row r="1466" spans="1:3" x14ac:dyDescent="0.25">
      <c r="A1466" t="s">
        <v>6760</v>
      </c>
      <c r="C1466" s="27">
        <v>7719727285</v>
      </c>
    </row>
    <row r="1467" spans="1:3" x14ac:dyDescent="0.25">
      <c r="A1467" t="s">
        <v>6761</v>
      </c>
      <c r="C1467" s="27">
        <v>5246015398</v>
      </c>
    </row>
    <row r="1468" spans="1:3" x14ac:dyDescent="0.25">
      <c r="A1468" t="s">
        <v>6762</v>
      </c>
      <c r="C1468" s="27">
        <v>1650209682</v>
      </c>
    </row>
    <row r="1469" spans="1:3" x14ac:dyDescent="0.25">
      <c r="A1469" t="s">
        <v>6763</v>
      </c>
      <c r="C1469" s="27">
        <v>4823036112</v>
      </c>
    </row>
    <row r="1470" spans="1:3" x14ac:dyDescent="0.25">
      <c r="A1470" t="s">
        <v>6764</v>
      </c>
      <c r="C1470" s="27">
        <v>7720496674</v>
      </c>
    </row>
    <row r="1471" spans="1:3" x14ac:dyDescent="0.25">
      <c r="A1471" t="s">
        <v>6765</v>
      </c>
      <c r="C1471" s="27">
        <v>5005061052</v>
      </c>
    </row>
    <row r="1472" spans="1:3" x14ac:dyDescent="0.25">
      <c r="A1472" t="s">
        <v>6766</v>
      </c>
      <c r="C1472" s="27">
        <v>4029049486</v>
      </c>
    </row>
    <row r="1473" spans="1:3" x14ac:dyDescent="0.25">
      <c r="A1473" t="s">
        <v>6767</v>
      </c>
      <c r="C1473" s="27">
        <v>6150052009</v>
      </c>
    </row>
    <row r="1474" spans="1:3" x14ac:dyDescent="0.25">
      <c r="A1474" t="s">
        <v>6768</v>
      </c>
      <c r="C1474" s="27">
        <v>9102157582</v>
      </c>
    </row>
    <row r="1475" spans="1:3" x14ac:dyDescent="0.25">
      <c r="A1475" t="s">
        <v>6769</v>
      </c>
      <c r="C1475" s="27">
        <v>4703148953</v>
      </c>
    </row>
    <row r="1476" spans="1:3" x14ac:dyDescent="0.25">
      <c r="A1476" t="s">
        <v>6770</v>
      </c>
      <c r="C1476" s="27">
        <v>5260409563</v>
      </c>
    </row>
    <row r="1477" spans="1:3" x14ac:dyDescent="0.25">
      <c r="A1477" t="s">
        <v>6771</v>
      </c>
      <c r="C1477" s="27">
        <v>7224088413</v>
      </c>
    </row>
    <row r="1478" spans="1:3" x14ac:dyDescent="0.25">
      <c r="A1478" t="s">
        <v>6772</v>
      </c>
      <c r="C1478" s="27">
        <v>5050057940</v>
      </c>
    </row>
    <row r="1479" spans="1:3" x14ac:dyDescent="0.25">
      <c r="A1479" t="s">
        <v>6773</v>
      </c>
      <c r="C1479" s="27">
        <v>6829109339</v>
      </c>
    </row>
    <row r="1480" spans="1:3" x14ac:dyDescent="0.25">
      <c r="A1480" t="s">
        <v>6774</v>
      </c>
      <c r="C1480" s="27">
        <v>6829085688</v>
      </c>
    </row>
    <row r="1481" spans="1:3" x14ac:dyDescent="0.25">
      <c r="A1481" t="s">
        <v>6775</v>
      </c>
      <c r="C1481" s="27">
        <v>771875998775</v>
      </c>
    </row>
    <row r="1482" spans="1:3" x14ac:dyDescent="0.25">
      <c r="A1482" t="s">
        <v>6776</v>
      </c>
      <c r="C1482" s="27">
        <v>2505007756</v>
      </c>
    </row>
    <row r="1483" spans="1:3" x14ac:dyDescent="0.25">
      <c r="A1483" t="s">
        <v>6777</v>
      </c>
      <c r="C1483" s="27">
        <v>4240007582</v>
      </c>
    </row>
    <row r="1484" spans="1:3" x14ac:dyDescent="0.25">
      <c r="A1484" t="s">
        <v>6778</v>
      </c>
      <c r="C1484" s="27">
        <v>6319152129</v>
      </c>
    </row>
    <row r="1485" spans="1:3" x14ac:dyDescent="0.25">
      <c r="A1485" t="s">
        <v>6779</v>
      </c>
      <c r="C1485" s="27">
        <v>2724040442</v>
      </c>
    </row>
    <row r="1486" spans="1:3" x14ac:dyDescent="0.25">
      <c r="A1486" t="s">
        <v>6780</v>
      </c>
      <c r="C1486" s="27">
        <v>6324030969</v>
      </c>
    </row>
    <row r="1487" spans="1:3" x14ac:dyDescent="0.25">
      <c r="A1487" t="s">
        <v>6781</v>
      </c>
      <c r="C1487" s="27">
        <v>3115002578</v>
      </c>
    </row>
    <row r="1488" spans="1:3" x14ac:dyDescent="0.25">
      <c r="A1488" t="s">
        <v>6782</v>
      </c>
      <c r="C1488" s="27">
        <v>5239011226</v>
      </c>
    </row>
    <row r="1489" spans="1:3" x14ac:dyDescent="0.25">
      <c r="A1489" t="s">
        <v>6783</v>
      </c>
      <c r="C1489" s="27">
        <v>9102063493</v>
      </c>
    </row>
    <row r="1490" spans="1:3" x14ac:dyDescent="0.25">
      <c r="A1490" t="s">
        <v>6784</v>
      </c>
      <c r="C1490" s="27">
        <v>2536215700</v>
      </c>
    </row>
    <row r="1491" spans="1:3" x14ac:dyDescent="0.25">
      <c r="A1491" t="s">
        <v>6785</v>
      </c>
      <c r="C1491" s="27">
        <v>7017024820</v>
      </c>
    </row>
    <row r="1492" spans="1:3" x14ac:dyDescent="0.25">
      <c r="A1492" t="s">
        <v>6786</v>
      </c>
      <c r="C1492" s="27">
        <v>7536085640</v>
      </c>
    </row>
    <row r="1493" spans="1:3" x14ac:dyDescent="0.25">
      <c r="A1493" t="s">
        <v>6787</v>
      </c>
      <c r="C1493" s="27">
        <v>1433020930</v>
      </c>
    </row>
    <row r="1494" spans="1:3" x14ac:dyDescent="0.25">
      <c r="A1494" t="s">
        <v>6788</v>
      </c>
      <c r="C1494" s="27">
        <v>2346008550</v>
      </c>
    </row>
    <row r="1495" spans="1:3" x14ac:dyDescent="0.25">
      <c r="A1495" t="s">
        <v>6789</v>
      </c>
      <c r="C1495" s="27">
        <v>7604398637</v>
      </c>
    </row>
    <row r="1496" spans="1:3" x14ac:dyDescent="0.25">
      <c r="A1496" t="s">
        <v>6790</v>
      </c>
      <c r="C1496" s="27">
        <v>246515706102</v>
      </c>
    </row>
    <row r="1497" spans="1:3" x14ac:dyDescent="0.25">
      <c r="A1497" t="s">
        <v>6791</v>
      </c>
      <c r="C1497" s="27">
        <v>6321244088</v>
      </c>
    </row>
    <row r="1498" spans="1:3" x14ac:dyDescent="0.25">
      <c r="A1498" t="s">
        <v>6792</v>
      </c>
      <c r="C1498" s="27">
        <v>5507078814</v>
      </c>
    </row>
    <row r="1499" spans="1:3" x14ac:dyDescent="0.25">
      <c r="A1499" t="s">
        <v>6793</v>
      </c>
      <c r="C1499" s="27">
        <v>550404856272</v>
      </c>
    </row>
    <row r="1500" spans="1:3" x14ac:dyDescent="0.25">
      <c r="A1500" t="s">
        <v>6794</v>
      </c>
      <c r="C1500" s="27">
        <v>7017210094</v>
      </c>
    </row>
    <row r="1501" spans="1:3" x14ac:dyDescent="0.25">
      <c r="A1501" t="s">
        <v>6795</v>
      </c>
      <c r="C1501" s="27">
        <v>5410018258</v>
      </c>
    </row>
    <row r="1502" spans="1:3" x14ac:dyDescent="0.25">
      <c r="A1502" t="s">
        <v>6796</v>
      </c>
      <c r="C1502" s="27">
        <v>5258151839</v>
      </c>
    </row>
    <row r="1503" spans="1:3" x14ac:dyDescent="0.25">
      <c r="A1503" t="s">
        <v>6797</v>
      </c>
      <c r="C1503" s="27">
        <v>222200320754</v>
      </c>
    </row>
    <row r="1504" spans="1:3" x14ac:dyDescent="0.25">
      <c r="A1504" t="s">
        <v>6798</v>
      </c>
      <c r="C1504" s="27">
        <v>5038132598</v>
      </c>
    </row>
    <row r="1505" spans="1:3" x14ac:dyDescent="0.25">
      <c r="A1505" t="s">
        <v>6799</v>
      </c>
      <c r="C1505" s="27">
        <v>366211787803</v>
      </c>
    </row>
    <row r="1506" spans="1:3" x14ac:dyDescent="0.25">
      <c r="A1506" t="s">
        <v>6800</v>
      </c>
      <c r="C1506" s="27">
        <v>450142586601</v>
      </c>
    </row>
    <row r="1507" spans="1:3" x14ac:dyDescent="0.25">
      <c r="A1507" t="s">
        <v>6801</v>
      </c>
      <c r="C1507" s="27">
        <v>2901302603</v>
      </c>
    </row>
    <row r="1508" spans="1:3" x14ac:dyDescent="0.25">
      <c r="A1508" t="s">
        <v>6802</v>
      </c>
      <c r="C1508" s="27">
        <v>6318133821</v>
      </c>
    </row>
    <row r="1509" spans="1:3" x14ac:dyDescent="0.25">
      <c r="A1509" t="s">
        <v>6803</v>
      </c>
      <c r="C1509" s="27">
        <v>1208006010</v>
      </c>
    </row>
    <row r="1510" spans="1:3" x14ac:dyDescent="0.25">
      <c r="A1510" t="s">
        <v>6804</v>
      </c>
      <c r="C1510" s="27">
        <v>3702239162</v>
      </c>
    </row>
    <row r="1511" spans="1:3" x14ac:dyDescent="0.25">
      <c r="A1511" t="s">
        <v>6805</v>
      </c>
      <c r="C1511" s="27">
        <v>4710013234</v>
      </c>
    </row>
    <row r="1512" spans="1:3" x14ac:dyDescent="0.25">
      <c r="A1512" t="s">
        <v>6806</v>
      </c>
      <c r="C1512" s="27">
        <v>90106906709</v>
      </c>
    </row>
    <row r="1513" spans="1:3" x14ac:dyDescent="0.25">
      <c r="A1513" t="s">
        <v>6807</v>
      </c>
      <c r="C1513" s="27">
        <v>2464250910</v>
      </c>
    </row>
    <row r="1514" spans="1:3" x14ac:dyDescent="0.25">
      <c r="A1514" t="s">
        <v>6808</v>
      </c>
      <c r="C1514" s="27">
        <v>2460228569</v>
      </c>
    </row>
    <row r="1515" spans="1:3" x14ac:dyDescent="0.25">
      <c r="A1515" t="s">
        <v>6809</v>
      </c>
      <c r="C1515" s="27">
        <v>2722045484</v>
      </c>
    </row>
    <row r="1516" spans="1:3" x14ac:dyDescent="0.25">
      <c r="A1516" t="s">
        <v>6810</v>
      </c>
      <c r="C1516" s="27">
        <v>2334024822</v>
      </c>
    </row>
    <row r="1517" spans="1:3" x14ac:dyDescent="0.25">
      <c r="A1517" t="s">
        <v>6811</v>
      </c>
      <c r="C1517" s="27">
        <v>5700009985</v>
      </c>
    </row>
    <row r="1518" spans="1:3" x14ac:dyDescent="0.25">
      <c r="A1518" t="s">
        <v>6812</v>
      </c>
      <c r="C1518" s="27">
        <v>7707818530</v>
      </c>
    </row>
    <row r="1519" spans="1:3" x14ac:dyDescent="0.25">
      <c r="A1519" t="s">
        <v>6813</v>
      </c>
      <c r="C1519" s="27">
        <v>7724776390</v>
      </c>
    </row>
    <row r="1520" spans="1:3" x14ac:dyDescent="0.25">
      <c r="A1520" t="s">
        <v>6814</v>
      </c>
      <c r="C1520" s="27">
        <v>9110034182</v>
      </c>
    </row>
    <row r="1521" spans="1:3" x14ac:dyDescent="0.25">
      <c r="A1521" t="s">
        <v>6815</v>
      </c>
      <c r="C1521" s="27">
        <v>5753052720</v>
      </c>
    </row>
    <row r="1522" spans="1:3" x14ac:dyDescent="0.25">
      <c r="A1522" t="s">
        <v>6816</v>
      </c>
      <c r="C1522" s="27">
        <v>2460116784</v>
      </c>
    </row>
    <row r="1523" spans="1:3" x14ac:dyDescent="0.25">
      <c r="A1523" t="s">
        <v>6817</v>
      </c>
      <c r="C1523" s="27">
        <v>7722681810</v>
      </c>
    </row>
    <row r="1524" spans="1:3" x14ac:dyDescent="0.25">
      <c r="A1524" t="s">
        <v>6818</v>
      </c>
      <c r="C1524" s="27">
        <v>6166112670</v>
      </c>
    </row>
    <row r="1525" spans="1:3" x14ac:dyDescent="0.25">
      <c r="A1525" t="s">
        <v>6819</v>
      </c>
      <c r="C1525" s="27">
        <v>5651021539</v>
      </c>
    </row>
    <row r="1526" spans="1:3" x14ac:dyDescent="0.25">
      <c r="A1526" t="s">
        <v>6820</v>
      </c>
      <c r="C1526" s="27">
        <v>9101005153</v>
      </c>
    </row>
    <row r="1527" spans="1:3" x14ac:dyDescent="0.25">
      <c r="A1527" t="s">
        <v>6821</v>
      </c>
      <c r="C1527" s="27">
        <v>5903126483</v>
      </c>
    </row>
    <row r="1528" spans="1:3" x14ac:dyDescent="0.25">
      <c r="A1528" t="s">
        <v>6822</v>
      </c>
      <c r="C1528" s="27">
        <v>5029042651</v>
      </c>
    </row>
    <row r="1529" spans="1:3" x14ac:dyDescent="0.25">
      <c r="A1529" t="s">
        <v>6823</v>
      </c>
      <c r="C1529" s="27">
        <v>150101675195</v>
      </c>
    </row>
    <row r="1530" spans="1:3" x14ac:dyDescent="0.25">
      <c r="A1530" t="s">
        <v>6824</v>
      </c>
      <c r="C1530" s="27">
        <v>3528291272</v>
      </c>
    </row>
    <row r="1531" spans="1:3" x14ac:dyDescent="0.25">
      <c r="A1531" t="s">
        <v>6825</v>
      </c>
      <c r="C1531" s="27">
        <v>2367002020</v>
      </c>
    </row>
    <row r="1532" spans="1:3" x14ac:dyDescent="0.25">
      <c r="A1532" t="s">
        <v>6826</v>
      </c>
      <c r="C1532" s="27">
        <v>5263140889</v>
      </c>
    </row>
    <row r="1533" spans="1:3" x14ac:dyDescent="0.25">
      <c r="A1533" t="s">
        <v>6827</v>
      </c>
      <c r="C1533" s="27">
        <v>7106069397</v>
      </c>
    </row>
    <row r="1534" spans="1:3" x14ac:dyDescent="0.25">
      <c r="A1534" t="s">
        <v>6828</v>
      </c>
      <c r="C1534" s="27">
        <v>421400248361</v>
      </c>
    </row>
    <row r="1535" spans="1:3" x14ac:dyDescent="0.25">
      <c r="A1535" t="s">
        <v>6829</v>
      </c>
      <c r="C1535" s="27">
        <v>7718280156</v>
      </c>
    </row>
    <row r="1536" spans="1:3" x14ac:dyDescent="0.25">
      <c r="A1536" t="s">
        <v>6830</v>
      </c>
      <c r="C1536" s="27">
        <v>235606747620</v>
      </c>
    </row>
    <row r="1537" spans="1:3" x14ac:dyDescent="0.25">
      <c r="A1537" t="s">
        <v>6831</v>
      </c>
      <c r="C1537" s="27">
        <v>3662299109</v>
      </c>
    </row>
    <row r="1538" spans="1:3" x14ac:dyDescent="0.25">
      <c r="A1538" t="s">
        <v>6832</v>
      </c>
      <c r="C1538" s="27">
        <v>5045028950</v>
      </c>
    </row>
    <row r="1539" spans="1:3" x14ac:dyDescent="0.25">
      <c r="A1539" t="s">
        <v>6833</v>
      </c>
      <c r="C1539" s="27">
        <v>3250068127</v>
      </c>
    </row>
    <row r="1540" spans="1:3" x14ac:dyDescent="0.25">
      <c r="A1540" t="s">
        <v>6834</v>
      </c>
      <c r="C1540" s="27">
        <v>3525404376</v>
      </c>
    </row>
    <row r="1541" spans="1:3" x14ac:dyDescent="0.25">
      <c r="A1541" t="s">
        <v>6835</v>
      </c>
      <c r="C1541" s="27">
        <v>5018201170</v>
      </c>
    </row>
    <row r="1542" spans="1:3" x14ac:dyDescent="0.25">
      <c r="A1542" t="s">
        <v>6836</v>
      </c>
      <c r="C1542" s="27">
        <v>6321330629</v>
      </c>
    </row>
    <row r="1543" spans="1:3" x14ac:dyDescent="0.25">
      <c r="A1543" t="s">
        <v>6837</v>
      </c>
      <c r="C1543" s="27">
        <v>2308239620</v>
      </c>
    </row>
    <row r="1544" spans="1:3" x14ac:dyDescent="0.25">
      <c r="A1544" t="s">
        <v>6838</v>
      </c>
      <c r="C1544" s="27">
        <v>5610222010</v>
      </c>
    </row>
    <row r="1545" spans="1:3" x14ac:dyDescent="0.25">
      <c r="A1545" t="s">
        <v>6839</v>
      </c>
      <c r="C1545" s="27">
        <v>6166125809</v>
      </c>
    </row>
    <row r="1546" spans="1:3" x14ac:dyDescent="0.25">
      <c r="A1546" t="s">
        <v>6840</v>
      </c>
      <c r="C1546" s="27">
        <v>7017466498</v>
      </c>
    </row>
    <row r="1547" spans="1:3" x14ac:dyDescent="0.25">
      <c r="A1547" t="s">
        <v>6841</v>
      </c>
      <c r="C1547" s="27">
        <v>9715389374</v>
      </c>
    </row>
    <row r="1548" spans="1:3" x14ac:dyDescent="0.25">
      <c r="A1548" t="s">
        <v>6842</v>
      </c>
      <c r="C1548" s="27">
        <v>6801003075</v>
      </c>
    </row>
    <row r="1549" spans="1:3" x14ac:dyDescent="0.25">
      <c r="A1549" t="s">
        <v>6843</v>
      </c>
      <c r="C1549" s="27">
        <v>5005030833</v>
      </c>
    </row>
    <row r="1550" spans="1:3" x14ac:dyDescent="0.25">
      <c r="A1550" t="s">
        <v>6844</v>
      </c>
      <c r="C1550" s="27">
        <v>9102254106</v>
      </c>
    </row>
    <row r="1551" spans="1:3" x14ac:dyDescent="0.25">
      <c r="A1551" t="s">
        <v>6845</v>
      </c>
      <c r="C1551" s="27">
        <v>7718135141</v>
      </c>
    </row>
    <row r="1552" spans="1:3" x14ac:dyDescent="0.25">
      <c r="A1552" t="s">
        <v>6846</v>
      </c>
      <c r="C1552" s="27">
        <v>161202549501</v>
      </c>
    </row>
    <row r="1553" spans="1:3" x14ac:dyDescent="0.25">
      <c r="A1553" t="s">
        <v>6847</v>
      </c>
      <c r="C1553" s="27">
        <v>7722754049</v>
      </c>
    </row>
    <row r="1554" spans="1:3" x14ac:dyDescent="0.25">
      <c r="A1554" t="s">
        <v>6848</v>
      </c>
      <c r="C1554" s="27">
        <v>1513082836</v>
      </c>
    </row>
    <row r="1555" spans="1:3" x14ac:dyDescent="0.25">
      <c r="A1555" t="s">
        <v>6849</v>
      </c>
      <c r="C1555" s="27">
        <v>4101159490</v>
      </c>
    </row>
    <row r="1556" spans="1:3" x14ac:dyDescent="0.25">
      <c r="A1556" t="s">
        <v>6850</v>
      </c>
      <c r="C1556" s="27">
        <v>5030058984</v>
      </c>
    </row>
    <row r="1557" spans="1:3" x14ac:dyDescent="0.25">
      <c r="A1557" t="s">
        <v>6851</v>
      </c>
      <c r="C1557" s="27">
        <v>2457069284</v>
      </c>
    </row>
    <row r="1558" spans="1:3" x14ac:dyDescent="0.25">
      <c r="A1558" t="s">
        <v>6852</v>
      </c>
      <c r="C1558" s="27">
        <v>6659088826</v>
      </c>
    </row>
    <row r="1559" spans="1:3" x14ac:dyDescent="0.25">
      <c r="A1559" t="s">
        <v>6853</v>
      </c>
      <c r="C1559" s="27">
        <v>1504034650</v>
      </c>
    </row>
    <row r="1560" spans="1:3" x14ac:dyDescent="0.25">
      <c r="A1560" t="s">
        <v>6854</v>
      </c>
      <c r="C1560" s="27">
        <v>3108008963</v>
      </c>
    </row>
    <row r="1561" spans="1:3" x14ac:dyDescent="0.25">
      <c r="A1561" t="s">
        <v>6855</v>
      </c>
      <c r="C1561" s="27">
        <v>7723622609</v>
      </c>
    </row>
    <row r="1562" spans="1:3" x14ac:dyDescent="0.25">
      <c r="A1562" t="s">
        <v>6856</v>
      </c>
      <c r="C1562" s="27">
        <v>7445002069</v>
      </c>
    </row>
    <row r="1563" spans="1:3" x14ac:dyDescent="0.25">
      <c r="A1563" t="s">
        <v>6857</v>
      </c>
      <c r="C1563" s="27">
        <v>910405536993</v>
      </c>
    </row>
    <row r="1564" spans="1:3" x14ac:dyDescent="0.25">
      <c r="A1564" t="s">
        <v>6858</v>
      </c>
      <c r="C1564" s="27">
        <v>7722316430</v>
      </c>
    </row>
    <row r="1565" spans="1:3" x14ac:dyDescent="0.25">
      <c r="A1565" t="s">
        <v>6859</v>
      </c>
      <c r="C1565" s="27">
        <v>800018631</v>
      </c>
    </row>
    <row r="1566" spans="1:3" x14ac:dyDescent="0.25">
      <c r="A1566" t="s">
        <v>6860</v>
      </c>
      <c r="C1566" s="27">
        <v>571018796</v>
      </c>
    </row>
    <row r="1567" spans="1:3" x14ac:dyDescent="0.25">
      <c r="A1567" t="s">
        <v>6861</v>
      </c>
      <c r="C1567" s="27">
        <v>222212650267</v>
      </c>
    </row>
    <row r="1568" spans="1:3" x14ac:dyDescent="0.25">
      <c r="A1568" t="s">
        <v>6862</v>
      </c>
      <c r="C1568" s="27">
        <v>7404042827</v>
      </c>
    </row>
    <row r="1569" spans="1:3" x14ac:dyDescent="0.25">
      <c r="A1569" t="s">
        <v>6863</v>
      </c>
      <c r="C1569" s="27">
        <v>5406695240</v>
      </c>
    </row>
    <row r="1570" spans="1:3" x14ac:dyDescent="0.25">
      <c r="A1570" t="s">
        <v>6864</v>
      </c>
      <c r="C1570" s="27">
        <v>7826691900</v>
      </c>
    </row>
    <row r="1571" spans="1:3" x14ac:dyDescent="0.25">
      <c r="A1571" t="s">
        <v>6865</v>
      </c>
      <c r="C1571" s="27">
        <v>7705650667</v>
      </c>
    </row>
    <row r="1572" spans="1:3" x14ac:dyDescent="0.25">
      <c r="A1572" t="s">
        <v>6866</v>
      </c>
      <c r="C1572" s="27">
        <v>6452069680</v>
      </c>
    </row>
    <row r="1573" spans="1:3" x14ac:dyDescent="0.25">
      <c r="A1573" t="s">
        <v>6867</v>
      </c>
      <c r="C1573" s="27">
        <v>1900016245</v>
      </c>
    </row>
    <row r="1574" spans="1:3" x14ac:dyDescent="0.25">
      <c r="A1574" t="s">
        <v>6868</v>
      </c>
      <c r="C1574" s="27">
        <v>7722385183</v>
      </c>
    </row>
    <row r="1575" spans="1:3" x14ac:dyDescent="0.25">
      <c r="A1575" t="s">
        <v>6869</v>
      </c>
      <c r="C1575" s="27">
        <v>7838334068</v>
      </c>
    </row>
    <row r="1576" spans="1:3" x14ac:dyDescent="0.25">
      <c r="A1576" t="s">
        <v>6870</v>
      </c>
      <c r="C1576" s="27">
        <v>2460116135</v>
      </c>
    </row>
    <row r="1577" spans="1:3" x14ac:dyDescent="0.25">
      <c r="A1577" t="s">
        <v>6871</v>
      </c>
      <c r="C1577" s="27">
        <v>5405183376</v>
      </c>
    </row>
    <row r="1578" spans="1:3" x14ac:dyDescent="0.25">
      <c r="A1578" t="s">
        <v>6872</v>
      </c>
      <c r="C1578" s="27">
        <v>7708382293</v>
      </c>
    </row>
    <row r="1579" spans="1:3" x14ac:dyDescent="0.25">
      <c r="A1579" t="s">
        <v>6873</v>
      </c>
      <c r="C1579" s="27">
        <v>4611016844</v>
      </c>
    </row>
    <row r="1580" spans="1:3" x14ac:dyDescent="0.25">
      <c r="A1580" t="s">
        <v>6874</v>
      </c>
      <c r="C1580" s="27">
        <v>2517010471</v>
      </c>
    </row>
    <row r="1581" spans="1:3" x14ac:dyDescent="0.25">
      <c r="A1581" t="s">
        <v>6875</v>
      </c>
      <c r="C1581" s="27">
        <v>5408270524</v>
      </c>
    </row>
    <row r="1582" spans="1:3" x14ac:dyDescent="0.25">
      <c r="A1582" t="s">
        <v>6876</v>
      </c>
      <c r="C1582" s="27">
        <v>3329098676</v>
      </c>
    </row>
    <row r="1583" spans="1:3" x14ac:dyDescent="0.25">
      <c r="A1583" t="s">
        <v>6877</v>
      </c>
      <c r="C1583" s="27">
        <v>6162069832</v>
      </c>
    </row>
    <row r="1584" spans="1:3" x14ac:dyDescent="0.25">
      <c r="A1584" t="s">
        <v>6878</v>
      </c>
      <c r="C1584" s="27">
        <v>726025196</v>
      </c>
    </row>
    <row r="1585" spans="1:3" x14ac:dyDescent="0.25">
      <c r="A1585" t="s">
        <v>6879</v>
      </c>
      <c r="C1585" s="27">
        <v>1400018043</v>
      </c>
    </row>
    <row r="1586" spans="1:3" x14ac:dyDescent="0.25">
      <c r="A1586" t="s">
        <v>6880</v>
      </c>
      <c r="C1586" s="27">
        <v>5446012267</v>
      </c>
    </row>
    <row r="1587" spans="1:3" x14ac:dyDescent="0.25">
      <c r="A1587" t="s">
        <v>6881</v>
      </c>
      <c r="C1587" s="27">
        <v>25700858815</v>
      </c>
    </row>
    <row r="1588" spans="1:3" x14ac:dyDescent="0.25">
      <c r="A1588" t="s">
        <v>6882</v>
      </c>
      <c r="C1588" s="27">
        <v>5503206092</v>
      </c>
    </row>
    <row r="1589" spans="1:3" x14ac:dyDescent="0.25">
      <c r="A1589" t="s">
        <v>6883</v>
      </c>
      <c r="C1589" s="27">
        <v>1660365842</v>
      </c>
    </row>
    <row r="1590" spans="1:3" x14ac:dyDescent="0.25">
      <c r="A1590" t="s">
        <v>6884</v>
      </c>
      <c r="C1590" s="27">
        <v>614207843409</v>
      </c>
    </row>
    <row r="1591" spans="1:3" x14ac:dyDescent="0.25">
      <c r="A1591" t="s">
        <v>6885</v>
      </c>
      <c r="C1591" s="27">
        <v>6452103612</v>
      </c>
    </row>
    <row r="1592" spans="1:3" x14ac:dyDescent="0.25">
      <c r="A1592" t="s">
        <v>6886</v>
      </c>
      <c r="C1592" s="27">
        <v>2801274367</v>
      </c>
    </row>
    <row r="1593" spans="1:3" x14ac:dyDescent="0.25">
      <c r="A1593" t="s">
        <v>6887</v>
      </c>
      <c r="C1593" s="27">
        <v>9105005002</v>
      </c>
    </row>
    <row r="1594" spans="1:3" x14ac:dyDescent="0.25">
      <c r="A1594" t="s">
        <v>6888</v>
      </c>
      <c r="C1594" s="27">
        <v>263000485040</v>
      </c>
    </row>
    <row r="1595" spans="1:3" x14ac:dyDescent="0.25">
      <c r="A1595" t="s">
        <v>6889</v>
      </c>
      <c r="C1595" s="27">
        <v>5406718352</v>
      </c>
    </row>
    <row r="1596" spans="1:3" x14ac:dyDescent="0.25">
      <c r="A1596" t="s">
        <v>6890</v>
      </c>
      <c r="C1596" s="27">
        <v>223401822668</v>
      </c>
    </row>
    <row r="1597" spans="1:3" x14ac:dyDescent="0.25">
      <c r="A1597" t="s">
        <v>6891</v>
      </c>
      <c r="C1597" s="27">
        <v>5262106035</v>
      </c>
    </row>
    <row r="1598" spans="1:3" x14ac:dyDescent="0.25">
      <c r="A1598" t="s">
        <v>6892</v>
      </c>
      <c r="C1598" s="27">
        <v>5503215869</v>
      </c>
    </row>
    <row r="1599" spans="1:3" x14ac:dyDescent="0.25">
      <c r="A1599" t="s">
        <v>6893</v>
      </c>
      <c r="C1599" s="27">
        <v>151108142092</v>
      </c>
    </row>
    <row r="1600" spans="1:3" x14ac:dyDescent="0.25">
      <c r="A1600" t="s">
        <v>6894</v>
      </c>
      <c r="C1600" s="27">
        <v>330505746790</v>
      </c>
    </row>
    <row r="1601" spans="1:3" x14ac:dyDescent="0.25">
      <c r="A1601" t="s">
        <v>6895</v>
      </c>
      <c r="C1601" s="27">
        <v>9727004100</v>
      </c>
    </row>
    <row r="1602" spans="1:3" x14ac:dyDescent="0.25">
      <c r="A1602" t="s">
        <v>6896</v>
      </c>
      <c r="C1602" s="27">
        <v>9715371384</v>
      </c>
    </row>
    <row r="1603" spans="1:3" x14ac:dyDescent="0.25">
      <c r="A1603" t="s">
        <v>6897</v>
      </c>
      <c r="C1603" s="27">
        <v>7325109660</v>
      </c>
    </row>
    <row r="1604" spans="1:3" x14ac:dyDescent="0.25">
      <c r="A1604" t="s">
        <v>6898</v>
      </c>
      <c r="C1604" s="27">
        <v>5007032530</v>
      </c>
    </row>
    <row r="1605" spans="1:3" x14ac:dyDescent="0.25">
      <c r="A1605" t="s">
        <v>6899</v>
      </c>
      <c r="C1605" s="27">
        <v>554000132</v>
      </c>
    </row>
    <row r="1606" spans="1:3" x14ac:dyDescent="0.25">
      <c r="A1606" t="s">
        <v>6900</v>
      </c>
      <c r="C1606" s="27">
        <v>3702239067</v>
      </c>
    </row>
    <row r="1607" spans="1:3" x14ac:dyDescent="0.25">
      <c r="A1607" t="s">
        <v>6901</v>
      </c>
      <c r="C1607" s="27">
        <v>246205112204</v>
      </c>
    </row>
    <row r="1608" spans="1:3" x14ac:dyDescent="0.25">
      <c r="A1608" t="s">
        <v>6902</v>
      </c>
      <c r="C1608" s="27">
        <v>614309888800</v>
      </c>
    </row>
    <row r="1609" spans="1:3" x14ac:dyDescent="0.25">
      <c r="A1609" t="s">
        <v>6903</v>
      </c>
      <c r="C1609" s="27">
        <v>5245021180</v>
      </c>
    </row>
    <row r="1610" spans="1:3" x14ac:dyDescent="0.25">
      <c r="A1610" t="s">
        <v>6904</v>
      </c>
      <c r="C1610" s="27">
        <v>7816566611</v>
      </c>
    </row>
    <row r="1611" spans="1:3" x14ac:dyDescent="0.25">
      <c r="A1611" t="s">
        <v>6905</v>
      </c>
      <c r="C1611" s="27">
        <v>461600028601</v>
      </c>
    </row>
    <row r="1612" spans="1:3" x14ac:dyDescent="0.25">
      <c r="A1612" t="s">
        <v>6906</v>
      </c>
      <c r="C1612" s="27">
        <v>690140014960</v>
      </c>
    </row>
    <row r="1613" spans="1:3" x14ac:dyDescent="0.25">
      <c r="A1613" t="s">
        <v>6907</v>
      </c>
      <c r="C1613" s="27">
        <v>7728313636</v>
      </c>
    </row>
    <row r="1614" spans="1:3" x14ac:dyDescent="0.25">
      <c r="A1614" t="s">
        <v>6908</v>
      </c>
      <c r="C1614" s="27">
        <v>2319060382</v>
      </c>
    </row>
    <row r="1615" spans="1:3" x14ac:dyDescent="0.25">
      <c r="A1615" t="s">
        <v>6909</v>
      </c>
      <c r="C1615" s="27">
        <v>5006016119</v>
      </c>
    </row>
    <row r="1616" spans="1:3" x14ac:dyDescent="0.25">
      <c r="A1616" t="s">
        <v>6910</v>
      </c>
      <c r="C1616" s="27">
        <v>4313009344</v>
      </c>
    </row>
    <row r="1617" spans="1:3" x14ac:dyDescent="0.25">
      <c r="A1617" t="s">
        <v>6911</v>
      </c>
      <c r="C1617" s="27">
        <v>3334010797</v>
      </c>
    </row>
    <row r="1618" spans="1:3" x14ac:dyDescent="0.25">
      <c r="A1618" t="s">
        <v>6912</v>
      </c>
      <c r="C1618" s="27">
        <v>2308107977</v>
      </c>
    </row>
    <row r="1619" spans="1:3" x14ac:dyDescent="0.25">
      <c r="A1619" t="s">
        <v>6913</v>
      </c>
      <c r="C1619" s="27">
        <v>5108000703</v>
      </c>
    </row>
    <row r="1620" spans="1:3" x14ac:dyDescent="0.25">
      <c r="A1620" t="s">
        <v>6914</v>
      </c>
      <c r="C1620" s="27">
        <v>5043016928</v>
      </c>
    </row>
    <row r="1621" spans="1:3" x14ac:dyDescent="0.25">
      <c r="A1621" t="s">
        <v>6915</v>
      </c>
      <c r="C1621" s="27">
        <v>7802628346</v>
      </c>
    </row>
    <row r="1622" spans="1:3" x14ac:dyDescent="0.25">
      <c r="A1622" t="s">
        <v>6916</v>
      </c>
      <c r="C1622" s="27">
        <v>5410056694</v>
      </c>
    </row>
    <row r="1623" spans="1:3" x14ac:dyDescent="0.25">
      <c r="A1623" t="s">
        <v>6917</v>
      </c>
      <c r="C1623" s="27">
        <v>6376065987</v>
      </c>
    </row>
    <row r="1624" spans="1:3" x14ac:dyDescent="0.25">
      <c r="A1624" t="s">
        <v>6918</v>
      </c>
      <c r="C1624" s="27">
        <v>2203009108</v>
      </c>
    </row>
    <row r="1625" spans="1:3" x14ac:dyDescent="0.25">
      <c r="A1625" t="s">
        <v>6919</v>
      </c>
      <c r="C1625" s="27">
        <v>6230121836</v>
      </c>
    </row>
    <row r="1626" spans="1:3" x14ac:dyDescent="0.25">
      <c r="A1626" t="s">
        <v>6920</v>
      </c>
      <c r="C1626" s="27">
        <v>4205097745</v>
      </c>
    </row>
    <row r="1627" spans="1:3" x14ac:dyDescent="0.25">
      <c r="A1627" t="s">
        <v>6921</v>
      </c>
      <c r="C1627" s="27">
        <v>6318174708</v>
      </c>
    </row>
    <row r="1628" spans="1:3" x14ac:dyDescent="0.25">
      <c r="A1628" t="s">
        <v>6922</v>
      </c>
      <c r="C1628" s="27">
        <v>5260403787</v>
      </c>
    </row>
    <row r="1629" spans="1:3" x14ac:dyDescent="0.25">
      <c r="A1629" t="s">
        <v>6923</v>
      </c>
      <c r="C1629" s="27">
        <v>6316166532</v>
      </c>
    </row>
    <row r="1630" spans="1:3" x14ac:dyDescent="0.25">
      <c r="A1630" t="s">
        <v>6924</v>
      </c>
      <c r="C1630" s="27">
        <v>1655210917</v>
      </c>
    </row>
    <row r="1631" spans="1:3" x14ac:dyDescent="0.25">
      <c r="A1631" t="s">
        <v>6925</v>
      </c>
      <c r="C1631" s="27">
        <v>7816211584</v>
      </c>
    </row>
    <row r="1632" spans="1:3" x14ac:dyDescent="0.25">
      <c r="A1632" t="s">
        <v>6926</v>
      </c>
      <c r="C1632" s="27">
        <v>4632237795</v>
      </c>
    </row>
    <row r="1633" spans="1:3" x14ac:dyDescent="0.25">
      <c r="A1633" t="s">
        <v>6927</v>
      </c>
      <c r="C1633" s="27">
        <v>5001111337</v>
      </c>
    </row>
    <row r="1634" spans="1:3" x14ac:dyDescent="0.25">
      <c r="A1634" t="s">
        <v>6928</v>
      </c>
      <c r="C1634" s="27">
        <v>2465002420</v>
      </c>
    </row>
    <row r="1635" spans="1:3" x14ac:dyDescent="0.25">
      <c r="A1635" t="s">
        <v>6929</v>
      </c>
      <c r="C1635" s="27">
        <v>3439009358</v>
      </c>
    </row>
    <row r="1636" spans="1:3" x14ac:dyDescent="0.25">
      <c r="A1636" t="s">
        <v>6930</v>
      </c>
      <c r="C1636" s="27">
        <v>5402044889</v>
      </c>
    </row>
    <row r="1637" spans="1:3" x14ac:dyDescent="0.25">
      <c r="A1637" t="s">
        <v>6931</v>
      </c>
      <c r="C1637" s="27">
        <v>262307754157</v>
      </c>
    </row>
    <row r="1638" spans="1:3" x14ac:dyDescent="0.25">
      <c r="A1638" t="s">
        <v>6932</v>
      </c>
      <c r="C1638" s="27">
        <v>5505210680</v>
      </c>
    </row>
    <row r="1639" spans="1:3" x14ac:dyDescent="0.25">
      <c r="A1639" t="s">
        <v>6933</v>
      </c>
      <c r="C1639" s="27">
        <v>7816276510</v>
      </c>
    </row>
    <row r="1640" spans="1:3" x14ac:dyDescent="0.25">
      <c r="A1640" t="s">
        <v>6934</v>
      </c>
      <c r="C1640" s="27">
        <v>2458012749</v>
      </c>
    </row>
    <row r="1641" spans="1:3" x14ac:dyDescent="0.25">
      <c r="A1641" t="s">
        <v>6935</v>
      </c>
      <c r="C1641" s="27">
        <v>268051859</v>
      </c>
    </row>
    <row r="1642" spans="1:3" x14ac:dyDescent="0.25">
      <c r="A1642" t="s">
        <v>6936</v>
      </c>
      <c r="C1642" s="27">
        <v>2373007517</v>
      </c>
    </row>
    <row r="1643" spans="1:3" x14ac:dyDescent="0.25">
      <c r="A1643" t="s">
        <v>6937</v>
      </c>
      <c r="C1643" s="27">
        <v>7710703674</v>
      </c>
    </row>
    <row r="1644" spans="1:3" x14ac:dyDescent="0.25">
      <c r="A1644" t="s">
        <v>6938</v>
      </c>
      <c r="C1644" s="27">
        <v>2320226459</v>
      </c>
    </row>
    <row r="1645" spans="1:3" x14ac:dyDescent="0.25">
      <c r="A1645" t="s">
        <v>6939</v>
      </c>
      <c r="C1645" s="27">
        <v>7728680629</v>
      </c>
    </row>
    <row r="1646" spans="1:3" x14ac:dyDescent="0.25">
      <c r="A1646" t="s">
        <v>6940</v>
      </c>
      <c r="C1646" s="27">
        <v>575402182140</v>
      </c>
    </row>
    <row r="1647" spans="1:3" x14ac:dyDescent="0.25">
      <c r="A1647" t="s">
        <v>6941</v>
      </c>
      <c r="C1647" s="27">
        <v>6230001810</v>
      </c>
    </row>
    <row r="1648" spans="1:3" x14ac:dyDescent="0.25">
      <c r="A1648" t="s">
        <v>6942</v>
      </c>
      <c r="C1648" s="27">
        <v>5243044947</v>
      </c>
    </row>
    <row r="1649" spans="1:3" x14ac:dyDescent="0.25">
      <c r="A1649" t="s">
        <v>6943</v>
      </c>
      <c r="C1649" s="27">
        <v>7826702038</v>
      </c>
    </row>
    <row r="1650" spans="1:3" x14ac:dyDescent="0.25">
      <c r="A1650" t="s">
        <v>6944</v>
      </c>
      <c r="C1650" s="27">
        <v>232900436687</v>
      </c>
    </row>
    <row r="1651" spans="1:3" x14ac:dyDescent="0.25">
      <c r="A1651" t="s">
        <v>6945</v>
      </c>
      <c r="C1651" s="27">
        <v>7720627077</v>
      </c>
    </row>
    <row r="1652" spans="1:3" x14ac:dyDescent="0.25">
      <c r="A1652" t="s">
        <v>6946</v>
      </c>
      <c r="C1652" s="27">
        <v>276145973</v>
      </c>
    </row>
    <row r="1653" spans="1:3" x14ac:dyDescent="0.25">
      <c r="A1653" t="s">
        <v>6947</v>
      </c>
      <c r="C1653" s="27">
        <v>910507190303</v>
      </c>
    </row>
    <row r="1654" spans="1:3" x14ac:dyDescent="0.25">
      <c r="A1654" t="s">
        <v>6948</v>
      </c>
      <c r="C1654" s="27">
        <v>6321236369</v>
      </c>
    </row>
    <row r="1655" spans="1:3" x14ac:dyDescent="0.25">
      <c r="A1655" t="s">
        <v>6949</v>
      </c>
      <c r="C1655" s="27">
        <v>6905006137</v>
      </c>
    </row>
    <row r="1656" spans="1:3" x14ac:dyDescent="0.25">
      <c r="A1656" t="s">
        <v>6950</v>
      </c>
      <c r="C1656" s="27">
        <v>5906127284</v>
      </c>
    </row>
    <row r="1657" spans="1:3" x14ac:dyDescent="0.25">
      <c r="A1657" t="s">
        <v>6951</v>
      </c>
      <c r="C1657" s="27">
        <v>7325163280</v>
      </c>
    </row>
    <row r="1658" spans="1:3" x14ac:dyDescent="0.25">
      <c r="A1658" t="s">
        <v>6952</v>
      </c>
      <c r="C1658" s="27">
        <v>3666201756</v>
      </c>
    </row>
    <row r="1659" spans="1:3" x14ac:dyDescent="0.25">
      <c r="A1659" t="s">
        <v>6953</v>
      </c>
      <c r="C1659" s="27">
        <v>7100057807</v>
      </c>
    </row>
    <row r="1660" spans="1:3" x14ac:dyDescent="0.25">
      <c r="A1660" t="s">
        <v>6954</v>
      </c>
      <c r="C1660" s="27">
        <v>542606496781</v>
      </c>
    </row>
    <row r="1661" spans="1:3" x14ac:dyDescent="0.25">
      <c r="A1661" t="s">
        <v>6955</v>
      </c>
      <c r="C1661" s="27">
        <v>3305709446</v>
      </c>
    </row>
    <row r="1662" spans="1:3" x14ac:dyDescent="0.25">
      <c r="A1662" t="s">
        <v>6956</v>
      </c>
      <c r="C1662" s="27">
        <v>2353001108</v>
      </c>
    </row>
    <row r="1663" spans="1:3" x14ac:dyDescent="0.25">
      <c r="A1663" t="s">
        <v>6957</v>
      </c>
      <c r="C1663" s="27">
        <v>7713484004</v>
      </c>
    </row>
    <row r="1664" spans="1:3" x14ac:dyDescent="0.25">
      <c r="A1664" t="s">
        <v>6958</v>
      </c>
      <c r="C1664" s="27">
        <v>773108879040</v>
      </c>
    </row>
    <row r="1665" spans="1:3" x14ac:dyDescent="0.25">
      <c r="A1665" t="s">
        <v>6959</v>
      </c>
      <c r="C1665" s="27">
        <v>312301485491</v>
      </c>
    </row>
    <row r="1666" spans="1:3" x14ac:dyDescent="0.25">
      <c r="A1666" t="s">
        <v>6960</v>
      </c>
      <c r="C1666" s="27">
        <v>4011026840</v>
      </c>
    </row>
    <row r="1667" spans="1:3" x14ac:dyDescent="0.25">
      <c r="A1667" t="s">
        <v>6961</v>
      </c>
      <c r="C1667" s="27">
        <v>2319051290</v>
      </c>
    </row>
    <row r="1668" spans="1:3" x14ac:dyDescent="0.25">
      <c r="A1668" t="s">
        <v>6962</v>
      </c>
      <c r="C1668" s="27">
        <v>4704072665</v>
      </c>
    </row>
    <row r="1669" spans="1:3" x14ac:dyDescent="0.25">
      <c r="A1669" t="s">
        <v>6963</v>
      </c>
      <c r="C1669" s="27">
        <v>3245005330</v>
      </c>
    </row>
    <row r="1670" spans="1:3" x14ac:dyDescent="0.25">
      <c r="A1670" t="s">
        <v>6964</v>
      </c>
      <c r="C1670" s="27">
        <v>5009127160</v>
      </c>
    </row>
    <row r="1671" spans="1:3" x14ac:dyDescent="0.25">
      <c r="A1671" t="s">
        <v>6965</v>
      </c>
      <c r="C1671" s="27">
        <v>1841024788</v>
      </c>
    </row>
    <row r="1672" spans="1:3" x14ac:dyDescent="0.25">
      <c r="A1672" t="s">
        <v>6966</v>
      </c>
      <c r="C1672" s="27">
        <v>8602273673</v>
      </c>
    </row>
    <row r="1673" spans="1:3" x14ac:dyDescent="0.25">
      <c r="A1673" t="s">
        <v>6967</v>
      </c>
      <c r="C1673" s="27">
        <v>27405158168</v>
      </c>
    </row>
    <row r="1674" spans="1:3" x14ac:dyDescent="0.25">
      <c r="A1674" t="s">
        <v>6968</v>
      </c>
      <c r="C1674" s="27">
        <v>7731241639</v>
      </c>
    </row>
    <row r="1675" spans="1:3" x14ac:dyDescent="0.25">
      <c r="A1675" t="s">
        <v>6969</v>
      </c>
      <c r="C1675" s="27">
        <v>2311238137</v>
      </c>
    </row>
    <row r="1676" spans="1:3" x14ac:dyDescent="0.25">
      <c r="A1676" t="s">
        <v>6970</v>
      </c>
      <c r="C1676" s="27">
        <v>5503212956</v>
      </c>
    </row>
    <row r="1677" spans="1:3" x14ac:dyDescent="0.25">
      <c r="A1677" t="s">
        <v>6971</v>
      </c>
      <c r="C1677" s="27">
        <v>2311077377</v>
      </c>
    </row>
    <row r="1678" spans="1:3" x14ac:dyDescent="0.25">
      <c r="A1678" t="s">
        <v>6972</v>
      </c>
      <c r="C1678" s="27">
        <v>2129008507</v>
      </c>
    </row>
    <row r="1679" spans="1:3" x14ac:dyDescent="0.25">
      <c r="A1679" t="s">
        <v>6973</v>
      </c>
      <c r="C1679" s="27">
        <v>5017128079</v>
      </c>
    </row>
    <row r="1680" spans="1:3" x14ac:dyDescent="0.25">
      <c r="A1680" t="s">
        <v>6974</v>
      </c>
      <c r="C1680" s="27">
        <v>616107947951</v>
      </c>
    </row>
    <row r="1681" spans="1:3" x14ac:dyDescent="0.25">
      <c r="A1681" t="s">
        <v>6975</v>
      </c>
      <c r="C1681" s="27">
        <v>9102048713</v>
      </c>
    </row>
    <row r="1682" spans="1:3" x14ac:dyDescent="0.25">
      <c r="A1682" t="s">
        <v>6976</v>
      </c>
      <c r="C1682" s="27">
        <v>4802005829</v>
      </c>
    </row>
    <row r="1683" spans="1:3" x14ac:dyDescent="0.25">
      <c r="A1683" t="s">
        <v>6977</v>
      </c>
      <c r="C1683" s="27">
        <v>2311141368</v>
      </c>
    </row>
    <row r="1684" spans="1:3" x14ac:dyDescent="0.25">
      <c r="A1684" t="s">
        <v>6978</v>
      </c>
      <c r="C1684" s="27">
        <v>7724205830</v>
      </c>
    </row>
    <row r="1685" spans="1:3" x14ac:dyDescent="0.25">
      <c r="A1685" t="s">
        <v>6979</v>
      </c>
      <c r="C1685" s="27">
        <v>268061529</v>
      </c>
    </row>
    <row r="1686" spans="1:3" x14ac:dyDescent="0.25">
      <c r="A1686" t="s">
        <v>6980</v>
      </c>
      <c r="C1686" s="27">
        <v>6027079859</v>
      </c>
    </row>
    <row r="1687" spans="1:3" x14ac:dyDescent="0.25">
      <c r="A1687" t="s">
        <v>6981</v>
      </c>
      <c r="C1687" s="27">
        <v>7327045620</v>
      </c>
    </row>
    <row r="1688" spans="1:3" x14ac:dyDescent="0.25">
      <c r="A1688" t="s">
        <v>6982</v>
      </c>
      <c r="C1688" s="27">
        <v>2222876240</v>
      </c>
    </row>
    <row r="1689" spans="1:3" x14ac:dyDescent="0.25">
      <c r="A1689" t="s">
        <v>6983</v>
      </c>
      <c r="C1689" s="27">
        <v>320301950920</v>
      </c>
    </row>
    <row r="1690" spans="1:3" x14ac:dyDescent="0.25">
      <c r="A1690" t="s">
        <v>6984</v>
      </c>
      <c r="C1690" s="27">
        <v>143519617695</v>
      </c>
    </row>
    <row r="1691" spans="1:3" x14ac:dyDescent="0.25">
      <c r="A1691" t="s">
        <v>6985</v>
      </c>
      <c r="C1691" s="27">
        <v>2461207667</v>
      </c>
    </row>
    <row r="1692" spans="1:3" x14ac:dyDescent="0.25">
      <c r="A1692" t="s">
        <v>6986</v>
      </c>
      <c r="C1692" s="27">
        <v>8901043269</v>
      </c>
    </row>
    <row r="1693" spans="1:3" x14ac:dyDescent="0.25">
      <c r="A1693" t="s">
        <v>6987</v>
      </c>
      <c r="C1693" s="27">
        <v>4826048081</v>
      </c>
    </row>
    <row r="1694" spans="1:3" x14ac:dyDescent="0.25">
      <c r="A1694" t="s">
        <v>6988</v>
      </c>
      <c r="C1694" s="27">
        <v>26910694756</v>
      </c>
    </row>
    <row r="1695" spans="1:3" x14ac:dyDescent="0.25">
      <c r="A1695" t="s">
        <v>6989</v>
      </c>
      <c r="C1695" s="27">
        <v>5609027223</v>
      </c>
    </row>
    <row r="1696" spans="1:3" x14ac:dyDescent="0.25">
      <c r="A1696" t="s">
        <v>6990</v>
      </c>
      <c r="C1696" s="27">
        <v>2536284125</v>
      </c>
    </row>
    <row r="1697" spans="1:3" x14ac:dyDescent="0.25">
      <c r="A1697" t="s">
        <v>6991</v>
      </c>
      <c r="C1697" s="27">
        <v>4632201710</v>
      </c>
    </row>
    <row r="1698" spans="1:3" x14ac:dyDescent="0.25">
      <c r="A1698" t="s">
        <v>6992</v>
      </c>
      <c r="C1698" s="27">
        <v>4502022647</v>
      </c>
    </row>
    <row r="1699" spans="1:3" x14ac:dyDescent="0.25">
      <c r="A1699" t="s">
        <v>6993</v>
      </c>
      <c r="C1699" s="27">
        <v>3528036730</v>
      </c>
    </row>
    <row r="1700" spans="1:3" x14ac:dyDescent="0.25">
      <c r="A1700" t="s">
        <v>6994</v>
      </c>
      <c r="C1700" s="27">
        <v>7727832413</v>
      </c>
    </row>
    <row r="1701" spans="1:3" x14ac:dyDescent="0.25">
      <c r="A1701" t="s">
        <v>6995</v>
      </c>
      <c r="C1701" s="27">
        <v>7721284915</v>
      </c>
    </row>
    <row r="1702" spans="1:3" x14ac:dyDescent="0.25">
      <c r="A1702" t="s">
        <v>6996</v>
      </c>
      <c r="C1702" s="27">
        <v>420512783950</v>
      </c>
    </row>
    <row r="1703" spans="1:3" x14ac:dyDescent="0.25">
      <c r="A1703" t="s">
        <v>6997</v>
      </c>
      <c r="C1703" s="27">
        <v>6139005492</v>
      </c>
    </row>
    <row r="1704" spans="1:3" x14ac:dyDescent="0.25">
      <c r="A1704" t="s">
        <v>6998</v>
      </c>
      <c r="C1704" s="27">
        <v>6165231219</v>
      </c>
    </row>
    <row r="1705" spans="1:3" x14ac:dyDescent="0.25">
      <c r="A1705" t="s">
        <v>6999</v>
      </c>
      <c r="C1705" s="27">
        <v>3252009279</v>
      </c>
    </row>
    <row r="1706" spans="1:3" x14ac:dyDescent="0.25">
      <c r="A1706" t="s">
        <v>7000</v>
      </c>
      <c r="C1706" s="27">
        <v>6376066028</v>
      </c>
    </row>
    <row r="1707" spans="1:3" x14ac:dyDescent="0.25">
      <c r="A1707" t="s">
        <v>7001</v>
      </c>
      <c r="C1707" s="27">
        <v>3811184636</v>
      </c>
    </row>
    <row r="1708" spans="1:3" x14ac:dyDescent="0.25">
      <c r="A1708" t="s">
        <v>7002</v>
      </c>
      <c r="C1708" s="27">
        <v>5012101267</v>
      </c>
    </row>
    <row r="1709" spans="1:3" x14ac:dyDescent="0.25">
      <c r="A1709" t="s">
        <v>7003</v>
      </c>
      <c r="C1709" s="27">
        <v>5835119799</v>
      </c>
    </row>
    <row r="1710" spans="1:3" x14ac:dyDescent="0.25">
      <c r="A1710" t="s">
        <v>7004</v>
      </c>
      <c r="C1710" s="27">
        <v>5257133298</v>
      </c>
    </row>
    <row r="1711" spans="1:3" x14ac:dyDescent="0.25">
      <c r="A1711" t="s">
        <v>7005</v>
      </c>
      <c r="C1711" s="27">
        <v>3906250580</v>
      </c>
    </row>
    <row r="1712" spans="1:3" x14ac:dyDescent="0.25">
      <c r="A1712" t="s">
        <v>7006</v>
      </c>
      <c r="C1712" s="27">
        <v>614309889219</v>
      </c>
    </row>
    <row r="1713" spans="1:3" x14ac:dyDescent="0.25">
      <c r="A1713" t="s">
        <v>7007</v>
      </c>
      <c r="C1713" s="27">
        <v>2352031942</v>
      </c>
    </row>
    <row r="1714" spans="1:3" x14ac:dyDescent="0.25">
      <c r="A1714" t="s">
        <v>7008</v>
      </c>
      <c r="C1714" s="27">
        <v>6312200824</v>
      </c>
    </row>
    <row r="1715" spans="1:3" x14ac:dyDescent="0.25">
      <c r="A1715" t="s">
        <v>7009</v>
      </c>
      <c r="C1715" s="27">
        <v>7734446659</v>
      </c>
    </row>
    <row r="1716" spans="1:3" x14ac:dyDescent="0.25">
      <c r="A1716" t="s">
        <v>7010</v>
      </c>
      <c r="C1716" s="27">
        <v>132801749083</v>
      </c>
    </row>
    <row r="1717" spans="1:3" x14ac:dyDescent="0.25">
      <c r="A1717" t="s">
        <v>7011</v>
      </c>
      <c r="C1717" s="27">
        <v>7840440930</v>
      </c>
    </row>
    <row r="1718" spans="1:3" x14ac:dyDescent="0.25">
      <c r="A1718" t="s">
        <v>7012</v>
      </c>
      <c r="C1718" s="27">
        <v>3442047667</v>
      </c>
    </row>
    <row r="1719" spans="1:3" x14ac:dyDescent="0.25">
      <c r="A1719" t="s">
        <v>7013</v>
      </c>
      <c r="C1719" s="27">
        <v>7733714778</v>
      </c>
    </row>
    <row r="1720" spans="1:3" x14ac:dyDescent="0.25">
      <c r="A1720" t="s">
        <v>7014</v>
      </c>
      <c r="C1720" s="27">
        <v>6164114294</v>
      </c>
    </row>
    <row r="1721" spans="1:3" x14ac:dyDescent="0.25">
      <c r="A1721" t="s">
        <v>7015</v>
      </c>
      <c r="C1721" s="27">
        <v>2463037989</v>
      </c>
    </row>
    <row r="1722" spans="1:3" x14ac:dyDescent="0.25">
      <c r="A1722" t="s">
        <v>7016</v>
      </c>
      <c r="C1722" s="27">
        <v>711031006</v>
      </c>
    </row>
    <row r="1723" spans="1:3" x14ac:dyDescent="0.25">
      <c r="A1723" t="s">
        <v>7017</v>
      </c>
      <c r="C1723" s="27">
        <v>2311237101</v>
      </c>
    </row>
    <row r="1724" spans="1:3" x14ac:dyDescent="0.25">
      <c r="A1724" t="s">
        <v>7018</v>
      </c>
      <c r="C1724" s="27">
        <v>2320167556</v>
      </c>
    </row>
    <row r="1725" spans="1:3" x14ac:dyDescent="0.25">
      <c r="A1725" t="s">
        <v>7019</v>
      </c>
      <c r="C1725" s="27">
        <v>7734638921</v>
      </c>
    </row>
    <row r="1726" spans="1:3" x14ac:dyDescent="0.25">
      <c r="A1726" t="s">
        <v>7020</v>
      </c>
      <c r="C1726" s="27">
        <v>5902212933</v>
      </c>
    </row>
    <row r="1727" spans="1:3" x14ac:dyDescent="0.25">
      <c r="A1727" t="s">
        <v>7021</v>
      </c>
      <c r="C1727" s="27">
        <v>331700130195</v>
      </c>
    </row>
    <row r="1728" spans="1:3" x14ac:dyDescent="0.25">
      <c r="A1728" t="s">
        <v>7022</v>
      </c>
      <c r="C1728" s="27">
        <v>6165098542</v>
      </c>
    </row>
    <row r="1729" spans="1:3" x14ac:dyDescent="0.25">
      <c r="A1729" t="s">
        <v>7023</v>
      </c>
      <c r="C1729" s="27">
        <v>7751147360</v>
      </c>
    </row>
    <row r="1730" spans="1:3" x14ac:dyDescent="0.25">
      <c r="A1730" t="s">
        <v>7024</v>
      </c>
      <c r="C1730" s="27">
        <v>4000012701</v>
      </c>
    </row>
    <row r="1731" spans="1:3" x14ac:dyDescent="0.25">
      <c r="A1731" t="s">
        <v>7025</v>
      </c>
      <c r="C1731" s="27">
        <v>151205191539</v>
      </c>
    </row>
    <row r="1732" spans="1:3" x14ac:dyDescent="0.25">
      <c r="A1732" t="s">
        <v>7026</v>
      </c>
      <c r="C1732" s="27">
        <v>2724219827</v>
      </c>
    </row>
    <row r="1733" spans="1:3" x14ac:dyDescent="0.25">
      <c r="A1733" t="s">
        <v>7027</v>
      </c>
      <c r="C1733" s="27">
        <v>2724069836</v>
      </c>
    </row>
    <row r="1734" spans="1:3" x14ac:dyDescent="0.25">
      <c r="A1734" t="s">
        <v>7028</v>
      </c>
      <c r="C1734" s="27">
        <v>5837017859</v>
      </c>
    </row>
    <row r="1735" spans="1:3" x14ac:dyDescent="0.25">
      <c r="A1735" t="s">
        <v>7029</v>
      </c>
      <c r="C1735" s="27">
        <v>616702653879</v>
      </c>
    </row>
    <row r="1736" spans="1:3" x14ac:dyDescent="0.25">
      <c r="A1736" t="s">
        <v>7030</v>
      </c>
      <c r="C1736" s="27">
        <v>2607021421</v>
      </c>
    </row>
    <row r="1737" spans="1:3" x14ac:dyDescent="0.25">
      <c r="A1737" t="s">
        <v>7031</v>
      </c>
      <c r="C1737" s="27">
        <v>90100239801</v>
      </c>
    </row>
    <row r="1738" spans="1:3" x14ac:dyDescent="0.25">
      <c r="A1738" t="s">
        <v>7032</v>
      </c>
      <c r="C1738" s="27">
        <v>4345294260</v>
      </c>
    </row>
    <row r="1739" spans="1:3" x14ac:dyDescent="0.25">
      <c r="A1739" t="s">
        <v>7033</v>
      </c>
      <c r="C1739" s="27">
        <v>262407046609</v>
      </c>
    </row>
    <row r="1740" spans="1:3" x14ac:dyDescent="0.25">
      <c r="A1740" t="s">
        <v>7034</v>
      </c>
      <c r="C1740" s="27">
        <v>6312053506</v>
      </c>
    </row>
    <row r="1741" spans="1:3" x14ac:dyDescent="0.25">
      <c r="A1741" t="s">
        <v>7035</v>
      </c>
      <c r="C1741" s="27">
        <v>4705049122</v>
      </c>
    </row>
    <row r="1742" spans="1:3" x14ac:dyDescent="0.25">
      <c r="A1742" t="s">
        <v>7036</v>
      </c>
      <c r="C1742" s="27">
        <v>5024139280</v>
      </c>
    </row>
    <row r="1743" spans="1:3" x14ac:dyDescent="0.25">
      <c r="A1743" t="s">
        <v>7037</v>
      </c>
      <c r="C1743" s="27">
        <v>2443047940</v>
      </c>
    </row>
    <row r="1744" spans="1:3" x14ac:dyDescent="0.25">
      <c r="A1744" t="s">
        <v>7038</v>
      </c>
      <c r="C1744" s="27">
        <v>6319710310</v>
      </c>
    </row>
    <row r="1745" spans="1:3" x14ac:dyDescent="0.25">
      <c r="A1745" t="s">
        <v>7039</v>
      </c>
      <c r="C1745" s="27">
        <v>342500093709</v>
      </c>
    </row>
    <row r="1746" spans="1:3" x14ac:dyDescent="0.25">
      <c r="A1746" t="s">
        <v>7040</v>
      </c>
      <c r="C1746" s="27">
        <v>231707679263</v>
      </c>
    </row>
    <row r="1747" spans="1:3" x14ac:dyDescent="0.25">
      <c r="A1747" t="s">
        <v>7041</v>
      </c>
      <c r="C1747" s="27">
        <v>5101308320</v>
      </c>
    </row>
    <row r="1748" spans="1:3" x14ac:dyDescent="0.25">
      <c r="A1748" t="s">
        <v>7042</v>
      </c>
      <c r="C1748" s="27">
        <v>2308270910</v>
      </c>
    </row>
    <row r="1749" spans="1:3" x14ac:dyDescent="0.25">
      <c r="A1749" t="s">
        <v>7043</v>
      </c>
      <c r="C1749" s="27">
        <v>6163232915</v>
      </c>
    </row>
    <row r="1750" spans="1:3" x14ac:dyDescent="0.25">
      <c r="A1750" t="s">
        <v>7044</v>
      </c>
      <c r="C1750" s="27">
        <v>7725360123</v>
      </c>
    </row>
    <row r="1751" spans="1:3" x14ac:dyDescent="0.25">
      <c r="A1751" t="s">
        <v>7045</v>
      </c>
      <c r="C1751" s="27">
        <v>5029171512</v>
      </c>
    </row>
    <row r="1752" spans="1:3" x14ac:dyDescent="0.25">
      <c r="A1752" t="s">
        <v>7046</v>
      </c>
      <c r="C1752" s="27">
        <v>235203994538</v>
      </c>
    </row>
    <row r="1753" spans="1:3" x14ac:dyDescent="0.25">
      <c r="A1753" t="s">
        <v>7047</v>
      </c>
      <c r="C1753" s="27">
        <v>9102217986</v>
      </c>
    </row>
    <row r="1754" spans="1:3" x14ac:dyDescent="0.25">
      <c r="A1754" t="s">
        <v>7048</v>
      </c>
      <c r="C1754" s="27">
        <v>235600941765</v>
      </c>
    </row>
    <row r="1755" spans="1:3" x14ac:dyDescent="0.25">
      <c r="A1755" t="s">
        <v>7049</v>
      </c>
      <c r="C1755" s="27">
        <v>616605328129</v>
      </c>
    </row>
    <row r="1756" spans="1:3" x14ac:dyDescent="0.25">
      <c r="A1756" t="s">
        <v>7050</v>
      </c>
      <c r="C1756" s="27">
        <v>7714960697</v>
      </c>
    </row>
    <row r="1757" spans="1:3" x14ac:dyDescent="0.25">
      <c r="A1757" t="s">
        <v>7051</v>
      </c>
      <c r="C1757" s="27">
        <v>7729424353</v>
      </c>
    </row>
    <row r="1758" spans="1:3" x14ac:dyDescent="0.25">
      <c r="A1758" t="s">
        <v>7052</v>
      </c>
      <c r="C1758" s="27">
        <v>5013001184</v>
      </c>
    </row>
    <row r="1759" spans="1:3" x14ac:dyDescent="0.25">
      <c r="A1759" t="s">
        <v>7053</v>
      </c>
      <c r="C1759" s="27">
        <v>5018132293</v>
      </c>
    </row>
    <row r="1760" spans="1:3" x14ac:dyDescent="0.25">
      <c r="A1760" t="s">
        <v>7054</v>
      </c>
      <c r="C1760" s="27">
        <v>5040067201</v>
      </c>
    </row>
    <row r="1761" spans="1:3" x14ac:dyDescent="0.25">
      <c r="A1761" t="s">
        <v>7055</v>
      </c>
      <c r="C1761" s="27">
        <v>6679077491</v>
      </c>
    </row>
    <row r="1762" spans="1:3" x14ac:dyDescent="0.25">
      <c r="A1762" t="s">
        <v>7056</v>
      </c>
      <c r="C1762" s="27">
        <v>504015101387</v>
      </c>
    </row>
    <row r="1763" spans="1:3" x14ac:dyDescent="0.25">
      <c r="A1763" t="s">
        <v>7057</v>
      </c>
      <c r="C1763" s="27">
        <v>910902200217</v>
      </c>
    </row>
    <row r="1764" spans="1:3" x14ac:dyDescent="0.25">
      <c r="A1764" t="s">
        <v>7058</v>
      </c>
      <c r="C1764" s="27">
        <v>9102230916</v>
      </c>
    </row>
    <row r="1765" spans="1:3" x14ac:dyDescent="0.25">
      <c r="A1765" t="s">
        <v>7059</v>
      </c>
      <c r="C1765" s="27">
        <v>6315619540</v>
      </c>
    </row>
    <row r="1766" spans="1:3" x14ac:dyDescent="0.25">
      <c r="A1766" t="s">
        <v>7060</v>
      </c>
      <c r="C1766" s="27">
        <v>7449120338</v>
      </c>
    </row>
    <row r="1767" spans="1:3" x14ac:dyDescent="0.25">
      <c r="A1767" t="s">
        <v>7061</v>
      </c>
      <c r="C1767" s="27">
        <v>700002028</v>
      </c>
    </row>
    <row r="1768" spans="1:3" x14ac:dyDescent="0.25">
      <c r="A1768" t="s">
        <v>7062</v>
      </c>
      <c r="C1768" s="27">
        <v>1616016112</v>
      </c>
    </row>
    <row r="1769" spans="1:3" x14ac:dyDescent="0.25">
      <c r="A1769" t="s">
        <v>7063</v>
      </c>
      <c r="C1769" s="27">
        <v>6449098994</v>
      </c>
    </row>
    <row r="1770" spans="1:3" x14ac:dyDescent="0.25">
      <c r="A1770" t="s">
        <v>7064</v>
      </c>
      <c r="C1770" s="27">
        <v>4253023800</v>
      </c>
    </row>
    <row r="1771" spans="1:3" x14ac:dyDescent="0.25">
      <c r="A1771" t="s">
        <v>7065</v>
      </c>
      <c r="C1771" s="27">
        <v>3123476557</v>
      </c>
    </row>
    <row r="1772" spans="1:3" x14ac:dyDescent="0.25">
      <c r="A1772" t="s">
        <v>7066</v>
      </c>
      <c r="C1772" s="27">
        <v>9103016496</v>
      </c>
    </row>
    <row r="1773" spans="1:3" x14ac:dyDescent="0.25">
      <c r="A1773" t="s">
        <v>7067</v>
      </c>
      <c r="C1773" s="27">
        <v>7802082667</v>
      </c>
    </row>
    <row r="1774" spans="1:3" x14ac:dyDescent="0.25">
      <c r="A1774" t="s">
        <v>7068</v>
      </c>
      <c r="C1774" s="27">
        <v>9102156998</v>
      </c>
    </row>
    <row r="1775" spans="1:3" x14ac:dyDescent="0.25">
      <c r="A1775" t="s">
        <v>7069</v>
      </c>
      <c r="C1775" s="27">
        <v>2371002288</v>
      </c>
    </row>
    <row r="1776" spans="1:3" x14ac:dyDescent="0.25">
      <c r="A1776" t="s">
        <v>7070</v>
      </c>
      <c r="C1776" s="27">
        <v>1651080270</v>
      </c>
    </row>
    <row r="1777" spans="1:3" x14ac:dyDescent="0.25">
      <c r="A1777" t="s">
        <v>7071</v>
      </c>
      <c r="C1777" s="27">
        <v>6831017244</v>
      </c>
    </row>
    <row r="1778" spans="1:3" x14ac:dyDescent="0.25">
      <c r="A1778" t="s">
        <v>7072</v>
      </c>
      <c r="C1778" s="27">
        <v>7714454147</v>
      </c>
    </row>
    <row r="1779" spans="1:3" x14ac:dyDescent="0.25">
      <c r="A1779" t="s">
        <v>7073</v>
      </c>
      <c r="C1779" s="27">
        <v>7901537298</v>
      </c>
    </row>
    <row r="1780" spans="1:3" x14ac:dyDescent="0.25">
      <c r="A1780" t="s">
        <v>7074</v>
      </c>
      <c r="C1780" s="27">
        <v>5408017828</v>
      </c>
    </row>
    <row r="1781" spans="1:3" x14ac:dyDescent="0.25">
      <c r="A1781" t="s">
        <v>7075</v>
      </c>
      <c r="C1781" s="27">
        <v>6316166483</v>
      </c>
    </row>
    <row r="1782" spans="1:3" x14ac:dyDescent="0.25">
      <c r="A1782" t="s">
        <v>7076</v>
      </c>
      <c r="C1782" s="27">
        <v>7717292374</v>
      </c>
    </row>
    <row r="1783" spans="1:3" x14ac:dyDescent="0.25">
      <c r="A1783" t="s">
        <v>7077</v>
      </c>
      <c r="C1783" s="27">
        <v>3663089947</v>
      </c>
    </row>
    <row r="1784" spans="1:3" x14ac:dyDescent="0.25">
      <c r="A1784" t="s">
        <v>7078</v>
      </c>
      <c r="C1784" s="27">
        <v>7722846821</v>
      </c>
    </row>
    <row r="1785" spans="1:3" x14ac:dyDescent="0.25">
      <c r="A1785" t="s">
        <v>7079</v>
      </c>
      <c r="C1785" s="27">
        <v>6311109918</v>
      </c>
    </row>
    <row r="1786" spans="1:3" x14ac:dyDescent="0.25">
      <c r="A1786" t="s">
        <v>7080</v>
      </c>
      <c r="C1786" s="27">
        <v>2628058870</v>
      </c>
    </row>
    <row r="1787" spans="1:3" x14ac:dyDescent="0.25">
      <c r="A1787" t="s">
        <v>7081</v>
      </c>
      <c r="C1787" s="27">
        <v>56200060338</v>
      </c>
    </row>
    <row r="1788" spans="1:3" x14ac:dyDescent="0.25">
      <c r="A1788" t="s">
        <v>7082</v>
      </c>
      <c r="C1788" s="27">
        <v>732804984356</v>
      </c>
    </row>
    <row r="1789" spans="1:3" x14ac:dyDescent="0.25">
      <c r="A1789" t="s">
        <v>7083</v>
      </c>
      <c r="C1789" s="27">
        <v>4345175270</v>
      </c>
    </row>
    <row r="1790" spans="1:3" x14ac:dyDescent="0.25">
      <c r="A1790" t="s">
        <v>7084</v>
      </c>
      <c r="C1790" s="27">
        <v>390700344570</v>
      </c>
    </row>
    <row r="1791" spans="1:3" x14ac:dyDescent="0.25">
      <c r="A1791" t="s">
        <v>7085</v>
      </c>
      <c r="C1791" s="27">
        <v>5038042721</v>
      </c>
    </row>
    <row r="1792" spans="1:3" x14ac:dyDescent="0.25">
      <c r="A1792" t="s">
        <v>7086</v>
      </c>
      <c r="C1792" s="27">
        <v>3702227985</v>
      </c>
    </row>
    <row r="1793" spans="1:3" x14ac:dyDescent="0.25">
      <c r="A1793" t="s">
        <v>7087</v>
      </c>
      <c r="C1793" s="27">
        <v>7842038495</v>
      </c>
    </row>
    <row r="1794" spans="1:3" x14ac:dyDescent="0.25">
      <c r="A1794" t="s">
        <v>7088</v>
      </c>
      <c r="C1794" s="27">
        <v>7328070474</v>
      </c>
    </row>
    <row r="1795" spans="1:3" x14ac:dyDescent="0.25">
      <c r="A1795" t="s">
        <v>7089</v>
      </c>
      <c r="C1795" s="27">
        <v>5834022191</v>
      </c>
    </row>
    <row r="1796" spans="1:3" x14ac:dyDescent="0.25">
      <c r="A1796" t="s">
        <v>7090</v>
      </c>
      <c r="C1796" s="27">
        <v>2315232295</v>
      </c>
    </row>
    <row r="1797" spans="1:3" x14ac:dyDescent="0.25">
      <c r="A1797" t="s">
        <v>7091</v>
      </c>
      <c r="C1797" s="27">
        <v>7728039246</v>
      </c>
    </row>
    <row r="1798" spans="1:3" x14ac:dyDescent="0.25">
      <c r="A1798" t="s">
        <v>7092</v>
      </c>
      <c r="C1798" s="27">
        <v>151200281235</v>
      </c>
    </row>
    <row r="1799" spans="1:3" x14ac:dyDescent="0.25">
      <c r="A1799" t="s">
        <v>7093</v>
      </c>
      <c r="C1799" s="27">
        <v>2537119090</v>
      </c>
    </row>
    <row r="1800" spans="1:3" x14ac:dyDescent="0.25">
      <c r="A1800" t="s">
        <v>7094</v>
      </c>
      <c r="C1800" s="27">
        <v>6952021710</v>
      </c>
    </row>
    <row r="1801" spans="1:3" x14ac:dyDescent="0.25">
      <c r="A1801" t="s">
        <v>7095</v>
      </c>
      <c r="C1801" s="27">
        <v>5036066660</v>
      </c>
    </row>
    <row r="1802" spans="1:3" x14ac:dyDescent="0.25">
      <c r="A1802" t="s">
        <v>7096</v>
      </c>
      <c r="C1802" s="27">
        <v>3614011151</v>
      </c>
    </row>
    <row r="1803" spans="1:3" x14ac:dyDescent="0.25">
      <c r="A1803" t="s">
        <v>7097</v>
      </c>
      <c r="C1803" s="27">
        <v>6162056135</v>
      </c>
    </row>
    <row r="1804" spans="1:3" x14ac:dyDescent="0.25">
      <c r="A1804" t="s">
        <v>7098</v>
      </c>
      <c r="C1804" s="27">
        <v>4632161779</v>
      </c>
    </row>
    <row r="1805" spans="1:3" x14ac:dyDescent="0.25">
      <c r="A1805" t="s">
        <v>7099</v>
      </c>
      <c r="C1805" s="27">
        <v>7804271211</v>
      </c>
    </row>
    <row r="1806" spans="1:3" x14ac:dyDescent="0.25">
      <c r="A1806" t="s">
        <v>7100</v>
      </c>
      <c r="C1806" s="27">
        <v>190112832198</v>
      </c>
    </row>
    <row r="1807" spans="1:3" x14ac:dyDescent="0.25">
      <c r="A1807" t="s">
        <v>7101</v>
      </c>
      <c r="C1807" s="27">
        <v>8904090429</v>
      </c>
    </row>
    <row r="1808" spans="1:3" x14ac:dyDescent="0.25">
      <c r="A1808" t="s">
        <v>7102</v>
      </c>
      <c r="C1808" s="27">
        <v>6154017407</v>
      </c>
    </row>
    <row r="1809" spans="1:3" x14ac:dyDescent="0.25">
      <c r="A1809" t="s">
        <v>7103</v>
      </c>
      <c r="C1809" s="27">
        <v>1605003560</v>
      </c>
    </row>
    <row r="1810" spans="1:3" x14ac:dyDescent="0.25">
      <c r="A1810" t="s">
        <v>7104</v>
      </c>
      <c r="C1810" s="27">
        <v>5030004900</v>
      </c>
    </row>
    <row r="1811" spans="1:3" x14ac:dyDescent="0.25">
      <c r="A1811" t="s">
        <v>7105</v>
      </c>
      <c r="C1811" s="27">
        <v>6683004538</v>
      </c>
    </row>
    <row r="1812" spans="1:3" x14ac:dyDescent="0.25">
      <c r="A1812" t="s">
        <v>7106</v>
      </c>
      <c r="C1812" s="27">
        <v>6315012836</v>
      </c>
    </row>
    <row r="1813" spans="1:3" x14ac:dyDescent="0.25">
      <c r="A1813" t="s">
        <v>7107</v>
      </c>
      <c r="C1813" s="27">
        <v>5027266800</v>
      </c>
    </row>
    <row r="1814" spans="1:3" x14ac:dyDescent="0.25">
      <c r="A1814" t="s">
        <v>7108</v>
      </c>
      <c r="C1814" s="27">
        <v>27406127395</v>
      </c>
    </row>
    <row r="1815" spans="1:3" x14ac:dyDescent="0.25">
      <c r="A1815" t="s">
        <v>7109</v>
      </c>
      <c r="C1815" s="27">
        <v>1501007802</v>
      </c>
    </row>
    <row r="1816" spans="1:3" x14ac:dyDescent="0.25">
      <c r="A1816" t="s">
        <v>7110</v>
      </c>
      <c r="C1816" s="27">
        <v>9108128806</v>
      </c>
    </row>
    <row r="1817" spans="1:3" x14ac:dyDescent="0.25">
      <c r="A1817" t="s">
        <v>7111</v>
      </c>
      <c r="C1817" s="27">
        <v>7204157965</v>
      </c>
    </row>
    <row r="1818" spans="1:3" x14ac:dyDescent="0.25">
      <c r="A1818" t="s">
        <v>7112</v>
      </c>
      <c r="C1818" s="27">
        <v>6314035380</v>
      </c>
    </row>
    <row r="1819" spans="1:3" x14ac:dyDescent="0.25">
      <c r="A1819" t="s">
        <v>7113</v>
      </c>
      <c r="C1819" s="27">
        <v>5904333404</v>
      </c>
    </row>
    <row r="1820" spans="1:3" x14ac:dyDescent="0.25">
      <c r="A1820" t="s">
        <v>7114</v>
      </c>
      <c r="C1820" s="27">
        <v>3620005043</v>
      </c>
    </row>
    <row r="1821" spans="1:3" x14ac:dyDescent="0.25">
      <c r="A1821" t="s">
        <v>7115</v>
      </c>
      <c r="C1821" s="27">
        <v>400300940976</v>
      </c>
    </row>
    <row r="1822" spans="1:3" x14ac:dyDescent="0.25">
      <c r="A1822" t="s">
        <v>7116</v>
      </c>
      <c r="C1822" s="27">
        <v>6452098063</v>
      </c>
    </row>
    <row r="1823" spans="1:3" x14ac:dyDescent="0.25">
      <c r="A1823" t="s">
        <v>7117</v>
      </c>
      <c r="C1823" s="27">
        <v>2301096356</v>
      </c>
    </row>
    <row r="1824" spans="1:3" x14ac:dyDescent="0.25">
      <c r="A1824" t="s">
        <v>7118</v>
      </c>
      <c r="C1824" s="27">
        <v>5003141062</v>
      </c>
    </row>
    <row r="1825" spans="1:3" x14ac:dyDescent="0.25">
      <c r="A1825" t="s">
        <v>7119</v>
      </c>
      <c r="C1825" s="27">
        <v>1901101969</v>
      </c>
    </row>
    <row r="1826" spans="1:3" x14ac:dyDescent="0.25">
      <c r="A1826" t="s">
        <v>7120</v>
      </c>
      <c r="C1826" s="27">
        <v>5473008260</v>
      </c>
    </row>
    <row r="1827" spans="1:3" x14ac:dyDescent="0.25">
      <c r="A1827" t="s">
        <v>7121</v>
      </c>
      <c r="C1827" s="27">
        <v>222101280500</v>
      </c>
    </row>
    <row r="1828" spans="1:3" x14ac:dyDescent="0.25">
      <c r="A1828" t="s">
        <v>7122</v>
      </c>
      <c r="C1828" s="27">
        <v>2348025470</v>
      </c>
    </row>
    <row r="1829" spans="1:3" x14ac:dyDescent="0.25">
      <c r="A1829" t="s">
        <v>7123</v>
      </c>
      <c r="C1829" s="27">
        <v>6700000335</v>
      </c>
    </row>
    <row r="1830" spans="1:3" x14ac:dyDescent="0.25">
      <c r="A1830" t="s">
        <v>7124</v>
      </c>
      <c r="C1830" s="27">
        <v>9705198902</v>
      </c>
    </row>
    <row r="1831" spans="1:3" x14ac:dyDescent="0.25">
      <c r="A1831" t="s">
        <v>7125</v>
      </c>
      <c r="C1831" s="27">
        <v>9110009605</v>
      </c>
    </row>
    <row r="1832" spans="1:3" x14ac:dyDescent="0.25">
      <c r="A1832" t="s">
        <v>7126</v>
      </c>
      <c r="C1832" s="27">
        <v>7105500934</v>
      </c>
    </row>
    <row r="1833" spans="1:3" x14ac:dyDescent="0.25">
      <c r="A1833" t="s">
        <v>7127</v>
      </c>
      <c r="C1833" s="27">
        <v>6451404494</v>
      </c>
    </row>
    <row r="1834" spans="1:3" x14ac:dyDescent="0.25">
      <c r="A1834" t="s">
        <v>7128</v>
      </c>
      <c r="C1834" s="27">
        <v>6168048388</v>
      </c>
    </row>
    <row r="1835" spans="1:3" x14ac:dyDescent="0.25">
      <c r="A1835" t="s">
        <v>7129</v>
      </c>
      <c r="C1835" s="27">
        <v>165101977466</v>
      </c>
    </row>
    <row r="1836" spans="1:3" x14ac:dyDescent="0.25">
      <c r="A1836" t="s">
        <v>7130</v>
      </c>
      <c r="C1836" s="27">
        <v>5433180955</v>
      </c>
    </row>
    <row r="1837" spans="1:3" x14ac:dyDescent="0.25">
      <c r="A1837" t="s">
        <v>7131</v>
      </c>
      <c r="C1837" s="27">
        <v>6314035372</v>
      </c>
    </row>
    <row r="1838" spans="1:3" x14ac:dyDescent="0.25">
      <c r="A1838" t="s">
        <v>7132</v>
      </c>
      <c r="C1838" s="27">
        <v>7422034378</v>
      </c>
    </row>
    <row r="1839" spans="1:3" x14ac:dyDescent="0.25">
      <c r="A1839" t="s">
        <v>7133</v>
      </c>
      <c r="C1839" s="27">
        <v>9721098380</v>
      </c>
    </row>
    <row r="1840" spans="1:3" x14ac:dyDescent="0.25">
      <c r="A1840" t="s">
        <v>7134</v>
      </c>
      <c r="C1840" s="27">
        <v>344300296960</v>
      </c>
    </row>
    <row r="1841" spans="1:3" x14ac:dyDescent="0.25">
      <c r="A1841" t="s">
        <v>7135</v>
      </c>
      <c r="C1841" s="27">
        <v>503804064229</v>
      </c>
    </row>
    <row r="1842" spans="1:3" x14ac:dyDescent="0.25">
      <c r="A1842" t="s">
        <v>7136</v>
      </c>
      <c r="C1842" s="27">
        <v>2340012590</v>
      </c>
    </row>
    <row r="1843" spans="1:3" x14ac:dyDescent="0.25">
      <c r="A1843" t="s">
        <v>7137</v>
      </c>
      <c r="C1843" s="27">
        <v>6161094794</v>
      </c>
    </row>
    <row r="1844" spans="1:3" x14ac:dyDescent="0.25">
      <c r="A1844" t="s">
        <v>7138</v>
      </c>
      <c r="C1844" s="27">
        <v>2540267556</v>
      </c>
    </row>
    <row r="1845" spans="1:3" x14ac:dyDescent="0.25">
      <c r="A1845" t="s">
        <v>7139</v>
      </c>
      <c r="C1845" s="27">
        <v>1648046543</v>
      </c>
    </row>
    <row r="1846" spans="1:3" x14ac:dyDescent="0.25">
      <c r="A1846" t="s">
        <v>7140</v>
      </c>
      <c r="C1846" s="27">
        <v>2311229260</v>
      </c>
    </row>
    <row r="1847" spans="1:3" x14ac:dyDescent="0.25">
      <c r="A1847" t="s">
        <v>7141</v>
      </c>
      <c r="C1847" s="27">
        <v>1655468507</v>
      </c>
    </row>
    <row r="1848" spans="1:3" x14ac:dyDescent="0.25">
      <c r="A1848" t="s">
        <v>7142</v>
      </c>
      <c r="C1848" s="27">
        <v>3252501593</v>
      </c>
    </row>
    <row r="1849" spans="1:3" x14ac:dyDescent="0.25">
      <c r="A1849" t="s">
        <v>7143</v>
      </c>
      <c r="C1849" s="27">
        <v>1513056402</v>
      </c>
    </row>
    <row r="1850" spans="1:3" x14ac:dyDescent="0.25">
      <c r="A1850" t="s">
        <v>7144</v>
      </c>
      <c r="C1850" s="27">
        <v>9102280498</v>
      </c>
    </row>
    <row r="1851" spans="1:3" x14ac:dyDescent="0.25">
      <c r="A1851" t="s">
        <v>7145</v>
      </c>
      <c r="C1851" s="27">
        <v>910913046510</v>
      </c>
    </row>
    <row r="1852" spans="1:3" x14ac:dyDescent="0.25">
      <c r="A1852" t="s">
        <v>7146</v>
      </c>
      <c r="C1852" s="27">
        <v>7728881759</v>
      </c>
    </row>
    <row r="1853" spans="1:3" x14ac:dyDescent="0.25">
      <c r="A1853" t="s">
        <v>7147</v>
      </c>
      <c r="C1853" s="27">
        <v>673102218820</v>
      </c>
    </row>
    <row r="1854" spans="1:3" x14ac:dyDescent="0.25">
      <c r="A1854" t="s">
        <v>7148</v>
      </c>
      <c r="C1854" s="27">
        <v>3662279110</v>
      </c>
    </row>
    <row r="1855" spans="1:3" x14ac:dyDescent="0.25">
      <c r="A1855" t="s">
        <v>7149</v>
      </c>
      <c r="C1855" s="27">
        <v>5032263820</v>
      </c>
    </row>
    <row r="1856" spans="1:3" x14ac:dyDescent="0.25">
      <c r="A1856" t="s">
        <v>7150</v>
      </c>
      <c r="C1856" s="27">
        <v>7017466297</v>
      </c>
    </row>
    <row r="1857" spans="1:3" x14ac:dyDescent="0.25">
      <c r="A1857" t="s">
        <v>7151</v>
      </c>
      <c r="C1857" s="27">
        <v>614102101600</v>
      </c>
    </row>
    <row r="1858" spans="1:3" x14ac:dyDescent="0.25">
      <c r="A1858" t="s">
        <v>7152</v>
      </c>
      <c r="C1858" s="27">
        <v>2722128780</v>
      </c>
    </row>
    <row r="1859" spans="1:3" x14ac:dyDescent="0.25">
      <c r="A1859" t="s">
        <v>7153</v>
      </c>
      <c r="C1859" s="27">
        <v>2207003410</v>
      </c>
    </row>
    <row r="1860" spans="1:3" x14ac:dyDescent="0.25">
      <c r="A1860" t="s">
        <v>7154</v>
      </c>
      <c r="C1860" s="27">
        <v>3810047154</v>
      </c>
    </row>
    <row r="1861" spans="1:3" x14ac:dyDescent="0.25">
      <c r="A1861" t="s">
        <v>7155</v>
      </c>
      <c r="C1861" s="27">
        <v>1831169946</v>
      </c>
    </row>
    <row r="1862" spans="1:3" x14ac:dyDescent="0.25">
      <c r="A1862" t="s">
        <v>7156</v>
      </c>
      <c r="C1862" s="27">
        <v>241101125898</v>
      </c>
    </row>
    <row r="1863" spans="1:3" x14ac:dyDescent="0.25">
      <c r="A1863" t="s">
        <v>7157</v>
      </c>
      <c r="C1863" s="27">
        <v>1207008086</v>
      </c>
    </row>
    <row r="1864" spans="1:3" x14ac:dyDescent="0.25">
      <c r="A1864" t="s">
        <v>7158</v>
      </c>
      <c r="C1864" s="27">
        <v>5023009538</v>
      </c>
    </row>
    <row r="1865" spans="1:3" x14ac:dyDescent="0.25">
      <c r="A1865" t="s">
        <v>7159</v>
      </c>
      <c r="C1865" s="27">
        <v>3443925716</v>
      </c>
    </row>
    <row r="1866" spans="1:3" x14ac:dyDescent="0.25">
      <c r="A1866" t="s">
        <v>7160</v>
      </c>
      <c r="C1866" s="27">
        <v>3329048918</v>
      </c>
    </row>
    <row r="1867" spans="1:3" x14ac:dyDescent="0.25">
      <c r="A1867" t="s">
        <v>7161</v>
      </c>
      <c r="C1867" s="27">
        <v>1832010147</v>
      </c>
    </row>
    <row r="1868" spans="1:3" x14ac:dyDescent="0.25">
      <c r="A1868" t="s">
        <v>7162</v>
      </c>
      <c r="C1868" s="27">
        <v>7751308680</v>
      </c>
    </row>
    <row r="1869" spans="1:3" x14ac:dyDescent="0.25">
      <c r="A1869" t="s">
        <v>7163</v>
      </c>
      <c r="C1869" s="27">
        <v>9102256174</v>
      </c>
    </row>
    <row r="1870" spans="1:3" x14ac:dyDescent="0.25">
      <c r="A1870" t="s">
        <v>7164</v>
      </c>
      <c r="C1870" s="27">
        <v>673102138100</v>
      </c>
    </row>
    <row r="1871" spans="1:3" x14ac:dyDescent="0.25">
      <c r="A1871" t="s">
        <v>7165</v>
      </c>
      <c r="C1871" s="27">
        <v>2321014168</v>
      </c>
    </row>
    <row r="1872" spans="1:3" x14ac:dyDescent="0.25">
      <c r="A1872" t="s">
        <v>7166</v>
      </c>
      <c r="C1872" s="27">
        <v>6165225110</v>
      </c>
    </row>
    <row r="1873" spans="1:3" x14ac:dyDescent="0.25">
      <c r="A1873" t="s">
        <v>7167</v>
      </c>
      <c r="C1873" s="27">
        <v>3812043437</v>
      </c>
    </row>
    <row r="1874" spans="1:3" x14ac:dyDescent="0.25">
      <c r="A1874" t="s">
        <v>7168</v>
      </c>
      <c r="C1874" s="27">
        <v>7203516322</v>
      </c>
    </row>
    <row r="1875" spans="1:3" x14ac:dyDescent="0.25">
      <c r="A1875" t="s">
        <v>7169</v>
      </c>
      <c r="C1875" s="27">
        <v>381500207156</v>
      </c>
    </row>
    <row r="1876" spans="1:3" x14ac:dyDescent="0.25">
      <c r="A1876" t="s">
        <v>7170</v>
      </c>
      <c r="C1876" s="27">
        <v>670400050455</v>
      </c>
    </row>
    <row r="1877" spans="1:3" x14ac:dyDescent="0.25">
      <c r="A1877" t="s">
        <v>7171</v>
      </c>
      <c r="C1877" s="27">
        <v>220800083903</v>
      </c>
    </row>
    <row r="1878" spans="1:3" x14ac:dyDescent="0.25">
      <c r="A1878" t="s">
        <v>7172</v>
      </c>
      <c r="C1878" s="27">
        <v>5040041041</v>
      </c>
    </row>
    <row r="1879" spans="1:3" x14ac:dyDescent="0.25">
      <c r="A1879" t="s">
        <v>7173</v>
      </c>
      <c r="C1879" s="27">
        <v>9103000288</v>
      </c>
    </row>
    <row r="1880" spans="1:3" x14ac:dyDescent="0.25">
      <c r="A1880" t="s">
        <v>7174</v>
      </c>
      <c r="C1880" s="27">
        <v>5445012521</v>
      </c>
    </row>
    <row r="1881" spans="1:3" x14ac:dyDescent="0.25">
      <c r="A1881" t="s">
        <v>7175</v>
      </c>
      <c r="C1881" s="27">
        <v>6671197941</v>
      </c>
    </row>
    <row r="1882" spans="1:3" x14ac:dyDescent="0.25">
      <c r="A1882" t="s">
        <v>7176</v>
      </c>
      <c r="C1882" s="27">
        <v>7804152052</v>
      </c>
    </row>
    <row r="1883" spans="1:3" x14ac:dyDescent="0.25">
      <c r="A1883" t="s">
        <v>7177</v>
      </c>
      <c r="C1883" s="27">
        <v>5829006155</v>
      </c>
    </row>
    <row r="1884" spans="1:3" x14ac:dyDescent="0.25">
      <c r="A1884" t="s">
        <v>7178</v>
      </c>
      <c r="C1884" s="27">
        <v>1647009066</v>
      </c>
    </row>
    <row r="1885" spans="1:3" x14ac:dyDescent="0.25">
      <c r="A1885" t="s">
        <v>7179</v>
      </c>
      <c r="C1885" s="27">
        <v>725002407</v>
      </c>
    </row>
    <row r="1886" spans="1:3" x14ac:dyDescent="0.25">
      <c r="A1886" t="s">
        <v>7180</v>
      </c>
      <c r="C1886" s="27">
        <v>4821006240</v>
      </c>
    </row>
    <row r="1887" spans="1:3" x14ac:dyDescent="0.25">
      <c r="A1887" t="s">
        <v>7181</v>
      </c>
      <c r="C1887" s="27">
        <v>7106085416</v>
      </c>
    </row>
    <row r="1888" spans="1:3" x14ac:dyDescent="0.25">
      <c r="A1888" t="s">
        <v>7182</v>
      </c>
      <c r="C1888" s="27">
        <v>5047043520</v>
      </c>
    </row>
    <row r="1889" spans="1:3" x14ac:dyDescent="0.25">
      <c r="A1889" t="s">
        <v>7183</v>
      </c>
      <c r="C1889" s="27">
        <v>268045380</v>
      </c>
    </row>
    <row r="1890" spans="1:3" x14ac:dyDescent="0.25">
      <c r="A1890" t="s">
        <v>7184</v>
      </c>
      <c r="C1890" s="27">
        <v>326044170</v>
      </c>
    </row>
    <row r="1891" spans="1:3" x14ac:dyDescent="0.25">
      <c r="A1891" t="s">
        <v>7185</v>
      </c>
      <c r="C1891" s="27">
        <v>90601461388</v>
      </c>
    </row>
    <row r="1892" spans="1:3" x14ac:dyDescent="0.25">
      <c r="A1892" t="s">
        <v>7186</v>
      </c>
      <c r="C1892" s="27">
        <v>6167133383</v>
      </c>
    </row>
    <row r="1893" spans="1:3" x14ac:dyDescent="0.25">
      <c r="A1893" t="s">
        <v>7187</v>
      </c>
      <c r="C1893" s="27">
        <v>26510208112</v>
      </c>
    </row>
    <row r="1894" spans="1:3" x14ac:dyDescent="0.25">
      <c r="A1894" t="s">
        <v>7188</v>
      </c>
      <c r="C1894" s="27">
        <v>7727326304</v>
      </c>
    </row>
    <row r="1895" spans="1:3" x14ac:dyDescent="0.25">
      <c r="A1895" t="s">
        <v>7189</v>
      </c>
      <c r="C1895" s="27">
        <v>6679057505</v>
      </c>
    </row>
    <row r="1896" spans="1:3" x14ac:dyDescent="0.25">
      <c r="A1896" t="s">
        <v>7190</v>
      </c>
      <c r="C1896" s="27">
        <v>121507351170</v>
      </c>
    </row>
    <row r="1897" spans="1:3" x14ac:dyDescent="0.25">
      <c r="A1897" t="s">
        <v>7191</v>
      </c>
      <c r="C1897" s="27">
        <v>344310836572</v>
      </c>
    </row>
    <row r="1898" spans="1:3" x14ac:dyDescent="0.25">
      <c r="A1898" t="s">
        <v>7192</v>
      </c>
      <c r="C1898" s="27">
        <v>2130142377</v>
      </c>
    </row>
    <row r="1899" spans="1:3" x14ac:dyDescent="0.25">
      <c r="A1899" t="s">
        <v>7193</v>
      </c>
      <c r="C1899" s="27">
        <v>6315637210</v>
      </c>
    </row>
    <row r="1900" spans="1:3" x14ac:dyDescent="0.25">
      <c r="A1900" t="s">
        <v>7194</v>
      </c>
      <c r="C1900" s="27">
        <v>5636022249</v>
      </c>
    </row>
    <row r="1901" spans="1:3" x14ac:dyDescent="0.25">
      <c r="A1901" t="s">
        <v>7195</v>
      </c>
      <c r="C1901" s="27">
        <v>5834049228</v>
      </c>
    </row>
    <row r="1902" spans="1:3" x14ac:dyDescent="0.25">
      <c r="A1902" t="s">
        <v>7196</v>
      </c>
      <c r="C1902" s="27">
        <v>222208633050</v>
      </c>
    </row>
    <row r="1903" spans="1:3" x14ac:dyDescent="0.25">
      <c r="A1903" t="s">
        <v>7197</v>
      </c>
      <c r="C1903" s="27">
        <v>3662191240</v>
      </c>
    </row>
    <row r="1904" spans="1:3" x14ac:dyDescent="0.25">
      <c r="A1904" t="s">
        <v>7198</v>
      </c>
      <c r="C1904" s="27">
        <v>5246030100</v>
      </c>
    </row>
    <row r="1905" spans="1:3" x14ac:dyDescent="0.25">
      <c r="A1905" t="s">
        <v>7199</v>
      </c>
      <c r="C1905" s="27">
        <v>463207786466</v>
      </c>
    </row>
    <row r="1906" spans="1:3" x14ac:dyDescent="0.25">
      <c r="A1906" t="s">
        <v>7200</v>
      </c>
      <c r="C1906" s="27">
        <v>7734474871</v>
      </c>
    </row>
    <row r="1907" spans="1:3" x14ac:dyDescent="0.25">
      <c r="A1907" t="s">
        <v>7201</v>
      </c>
      <c r="C1907" s="27">
        <v>5836657253</v>
      </c>
    </row>
    <row r="1908" spans="1:3" x14ac:dyDescent="0.25">
      <c r="A1908" t="s">
        <v>7202</v>
      </c>
      <c r="C1908" s="27">
        <v>7719499007</v>
      </c>
    </row>
    <row r="1909" spans="1:3" x14ac:dyDescent="0.25">
      <c r="A1909" t="s">
        <v>7203</v>
      </c>
      <c r="C1909" s="27">
        <v>3662134788</v>
      </c>
    </row>
    <row r="1910" spans="1:3" x14ac:dyDescent="0.25">
      <c r="A1910" t="s">
        <v>7204</v>
      </c>
      <c r="C1910" s="27">
        <v>6319710221</v>
      </c>
    </row>
    <row r="1911" spans="1:3" x14ac:dyDescent="0.25">
      <c r="A1911" t="s">
        <v>7205</v>
      </c>
      <c r="C1911" s="27">
        <v>212500928106</v>
      </c>
    </row>
    <row r="1912" spans="1:3" x14ac:dyDescent="0.25">
      <c r="A1912" t="s">
        <v>7206</v>
      </c>
      <c r="C1912" s="27">
        <v>6725013390</v>
      </c>
    </row>
    <row r="1913" spans="1:3" x14ac:dyDescent="0.25">
      <c r="A1913" t="s">
        <v>7207</v>
      </c>
      <c r="C1913" s="27">
        <v>6439056554</v>
      </c>
    </row>
    <row r="1914" spans="1:3" x14ac:dyDescent="0.25">
      <c r="A1914" t="s">
        <v>7208</v>
      </c>
      <c r="C1914" s="27">
        <v>1511017038</v>
      </c>
    </row>
    <row r="1915" spans="1:3" x14ac:dyDescent="0.25">
      <c r="A1915" t="s">
        <v>7209</v>
      </c>
      <c r="C1915" s="27">
        <v>7839139422</v>
      </c>
    </row>
    <row r="1916" spans="1:3" x14ac:dyDescent="0.25">
      <c r="A1916" t="s">
        <v>7210</v>
      </c>
      <c r="C1916" s="27">
        <v>9204548497</v>
      </c>
    </row>
    <row r="1917" spans="1:3" x14ac:dyDescent="0.25">
      <c r="A1917" t="s">
        <v>7211</v>
      </c>
      <c r="C1917" s="27">
        <v>7811733160</v>
      </c>
    </row>
    <row r="1918" spans="1:3" x14ac:dyDescent="0.25">
      <c r="A1918" t="s">
        <v>7212</v>
      </c>
      <c r="C1918" s="27">
        <v>2320179382</v>
      </c>
    </row>
    <row r="1919" spans="1:3" x14ac:dyDescent="0.25">
      <c r="A1919" t="s">
        <v>7213</v>
      </c>
      <c r="C1919" s="27">
        <v>6316166540</v>
      </c>
    </row>
    <row r="1920" spans="1:3" x14ac:dyDescent="0.25">
      <c r="A1920" t="s">
        <v>7214</v>
      </c>
      <c r="C1920" s="27">
        <v>7118504929</v>
      </c>
    </row>
    <row r="1921" spans="1:3" x14ac:dyDescent="0.25">
      <c r="A1921" t="s">
        <v>7215</v>
      </c>
      <c r="C1921" s="27">
        <v>542017357</v>
      </c>
    </row>
    <row r="1922" spans="1:3" x14ac:dyDescent="0.25">
      <c r="A1922" t="s">
        <v>7216</v>
      </c>
      <c r="C1922" s="27">
        <v>7604380171</v>
      </c>
    </row>
    <row r="1923" spans="1:3" x14ac:dyDescent="0.25">
      <c r="A1923" t="s">
        <v>7217</v>
      </c>
      <c r="C1923" s="27">
        <v>614904363223</v>
      </c>
    </row>
    <row r="1924" spans="1:3" x14ac:dyDescent="0.25">
      <c r="A1924" t="s">
        <v>7218</v>
      </c>
      <c r="C1924" s="27">
        <v>4824057595</v>
      </c>
    </row>
    <row r="1925" spans="1:3" x14ac:dyDescent="0.25">
      <c r="A1925" t="s">
        <v>7219</v>
      </c>
      <c r="C1925" s="27">
        <v>3445122658</v>
      </c>
    </row>
    <row r="1926" spans="1:3" x14ac:dyDescent="0.25">
      <c r="A1926" t="s">
        <v>7220</v>
      </c>
      <c r="C1926" s="27">
        <v>3525257820</v>
      </c>
    </row>
    <row r="1927" spans="1:3" x14ac:dyDescent="0.25">
      <c r="A1927" t="s">
        <v>7221</v>
      </c>
      <c r="C1927" s="27">
        <v>5038039503</v>
      </c>
    </row>
    <row r="1928" spans="1:3" x14ac:dyDescent="0.25">
      <c r="A1928" t="s">
        <v>7222</v>
      </c>
      <c r="C1928" s="27">
        <v>7807257857</v>
      </c>
    </row>
    <row r="1929" spans="1:3" x14ac:dyDescent="0.25">
      <c r="A1929" t="s">
        <v>7223</v>
      </c>
      <c r="C1929" s="27">
        <v>261900087923</v>
      </c>
    </row>
    <row r="1930" spans="1:3" x14ac:dyDescent="0.25">
      <c r="A1930" t="s">
        <v>7224</v>
      </c>
      <c r="C1930" s="27">
        <v>1500011620</v>
      </c>
    </row>
    <row r="1931" spans="1:3" x14ac:dyDescent="0.25">
      <c r="A1931" t="s">
        <v>7225</v>
      </c>
      <c r="C1931" s="27">
        <v>772271428894</v>
      </c>
    </row>
    <row r="1932" spans="1:3" x14ac:dyDescent="0.25">
      <c r="A1932" t="s">
        <v>7226</v>
      </c>
      <c r="C1932" s="27">
        <v>5040083877</v>
      </c>
    </row>
    <row r="1933" spans="1:3" x14ac:dyDescent="0.25">
      <c r="A1933" t="s">
        <v>7227</v>
      </c>
      <c r="C1933" s="27">
        <v>7810161305</v>
      </c>
    </row>
    <row r="1934" spans="1:3" x14ac:dyDescent="0.25">
      <c r="A1934" t="s">
        <v>7228</v>
      </c>
      <c r="C1934" s="27">
        <v>1659112893</v>
      </c>
    </row>
    <row r="1935" spans="1:3" x14ac:dyDescent="0.25">
      <c r="A1935" t="s">
        <v>7229</v>
      </c>
      <c r="C1935" s="27">
        <v>3900003017</v>
      </c>
    </row>
    <row r="1936" spans="1:3" x14ac:dyDescent="0.25">
      <c r="A1936" t="s">
        <v>7230</v>
      </c>
      <c r="C1936" s="27">
        <v>2543178008</v>
      </c>
    </row>
    <row r="1937" spans="1:3" x14ac:dyDescent="0.25">
      <c r="A1937" t="s">
        <v>7231</v>
      </c>
      <c r="C1937" s="27">
        <v>2464229852</v>
      </c>
    </row>
    <row r="1938" spans="1:3" x14ac:dyDescent="0.25">
      <c r="A1938" t="s">
        <v>7232</v>
      </c>
      <c r="C1938" s="27">
        <v>3804045102</v>
      </c>
    </row>
    <row r="1939" spans="1:3" x14ac:dyDescent="0.25">
      <c r="A1939" t="s">
        <v>7233</v>
      </c>
      <c r="C1939" s="27">
        <v>8601031054</v>
      </c>
    </row>
    <row r="1940" spans="1:3" x14ac:dyDescent="0.25">
      <c r="A1940" t="s">
        <v>7234</v>
      </c>
      <c r="C1940" s="27">
        <v>5252008430</v>
      </c>
    </row>
    <row r="1941" spans="1:3" x14ac:dyDescent="0.25">
      <c r="A1941" t="s">
        <v>7235</v>
      </c>
      <c r="C1941" s="27">
        <v>631903389917</v>
      </c>
    </row>
    <row r="1942" spans="1:3" x14ac:dyDescent="0.25">
      <c r="A1942" t="s">
        <v>7236</v>
      </c>
      <c r="C1942" s="27">
        <v>3435800569</v>
      </c>
    </row>
    <row r="1943" spans="1:3" x14ac:dyDescent="0.25">
      <c r="A1943" t="s">
        <v>7237</v>
      </c>
      <c r="C1943" s="27">
        <v>5031103478</v>
      </c>
    </row>
    <row r="1944" spans="1:3" x14ac:dyDescent="0.25">
      <c r="A1944" t="s">
        <v>7238</v>
      </c>
      <c r="C1944" s="27">
        <v>6143015831</v>
      </c>
    </row>
    <row r="1945" spans="1:3" x14ac:dyDescent="0.25">
      <c r="A1945" t="s">
        <v>7239</v>
      </c>
      <c r="C1945" s="27">
        <v>1513062928</v>
      </c>
    </row>
    <row r="1946" spans="1:3" x14ac:dyDescent="0.25">
      <c r="A1946" t="s">
        <v>7240</v>
      </c>
      <c r="C1946" s="27">
        <v>343506305736</v>
      </c>
    </row>
    <row r="1947" spans="1:3" x14ac:dyDescent="0.25">
      <c r="A1947" t="s">
        <v>7241</v>
      </c>
      <c r="C1947" s="27">
        <v>560303362971</v>
      </c>
    </row>
    <row r="1948" spans="1:3" x14ac:dyDescent="0.25">
      <c r="A1948" t="s">
        <v>7242</v>
      </c>
      <c r="C1948" s="27">
        <v>1216012875</v>
      </c>
    </row>
    <row r="1949" spans="1:3" x14ac:dyDescent="0.25">
      <c r="A1949" t="s">
        <v>7243</v>
      </c>
      <c r="C1949" s="27">
        <v>2333003241</v>
      </c>
    </row>
    <row r="1950" spans="1:3" x14ac:dyDescent="0.25">
      <c r="A1950" t="s">
        <v>7244</v>
      </c>
      <c r="C1950" s="27">
        <v>6438006840</v>
      </c>
    </row>
    <row r="1951" spans="1:3" x14ac:dyDescent="0.25">
      <c r="A1951" t="s">
        <v>7245</v>
      </c>
      <c r="C1951" s="27">
        <v>614100629000</v>
      </c>
    </row>
    <row r="1952" spans="1:3" x14ac:dyDescent="0.25">
      <c r="A1952" t="s">
        <v>7246</v>
      </c>
      <c r="C1952" s="27">
        <v>7820326718</v>
      </c>
    </row>
    <row r="1953" spans="1:3" x14ac:dyDescent="0.25">
      <c r="A1953" t="s">
        <v>7247</v>
      </c>
      <c r="C1953" s="27">
        <v>2411030855</v>
      </c>
    </row>
    <row r="1954" spans="1:3" x14ac:dyDescent="0.25">
      <c r="A1954" t="s">
        <v>7248</v>
      </c>
      <c r="C1954" s="27">
        <v>613200348989</v>
      </c>
    </row>
    <row r="1955" spans="1:3" x14ac:dyDescent="0.25">
      <c r="A1955" t="s">
        <v>7249</v>
      </c>
      <c r="C1955" s="27">
        <v>6113016771</v>
      </c>
    </row>
    <row r="1956" spans="1:3" x14ac:dyDescent="0.25">
      <c r="A1956" t="s">
        <v>7250</v>
      </c>
      <c r="C1956" s="27">
        <v>6800013056</v>
      </c>
    </row>
    <row r="1957" spans="1:3" x14ac:dyDescent="0.25">
      <c r="A1957" t="s">
        <v>7251</v>
      </c>
      <c r="C1957" s="27">
        <v>6662117315</v>
      </c>
    </row>
    <row r="1958" spans="1:3" x14ac:dyDescent="0.25">
      <c r="A1958" t="s">
        <v>7252</v>
      </c>
      <c r="C1958" s="27">
        <v>6122019994</v>
      </c>
    </row>
    <row r="1959" spans="1:3" x14ac:dyDescent="0.25">
      <c r="A1959" t="s">
        <v>7253</v>
      </c>
      <c r="C1959" s="27">
        <v>7452168280</v>
      </c>
    </row>
    <row r="1960" spans="1:3" x14ac:dyDescent="0.25">
      <c r="A1960" t="s">
        <v>7254</v>
      </c>
      <c r="C1960" s="27">
        <v>164800008230</v>
      </c>
    </row>
    <row r="1961" spans="1:3" x14ac:dyDescent="0.25">
      <c r="A1961" t="s">
        <v>7255</v>
      </c>
      <c r="C1961" s="27">
        <v>1515920755</v>
      </c>
    </row>
    <row r="1962" spans="1:3" x14ac:dyDescent="0.25">
      <c r="A1962" t="s">
        <v>7256</v>
      </c>
      <c r="C1962" s="27">
        <v>272115066989</v>
      </c>
    </row>
    <row r="1963" spans="1:3" x14ac:dyDescent="0.25">
      <c r="A1963" t="s">
        <v>7257</v>
      </c>
      <c r="C1963" s="27">
        <v>6163232425</v>
      </c>
    </row>
    <row r="1964" spans="1:3" x14ac:dyDescent="0.25">
      <c r="A1964" t="s">
        <v>7258</v>
      </c>
      <c r="C1964" s="27">
        <v>5612069865</v>
      </c>
    </row>
    <row r="1965" spans="1:3" x14ac:dyDescent="0.25">
      <c r="A1965" t="s">
        <v>7259</v>
      </c>
      <c r="C1965" s="27">
        <v>6670287977</v>
      </c>
    </row>
    <row r="1966" spans="1:3" x14ac:dyDescent="0.25">
      <c r="A1966" t="s">
        <v>7260</v>
      </c>
      <c r="C1966" s="27">
        <v>6829115237</v>
      </c>
    </row>
    <row r="1967" spans="1:3" x14ac:dyDescent="0.25">
      <c r="A1967" t="s">
        <v>7261</v>
      </c>
      <c r="C1967" s="27">
        <v>7017467318</v>
      </c>
    </row>
    <row r="1968" spans="1:3" x14ac:dyDescent="0.25">
      <c r="A1968" t="s">
        <v>7262</v>
      </c>
      <c r="C1968" s="27">
        <v>7328509698</v>
      </c>
    </row>
    <row r="1969" spans="1:3" x14ac:dyDescent="0.25">
      <c r="A1969" t="s">
        <v>7263</v>
      </c>
      <c r="C1969" s="27">
        <v>6154568370</v>
      </c>
    </row>
    <row r="1970" spans="1:3" x14ac:dyDescent="0.25">
      <c r="A1970" t="s">
        <v>7264</v>
      </c>
      <c r="C1970" s="27">
        <v>150101213842</v>
      </c>
    </row>
    <row r="1971" spans="1:3" x14ac:dyDescent="0.25">
      <c r="A1971" t="s">
        <v>7265</v>
      </c>
      <c r="C1971" s="27">
        <v>621402379005</v>
      </c>
    </row>
    <row r="1972" spans="1:3" x14ac:dyDescent="0.25">
      <c r="A1972" t="s">
        <v>7266</v>
      </c>
      <c r="C1972" s="27">
        <v>7017467188</v>
      </c>
    </row>
    <row r="1973" spans="1:3" x14ac:dyDescent="0.25">
      <c r="A1973" t="s">
        <v>7267</v>
      </c>
      <c r="C1973" s="27">
        <v>4443021350</v>
      </c>
    </row>
    <row r="1974" spans="1:3" x14ac:dyDescent="0.25">
      <c r="A1974" t="s">
        <v>7268</v>
      </c>
      <c r="C1974" s="27">
        <v>3123211430</v>
      </c>
    </row>
    <row r="1975" spans="1:3" x14ac:dyDescent="0.25">
      <c r="A1975" t="s">
        <v>7269</v>
      </c>
      <c r="C1975" s="27">
        <v>6154162570</v>
      </c>
    </row>
    <row r="1976" spans="1:3" x14ac:dyDescent="0.25">
      <c r="A1976" t="s">
        <v>7270</v>
      </c>
      <c r="C1976" s="27">
        <v>1001146452</v>
      </c>
    </row>
    <row r="1977" spans="1:3" x14ac:dyDescent="0.25">
      <c r="A1977" t="s">
        <v>7271</v>
      </c>
      <c r="C1977" s="27">
        <v>6311110007</v>
      </c>
    </row>
    <row r="1978" spans="1:3" x14ac:dyDescent="0.25">
      <c r="A1978" t="s">
        <v>7272</v>
      </c>
      <c r="C1978" s="27">
        <v>4345399376</v>
      </c>
    </row>
    <row r="1979" spans="1:3" x14ac:dyDescent="0.25">
      <c r="A1979" t="s">
        <v>7273</v>
      </c>
      <c r="C1979" s="27">
        <v>3102208194</v>
      </c>
    </row>
    <row r="1980" spans="1:3" x14ac:dyDescent="0.25">
      <c r="A1980" t="s">
        <v>7274</v>
      </c>
      <c r="C1980" s="27">
        <v>550404033818</v>
      </c>
    </row>
    <row r="1981" spans="1:3" x14ac:dyDescent="0.25">
      <c r="A1981" t="s">
        <v>7275</v>
      </c>
      <c r="C1981" s="27">
        <v>5012105350</v>
      </c>
    </row>
    <row r="1982" spans="1:3" x14ac:dyDescent="0.25">
      <c r="A1982" t="s">
        <v>7276</v>
      </c>
      <c r="C1982" s="27">
        <v>362500576988</v>
      </c>
    </row>
    <row r="1983" spans="1:3" x14ac:dyDescent="0.25">
      <c r="A1983" t="s">
        <v>7277</v>
      </c>
      <c r="C1983" s="27">
        <v>262405284157</v>
      </c>
    </row>
    <row r="1984" spans="1:3" x14ac:dyDescent="0.25">
      <c r="A1984" t="s">
        <v>7278</v>
      </c>
      <c r="C1984" s="27">
        <v>9105016452</v>
      </c>
    </row>
    <row r="1985" spans="1:3" x14ac:dyDescent="0.25">
      <c r="A1985" t="s">
        <v>7279</v>
      </c>
      <c r="C1985" s="27">
        <v>7022015476</v>
      </c>
    </row>
    <row r="1986" spans="1:3" x14ac:dyDescent="0.25">
      <c r="A1986" t="s">
        <v>7280</v>
      </c>
      <c r="C1986" s="27">
        <v>2310008067</v>
      </c>
    </row>
    <row r="1987" spans="1:3" x14ac:dyDescent="0.25">
      <c r="A1987" t="s">
        <v>7281</v>
      </c>
      <c r="C1987" s="27">
        <v>5050101331</v>
      </c>
    </row>
    <row r="1988" spans="1:3" x14ac:dyDescent="0.25">
      <c r="A1988" t="s">
        <v>7282</v>
      </c>
      <c r="C1988" s="27">
        <v>5029272775</v>
      </c>
    </row>
    <row r="1989" spans="1:3" x14ac:dyDescent="0.25">
      <c r="A1989" t="s">
        <v>7283</v>
      </c>
      <c r="C1989" s="27">
        <v>6163232908</v>
      </c>
    </row>
    <row r="1990" spans="1:3" x14ac:dyDescent="0.25">
      <c r="A1990" t="s">
        <v>7284</v>
      </c>
      <c r="C1990" s="27">
        <v>343505681632</v>
      </c>
    </row>
    <row r="1991" spans="1:3" x14ac:dyDescent="0.25">
      <c r="A1991" t="s">
        <v>7285</v>
      </c>
      <c r="C1991" s="27">
        <v>3820011083</v>
      </c>
    </row>
    <row r="1992" spans="1:3" x14ac:dyDescent="0.25">
      <c r="A1992" t="s">
        <v>7286</v>
      </c>
      <c r="C1992" s="27">
        <v>7723733531</v>
      </c>
    </row>
    <row r="1993" spans="1:3" x14ac:dyDescent="0.25">
      <c r="A1993" t="s">
        <v>7287</v>
      </c>
      <c r="C1993" s="27">
        <v>6620004260</v>
      </c>
    </row>
    <row r="1994" spans="1:3" x14ac:dyDescent="0.25">
      <c r="A1994" t="s">
        <v>7288</v>
      </c>
      <c r="C1994" s="27">
        <v>6432013022</v>
      </c>
    </row>
    <row r="1995" spans="1:3" x14ac:dyDescent="0.25">
      <c r="A1995" t="s">
        <v>7289</v>
      </c>
      <c r="C1995" s="27">
        <v>771906124547</v>
      </c>
    </row>
    <row r="1996" spans="1:3" x14ac:dyDescent="0.25">
      <c r="A1996" t="s">
        <v>7290</v>
      </c>
      <c r="C1996" s="27">
        <v>101000078</v>
      </c>
    </row>
    <row r="1997" spans="1:3" x14ac:dyDescent="0.25">
      <c r="A1997" t="s">
        <v>7291</v>
      </c>
      <c r="C1997" s="27">
        <v>7801121793</v>
      </c>
    </row>
    <row r="1998" spans="1:3" x14ac:dyDescent="0.25">
      <c r="A1998" t="s">
        <v>7292</v>
      </c>
      <c r="C1998" s="27">
        <v>4501098435</v>
      </c>
    </row>
    <row r="1999" spans="1:3" x14ac:dyDescent="0.25">
      <c r="A1999" t="s">
        <v>7293</v>
      </c>
      <c r="C1999" s="27">
        <v>1515911623</v>
      </c>
    </row>
    <row r="2000" spans="1:3" x14ac:dyDescent="0.25">
      <c r="A2000" t="s">
        <v>7294</v>
      </c>
      <c r="C2000" s="27">
        <v>3128007157</v>
      </c>
    </row>
    <row r="2001" spans="1:3" x14ac:dyDescent="0.25">
      <c r="A2001" t="s">
        <v>7295</v>
      </c>
      <c r="C2001" s="27">
        <v>3249000614</v>
      </c>
    </row>
    <row r="2002" spans="1:3" x14ac:dyDescent="0.25">
      <c r="A2002" t="s">
        <v>7296</v>
      </c>
      <c r="C2002" s="27">
        <v>150101107770</v>
      </c>
    </row>
    <row r="2003" spans="1:3" x14ac:dyDescent="0.25">
      <c r="A2003" t="s">
        <v>7297</v>
      </c>
      <c r="C2003" s="27">
        <v>4618002720</v>
      </c>
    </row>
    <row r="2004" spans="1:3" x14ac:dyDescent="0.25">
      <c r="A2004" t="s">
        <v>7298</v>
      </c>
      <c r="C2004" s="27">
        <v>5031159777</v>
      </c>
    </row>
    <row r="2005" spans="1:3" x14ac:dyDescent="0.25">
      <c r="A2005" t="s">
        <v>7299</v>
      </c>
      <c r="C2005" s="27">
        <v>612201101291</v>
      </c>
    </row>
    <row r="2006" spans="1:3" x14ac:dyDescent="0.25">
      <c r="A2006" t="s">
        <v>7300</v>
      </c>
      <c r="C2006" s="27">
        <v>3123224510</v>
      </c>
    </row>
    <row r="2007" spans="1:3" x14ac:dyDescent="0.25">
      <c r="A2007" t="s">
        <v>7301</v>
      </c>
      <c r="C2007" s="27">
        <v>271307010025</v>
      </c>
    </row>
    <row r="2008" spans="1:3" x14ac:dyDescent="0.25">
      <c r="A2008" t="s">
        <v>7302</v>
      </c>
      <c r="C2008" s="27">
        <v>7801153795</v>
      </c>
    </row>
    <row r="2009" spans="1:3" x14ac:dyDescent="0.25">
      <c r="A2009" t="s">
        <v>7303</v>
      </c>
      <c r="C2009" s="27">
        <v>6684003865</v>
      </c>
    </row>
    <row r="2010" spans="1:3" x14ac:dyDescent="0.25">
      <c r="A2010" t="s">
        <v>7304</v>
      </c>
      <c r="C2010" s="27">
        <v>732811373823</v>
      </c>
    </row>
    <row r="2011" spans="1:3" x14ac:dyDescent="0.25">
      <c r="A2011" t="s">
        <v>7305</v>
      </c>
      <c r="C2011" s="27">
        <v>9102024737</v>
      </c>
    </row>
    <row r="2012" spans="1:3" x14ac:dyDescent="0.25">
      <c r="A2012" t="s">
        <v>7306</v>
      </c>
      <c r="C2012" s="27">
        <v>3661085577</v>
      </c>
    </row>
    <row r="2013" spans="1:3" x14ac:dyDescent="0.25">
      <c r="A2013" t="s">
        <v>7307</v>
      </c>
      <c r="C2013" s="27">
        <v>7735564260</v>
      </c>
    </row>
    <row r="2014" spans="1:3" x14ac:dyDescent="0.25">
      <c r="A2014" t="s">
        <v>7308</v>
      </c>
      <c r="C2014" s="27">
        <v>3234044087</v>
      </c>
    </row>
    <row r="2015" spans="1:3" x14ac:dyDescent="0.25">
      <c r="A2015" t="s">
        <v>7309</v>
      </c>
      <c r="C2015" s="27">
        <v>7726480430</v>
      </c>
    </row>
    <row r="2016" spans="1:3" x14ac:dyDescent="0.25">
      <c r="A2016" t="s">
        <v>7310</v>
      </c>
      <c r="C2016" s="27">
        <v>5402085109</v>
      </c>
    </row>
    <row r="2017" spans="1:3" x14ac:dyDescent="0.25">
      <c r="A2017" t="s">
        <v>7311</v>
      </c>
      <c r="C2017" s="27">
        <v>2543033066</v>
      </c>
    </row>
    <row r="2018" spans="1:3" x14ac:dyDescent="0.25">
      <c r="A2018" t="s">
        <v>7312</v>
      </c>
      <c r="C2018" s="27">
        <v>2539039717</v>
      </c>
    </row>
    <row r="2019" spans="1:3" x14ac:dyDescent="0.25">
      <c r="A2019" t="s">
        <v>7313</v>
      </c>
      <c r="C2019" s="27">
        <v>7017349931</v>
      </c>
    </row>
    <row r="2020" spans="1:3" x14ac:dyDescent="0.25">
      <c r="A2020" t="s">
        <v>7314</v>
      </c>
      <c r="C2020" s="27">
        <v>344101329201</v>
      </c>
    </row>
    <row r="2021" spans="1:3" x14ac:dyDescent="0.25">
      <c r="A2021" t="s">
        <v>7315</v>
      </c>
      <c r="C2021" s="27">
        <v>5013052615</v>
      </c>
    </row>
    <row r="2022" spans="1:3" x14ac:dyDescent="0.25">
      <c r="A2022" t="s">
        <v>7316</v>
      </c>
      <c r="C2022" s="27">
        <v>7718633482</v>
      </c>
    </row>
    <row r="2023" spans="1:3" x14ac:dyDescent="0.25">
      <c r="A2023" t="s">
        <v>7317</v>
      </c>
      <c r="C2023" s="27">
        <v>7715926988</v>
      </c>
    </row>
    <row r="2024" spans="1:3" x14ac:dyDescent="0.25">
      <c r="A2024" t="s">
        <v>7318</v>
      </c>
      <c r="C2024" s="27">
        <v>552801943574</v>
      </c>
    </row>
    <row r="2025" spans="1:3" x14ac:dyDescent="0.25">
      <c r="A2025" t="s">
        <v>7319</v>
      </c>
      <c r="C2025" s="27">
        <v>2536347230</v>
      </c>
    </row>
    <row r="2026" spans="1:3" x14ac:dyDescent="0.25">
      <c r="A2026" t="s">
        <v>7320</v>
      </c>
      <c r="C2026" s="27">
        <v>5404391567</v>
      </c>
    </row>
    <row r="2027" spans="1:3" x14ac:dyDescent="0.25">
      <c r="A2027" t="s">
        <v>7321</v>
      </c>
      <c r="C2027" s="27">
        <v>32600790152</v>
      </c>
    </row>
    <row r="2028" spans="1:3" x14ac:dyDescent="0.25">
      <c r="A2028" t="s">
        <v>7322</v>
      </c>
      <c r="C2028" s="27">
        <v>261809212276</v>
      </c>
    </row>
    <row r="2029" spans="1:3" x14ac:dyDescent="0.25">
      <c r="A2029" t="s">
        <v>7323</v>
      </c>
      <c r="C2029" s="27">
        <v>4703103078</v>
      </c>
    </row>
    <row r="2030" spans="1:3" x14ac:dyDescent="0.25">
      <c r="A2030" t="s">
        <v>7324</v>
      </c>
      <c r="C2030" s="27">
        <v>7536179835</v>
      </c>
    </row>
    <row r="2031" spans="1:3" x14ac:dyDescent="0.25">
      <c r="A2031" t="s">
        <v>7325</v>
      </c>
      <c r="C2031" s="27">
        <v>5442000158</v>
      </c>
    </row>
    <row r="2032" spans="1:3" x14ac:dyDescent="0.25">
      <c r="A2032" t="s">
        <v>7326</v>
      </c>
      <c r="C2032" s="27">
        <v>6167064669</v>
      </c>
    </row>
    <row r="2033" spans="1:3" x14ac:dyDescent="0.25">
      <c r="A2033" t="s">
        <v>7327</v>
      </c>
      <c r="C2033" s="27">
        <v>6451020392</v>
      </c>
    </row>
    <row r="2034" spans="1:3" x14ac:dyDescent="0.25">
      <c r="A2034" t="s">
        <v>7328</v>
      </c>
      <c r="C2034" s="27">
        <v>5800008054</v>
      </c>
    </row>
    <row r="2035" spans="1:3" x14ac:dyDescent="0.25">
      <c r="A2035" t="s">
        <v>7329</v>
      </c>
      <c r="C2035" s="27">
        <v>5407979389</v>
      </c>
    </row>
    <row r="2036" spans="1:3" x14ac:dyDescent="0.25">
      <c r="A2036" t="s">
        <v>7330</v>
      </c>
      <c r="C2036" s="27">
        <v>1648003719</v>
      </c>
    </row>
    <row r="2037" spans="1:3" x14ac:dyDescent="0.25">
      <c r="A2037" t="s">
        <v>7331</v>
      </c>
      <c r="C2037" s="27">
        <v>7842107491</v>
      </c>
    </row>
    <row r="2038" spans="1:3" x14ac:dyDescent="0.25">
      <c r="A2038" t="s">
        <v>7332</v>
      </c>
      <c r="C2038" s="27">
        <v>268027790</v>
      </c>
    </row>
    <row r="2039" spans="1:3" x14ac:dyDescent="0.25">
      <c r="A2039" t="s">
        <v>7333</v>
      </c>
      <c r="C2039" s="27">
        <v>5035031256</v>
      </c>
    </row>
    <row r="2040" spans="1:3" x14ac:dyDescent="0.25">
      <c r="A2040" t="s">
        <v>7334</v>
      </c>
      <c r="C2040" s="27">
        <v>7806013826</v>
      </c>
    </row>
    <row r="2041" spans="1:3" x14ac:dyDescent="0.25">
      <c r="A2041" t="s">
        <v>7335</v>
      </c>
      <c r="C2041" s="27">
        <v>6950088251</v>
      </c>
    </row>
    <row r="2042" spans="1:3" x14ac:dyDescent="0.25">
      <c r="A2042" t="s">
        <v>7336</v>
      </c>
      <c r="C2042" s="27">
        <v>5044090829</v>
      </c>
    </row>
    <row r="2043" spans="1:3" x14ac:dyDescent="0.25">
      <c r="A2043" t="s">
        <v>7337</v>
      </c>
      <c r="C2043" s="27">
        <v>6164142573</v>
      </c>
    </row>
    <row r="2044" spans="1:3" x14ac:dyDescent="0.25">
      <c r="A2044" t="s">
        <v>7338</v>
      </c>
      <c r="C2044" s="27">
        <v>3701045140</v>
      </c>
    </row>
    <row r="2045" spans="1:3" x14ac:dyDescent="0.25">
      <c r="A2045" t="s">
        <v>7339</v>
      </c>
      <c r="C2045" s="27">
        <v>7807128570</v>
      </c>
    </row>
    <row r="2046" spans="1:3" x14ac:dyDescent="0.25">
      <c r="A2046" t="s">
        <v>7340</v>
      </c>
      <c r="C2046" s="27">
        <v>910600148899</v>
      </c>
    </row>
    <row r="2047" spans="1:3" x14ac:dyDescent="0.25">
      <c r="A2047" t="s">
        <v>7341</v>
      </c>
      <c r="C2047" s="27">
        <v>245715107111</v>
      </c>
    </row>
    <row r="2048" spans="1:3" x14ac:dyDescent="0.25">
      <c r="A2048" t="s">
        <v>7342</v>
      </c>
      <c r="C2048" s="27">
        <v>105047133</v>
      </c>
    </row>
    <row r="2049" spans="1:3" x14ac:dyDescent="0.25">
      <c r="A2049" t="s">
        <v>7343</v>
      </c>
      <c r="C2049" s="27">
        <v>7814293260</v>
      </c>
    </row>
    <row r="2050" spans="1:3" x14ac:dyDescent="0.25">
      <c r="A2050" t="s">
        <v>7344</v>
      </c>
      <c r="C2050" s="27">
        <v>575201557744</v>
      </c>
    </row>
    <row r="2051" spans="1:3" x14ac:dyDescent="0.25">
      <c r="A2051" t="s">
        <v>7345</v>
      </c>
      <c r="C2051" s="27">
        <v>9723022122</v>
      </c>
    </row>
    <row r="2052" spans="1:3" x14ac:dyDescent="0.25">
      <c r="A2052" t="s">
        <v>7346</v>
      </c>
      <c r="C2052" s="27">
        <v>263206642120</v>
      </c>
    </row>
    <row r="2053" spans="1:3" x14ac:dyDescent="0.25">
      <c r="A2053" t="s">
        <v>7347</v>
      </c>
      <c r="C2053" s="27">
        <v>9105002876</v>
      </c>
    </row>
    <row r="2054" spans="1:3" x14ac:dyDescent="0.25">
      <c r="A2054" t="s">
        <v>7348</v>
      </c>
      <c r="C2054" s="27">
        <v>2308177075</v>
      </c>
    </row>
    <row r="2055" spans="1:3" x14ac:dyDescent="0.25">
      <c r="A2055" t="s">
        <v>7349</v>
      </c>
      <c r="C2055" s="27">
        <v>3526009890</v>
      </c>
    </row>
    <row r="2056" spans="1:3" x14ac:dyDescent="0.25">
      <c r="A2056" t="s">
        <v>7350</v>
      </c>
      <c r="C2056" s="27">
        <v>7321001190</v>
      </c>
    </row>
    <row r="2057" spans="1:3" x14ac:dyDescent="0.25">
      <c r="A2057" t="s">
        <v>7351</v>
      </c>
      <c r="C2057" s="27">
        <v>268035550</v>
      </c>
    </row>
    <row r="2058" spans="1:3" x14ac:dyDescent="0.25">
      <c r="A2058" t="s">
        <v>7352</v>
      </c>
      <c r="C2058" s="27">
        <v>7813644075</v>
      </c>
    </row>
    <row r="2059" spans="1:3" x14ac:dyDescent="0.25">
      <c r="A2059" t="s">
        <v>7353</v>
      </c>
      <c r="C2059" s="27">
        <v>3528307934</v>
      </c>
    </row>
    <row r="2060" spans="1:3" x14ac:dyDescent="0.25">
      <c r="A2060" t="s">
        <v>7354</v>
      </c>
      <c r="C2060" s="27">
        <v>5836901230</v>
      </c>
    </row>
    <row r="2061" spans="1:3" x14ac:dyDescent="0.25">
      <c r="A2061" t="s">
        <v>7355</v>
      </c>
      <c r="C2061" s="27">
        <v>151206875676</v>
      </c>
    </row>
    <row r="2062" spans="1:3" x14ac:dyDescent="0.25">
      <c r="A2062" t="s">
        <v>7356</v>
      </c>
      <c r="C2062" s="27">
        <v>2367028156</v>
      </c>
    </row>
    <row r="2063" spans="1:3" x14ac:dyDescent="0.25">
      <c r="A2063" t="s">
        <v>7357</v>
      </c>
      <c r="C2063" s="27">
        <v>7715850263</v>
      </c>
    </row>
    <row r="2064" spans="1:3" x14ac:dyDescent="0.25">
      <c r="A2064" t="s">
        <v>7358</v>
      </c>
      <c r="C2064" s="27">
        <v>231708320438</v>
      </c>
    </row>
    <row r="2065" spans="1:3" x14ac:dyDescent="0.25">
      <c r="A2065" t="s">
        <v>7359</v>
      </c>
      <c r="C2065" s="27">
        <v>2130229959</v>
      </c>
    </row>
    <row r="2066" spans="1:3" x14ac:dyDescent="0.25">
      <c r="A2066" t="s">
        <v>7360</v>
      </c>
      <c r="C2066" s="27">
        <v>682401934792</v>
      </c>
    </row>
    <row r="2067" spans="1:3" x14ac:dyDescent="0.25">
      <c r="A2067" t="s">
        <v>7361</v>
      </c>
      <c r="C2067" s="27">
        <v>6318193588</v>
      </c>
    </row>
    <row r="2068" spans="1:3" x14ac:dyDescent="0.25">
      <c r="A2068" t="s">
        <v>7362</v>
      </c>
      <c r="C2068" s="27">
        <v>911005138870</v>
      </c>
    </row>
    <row r="2069" spans="1:3" x14ac:dyDescent="0.25">
      <c r="A2069" t="s">
        <v>7363</v>
      </c>
      <c r="C2069" s="27">
        <v>9102050141</v>
      </c>
    </row>
    <row r="2070" spans="1:3" x14ac:dyDescent="0.25">
      <c r="A2070" t="s">
        <v>7364</v>
      </c>
      <c r="C2070" s="27">
        <v>6345012079</v>
      </c>
    </row>
    <row r="2071" spans="1:3" x14ac:dyDescent="0.25">
      <c r="A2071" t="s">
        <v>7365</v>
      </c>
      <c r="C2071" s="27">
        <v>24701912510</v>
      </c>
    </row>
    <row r="2072" spans="1:3" x14ac:dyDescent="0.25">
      <c r="A2072" t="s">
        <v>7366</v>
      </c>
      <c r="C2072" s="27">
        <v>6311109971</v>
      </c>
    </row>
    <row r="2073" spans="1:3" x14ac:dyDescent="0.25">
      <c r="A2073" t="s">
        <v>7367</v>
      </c>
      <c r="C2073" s="27">
        <v>1513062886</v>
      </c>
    </row>
    <row r="2074" spans="1:3" x14ac:dyDescent="0.25">
      <c r="A2074" t="s">
        <v>7368</v>
      </c>
      <c r="C2074" s="27">
        <v>2320114089</v>
      </c>
    </row>
    <row r="2075" spans="1:3" x14ac:dyDescent="0.25">
      <c r="A2075" t="s">
        <v>7369</v>
      </c>
      <c r="C2075" s="27">
        <v>7715592245</v>
      </c>
    </row>
    <row r="2076" spans="1:3" x14ac:dyDescent="0.25">
      <c r="A2076" t="s">
        <v>7370</v>
      </c>
      <c r="C2076" s="27">
        <v>7839113840</v>
      </c>
    </row>
    <row r="2077" spans="1:3" x14ac:dyDescent="0.25">
      <c r="A2077" t="s">
        <v>7371</v>
      </c>
      <c r="C2077" s="27">
        <v>366300469746</v>
      </c>
    </row>
    <row r="2078" spans="1:3" x14ac:dyDescent="0.25">
      <c r="A2078" t="s">
        <v>7372</v>
      </c>
      <c r="C2078" s="27">
        <v>561058126</v>
      </c>
    </row>
    <row r="2079" spans="1:3" x14ac:dyDescent="0.25">
      <c r="A2079" t="s">
        <v>7373</v>
      </c>
      <c r="C2079" s="27">
        <v>552802111089</v>
      </c>
    </row>
    <row r="2080" spans="1:3" x14ac:dyDescent="0.25">
      <c r="A2080" t="s">
        <v>7374</v>
      </c>
      <c r="C2080" s="27">
        <v>8902009768</v>
      </c>
    </row>
    <row r="2081" spans="1:3" x14ac:dyDescent="0.25">
      <c r="A2081" t="s">
        <v>7375</v>
      </c>
      <c r="C2081" s="27">
        <v>7017003370</v>
      </c>
    </row>
    <row r="2082" spans="1:3" x14ac:dyDescent="0.25">
      <c r="A2082" t="s">
        <v>7376</v>
      </c>
      <c r="C2082" s="27">
        <v>9109026500</v>
      </c>
    </row>
    <row r="2083" spans="1:3" x14ac:dyDescent="0.25">
      <c r="A2083" t="s">
        <v>7377</v>
      </c>
      <c r="C2083" s="27">
        <v>4230022905</v>
      </c>
    </row>
    <row r="2084" spans="1:3" x14ac:dyDescent="0.25">
      <c r="A2084" t="s">
        <v>7378</v>
      </c>
      <c r="C2084" s="27">
        <v>5528030475</v>
      </c>
    </row>
    <row r="2085" spans="1:3" x14ac:dyDescent="0.25">
      <c r="A2085" t="s">
        <v>7379</v>
      </c>
      <c r="C2085" s="27">
        <v>911019199858</v>
      </c>
    </row>
    <row r="2086" spans="1:3" x14ac:dyDescent="0.25">
      <c r="A2086" t="s">
        <v>7380</v>
      </c>
      <c r="C2086" s="27">
        <v>5504211169</v>
      </c>
    </row>
    <row r="2087" spans="1:3" x14ac:dyDescent="0.25">
      <c r="A2087" t="s">
        <v>7381</v>
      </c>
      <c r="C2087" s="27">
        <v>6330051540</v>
      </c>
    </row>
    <row r="2088" spans="1:3" x14ac:dyDescent="0.25">
      <c r="A2088" t="s">
        <v>7382</v>
      </c>
      <c r="C2088" s="27">
        <v>7610096539</v>
      </c>
    </row>
    <row r="2089" spans="1:3" x14ac:dyDescent="0.25">
      <c r="A2089" t="s">
        <v>7383</v>
      </c>
      <c r="C2089" s="27">
        <v>1660100941</v>
      </c>
    </row>
    <row r="2090" spans="1:3" x14ac:dyDescent="0.25">
      <c r="A2090" t="s">
        <v>7384</v>
      </c>
      <c r="C2090" s="27">
        <v>7814774398</v>
      </c>
    </row>
    <row r="2091" spans="1:3" x14ac:dyDescent="0.25">
      <c r="A2091" t="s">
        <v>7385</v>
      </c>
      <c r="C2091" s="27">
        <v>5031145333</v>
      </c>
    </row>
    <row r="2092" spans="1:3" x14ac:dyDescent="0.25">
      <c r="A2092" t="s">
        <v>7386</v>
      </c>
      <c r="C2092" s="27">
        <v>4824041690</v>
      </c>
    </row>
    <row r="2093" spans="1:3" x14ac:dyDescent="0.25">
      <c r="A2093" t="s">
        <v>7387</v>
      </c>
      <c r="C2093" s="27">
        <v>1001298871</v>
      </c>
    </row>
    <row r="2094" spans="1:3" x14ac:dyDescent="0.25">
      <c r="A2094" t="s">
        <v>7388</v>
      </c>
      <c r="C2094" s="27">
        <v>2801083411</v>
      </c>
    </row>
    <row r="2095" spans="1:3" x14ac:dyDescent="0.25">
      <c r="A2095" t="s">
        <v>7389</v>
      </c>
      <c r="C2095" s="27">
        <v>362803213253</v>
      </c>
    </row>
    <row r="2096" spans="1:3" x14ac:dyDescent="0.25">
      <c r="A2096" t="s">
        <v>7390</v>
      </c>
      <c r="C2096" s="27">
        <v>623101377512</v>
      </c>
    </row>
    <row r="2097" spans="1:3" x14ac:dyDescent="0.25">
      <c r="A2097" t="s">
        <v>7391</v>
      </c>
      <c r="C2097" s="27">
        <v>4007012193</v>
      </c>
    </row>
    <row r="2098" spans="1:3" x14ac:dyDescent="0.25">
      <c r="A2098" t="s">
        <v>7392</v>
      </c>
      <c r="C2098" s="27">
        <v>5720024396</v>
      </c>
    </row>
    <row r="2099" spans="1:3" x14ac:dyDescent="0.25">
      <c r="A2099" t="s">
        <v>7393</v>
      </c>
      <c r="C2099" s="27">
        <v>5038068014</v>
      </c>
    </row>
    <row r="2100" spans="1:3" x14ac:dyDescent="0.25">
      <c r="A2100" t="s">
        <v>7394</v>
      </c>
      <c r="C2100" s="27">
        <v>7723481620</v>
      </c>
    </row>
    <row r="2101" spans="1:3" x14ac:dyDescent="0.25">
      <c r="A2101" t="s">
        <v>7395</v>
      </c>
      <c r="C2101" s="27">
        <v>2463048116</v>
      </c>
    </row>
    <row r="2102" spans="1:3" x14ac:dyDescent="0.25">
      <c r="A2102" t="s">
        <v>7396</v>
      </c>
      <c r="C2102" s="27">
        <v>231700414758</v>
      </c>
    </row>
    <row r="2103" spans="1:3" x14ac:dyDescent="0.25">
      <c r="A2103" t="s">
        <v>7397</v>
      </c>
      <c r="C2103" s="27">
        <v>6722015920</v>
      </c>
    </row>
    <row r="2104" spans="1:3" x14ac:dyDescent="0.25">
      <c r="A2104" t="s">
        <v>7398</v>
      </c>
      <c r="C2104" s="27">
        <v>910400053960</v>
      </c>
    </row>
    <row r="2105" spans="1:3" x14ac:dyDescent="0.25">
      <c r="A2105" t="s">
        <v>7399</v>
      </c>
      <c r="C2105" s="27">
        <v>9102037824</v>
      </c>
    </row>
    <row r="2106" spans="1:3" x14ac:dyDescent="0.25">
      <c r="A2106" t="s">
        <v>7400</v>
      </c>
      <c r="C2106" s="27">
        <v>5504156197</v>
      </c>
    </row>
    <row r="2107" spans="1:3" x14ac:dyDescent="0.25">
      <c r="A2107" t="s">
        <v>7401</v>
      </c>
      <c r="C2107" s="27">
        <v>3303011110</v>
      </c>
    </row>
    <row r="2108" spans="1:3" x14ac:dyDescent="0.25">
      <c r="A2108" t="s">
        <v>7402</v>
      </c>
      <c r="C2108" s="27">
        <v>2461206600</v>
      </c>
    </row>
    <row r="2109" spans="1:3" x14ac:dyDescent="0.25">
      <c r="A2109" t="s">
        <v>7403</v>
      </c>
      <c r="C2109" s="27">
        <v>4705029430</v>
      </c>
    </row>
    <row r="2110" spans="1:3" x14ac:dyDescent="0.25">
      <c r="A2110" t="s">
        <v>7404</v>
      </c>
      <c r="C2110" s="27">
        <v>7720383141</v>
      </c>
    </row>
    <row r="2111" spans="1:3" x14ac:dyDescent="0.25">
      <c r="A2111" t="s">
        <v>7405</v>
      </c>
      <c r="C2111" s="27">
        <v>712610320106</v>
      </c>
    </row>
    <row r="2112" spans="1:3" x14ac:dyDescent="0.25">
      <c r="A2112" t="s">
        <v>7406</v>
      </c>
      <c r="C2112" s="27">
        <v>2801142924</v>
      </c>
    </row>
    <row r="2113" spans="1:3" x14ac:dyDescent="0.25">
      <c r="A2113" t="s">
        <v>7407</v>
      </c>
      <c r="C2113" s="27">
        <v>6168072447</v>
      </c>
    </row>
    <row r="2114" spans="1:3" x14ac:dyDescent="0.25">
      <c r="A2114" t="s">
        <v>7408</v>
      </c>
      <c r="C2114" s="27">
        <v>7722716413</v>
      </c>
    </row>
    <row r="2115" spans="1:3" x14ac:dyDescent="0.25">
      <c r="A2115" t="s">
        <v>7409</v>
      </c>
      <c r="C2115" s="27">
        <v>326039620</v>
      </c>
    </row>
    <row r="2116" spans="1:3" x14ac:dyDescent="0.25">
      <c r="A2116" t="s">
        <v>7410</v>
      </c>
      <c r="C2116" s="27">
        <v>2310134840</v>
      </c>
    </row>
    <row r="2117" spans="1:3" x14ac:dyDescent="0.25">
      <c r="A2117" t="s">
        <v>7411</v>
      </c>
      <c r="C2117" s="27">
        <v>262810804293</v>
      </c>
    </row>
    <row r="2118" spans="1:3" x14ac:dyDescent="0.25">
      <c r="A2118" t="s">
        <v>7412</v>
      </c>
      <c r="C2118" s="27">
        <v>910901205565</v>
      </c>
    </row>
    <row r="2119" spans="1:3" x14ac:dyDescent="0.25">
      <c r="A2119" t="s">
        <v>7413</v>
      </c>
      <c r="C2119" s="27">
        <v>5038119318</v>
      </c>
    </row>
    <row r="2120" spans="1:3" x14ac:dyDescent="0.25">
      <c r="A2120" t="s">
        <v>7414</v>
      </c>
      <c r="C2120" s="27">
        <v>3443144960</v>
      </c>
    </row>
    <row r="2121" spans="1:3" x14ac:dyDescent="0.25">
      <c r="A2121" t="s">
        <v>7415</v>
      </c>
      <c r="C2121" s="27">
        <v>6376006188</v>
      </c>
    </row>
    <row r="2122" spans="1:3" x14ac:dyDescent="0.25">
      <c r="A2122" t="s">
        <v>7416</v>
      </c>
      <c r="C2122" s="27">
        <v>2372016445</v>
      </c>
    </row>
    <row r="2123" spans="1:3" x14ac:dyDescent="0.25">
      <c r="A2123" t="s">
        <v>7417</v>
      </c>
      <c r="C2123" s="27">
        <v>1655140829</v>
      </c>
    </row>
    <row r="2124" spans="1:3" x14ac:dyDescent="0.25">
      <c r="A2124" t="s">
        <v>7418</v>
      </c>
      <c r="C2124" s="27">
        <v>910300049008</v>
      </c>
    </row>
    <row r="2125" spans="1:3" x14ac:dyDescent="0.25">
      <c r="A2125" t="s">
        <v>7419</v>
      </c>
      <c r="C2125" s="27">
        <v>6658158365</v>
      </c>
    </row>
    <row r="2126" spans="1:3" x14ac:dyDescent="0.25">
      <c r="A2126" t="s">
        <v>7420</v>
      </c>
      <c r="C2126" s="27">
        <v>6229099209</v>
      </c>
    </row>
    <row r="2127" spans="1:3" x14ac:dyDescent="0.25">
      <c r="A2127" t="s">
        <v>7421</v>
      </c>
      <c r="C2127" s="27">
        <v>7807189847</v>
      </c>
    </row>
    <row r="2128" spans="1:3" x14ac:dyDescent="0.25">
      <c r="A2128" t="s">
        <v>7422</v>
      </c>
      <c r="C2128" s="27">
        <v>6318174793</v>
      </c>
    </row>
    <row r="2129" spans="1:3" x14ac:dyDescent="0.25">
      <c r="A2129" t="s">
        <v>7423</v>
      </c>
      <c r="C2129" s="27">
        <v>71400003316</v>
      </c>
    </row>
    <row r="2130" spans="1:3" x14ac:dyDescent="0.25">
      <c r="A2130" t="s">
        <v>7424</v>
      </c>
      <c r="C2130" s="27">
        <v>462501448445</v>
      </c>
    </row>
    <row r="2131" spans="1:3" x14ac:dyDescent="0.25">
      <c r="A2131" t="s">
        <v>7425</v>
      </c>
      <c r="C2131" s="27">
        <v>7610126864</v>
      </c>
    </row>
    <row r="2132" spans="1:3" x14ac:dyDescent="0.25">
      <c r="A2132" t="s">
        <v>7426</v>
      </c>
      <c r="C2132" s="27">
        <v>5834027545</v>
      </c>
    </row>
    <row r="2133" spans="1:3" x14ac:dyDescent="0.25">
      <c r="A2133" t="s">
        <v>7427</v>
      </c>
      <c r="C2133" s="27">
        <v>1656063341</v>
      </c>
    </row>
    <row r="2134" spans="1:3" x14ac:dyDescent="0.25">
      <c r="A2134" t="s">
        <v>7428</v>
      </c>
      <c r="C2134" s="27">
        <v>105038234</v>
      </c>
    </row>
    <row r="2135" spans="1:3" x14ac:dyDescent="0.25">
      <c r="A2135" t="s">
        <v>7429</v>
      </c>
      <c r="C2135" s="27">
        <v>323037270</v>
      </c>
    </row>
    <row r="2136" spans="1:3" x14ac:dyDescent="0.25">
      <c r="A2136" t="s">
        <v>7430</v>
      </c>
      <c r="C2136" s="27">
        <v>2723216277</v>
      </c>
    </row>
    <row r="2137" spans="1:3" x14ac:dyDescent="0.25">
      <c r="A2137" t="s">
        <v>7431</v>
      </c>
      <c r="C2137" s="27">
        <v>5402060577</v>
      </c>
    </row>
    <row r="2138" spans="1:3" x14ac:dyDescent="0.25">
      <c r="A2138" t="s">
        <v>7432</v>
      </c>
      <c r="C2138" s="27">
        <v>420590786236</v>
      </c>
    </row>
    <row r="2139" spans="1:3" x14ac:dyDescent="0.25">
      <c r="A2139" t="s">
        <v>7433</v>
      </c>
      <c r="C2139" s="27">
        <v>710601038325</v>
      </c>
    </row>
    <row r="2140" spans="1:3" x14ac:dyDescent="0.25">
      <c r="A2140" t="s">
        <v>7434</v>
      </c>
      <c r="C2140" s="27">
        <v>4703049007</v>
      </c>
    </row>
    <row r="2141" spans="1:3" x14ac:dyDescent="0.25">
      <c r="A2141" t="s">
        <v>7435</v>
      </c>
      <c r="C2141" s="27">
        <v>3901502467</v>
      </c>
    </row>
    <row r="2142" spans="1:3" x14ac:dyDescent="0.25">
      <c r="A2142" t="s">
        <v>7436</v>
      </c>
      <c r="C2142" s="27">
        <v>2465252156</v>
      </c>
    </row>
    <row r="2143" spans="1:3" x14ac:dyDescent="0.25">
      <c r="A2143" t="s">
        <v>7437</v>
      </c>
      <c r="C2143" s="27">
        <v>9102262435</v>
      </c>
    </row>
    <row r="2144" spans="1:3" x14ac:dyDescent="0.25">
      <c r="A2144" t="s">
        <v>7438</v>
      </c>
      <c r="C2144" s="27">
        <v>1513078237</v>
      </c>
    </row>
    <row r="2145" spans="1:3" x14ac:dyDescent="0.25">
      <c r="A2145" t="s">
        <v>7439</v>
      </c>
      <c r="C2145" s="27">
        <v>3525261142</v>
      </c>
    </row>
    <row r="2146" spans="1:3" x14ac:dyDescent="0.25">
      <c r="A2146" t="s">
        <v>7440</v>
      </c>
      <c r="C2146" s="27">
        <v>6914014871</v>
      </c>
    </row>
    <row r="2147" spans="1:3" x14ac:dyDescent="0.25">
      <c r="A2147" t="s">
        <v>7441</v>
      </c>
      <c r="C2147" s="27">
        <v>7203535981</v>
      </c>
    </row>
    <row r="2148" spans="1:3" x14ac:dyDescent="0.25">
      <c r="A2148" t="s">
        <v>7442</v>
      </c>
      <c r="C2148" s="27">
        <v>6832029267</v>
      </c>
    </row>
    <row r="2149" spans="1:3" x14ac:dyDescent="0.25">
      <c r="A2149" t="s">
        <v>7443</v>
      </c>
      <c r="C2149" s="27">
        <v>5407215464</v>
      </c>
    </row>
    <row r="2150" spans="1:3" x14ac:dyDescent="0.25">
      <c r="A2150" t="s">
        <v>7444</v>
      </c>
      <c r="C2150" s="27">
        <v>471004934785</v>
      </c>
    </row>
    <row r="2151" spans="1:3" x14ac:dyDescent="0.25">
      <c r="A2151" t="s">
        <v>7445</v>
      </c>
      <c r="C2151" s="27">
        <v>10704176960</v>
      </c>
    </row>
    <row r="2152" spans="1:3" x14ac:dyDescent="0.25">
      <c r="A2152" t="s">
        <v>7446</v>
      </c>
      <c r="C2152" s="27">
        <v>8602269525</v>
      </c>
    </row>
    <row r="2153" spans="1:3" x14ac:dyDescent="0.25">
      <c r="A2153" t="s">
        <v>7447</v>
      </c>
      <c r="C2153" s="27">
        <v>3128147669</v>
      </c>
    </row>
    <row r="2154" spans="1:3" x14ac:dyDescent="0.25">
      <c r="A2154" t="s">
        <v>7448</v>
      </c>
      <c r="C2154" s="27">
        <v>5038189033</v>
      </c>
    </row>
    <row r="2155" spans="1:3" x14ac:dyDescent="0.25">
      <c r="A2155" t="s">
        <v>7449</v>
      </c>
      <c r="C2155" s="27">
        <v>6321252628</v>
      </c>
    </row>
    <row r="2156" spans="1:3" x14ac:dyDescent="0.25">
      <c r="A2156" t="s">
        <v>7450</v>
      </c>
      <c r="C2156" s="27">
        <v>7814792580</v>
      </c>
    </row>
    <row r="2157" spans="1:3" x14ac:dyDescent="0.25">
      <c r="A2157" t="s">
        <v>7451</v>
      </c>
      <c r="C2157" s="27">
        <v>4611005867</v>
      </c>
    </row>
    <row r="2158" spans="1:3" x14ac:dyDescent="0.25">
      <c r="A2158" t="s">
        <v>7452</v>
      </c>
      <c r="C2158" s="27">
        <v>6311997195</v>
      </c>
    </row>
    <row r="2159" spans="1:3" x14ac:dyDescent="0.25">
      <c r="A2159" t="s">
        <v>7453</v>
      </c>
      <c r="C2159" s="27">
        <v>7727318776</v>
      </c>
    </row>
    <row r="2160" spans="1:3" x14ac:dyDescent="0.25">
      <c r="A2160" t="s">
        <v>7454</v>
      </c>
      <c r="C2160" s="27">
        <v>5529007912</v>
      </c>
    </row>
    <row r="2161" spans="1:3" x14ac:dyDescent="0.25">
      <c r="A2161" t="s">
        <v>7455</v>
      </c>
      <c r="C2161" s="27">
        <v>7715201004</v>
      </c>
    </row>
    <row r="2162" spans="1:3" x14ac:dyDescent="0.25">
      <c r="A2162" t="s">
        <v>7456</v>
      </c>
      <c r="C2162" s="27">
        <v>4632200361</v>
      </c>
    </row>
    <row r="2163" spans="1:3" x14ac:dyDescent="0.25">
      <c r="A2163" t="s">
        <v>7457</v>
      </c>
      <c r="C2163" s="27">
        <v>451000297204</v>
      </c>
    </row>
    <row r="2164" spans="1:3" x14ac:dyDescent="0.25">
      <c r="A2164" t="s">
        <v>7458</v>
      </c>
      <c r="C2164" s="27">
        <v>550602454864</v>
      </c>
    </row>
    <row r="2165" spans="1:3" x14ac:dyDescent="0.25">
      <c r="A2165" t="s">
        <v>7459</v>
      </c>
      <c r="C2165" s="27">
        <v>2512306468</v>
      </c>
    </row>
    <row r="2166" spans="1:3" x14ac:dyDescent="0.25">
      <c r="A2166" t="s">
        <v>7460</v>
      </c>
      <c r="C2166" s="27">
        <v>4632160013</v>
      </c>
    </row>
    <row r="2167" spans="1:3" x14ac:dyDescent="0.25">
      <c r="A2167" t="s">
        <v>7461</v>
      </c>
      <c r="C2167" s="27">
        <v>227700061352</v>
      </c>
    </row>
    <row r="2168" spans="1:3" x14ac:dyDescent="0.25">
      <c r="A2168" t="s">
        <v>7462</v>
      </c>
      <c r="C2168" s="27">
        <v>1655410923</v>
      </c>
    </row>
    <row r="2169" spans="1:3" x14ac:dyDescent="0.25">
      <c r="A2169" t="s">
        <v>7463</v>
      </c>
      <c r="C2169" s="27">
        <v>1900002482</v>
      </c>
    </row>
    <row r="2170" spans="1:3" x14ac:dyDescent="0.25">
      <c r="A2170" t="s">
        <v>7464</v>
      </c>
      <c r="C2170" s="27">
        <v>5044118270</v>
      </c>
    </row>
    <row r="2171" spans="1:3" x14ac:dyDescent="0.25">
      <c r="A2171" t="s">
        <v>7465</v>
      </c>
      <c r="C2171" s="27">
        <v>3662288442</v>
      </c>
    </row>
    <row r="2172" spans="1:3" x14ac:dyDescent="0.25">
      <c r="A2172" t="s">
        <v>7466</v>
      </c>
      <c r="C2172" s="27">
        <v>4632209117</v>
      </c>
    </row>
    <row r="2173" spans="1:3" x14ac:dyDescent="0.25">
      <c r="A2173" t="s">
        <v>7467</v>
      </c>
      <c r="C2173" s="27">
        <v>6829155631</v>
      </c>
    </row>
    <row r="2174" spans="1:3" x14ac:dyDescent="0.25">
      <c r="A2174" t="s">
        <v>7468</v>
      </c>
      <c r="C2174" s="27">
        <v>9102045494</v>
      </c>
    </row>
    <row r="2175" spans="1:3" x14ac:dyDescent="0.25">
      <c r="A2175" t="s">
        <v>7469</v>
      </c>
      <c r="C2175" s="27">
        <v>5013003640</v>
      </c>
    </row>
    <row r="2176" spans="1:3" x14ac:dyDescent="0.25">
      <c r="A2176" t="s">
        <v>7470</v>
      </c>
      <c r="C2176" s="27">
        <v>1500001420</v>
      </c>
    </row>
    <row r="2177" spans="1:3" x14ac:dyDescent="0.25">
      <c r="A2177" t="s">
        <v>7471</v>
      </c>
      <c r="C2177" s="27">
        <v>5626001183</v>
      </c>
    </row>
    <row r="2178" spans="1:3" x14ac:dyDescent="0.25">
      <c r="A2178" t="s">
        <v>7472</v>
      </c>
      <c r="C2178" s="27">
        <v>1513059361</v>
      </c>
    </row>
    <row r="2179" spans="1:3" x14ac:dyDescent="0.25">
      <c r="A2179" t="s">
        <v>7473</v>
      </c>
      <c r="C2179" s="27">
        <v>4727003731</v>
      </c>
    </row>
    <row r="2180" spans="1:3" x14ac:dyDescent="0.25">
      <c r="A2180" t="s">
        <v>7474</v>
      </c>
      <c r="C2180" s="27">
        <v>9201013165</v>
      </c>
    </row>
    <row r="2181" spans="1:3" x14ac:dyDescent="0.25">
      <c r="A2181" t="s">
        <v>7475</v>
      </c>
      <c r="C2181" s="27">
        <v>6163233210</v>
      </c>
    </row>
    <row r="2182" spans="1:3" x14ac:dyDescent="0.25">
      <c r="A2182" t="s">
        <v>7476</v>
      </c>
      <c r="C2182" s="27">
        <v>7724877984</v>
      </c>
    </row>
    <row r="2183" spans="1:3" x14ac:dyDescent="0.25">
      <c r="A2183" t="s">
        <v>7477</v>
      </c>
      <c r="C2183" s="27">
        <v>260601014097</v>
      </c>
    </row>
    <row r="2184" spans="1:3" x14ac:dyDescent="0.25">
      <c r="A2184" t="s">
        <v>7478</v>
      </c>
      <c r="C2184" s="27">
        <v>6319244740</v>
      </c>
    </row>
    <row r="2185" spans="1:3" x14ac:dyDescent="0.25">
      <c r="A2185" t="s">
        <v>7479</v>
      </c>
      <c r="C2185" s="27">
        <v>9724139324</v>
      </c>
    </row>
    <row r="2186" spans="1:3" x14ac:dyDescent="0.25">
      <c r="A2186" t="s">
        <v>7480</v>
      </c>
      <c r="C2186" s="27">
        <v>3816028292</v>
      </c>
    </row>
    <row r="2187" spans="1:3" x14ac:dyDescent="0.25">
      <c r="A2187" t="s">
        <v>7481</v>
      </c>
      <c r="C2187" s="27">
        <v>2356046153</v>
      </c>
    </row>
    <row r="2188" spans="1:3" x14ac:dyDescent="0.25">
      <c r="A2188" t="s">
        <v>7482</v>
      </c>
      <c r="C2188" s="27">
        <v>4826032444</v>
      </c>
    </row>
    <row r="2189" spans="1:3" x14ac:dyDescent="0.25">
      <c r="A2189" t="s">
        <v>7483</v>
      </c>
      <c r="C2189" s="27">
        <v>2311286116</v>
      </c>
    </row>
    <row r="2190" spans="1:3" x14ac:dyDescent="0.25">
      <c r="A2190" t="s">
        <v>7484</v>
      </c>
      <c r="C2190" s="27">
        <v>4517009960</v>
      </c>
    </row>
    <row r="2191" spans="1:3" x14ac:dyDescent="0.25">
      <c r="A2191" t="s">
        <v>7485</v>
      </c>
      <c r="C2191" s="27">
        <v>150101058330</v>
      </c>
    </row>
    <row r="2192" spans="1:3" x14ac:dyDescent="0.25">
      <c r="A2192" t="s">
        <v>7486</v>
      </c>
      <c r="C2192" s="27">
        <v>7751143767</v>
      </c>
    </row>
    <row r="2193" spans="1:3" x14ac:dyDescent="0.25">
      <c r="A2193" t="s">
        <v>7487</v>
      </c>
      <c r="C2193" s="27">
        <v>3812165202</v>
      </c>
    </row>
    <row r="2194" spans="1:3" x14ac:dyDescent="0.25">
      <c r="A2194" t="s">
        <v>7488</v>
      </c>
      <c r="C2194" s="27">
        <v>682700330950</v>
      </c>
    </row>
    <row r="2195" spans="1:3" x14ac:dyDescent="0.25">
      <c r="A2195" t="s">
        <v>7489</v>
      </c>
      <c r="C2195" s="27">
        <v>1513045143</v>
      </c>
    </row>
    <row r="2196" spans="1:3" x14ac:dyDescent="0.25">
      <c r="A2196" t="s">
        <v>7490</v>
      </c>
      <c r="C2196" s="27">
        <v>1300002949</v>
      </c>
    </row>
    <row r="2197" spans="1:3" x14ac:dyDescent="0.25">
      <c r="A2197" t="s">
        <v>7491</v>
      </c>
      <c r="C2197" s="27">
        <v>4201011151</v>
      </c>
    </row>
    <row r="2198" spans="1:3" x14ac:dyDescent="0.25">
      <c r="A2198" t="s">
        <v>7492</v>
      </c>
      <c r="C2198" s="27">
        <v>5262296509</v>
      </c>
    </row>
    <row r="2199" spans="1:3" x14ac:dyDescent="0.25">
      <c r="A2199" t="s">
        <v>7493</v>
      </c>
      <c r="C2199" s="27">
        <v>814143054</v>
      </c>
    </row>
    <row r="2200" spans="1:3" x14ac:dyDescent="0.25">
      <c r="A2200" t="s">
        <v>7494</v>
      </c>
      <c r="C2200" s="27">
        <v>919003819</v>
      </c>
    </row>
    <row r="2201" spans="1:3" x14ac:dyDescent="0.25">
      <c r="A2201" t="s">
        <v>7495</v>
      </c>
      <c r="C2201" s="27">
        <v>1433005498</v>
      </c>
    </row>
    <row r="2202" spans="1:3" x14ac:dyDescent="0.25">
      <c r="A2202" t="s">
        <v>7496</v>
      </c>
      <c r="C2202" s="27">
        <v>5405500459</v>
      </c>
    </row>
    <row r="2203" spans="1:3" x14ac:dyDescent="0.25">
      <c r="A2203" t="s">
        <v>7497</v>
      </c>
      <c r="C2203" s="27">
        <v>672300128831</v>
      </c>
    </row>
    <row r="2204" spans="1:3" x14ac:dyDescent="0.25">
      <c r="A2204" t="s">
        <v>7498</v>
      </c>
      <c r="C2204" s="27">
        <v>4633036989</v>
      </c>
    </row>
    <row r="2205" spans="1:3" x14ac:dyDescent="0.25">
      <c r="A2205" t="s">
        <v>7499</v>
      </c>
      <c r="C2205" s="27">
        <v>5024216449</v>
      </c>
    </row>
    <row r="2206" spans="1:3" x14ac:dyDescent="0.25">
      <c r="A2206" t="s">
        <v>7500</v>
      </c>
      <c r="C2206" s="27">
        <v>3526037320</v>
      </c>
    </row>
    <row r="2207" spans="1:3" x14ac:dyDescent="0.25">
      <c r="A2207" t="s">
        <v>7501</v>
      </c>
      <c r="C2207" s="27">
        <v>2632813981</v>
      </c>
    </row>
    <row r="2208" spans="1:3" x14ac:dyDescent="0.25">
      <c r="A2208" t="s">
        <v>7502</v>
      </c>
      <c r="C2208" s="27">
        <v>2223039870</v>
      </c>
    </row>
    <row r="2209" spans="1:3" x14ac:dyDescent="0.25">
      <c r="A2209" t="s">
        <v>7503</v>
      </c>
      <c r="C2209" s="27">
        <v>1500016699</v>
      </c>
    </row>
    <row r="2210" spans="1:3" x14ac:dyDescent="0.25">
      <c r="A2210" t="s">
        <v>7504</v>
      </c>
      <c r="C2210" s="27">
        <v>1515918107</v>
      </c>
    </row>
    <row r="2211" spans="1:3" x14ac:dyDescent="0.25">
      <c r="A2211" t="s">
        <v>7505</v>
      </c>
      <c r="C2211" s="27">
        <v>2311312253</v>
      </c>
    </row>
    <row r="2212" spans="1:3" x14ac:dyDescent="0.25">
      <c r="A2212" t="s">
        <v>7506</v>
      </c>
      <c r="C2212" s="27">
        <v>2901294180</v>
      </c>
    </row>
    <row r="2213" spans="1:3" x14ac:dyDescent="0.25">
      <c r="A2213" t="s">
        <v>7507</v>
      </c>
      <c r="C2213" s="27">
        <v>7104517861</v>
      </c>
    </row>
    <row r="2214" spans="1:3" x14ac:dyDescent="0.25">
      <c r="A2214" t="s">
        <v>7508</v>
      </c>
      <c r="C2214" s="27">
        <v>6828005312</v>
      </c>
    </row>
    <row r="2215" spans="1:3" x14ac:dyDescent="0.25">
      <c r="A2215" t="s">
        <v>7509</v>
      </c>
      <c r="C2215" s="27">
        <v>5001140948</v>
      </c>
    </row>
    <row r="2216" spans="1:3" x14ac:dyDescent="0.25">
      <c r="A2216" t="s">
        <v>7510</v>
      </c>
      <c r="C2216" s="27">
        <v>5033010772</v>
      </c>
    </row>
    <row r="2217" spans="1:3" x14ac:dyDescent="0.25">
      <c r="A2217" t="s">
        <v>7511</v>
      </c>
      <c r="C2217" s="27">
        <v>4437000231</v>
      </c>
    </row>
    <row r="2218" spans="1:3" x14ac:dyDescent="0.25">
      <c r="A2218" t="s">
        <v>7512</v>
      </c>
      <c r="C2218" s="27">
        <v>781132730157</v>
      </c>
    </row>
    <row r="2219" spans="1:3" x14ac:dyDescent="0.25">
      <c r="A2219" t="s">
        <v>7513</v>
      </c>
      <c r="C2219" s="27">
        <v>7714439646</v>
      </c>
    </row>
    <row r="2220" spans="1:3" x14ac:dyDescent="0.25">
      <c r="A2220" t="s">
        <v>7514</v>
      </c>
      <c r="C2220" s="27">
        <v>6102062110</v>
      </c>
    </row>
    <row r="2221" spans="1:3" x14ac:dyDescent="0.25">
      <c r="A2221" t="s">
        <v>7515</v>
      </c>
      <c r="C2221" s="27">
        <v>3025027070</v>
      </c>
    </row>
    <row r="2222" spans="1:3" x14ac:dyDescent="0.25">
      <c r="A2222" t="s">
        <v>7516</v>
      </c>
      <c r="C2222" s="27">
        <v>917005916</v>
      </c>
    </row>
    <row r="2223" spans="1:3" x14ac:dyDescent="0.25">
      <c r="A2223" t="s">
        <v>7517</v>
      </c>
      <c r="C2223" s="27">
        <v>2372002259</v>
      </c>
    </row>
    <row r="2224" spans="1:3" x14ac:dyDescent="0.25">
      <c r="A2224" t="s">
        <v>7518</v>
      </c>
      <c r="C2224" s="27">
        <v>2540282579</v>
      </c>
    </row>
    <row r="2225" spans="1:3" x14ac:dyDescent="0.25">
      <c r="A2225" t="s">
        <v>7519</v>
      </c>
      <c r="C2225" s="27">
        <v>3812119975</v>
      </c>
    </row>
    <row r="2226" spans="1:3" x14ac:dyDescent="0.25">
      <c r="A2226" t="s">
        <v>7520</v>
      </c>
      <c r="C2226" s="27">
        <v>4825015051</v>
      </c>
    </row>
    <row r="2227" spans="1:3" x14ac:dyDescent="0.25">
      <c r="A2227" t="s">
        <v>7521</v>
      </c>
      <c r="C2227" s="27">
        <v>2221066130</v>
      </c>
    </row>
    <row r="2228" spans="1:3" x14ac:dyDescent="0.25">
      <c r="A2228" t="s">
        <v>7522</v>
      </c>
      <c r="C2228" s="27">
        <v>4821019552</v>
      </c>
    </row>
    <row r="2229" spans="1:3" x14ac:dyDescent="0.25">
      <c r="A2229" t="s">
        <v>7523</v>
      </c>
      <c r="C2229" s="27">
        <v>691369766760</v>
      </c>
    </row>
    <row r="2230" spans="1:3" x14ac:dyDescent="0.25">
      <c r="A2230" t="s">
        <v>7524</v>
      </c>
      <c r="C2230" s="27">
        <v>6163069176</v>
      </c>
    </row>
    <row r="2231" spans="1:3" x14ac:dyDescent="0.25">
      <c r="A2231" t="s">
        <v>7525</v>
      </c>
      <c r="C2231" s="27">
        <v>245715101656</v>
      </c>
    </row>
    <row r="2232" spans="1:3" x14ac:dyDescent="0.25">
      <c r="A2232" t="s">
        <v>7526</v>
      </c>
      <c r="C2232" s="27">
        <v>673200276203</v>
      </c>
    </row>
    <row r="2233" spans="1:3" x14ac:dyDescent="0.25">
      <c r="A2233" t="s">
        <v>7527</v>
      </c>
      <c r="C2233" s="27">
        <v>463210460672</v>
      </c>
    </row>
    <row r="2234" spans="1:3" x14ac:dyDescent="0.25">
      <c r="A2234" t="s">
        <v>7528</v>
      </c>
      <c r="C2234" s="27">
        <v>7105503300</v>
      </c>
    </row>
    <row r="2235" spans="1:3" x14ac:dyDescent="0.25">
      <c r="A2235" t="s">
        <v>7529</v>
      </c>
      <c r="C2235" s="27">
        <v>4401180277</v>
      </c>
    </row>
    <row r="2236" spans="1:3" x14ac:dyDescent="0.25">
      <c r="A2236" t="s">
        <v>7530</v>
      </c>
      <c r="C2236" s="27">
        <v>210302316732</v>
      </c>
    </row>
    <row r="2237" spans="1:3" x14ac:dyDescent="0.25">
      <c r="A2237" t="s">
        <v>7531</v>
      </c>
      <c r="C2237" s="27">
        <v>2462202990</v>
      </c>
    </row>
    <row r="2238" spans="1:3" x14ac:dyDescent="0.25">
      <c r="A2238" t="s">
        <v>7532</v>
      </c>
      <c r="C2238" s="27">
        <v>911103306748</v>
      </c>
    </row>
    <row r="2239" spans="1:3" x14ac:dyDescent="0.25">
      <c r="A2239" t="s">
        <v>7533</v>
      </c>
      <c r="C2239" s="27">
        <v>4222010624</v>
      </c>
    </row>
    <row r="2240" spans="1:3" x14ac:dyDescent="0.25">
      <c r="A2240" t="s">
        <v>7534</v>
      </c>
      <c r="C2240" s="27">
        <v>2460119249</v>
      </c>
    </row>
    <row r="2241" spans="1:3" x14ac:dyDescent="0.25">
      <c r="A2241" t="s">
        <v>7535</v>
      </c>
      <c r="C2241" s="27">
        <v>7534000240</v>
      </c>
    </row>
    <row r="2242" spans="1:3" x14ac:dyDescent="0.25">
      <c r="A2242" t="s">
        <v>7536</v>
      </c>
      <c r="C2242" s="27">
        <v>721017459</v>
      </c>
    </row>
    <row r="2243" spans="1:3" x14ac:dyDescent="0.25">
      <c r="A2243" t="s">
        <v>7537</v>
      </c>
      <c r="C2243" s="27">
        <v>10502035204</v>
      </c>
    </row>
    <row r="2244" spans="1:3" x14ac:dyDescent="0.25">
      <c r="A2244" t="s">
        <v>7538</v>
      </c>
      <c r="C2244" s="27">
        <v>6800007870</v>
      </c>
    </row>
    <row r="2245" spans="1:3" x14ac:dyDescent="0.25">
      <c r="A2245" t="s">
        <v>7539</v>
      </c>
      <c r="C2245" s="27">
        <v>3325005712</v>
      </c>
    </row>
    <row r="2246" spans="1:3" x14ac:dyDescent="0.25">
      <c r="A2246" t="s">
        <v>7540</v>
      </c>
      <c r="C2246" s="27">
        <v>2312188513</v>
      </c>
    </row>
    <row r="2247" spans="1:3" x14ac:dyDescent="0.25">
      <c r="A2247" t="s">
        <v>7541</v>
      </c>
      <c r="C2247" s="27">
        <v>5504248024</v>
      </c>
    </row>
    <row r="2248" spans="1:3" x14ac:dyDescent="0.25">
      <c r="A2248" t="s">
        <v>7542</v>
      </c>
      <c r="C2248" s="27">
        <v>3316017729</v>
      </c>
    </row>
    <row r="2249" spans="1:3" x14ac:dyDescent="0.25">
      <c r="A2249" t="s">
        <v>7543</v>
      </c>
      <c r="C2249" s="27">
        <v>5406692305</v>
      </c>
    </row>
    <row r="2250" spans="1:3" x14ac:dyDescent="0.25">
      <c r="A2250" t="s">
        <v>7544</v>
      </c>
      <c r="C2250" s="27">
        <v>9725006824</v>
      </c>
    </row>
    <row r="2251" spans="1:3" x14ac:dyDescent="0.25">
      <c r="A2251" t="s">
        <v>7545</v>
      </c>
      <c r="C2251" s="27">
        <v>231708736500</v>
      </c>
    </row>
    <row r="2252" spans="1:3" x14ac:dyDescent="0.25">
      <c r="A2252" t="s">
        <v>7546</v>
      </c>
      <c r="C2252" s="27">
        <v>4501033565</v>
      </c>
    </row>
    <row r="2253" spans="1:3" x14ac:dyDescent="0.25">
      <c r="A2253" t="s">
        <v>7547</v>
      </c>
      <c r="C2253" s="27">
        <v>360400440500</v>
      </c>
    </row>
    <row r="2254" spans="1:3" x14ac:dyDescent="0.25">
      <c r="A2254" t="s">
        <v>7548</v>
      </c>
      <c r="C2254" s="27">
        <v>5043069133</v>
      </c>
    </row>
    <row r="2255" spans="1:3" x14ac:dyDescent="0.25">
      <c r="A2255" t="s">
        <v>7549</v>
      </c>
      <c r="C2255" s="27">
        <v>5262287127</v>
      </c>
    </row>
    <row r="2256" spans="1:3" x14ac:dyDescent="0.25">
      <c r="A2256" t="s">
        <v>7550</v>
      </c>
      <c r="C2256" s="27">
        <v>7843022018</v>
      </c>
    </row>
    <row r="2257" spans="1:3" x14ac:dyDescent="0.25">
      <c r="A2257" t="s">
        <v>7551</v>
      </c>
      <c r="C2257" s="27">
        <v>5001049738</v>
      </c>
    </row>
    <row r="2258" spans="1:3" x14ac:dyDescent="0.25">
      <c r="A2258" t="s">
        <v>7552</v>
      </c>
      <c r="C2258" s="27">
        <v>5262286941</v>
      </c>
    </row>
    <row r="2259" spans="1:3" x14ac:dyDescent="0.25">
      <c r="A2259" t="s">
        <v>7553</v>
      </c>
      <c r="C2259" s="27">
        <v>2310067376</v>
      </c>
    </row>
    <row r="2260" spans="1:3" x14ac:dyDescent="0.25">
      <c r="A2260" t="s">
        <v>7554</v>
      </c>
      <c r="C2260" s="27">
        <v>1660106598</v>
      </c>
    </row>
    <row r="2261" spans="1:3" x14ac:dyDescent="0.25">
      <c r="A2261" t="s">
        <v>7555</v>
      </c>
      <c r="C2261" s="27">
        <v>9102275755</v>
      </c>
    </row>
    <row r="2262" spans="1:3" x14ac:dyDescent="0.25">
      <c r="A2262" t="s">
        <v>7556</v>
      </c>
      <c r="C2262" s="27">
        <v>3916010108</v>
      </c>
    </row>
    <row r="2263" spans="1:3" x14ac:dyDescent="0.25">
      <c r="A2263" t="s">
        <v>7557</v>
      </c>
      <c r="C2263" s="27">
        <v>1326248016</v>
      </c>
    </row>
    <row r="2264" spans="1:3" x14ac:dyDescent="0.25">
      <c r="A2264" t="s">
        <v>7558</v>
      </c>
      <c r="C2264" s="27">
        <v>27813058891</v>
      </c>
    </row>
    <row r="2265" spans="1:3" x14ac:dyDescent="0.25">
      <c r="A2265" t="s">
        <v>7559</v>
      </c>
      <c r="C2265" s="27">
        <v>4202025485</v>
      </c>
    </row>
    <row r="2266" spans="1:3" x14ac:dyDescent="0.25">
      <c r="A2266" t="s">
        <v>7560</v>
      </c>
      <c r="C2266" s="27">
        <v>1435147642</v>
      </c>
    </row>
    <row r="2267" spans="1:3" x14ac:dyDescent="0.25">
      <c r="A2267" t="s">
        <v>7561</v>
      </c>
      <c r="C2267" s="27">
        <v>2366004970</v>
      </c>
    </row>
    <row r="2268" spans="1:3" x14ac:dyDescent="0.25">
      <c r="A2268" t="s">
        <v>7562</v>
      </c>
      <c r="C2268" s="27">
        <v>7702377307</v>
      </c>
    </row>
    <row r="2269" spans="1:3" x14ac:dyDescent="0.25">
      <c r="A2269" t="s">
        <v>7563</v>
      </c>
      <c r="C2269" s="27">
        <v>7448183550</v>
      </c>
    </row>
    <row r="2270" spans="1:3" x14ac:dyDescent="0.25">
      <c r="A2270" t="s">
        <v>7564</v>
      </c>
      <c r="C2270" s="27">
        <v>910701962046</v>
      </c>
    </row>
    <row r="2271" spans="1:3" x14ac:dyDescent="0.25">
      <c r="A2271" t="s">
        <v>7565</v>
      </c>
      <c r="C2271" s="27">
        <v>7733368020</v>
      </c>
    </row>
    <row r="2272" spans="1:3" x14ac:dyDescent="0.25">
      <c r="A2272" t="s">
        <v>7566</v>
      </c>
      <c r="C2272" s="27">
        <v>6141033970</v>
      </c>
    </row>
    <row r="2273" spans="1:3" x14ac:dyDescent="0.25">
      <c r="A2273" t="s">
        <v>7567</v>
      </c>
      <c r="C2273" s="27">
        <v>1660310635</v>
      </c>
    </row>
    <row r="2274" spans="1:3" x14ac:dyDescent="0.25">
      <c r="A2274" t="s">
        <v>7568</v>
      </c>
      <c r="C2274" s="27">
        <v>9727005079</v>
      </c>
    </row>
    <row r="2275" spans="1:3" x14ac:dyDescent="0.25">
      <c r="A2275" t="s">
        <v>7569</v>
      </c>
      <c r="C2275" s="27">
        <v>5401980483</v>
      </c>
    </row>
    <row r="2276" spans="1:3" x14ac:dyDescent="0.25">
      <c r="A2276" t="s">
        <v>7570</v>
      </c>
      <c r="C2276" s="27">
        <v>552800154633</v>
      </c>
    </row>
    <row r="2277" spans="1:3" x14ac:dyDescent="0.25">
      <c r="A2277" t="s">
        <v>7571</v>
      </c>
      <c r="C2277" s="27">
        <v>4246009610</v>
      </c>
    </row>
    <row r="2278" spans="1:3" x14ac:dyDescent="0.25">
      <c r="A2278" t="s">
        <v>7572</v>
      </c>
      <c r="C2278" s="27">
        <v>2336023750</v>
      </c>
    </row>
    <row r="2279" spans="1:3" x14ac:dyDescent="0.25">
      <c r="A2279" t="s">
        <v>7573</v>
      </c>
      <c r="C2279" s="27">
        <v>9309016732</v>
      </c>
    </row>
    <row r="2280" spans="1:3" x14ac:dyDescent="0.25">
      <c r="A2280" t="s">
        <v>7574</v>
      </c>
      <c r="C2280" s="27">
        <v>6453179068</v>
      </c>
    </row>
    <row r="2281" spans="1:3" x14ac:dyDescent="0.25">
      <c r="A2281" t="s">
        <v>7575</v>
      </c>
      <c r="C2281" s="27">
        <v>6231000400</v>
      </c>
    </row>
    <row r="2282" spans="1:3" x14ac:dyDescent="0.25">
      <c r="A2282" t="s">
        <v>7576</v>
      </c>
      <c r="C2282" s="27">
        <v>1001331631</v>
      </c>
    </row>
    <row r="2283" spans="1:3" x14ac:dyDescent="0.25">
      <c r="A2283" t="s">
        <v>7577</v>
      </c>
      <c r="C2283" s="27">
        <v>4027000076</v>
      </c>
    </row>
    <row r="2284" spans="1:3" x14ac:dyDescent="0.25">
      <c r="A2284" t="s">
        <v>7578</v>
      </c>
      <c r="C2284" s="27">
        <v>6163231615</v>
      </c>
    </row>
    <row r="2285" spans="1:3" x14ac:dyDescent="0.25">
      <c r="A2285" t="s">
        <v>7579</v>
      </c>
      <c r="C2285" s="27">
        <v>7724619285</v>
      </c>
    </row>
    <row r="2286" spans="1:3" x14ac:dyDescent="0.25">
      <c r="A2286" t="s">
        <v>7580</v>
      </c>
      <c r="C2286" s="27">
        <v>5753201026</v>
      </c>
    </row>
    <row r="2287" spans="1:3" x14ac:dyDescent="0.25">
      <c r="A2287" t="s">
        <v>7581</v>
      </c>
      <c r="C2287" s="27">
        <v>9110022966</v>
      </c>
    </row>
    <row r="2288" spans="1:3" x14ac:dyDescent="0.25">
      <c r="A2288" t="s">
        <v>7582</v>
      </c>
      <c r="C2288" s="27">
        <v>7726266317</v>
      </c>
    </row>
    <row r="2289" spans="1:3" x14ac:dyDescent="0.25">
      <c r="A2289" t="s">
        <v>7583</v>
      </c>
      <c r="C2289" s="27">
        <v>269010238</v>
      </c>
    </row>
    <row r="2290" spans="1:3" x14ac:dyDescent="0.25">
      <c r="A2290" t="s">
        <v>7584</v>
      </c>
      <c r="C2290" s="27">
        <v>2635242133</v>
      </c>
    </row>
    <row r="2291" spans="1:3" x14ac:dyDescent="0.25">
      <c r="A2291" t="s">
        <v>7585</v>
      </c>
      <c r="C2291" s="27">
        <v>6449039808</v>
      </c>
    </row>
    <row r="2292" spans="1:3" x14ac:dyDescent="0.25">
      <c r="A2292" t="s">
        <v>7586</v>
      </c>
      <c r="C2292" s="27">
        <v>7703416742</v>
      </c>
    </row>
    <row r="2293" spans="1:3" x14ac:dyDescent="0.25">
      <c r="A2293" t="s">
        <v>7587</v>
      </c>
      <c r="C2293" s="27">
        <v>1644016202</v>
      </c>
    </row>
    <row r="2294" spans="1:3" x14ac:dyDescent="0.25">
      <c r="A2294" t="s">
        <v>7588</v>
      </c>
      <c r="C2294" s="27">
        <v>71609345167</v>
      </c>
    </row>
    <row r="2295" spans="1:3" x14ac:dyDescent="0.25">
      <c r="A2295" t="s">
        <v>7589</v>
      </c>
      <c r="C2295" s="27">
        <v>6130010258</v>
      </c>
    </row>
    <row r="2296" spans="1:3" x14ac:dyDescent="0.25">
      <c r="A2296" t="s">
        <v>7590</v>
      </c>
      <c r="C2296" s="27">
        <v>2317081010</v>
      </c>
    </row>
    <row r="2297" spans="1:3" x14ac:dyDescent="0.25">
      <c r="A2297" t="s">
        <v>7591</v>
      </c>
      <c r="C2297" s="27">
        <v>5032251535</v>
      </c>
    </row>
    <row r="2298" spans="1:3" x14ac:dyDescent="0.25">
      <c r="A2298" t="s">
        <v>7592</v>
      </c>
      <c r="C2298" s="27">
        <v>5702006612</v>
      </c>
    </row>
    <row r="2299" spans="1:3" x14ac:dyDescent="0.25">
      <c r="A2299" t="s">
        <v>7593</v>
      </c>
      <c r="C2299" s="27">
        <v>2317061126</v>
      </c>
    </row>
    <row r="2300" spans="1:3" x14ac:dyDescent="0.25">
      <c r="A2300" t="s">
        <v>7594</v>
      </c>
      <c r="C2300" s="27">
        <v>2301105709</v>
      </c>
    </row>
    <row r="2301" spans="1:3" x14ac:dyDescent="0.25">
      <c r="A2301" t="s">
        <v>7595</v>
      </c>
      <c r="C2301" s="27">
        <v>9108010508</v>
      </c>
    </row>
    <row r="2302" spans="1:3" x14ac:dyDescent="0.25">
      <c r="A2302" t="s">
        <v>7596</v>
      </c>
      <c r="C2302" s="27">
        <v>2130210651</v>
      </c>
    </row>
    <row r="2303" spans="1:3" x14ac:dyDescent="0.25">
      <c r="A2303" t="s">
        <v>7597</v>
      </c>
      <c r="C2303" s="27">
        <v>6321315934</v>
      </c>
    </row>
    <row r="2304" spans="1:3" x14ac:dyDescent="0.25">
      <c r="A2304" t="s">
        <v>7598</v>
      </c>
      <c r="C2304" s="27">
        <v>110202290510</v>
      </c>
    </row>
    <row r="2305" spans="1:3" x14ac:dyDescent="0.25">
      <c r="A2305" t="s">
        <v>7599</v>
      </c>
      <c r="C2305" s="27">
        <v>9102199977</v>
      </c>
    </row>
    <row r="2306" spans="1:3" x14ac:dyDescent="0.25">
      <c r="A2306" t="s">
        <v>7600</v>
      </c>
      <c r="C2306" s="27">
        <v>1500021579</v>
      </c>
    </row>
    <row r="2307" spans="1:3" x14ac:dyDescent="0.25">
      <c r="A2307" t="s">
        <v>7601</v>
      </c>
      <c r="C2307" s="27">
        <v>7718977814</v>
      </c>
    </row>
    <row r="2308" spans="1:3" x14ac:dyDescent="0.25">
      <c r="A2308" t="s">
        <v>7602</v>
      </c>
      <c r="C2308" s="27">
        <v>2628043994</v>
      </c>
    </row>
    <row r="2309" spans="1:3" x14ac:dyDescent="0.25">
      <c r="A2309" t="s">
        <v>7603</v>
      </c>
      <c r="C2309" s="27">
        <v>1001283307</v>
      </c>
    </row>
    <row r="2310" spans="1:3" x14ac:dyDescent="0.25">
      <c r="A2310" t="s">
        <v>7604</v>
      </c>
      <c r="C2310" s="27">
        <v>3327317033</v>
      </c>
    </row>
    <row r="2311" spans="1:3" x14ac:dyDescent="0.25">
      <c r="A2311" t="s">
        <v>7605</v>
      </c>
      <c r="C2311" s="27">
        <v>344100318415</v>
      </c>
    </row>
    <row r="2312" spans="1:3" x14ac:dyDescent="0.25">
      <c r="A2312" t="s">
        <v>7606</v>
      </c>
      <c r="C2312" s="27">
        <v>9110032361</v>
      </c>
    </row>
    <row r="2313" spans="1:3" x14ac:dyDescent="0.25">
      <c r="A2313" t="s">
        <v>7607</v>
      </c>
      <c r="C2313" s="27">
        <v>7805814887</v>
      </c>
    </row>
    <row r="2314" spans="1:3" x14ac:dyDescent="0.25">
      <c r="A2314" t="s">
        <v>7608</v>
      </c>
      <c r="C2314" s="27">
        <v>2635212033</v>
      </c>
    </row>
    <row r="2315" spans="1:3" x14ac:dyDescent="0.25">
      <c r="A2315" t="s">
        <v>7609</v>
      </c>
      <c r="C2315" s="27">
        <v>7733227397</v>
      </c>
    </row>
    <row r="2316" spans="1:3" x14ac:dyDescent="0.25">
      <c r="A2316" t="s">
        <v>7610</v>
      </c>
      <c r="C2316" s="27">
        <v>3123456416</v>
      </c>
    </row>
    <row r="2317" spans="1:3" x14ac:dyDescent="0.25">
      <c r="A2317" t="s">
        <v>7611</v>
      </c>
      <c r="C2317" s="27">
        <v>7205032461</v>
      </c>
    </row>
    <row r="2318" spans="1:3" x14ac:dyDescent="0.25">
      <c r="A2318" t="s">
        <v>7612</v>
      </c>
      <c r="C2318" s="27">
        <v>917013667</v>
      </c>
    </row>
    <row r="2319" spans="1:3" x14ac:dyDescent="0.25">
      <c r="A2319" t="s">
        <v>7613</v>
      </c>
      <c r="C2319" s="27">
        <v>5041214610</v>
      </c>
    </row>
    <row r="2320" spans="1:3" x14ac:dyDescent="0.25">
      <c r="A2320" t="s">
        <v>7614</v>
      </c>
      <c r="C2320" s="27">
        <v>1511025984</v>
      </c>
    </row>
    <row r="2321" spans="1:3" x14ac:dyDescent="0.25">
      <c r="A2321" t="s">
        <v>7615</v>
      </c>
      <c r="C2321" s="27">
        <v>4217162879</v>
      </c>
    </row>
    <row r="2322" spans="1:3" x14ac:dyDescent="0.25">
      <c r="A2322" t="s">
        <v>7616</v>
      </c>
      <c r="C2322" s="27">
        <v>701800204950</v>
      </c>
    </row>
    <row r="2323" spans="1:3" x14ac:dyDescent="0.25">
      <c r="A2323" t="s">
        <v>7617</v>
      </c>
      <c r="C2323" s="27">
        <v>4725480834</v>
      </c>
    </row>
    <row r="2324" spans="1:3" x14ac:dyDescent="0.25">
      <c r="A2324" t="s">
        <v>7618</v>
      </c>
      <c r="C2324" s="27">
        <v>1700003834</v>
      </c>
    </row>
    <row r="2325" spans="1:3" x14ac:dyDescent="0.25">
      <c r="A2325" t="s">
        <v>7619</v>
      </c>
      <c r="C2325" s="27">
        <v>2607800643</v>
      </c>
    </row>
    <row r="2326" spans="1:3" x14ac:dyDescent="0.25">
      <c r="A2326" t="s">
        <v>7620</v>
      </c>
      <c r="C2326" s="27">
        <v>3811073943</v>
      </c>
    </row>
    <row r="2327" spans="1:3" x14ac:dyDescent="0.25">
      <c r="A2327" t="s">
        <v>7621</v>
      </c>
      <c r="C2327" s="27">
        <v>2369004190</v>
      </c>
    </row>
    <row r="2328" spans="1:3" x14ac:dyDescent="0.25">
      <c r="A2328" t="s">
        <v>7622</v>
      </c>
      <c r="C2328" s="27">
        <v>1215228046</v>
      </c>
    </row>
    <row r="2329" spans="1:3" x14ac:dyDescent="0.25">
      <c r="A2329" t="s">
        <v>7623</v>
      </c>
      <c r="C2329" s="27">
        <v>5256084513</v>
      </c>
    </row>
    <row r="2330" spans="1:3" x14ac:dyDescent="0.25">
      <c r="A2330" t="s">
        <v>7624</v>
      </c>
      <c r="C2330" s="27">
        <v>614208925799</v>
      </c>
    </row>
    <row r="2331" spans="1:3" x14ac:dyDescent="0.25">
      <c r="A2331" t="s">
        <v>7625</v>
      </c>
      <c r="C2331" s="27">
        <v>7117502407</v>
      </c>
    </row>
    <row r="2332" spans="1:3" x14ac:dyDescent="0.25">
      <c r="A2332" t="s">
        <v>7626</v>
      </c>
      <c r="C2332" s="27">
        <v>3801048401</v>
      </c>
    </row>
    <row r="2333" spans="1:3" x14ac:dyDescent="0.25">
      <c r="A2333" t="s">
        <v>7627</v>
      </c>
      <c r="C2333" s="27">
        <v>5029180605</v>
      </c>
    </row>
    <row r="2334" spans="1:3" x14ac:dyDescent="0.25">
      <c r="A2334" t="s">
        <v>7628</v>
      </c>
      <c r="C2334" s="27">
        <v>481688745772</v>
      </c>
    </row>
    <row r="2335" spans="1:3" x14ac:dyDescent="0.25">
      <c r="A2335" t="s">
        <v>7629</v>
      </c>
      <c r="C2335" s="27">
        <v>7017228736</v>
      </c>
    </row>
    <row r="2336" spans="1:3" x14ac:dyDescent="0.25">
      <c r="A2336" t="s">
        <v>7630</v>
      </c>
      <c r="C2336" s="27">
        <v>5032226232</v>
      </c>
    </row>
    <row r="2337" spans="1:3" x14ac:dyDescent="0.25">
      <c r="A2337" t="s">
        <v>7631</v>
      </c>
      <c r="C2337" s="27">
        <v>508013497</v>
      </c>
    </row>
    <row r="2338" spans="1:3" x14ac:dyDescent="0.25">
      <c r="A2338" t="s">
        <v>7632</v>
      </c>
      <c r="C2338" s="27">
        <v>2626017396</v>
      </c>
    </row>
    <row r="2339" spans="1:3" x14ac:dyDescent="0.25">
      <c r="A2339" t="s">
        <v>7633</v>
      </c>
      <c r="C2339" s="27">
        <v>4217201013</v>
      </c>
    </row>
    <row r="2340" spans="1:3" x14ac:dyDescent="0.25">
      <c r="A2340" t="s">
        <v>7634</v>
      </c>
      <c r="C2340" s="27">
        <v>5032054784</v>
      </c>
    </row>
    <row r="2341" spans="1:3" x14ac:dyDescent="0.25">
      <c r="A2341" t="s">
        <v>7635</v>
      </c>
      <c r="C2341" s="27">
        <v>1514001692</v>
      </c>
    </row>
    <row r="2342" spans="1:3" x14ac:dyDescent="0.25">
      <c r="A2342" t="s">
        <v>7636</v>
      </c>
      <c r="C2342" s="27">
        <v>2312104697</v>
      </c>
    </row>
    <row r="2343" spans="1:3" x14ac:dyDescent="0.25">
      <c r="A2343" t="s">
        <v>7637</v>
      </c>
      <c r="C2343" s="27">
        <v>2315216744</v>
      </c>
    </row>
    <row r="2344" spans="1:3" x14ac:dyDescent="0.25">
      <c r="A2344" t="s">
        <v>7638</v>
      </c>
      <c r="C2344" s="27">
        <v>2209044476</v>
      </c>
    </row>
    <row r="2345" spans="1:3" x14ac:dyDescent="0.25">
      <c r="A2345" t="s">
        <v>7639</v>
      </c>
      <c r="C2345" s="27">
        <v>2302064519</v>
      </c>
    </row>
    <row r="2346" spans="1:3" x14ac:dyDescent="0.25">
      <c r="A2346" t="s">
        <v>7640</v>
      </c>
      <c r="C2346" s="27">
        <v>27402898460</v>
      </c>
    </row>
    <row r="2347" spans="1:3" x14ac:dyDescent="0.25">
      <c r="A2347" t="s">
        <v>7641</v>
      </c>
      <c r="C2347" s="27">
        <v>360503184946</v>
      </c>
    </row>
    <row r="2348" spans="1:3" x14ac:dyDescent="0.25">
      <c r="A2348" t="s">
        <v>7642</v>
      </c>
      <c r="C2348" s="27">
        <v>1510018159</v>
      </c>
    </row>
    <row r="2349" spans="1:3" x14ac:dyDescent="0.25">
      <c r="A2349" t="s">
        <v>7643</v>
      </c>
      <c r="C2349" s="27">
        <v>7733322548</v>
      </c>
    </row>
    <row r="2350" spans="1:3" x14ac:dyDescent="0.25">
      <c r="A2350" t="s">
        <v>7644</v>
      </c>
      <c r="C2350" s="27">
        <v>4027022305</v>
      </c>
    </row>
    <row r="2351" spans="1:3" x14ac:dyDescent="0.25">
      <c r="A2351" t="s">
        <v>7645</v>
      </c>
      <c r="C2351" s="27">
        <v>5005076570</v>
      </c>
    </row>
    <row r="2352" spans="1:3" x14ac:dyDescent="0.25">
      <c r="A2352" t="s">
        <v>7646</v>
      </c>
      <c r="C2352" s="27">
        <v>7820070343</v>
      </c>
    </row>
    <row r="2353" spans="1:3" x14ac:dyDescent="0.25">
      <c r="A2353" t="s">
        <v>7647</v>
      </c>
      <c r="C2353" s="27">
        <v>5607045185</v>
      </c>
    </row>
    <row r="2354" spans="1:3" x14ac:dyDescent="0.25">
      <c r="A2354" t="s">
        <v>7648</v>
      </c>
      <c r="C2354" s="27">
        <v>3663140329</v>
      </c>
    </row>
    <row r="2355" spans="1:3" x14ac:dyDescent="0.25">
      <c r="A2355" t="s">
        <v>7649</v>
      </c>
      <c r="C2355" s="27">
        <v>5262094615</v>
      </c>
    </row>
    <row r="2356" spans="1:3" x14ac:dyDescent="0.25">
      <c r="A2356" t="s">
        <v>7650</v>
      </c>
      <c r="C2356" s="27">
        <v>7734481188</v>
      </c>
    </row>
    <row r="2357" spans="1:3" x14ac:dyDescent="0.25">
      <c r="A2357" t="s">
        <v>7651</v>
      </c>
      <c r="C2357" s="27">
        <v>7734722725</v>
      </c>
    </row>
    <row r="2358" spans="1:3" x14ac:dyDescent="0.25">
      <c r="A2358" t="s">
        <v>7652</v>
      </c>
      <c r="C2358" s="27">
        <v>3525165470</v>
      </c>
    </row>
    <row r="2359" spans="1:3" x14ac:dyDescent="0.25">
      <c r="A2359" t="s">
        <v>7653</v>
      </c>
      <c r="C2359" s="27">
        <v>690500594451</v>
      </c>
    </row>
    <row r="2360" spans="1:3" x14ac:dyDescent="0.25">
      <c r="A2360" t="s">
        <v>7654</v>
      </c>
      <c r="C2360" s="27">
        <v>2464152776</v>
      </c>
    </row>
    <row r="2361" spans="1:3" x14ac:dyDescent="0.25">
      <c r="A2361" t="s">
        <v>7655</v>
      </c>
      <c r="C2361" s="27">
        <v>261708440050</v>
      </c>
    </row>
    <row r="2362" spans="1:3" x14ac:dyDescent="0.25">
      <c r="A2362" t="s">
        <v>7656</v>
      </c>
      <c r="C2362" s="27">
        <v>9109023796</v>
      </c>
    </row>
    <row r="2363" spans="1:3" x14ac:dyDescent="0.25">
      <c r="A2363" t="s">
        <v>7657</v>
      </c>
      <c r="C2363" s="27">
        <v>2706018878</v>
      </c>
    </row>
    <row r="2364" spans="1:3" x14ac:dyDescent="0.25">
      <c r="A2364" t="s">
        <v>7658</v>
      </c>
      <c r="C2364" s="27">
        <v>7900006470</v>
      </c>
    </row>
    <row r="2365" spans="1:3" x14ac:dyDescent="0.25">
      <c r="A2365" t="s">
        <v>7659</v>
      </c>
      <c r="C2365" s="27">
        <v>2525004249</v>
      </c>
    </row>
    <row r="2366" spans="1:3" x14ac:dyDescent="0.25">
      <c r="A2366" t="s">
        <v>7660</v>
      </c>
      <c r="C2366" s="27">
        <v>561023539145</v>
      </c>
    </row>
    <row r="2367" spans="1:3" x14ac:dyDescent="0.25">
      <c r="A2367" t="s">
        <v>7661</v>
      </c>
      <c r="C2367" s="27">
        <v>7713059497</v>
      </c>
    </row>
    <row r="2368" spans="1:3" x14ac:dyDescent="0.25">
      <c r="A2368" t="s">
        <v>7662</v>
      </c>
      <c r="C2368" s="27">
        <v>7205032366</v>
      </c>
    </row>
    <row r="2369" spans="1:3" x14ac:dyDescent="0.25">
      <c r="A2369" t="s">
        <v>7663</v>
      </c>
      <c r="C2369" s="27">
        <v>2722913807</v>
      </c>
    </row>
    <row r="2370" spans="1:3" x14ac:dyDescent="0.25">
      <c r="A2370" t="s">
        <v>7664</v>
      </c>
      <c r="C2370" s="27">
        <v>3435056565</v>
      </c>
    </row>
    <row r="2371" spans="1:3" x14ac:dyDescent="0.25">
      <c r="A2371" t="s">
        <v>7665</v>
      </c>
      <c r="C2371" s="27">
        <v>463208215955</v>
      </c>
    </row>
    <row r="2372" spans="1:3" x14ac:dyDescent="0.25">
      <c r="A2372" t="s">
        <v>7666</v>
      </c>
      <c r="C2372" s="27">
        <v>2801210645</v>
      </c>
    </row>
    <row r="2373" spans="1:3" x14ac:dyDescent="0.25">
      <c r="A2373" t="s">
        <v>7667</v>
      </c>
      <c r="C2373" s="27">
        <v>7743381334</v>
      </c>
    </row>
    <row r="2374" spans="1:3" x14ac:dyDescent="0.25">
      <c r="A2374" t="s">
        <v>7668</v>
      </c>
      <c r="C2374" s="27">
        <v>911000080986</v>
      </c>
    </row>
    <row r="2375" spans="1:3" x14ac:dyDescent="0.25">
      <c r="A2375" t="s">
        <v>7669</v>
      </c>
      <c r="C2375" s="27">
        <v>4345293972</v>
      </c>
    </row>
    <row r="2376" spans="1:3" x14ac:dyDescent="0.25">
      <c r="A2376" t="s">
        <v>7670</v>
      </c>
      <c r="C2376" s="27">
        <v>5036148867</v>
      </c>
    </row>
    <row r="2377" spans="1:3" x14ac:dyDescent="0.25">
      <c r="A2377" t="s">
        <v>7671</v>
      </c>
      <c r="C2377" s="27">
        <v>161202012812</v>
      </c>
    </row>
    <row r="2378" spans="1:3" x14ac:dyDescent="0.25">
      <c r="A2378" t="s">
        <v>7672</v>
      </c>
      <c r="C2378" s="27">
        <v>7802947381</v>
      </c>
    </row>
    <row r="2379" spans="1:3" x14ac:dyDescent="0.25">
      <c r="A2379" t="s">
        <v>7673</v>
      </c>
      <c r="C2379" s="27">
        <v>5053037324</v>
      </c>
    </row>
    <row r="2380" spans="1:3" x14ac:dyDescent="0.25">
      <c r="A2380" t="s">
        <v>7674</v>
      </c>
      <c r="C2380" s="27">
        <v>2259006116</v>
      </c>
    </row>
    <row r="2381" spans="1:3" x14ac:dyDescent="0.25">
      <c r="A2381" t="s">
        <v>7675</v>
      </c>
      <c r="C2381" s="27">
        <v>3812085074</v>
      </c>
    </row>
    <row r="2382" spans="1:3" x14ac:dyDescent="0.25">
      <c r="A2382" t="s">
        <v>7676</v>
      </c>
      <c r="C2382" s="27">
        <v>5029079796</v>
      </c>
    </row>
    <row r="2383" spans="1:3" x14ac:dyDescent="0.25">
      <c r="A2383" t="s">
        <v>7677</v>
      </c>
      <c r="C2383" s="27">
        <v>276144070</v>
      </c>
    </row>
    <row r="2384" spans="1:3" x14ac:dyDescent="0.25">
      <c r="A2384" t="s">
        <v>7678</v>
      </c>
      <c r="C2384" s="27">
        <v>245964355</v>
      </c>
    </row>
    <row r="2385" spans="1:3" x14ac:dyDescent="0.25">
      <c r="A2385" t="s">
        <v>7679</v>
      </c>
      <c r="C2385" s="27">
        <v>6318132105</v>
      </c>
    </row>
    <row r="2386" spans="1:3" x14ac:dyDescent="0.25">
      <c r="A2386" t="s">
        <v>7680</v>
      </c>
      <c r="C2386" s="27">
        <v>1400034969</v>
      </c>
    </row>
    <row r="2387" spans="1:3" x14ac:dyDescent="0.25">
      <c r="A2387" t="s">
        <v>7681</v>
      </c>
      <c r="C2387" s="27">
        <v>1215052272</v>
      </c>
    </row>
    <row r="2388" spans="1:3" x14ac:dyDescent="0.25">
      <c r="A2388" t="s">
        <v>7682</v>
      </c>
      <c r="C2388" s="27">
        <v>1500021650</v>
      </c>
    </row>
    <row r="2389" spans="1:3" x14ac:dyDescent="0.25">
      <c r="A2389" t="s">
        <v>7683</v>
      </c>
      <c r="C2389" s="27">
        <v>5246056436</v>
      </c>
    </row>
    <row r="2390" spans="1:3" x14ac:dyDescent="0.25">
      <c r="A2390" t="s">
        <v>7684</v>
      </c>
      <c r="C2390" s="27">
        <v>7751338195</v>
      </c>
    </row>
    <row r="2391" spans="1:3" x14ac:dyDescent="0.25">
      <c r="A2391" t="s">
        <v>7685</v>
      </c>
      <c r="C2391" s="27">
        <v>5003131949</v>
      </c>
    </row>
    <row r="2392" spans="1:3" x14ac:dyDescent="0.25">
      <c r="A2392" t="s">
        <v>7686</v>
      </c>
      <c r="C2392" s="27">
        <v>3661078019</v>
      </c>
    </row>
    <row r="2393" spans="1:3" x14ac:dyDescent="0.25">
      <c r="A2393" t="s">
        <v>7687</v>
      </c>
      <c r="C2393" s="27">
        <v>2320207537</v>
      </c>
    </row>
    <row r="2394" spans="1:3" x14ac:dyDescent="0.25">
      <c r="A2394" t="s">
        <v>7688</v>
      </c>
      <c r="C2394" s="27">
        <v>402900836681</v>
      </c>
    </row>
    <row r="2395" spans="1:3" x14ac:dyDescent="0.25">
      <c r="A2395" t="s">
        <v>7689</v>
      </c>
      <c r="C2395" s="27">
        <v>7103019623</v>
      </c>
    </row>
    <row r="2396" spans="1:3" x14ac:dyDescent="0.25">
      <c r="A2396" t="s">
        <v>7690</v>
      </c>
      <c r="C2396" s="27">
        <v>2367031945</v>
      </c>
    </row>
    <row r="2397" spans="1:3" x14ac:dyDescent="0.25">
      <c r="A2397" t="s">
        <v>7691</v>
      </c>
      <c r="C2397" s="27">
        <v>5406995476</v>
      </c>
    </row>
    <row r="2398" spans="1:3" x14ac:dyDescent="0.25">
      <c r="A2398" t="s">
        <v>7692</v>
      </c>
      <c r="C2398" s="27">
        <v>7202131048</v>
      </c>
    </row>
    <row r="2399" spans="1:3" x14ac:dyDescent="0.25">
      <c r="A2399" t="s">
        <v>7693</v>
      </c>
      <c r="C2399" s="27">
        <v>5404187988</v>
      </c>
    </row>
    <row r="2400" spans="1:3" x14ac:dyDescent="0.25">
      <c r="A2400" t="s">
        <v>7694</v>
      </c>
      <c r="C2400" s="27">
        <v>2367038700</v>
      </c>
    </row>
    <row r="2401" spans="1:3" x14ac:dyDescent="0.25">
      <c r="A2401" t="s">
        <v>7695</v>
      </c>
      <c r="C2401" s="27">
        <v>6161094843</v>
      </c>
    </row>
    <row r="2402" spans="1:3" x14ac:dyDescent="0.25">
      <c r="A2402" t="s">
        <v>7696</v>
      </c>
      <c r="C2402" s="27">
        <v>391000211055</v>
      </c>
    </row>
    <row r="2403" spans="1:3" x14ac:dyDescent="0.25">
      <c r="A2403" t="s">
        <v>7697</v>
      </c>
      <c r="C2403" s="27">
        <v>2308069143</v>
      </c>
    </row>
    <row r="2404" spans="1:3" x14ac:dyDescent="0.25">
      <c r="A2404" t="s">
        <v>7698</v>
      </c>
      <c r="C2404" s="27">
        <v>6623099990</v>
      </c>
    </row>
    <row r="2405" spans="1:3" x14ac:dyDescent="0.25">
      <c r="A2405" t="s">
        <v>7699</v>
      </c>
      <c r="C2405" s="27">
        <v>631808614337</v>
      </c>
    </row>
    <row r="2406" spans="1:3" x14ac:dyDescent="0.25">
      <c r="A2406" t="s">
        <v>7700</v>
      </c>
      <c r="C2406" s="27">
        <v>7713059634</v>
      </c>
    </row>
    <row r="2407" spans="1:3" x14ac:dyDescent="0.25">
      <c r="A2407" t="s">
        <v>7701</v>
      </c>
      <c r="C2407" s="27">
        <v>6318174578</v>
      </c>
    </row>
    <row r="2408" spans="1:3" x14ac:dyDescent="0.25">
      <c r="A2408" t="s">
        <v>7702</v>
      </c>
      <c r="C2408" s="27">
        <v>463407158525</v>
      </c>
    </row>
    <row r="2409" spans="1:3" x14ac:dyDescent="0.25">
      <c r="A2409" t="s">
        <v>7703</v>
      </c>
      <c r="C2409" s="27">
        <v>151402922393</v>
      </c>
    </row>
    <row r="2410" spans="1:3" x14ac:dyDescent="0.25">
      <c r="A2410" t="s">
        <v>7704</v>
      </c>
      <c r="C2410" s="27">
        <v>1903029718</v>
      </c>
    </row>
    <row r="2411" spans="1:3" x14ac:dyDescent="0.25">
      <c r="A2411" t="s">
        <v>7705</v>
      </c>
      <c r="C2411" s="27">
        <v>3311018870</v>
      </c>
    </row>
    <row r="2412" spans="1:3" x14ac:dyDescent="0.25">
      <c r="A2412" t="s">
        <v>7706</v>
      </c>
      <c r="C2412" s="27">
        <v>6452145115</v>
      </c>
    </row>
    <row r="2413" spans="1:3" x14ac:dyDescent="0.25">
      <c r="A2413" t="s">
        <v>7707</v>
      </c>
      <c r="C2413" s="27">
        <v>6148655602</v>
      </c>
    </row>
    <row r="2414" spans="1:3" x14ac:dyDescent="0.25">
      <c r="A2414" t="s">
        <v>7708</v>
      </c>
      <c r="C2414" s="27">
        <v>260133558863</v>
      </c>
    </row>
    <row r="2415" spans="1:3" x14ac:dyDescent="0.25">
      <c r="A2415" t="s">
        <v>7709</v>
      </c>
      <c r="C2415" s="27">
        <v>230105317070</v>
      </c>
    </row>
    <row r="2416" spans="1:3" x14ac:dyDescent="0.25">
      <c r="A2416" t="s">
        <v>7710</v>
      </c>
      <c r="C2416" s="27">
        <v>7743156040</v>
      </c>
    </row>
    <row r="2417" spans="1:3" x14ac:dyDescent="0.25">
      <c r="A2417" t="s">
        <v>7711</v>
      </c>
      <c r="C2417" s="27">
        <v>1901139352</v>
      </c>
    </row>
    <row r="2418" spans="1:3" x14ac:dyDescent="0.25">
      <c r="A2418" t="s">
        <v>7712</v>
      </c>
      <c r="C2418" s="27">
        <v>5009039026</v>
      </c>
    </row>
    <row r="2419" spans="1:3" x14ac:dyDescent="0.25">
      <c r="A2419" t="s">
        <v>7713</v>
      </c>
      <c r="C2419" s="27">
        <v>3602007312</v>
      </c>
    </row>
    <row r="2420" spans="1:3" x14ac:dyDescent="0.25">
      <c r="A2420" t="s">
        <v>7714</v>
      </c>
      <c r="C2420" s="27">
        <v>7705898604</v>
      </c>
    </row>
    <row r="2421" spans="1:3" x14ac:dyDescent="0.25">
      <c r="A2421" t="s">
        <v>7715</v>
      </c>
      <c r="C2421" s="27">
        <v>2301095289</v>
      </c>
    </row>
    <row r="2422" spans="1:3" x14ac:dyDescent="0.25">
      <c r="A2422" t="s">
        <v>7716</v>
      </c>
      <c r="C2422" s="27">
        <v>7610010468</v>
      </c>
    </row>
    <row r="2423" spans="1:3" x14ac:dyDescent="0.25">
      <c r="A2423" t="s">
        <v>7717</v>
      </c>
      <c r="C2423" s="27">
        <v>2724178673</v>
      </c>
    </row>
    <row r="2424" spans="1:3" x14ac:dyDescent="0.25">
      <c r="A2424" t="s">
        <v>7718</v>
      </c>
      <c r="C2424" s="27">
        <v>344700590701</v>
      </c>
    </row>
    <row r="2425" spans="1:3" x14ac:dyDescent="0.25">
      <c r="A2425" t="s">
        <v>7719</v>
      </c>
      <c r="C2425" s="27">
        <v>7604065420</v>
      </c>
    </row>
    <row r="2426" spans="1:3" x14ac:dyDescent="0.25">
      <c r="A2426" t="s">
        <v>7720</v>
      </c>
      <c r="C2426" s="27">
        <v>230404543695</v>
      </c>
    </row>
    <row r="2427" spans="1:3" x14ac:dyDescent="0.25">
      <c r="A2427" t="s">
        <v>7721</v>
      </c>
      <c r="C2427" s="27">
        <v>583709805372</v>
      </c>
    </row>
    <row r="2428" spans="1:3" x14ac:dyDescent="0.25">
      <c r="A2428" t="s">
        <v>7722</v>
      </c>
      <c r="C2428" s="27">
        <v>3525471460</v>
      </c>
    </row>
    <row r="2429" spans="1:3" x14ac:dyDescent="0.25">
      <c r="A2429" t="s">
        <v>7723</v>
      </c>
      <c r="C2429" s="27">
        <v>5038087747</v>
      </c>
    </row>
    <row r="2430" spans="1:3" x14ac:dyDescent="0.25">
      <c r="A2430" t="s">
        <v>7724</v>
      </c>
      <c r="C2430" s="27">
        <v>5837049120</v>
      </c>
    </row>
    <row r="2431" spans="1:3" x14ac:dyDescent="0.25">
      <c r="A2431" t="s">
        <v>7725</v>
      </c>
      <c r="C2431" s="27">
        <v>3652902342</v>
      </c>
    </row>
    <row r="2432" spans="1:3" x14ac:dyDescent="0.25">
      <c r="A2432" t="s">
        <v>7726</v>
      </c>
      <c r="C2432" s="27">
        <v>7743139904</v>
      </c>
    </row>
    <row r="2433" spans="1:3" x14ac:dyDescent="0.25">
      <c r="A2433" t="s">
        <v>7727</v>
      </c>
      <c r="C2433" s="27">
        <v>6670501349</v>
      </c>
    </row>
    <row r="2434" spans="1:3" x14ac:dyDescent="0.25">
      <c r="A2434" t="s">
        <v>7728</v>
      </c>
      <c r="C2434" s="27">
        <v>320304665921</v>
      </c>
    </row>
    <row r="2435" spans="1:3" x14ac:dyDescent="0.25">
      <c r="A2435" t="s">
        <v>7729</v>
      </c>
      <c r="C2435" s="27">
        <v>6234096387</v>
      </c>
    </row>
    <row r="2436" spans="1:3" x14ac:dyDescent="0.25">
      <c r="A2436" t="s">
        <v>7730</v>
      </c>
      <c r="C2436" s="27">
        <v>3525337176</v>
      </c>
    </row>
    <row r="2437" spans="1:3" x14ac:dyDescent="0.25">
      <c r="A2437" t="s">
        <v>7731</v>
      </c>
      <c r="C2437" s="27">
        <v>6315619571</v>
      </c>
    </row>
    <row r="2438" spans="1:3" x14ac:dyDescent="0.25">
      <c r="A2438" t="s">
        <v>7732</v>
      </c>
      <c r="C2438" s="27">
        <v>6318193965</v>
      </c>
    </row>
    <row r="2439" spans="1:3" x14ac:dyDescent="0.25">
      <c r="A2439" t="s">
        <v>7733</v>
      </c>
      <c r="C2439" s="27">
        <v>6453164921</v>
      </c>
    </row>
    <row r="2440" spans="1:3" x14ac:dyDescent="0.25">
      <c r="A2440" t="s">
        <v>7734</v>
      </c>
      <c r="C2440" s="27">
        <v>2315222032</v>
      </c>
    </row>
    <row r="2441" spans="1:3" x14ac:dyDescent="0.25">
      <c r="A2441" t="s">
        <v>7735</v>
      </c>
      <c r="C2441" s="27">
        <v>4230025649</v>
      </c>
    </row>
    <row r="2442" spans="1:3" x14ac:dyDescent="0.25">
      <c r="A2442" t="s">
        <v>7736</v>
      </c>
      <c r="C2442" s="27">
        <v>7701899660</v>
      </c>
    </row>
    <row r="2443" spans="1:3" x14ac:dyDescent="0.25">
      <c r="A2443" t="s">
        <v>7737</v>
      </c>
      <c r="C2443" s="27">
        <v>3812116928</v>
      </c>
    </row>
    <row r="2444" spans="1:3" x14ac:dyDescent="0.25">
      <c r="A2444" t="s">
        <v>7738</v>
      </c>
      <c r="C2444" s="27">
        <v>500300393420</v>
      </c>
    </row>
    <row r="2445" spans="1:3" x14ac:dyDescent="0.25">
      <c r="A2445" t="s">
        <v>7739</v>
      </c>
      <c r="C2445" s="27">
        <v>261803704289</v>
      </c>
    </row>
    <row r="2446" spans="1:3" x14ac:dyDescent="0.25">
      <c r="A2446" t="s">
        <v>7740</v>
      </c>
      <c r="C2446" s="27">
        <v>5406786024</v>
      </c>
    </row>
    <row r="2447" spans="1:3" x14ac:dyDescent="0.25">
      <c r="A2447" t="s">
        <v>7741</v>
      </c>
      <c r="C2447" s="27">
        <v>7714543407</v>
      </c>
    </row>
    <row r="2448" spans="1:3" x14ac:dyDescent="0.25">
      <c r="A2448" t="s">
        <v>7742</v>
      </c>
      <c r="C2448" s="27">
        <v>7728307745</v>
      </c>
    </row>
    <row r="2449" spans="1:3" x14ac:dyDescent="0.25">
      <c r="A2449" t="s">
        <v>7743</v>
      </c>
      <c r="C2449" s="27">
        <v>3702258180</v>
      </c>
    </row>
    <row r="2450" spans="1:3" x14ac:dyDescent="0.25">
      <c r="A2450" t="s">
        <v>7744</v>
      </c>
      <c r="C2450" s="27">
        <v>6826006920</v>
      </c>
    </row>
    <row r="2451" spans="1:3" x14ac:dyDescent="0.25">
      <c r="A2451" t="s">
        <v>7745</v>
      </c>
      <c r="C2451" s="27">
        <v>9108115268</v>
      </c>
    </row>
    <row r="2452" spans="1:3" x14ac:dyDescent="0.25">
      <c r="A2452" t="s">
        <v>7746</v>
      </c>
      <c r="C2452" s="27">
        <v>6313538101</v>
      </c>
    </row>
    <row r="2453" spans="1:3" x14ac:dyDescent="0.25">
      <c r="A2453" t="s">
        <v>7747</v>
      </c>
      <c r="C2453" s="27">
        <v>400701258270</v>
      </c>
    </row>
    <row r="2454" spans="1:3" x14ac:dyDescent="0.25">
      <c r="A2454" t="s">
        <v>7748</v>
      </c>
      <c r="C2454" s="27">
        <v>5047068878</v>
      </c>
    </row>
    <row r="2455" spans="1:3" x14ac:dyDescent="0.25">
      <c r="A2455" t="s">
        <v>7749</v>
      </c>
      <c r="C2455" s="27">
        <v>3245015426</v>
      </c>
    </row>
    <row r="2456" spans="1:3" x14ac:dyDescent="0.25">
      <c r="A2456" t="s">
        <v>7750</v>
      </c>
      <c r="C2456" s="27">
        <v>366500900335</v>
      </c>
    </row>
    <row r="2457" spans="1:3" x14ac:dyDescent="0.25">
      <c r="A2457" t="s">
        <v>7751</v>
      </c>
      <c r="C2457" s="27">
        <v>344691139747</v>
      </c>
    </row>
    <row r="2458" spans="1:3" x14ac:dyDescent="0.25">
      <c r="A2458" t="s">
        <v>7752</v>
      </c>
      <c r="C2458" s="27">
        <v>6321140466</v>
      </c>
    </row>
    <row r="2459" spans="1:3" x14ac:dyDescent="0.25">
      <c r="A2459" t="s">
        <v>7753</v>
      </c>
      <c r="C2459" s="27">
        <v>7743301096</v>
      </c>
    </row>
    <row r="2460" spans="1:3" x14ac:dyDescent="0.25">
      <c r="A2460" t="s">
        <v>7754</v>
      </c>
      <c r="C2460" s="27">
        <v>3652900225</v>
      </c>
    </row>
    <row r="2461" spans="1:3" x14ac:dyDescent="0.25">
      <c r="A2461" t="s">
        <v>7755</v>
      </c>
      <c r="C2461" s="27">
        <v>5190158810</v>
      </c>
    </row>
    <row r="2462" spans="1:3" x14ac:dyDescent="0.25">
      <c r="A2462" t="s">
        <v>7756</v>
      </c>
      <c r="C2462" s="27">
        <v>330507295091</v>
      </c>
    </row>
    <row r="2463" spans="1:3" x14ac:dyDescent="0.25">
      <c r="A2463" t="s">
        <v>7757</v>
      </c>
      <c r="C2463" s="27">
        <v>4708007716</v>
      </c>
    </row>
    <row r="2464" spans="1:3" x14ac:dyDescent="0.25">
      <c r="A2464" t="s">
        <v>7758</v>
      </c>
      <c r="C2464" s="27">
        <v>3525211102</v>
      </c>
    </row>
    <row r="2465" spans="1:3" x14ac:dyDescent="0.25">
      <c r="A2465" t="s">
        <v>7759</v>
      </c>
      <c r="C2465" s="27">
        <v>702436668624</v>
      </c>
    </row>
    <row r="2466" spans="1:3" x14ac:dyDescent="0.25">
      <c r="A2466" t="s">
        <v>7760</v>
      </c>
      <c r="C2466" s="27">
        <v>411018621</v>
      </c>
    </row>
    <row r="2467" spans="1:3" x14ac:dyDescent="0.25">
      <c r="A2467" t="s">
        <v>7761</v>
      </c>
      <c r="C2467" s="27">
        <v>6515000010</v>
      </c>
    </row>
    <row r="2468" spans="1:3" x14ac:dyDescent="0.25">
      <c r="A2468" t="s">
        <v>7762</v>
      </c>
      <c r="C2468" s="27">
        <v>2130108369</v>
      </c>
    </row>
    <row r="2469" spans="1:3" x14ac:dyDescent="0.25">
      <c r="A2469" t="s">
        <v>7763</v>
      </c>
      <c r="C2469" s="27">
        <v>2309150742</v>
      </c>
    </row>
    <row r="2470" spans="1:3" x14ac:dyDescent="0.25">
      <c r="A2470" t="s">
        <v>7764</v>
      </c>
      <c r="C2470" s="27">
        <v>2615010840</v>
      </c>
    </row>
    <row r="2471" spans="1:3" x14ac:dyDescent="0.25">
      <c r="A2471" t="s">
        <v>7765</v>
      </c>
      <c r="C2471" s="27">
        <v>6678011988</v>
      </c>
    </row>
    <row r="2472" spans="1:3" x14ac:dyDescent="0.25">
      <c r="A2472" t="s">
        <v>7766</v>
      </c>
      <c r="C2472" s="27">
        <v>3460061865</v>
      </c>
    </row>
    <row r="2473" spans="1:3" x14ac:dyDescent="0.25">
      <c r="A2473" t="s">
        <v>7767</v>
      </c>
      <c r="C2473" s="27">
        <v>2723206529</v>
      </c>
    </row>
    <row r="2474" spans="1:3" x14ac:dyDescent="0.25">
      <c r="A2474" t="s">
        <v>7768</v>
      </c>
      <c r="C2474" s="27">
        <v>230400425108</v>
      </c>
    </row>
    <row r="2475" spans="1:3" x14ac:dyDescent="0.25">
      <c r="A2475" t="s">
        <v>7769</v>
      </c>
      <c r="C2475" s="27">
        <v>23701643030</v>
      </c>
    </row>
    <row r="2476" spans="1:3" x14ac:dyDescent="0.25">
      <c r="A2476" t="s">
        <v>7770</v>
      </c>
      <c r="C2476" s="27">
        <v>6318194359</v>
      </c>
    </row>
    <row r="2477" spans="1:3" x14ac:dyDescent="0.25">
      <c r="A2477" t="s">
        <v>7771</v>
      </c>
      <c r="C2477" s="27">
        <v>2442008465</v>
      </c>
    </row>
    <row r="2478" spans="1:3" x14ac:dyDescent="0.25">
      <c r="A2478" t="s">
        <v>7772</v>
      </c>
      <c r="C2478" s="27">
        <v>2208035870</v>
      </c>
    </row>
    <row r="2479" spans="1:3" x14ac:dyDescent="0.25">
      <c r="A2479" t="s">
        <v>7773</v>
      </c>
      <c r="C2479" s="27">
        <v>7460067536</v>
      </c>
    </row>
    <row r="2480" spans="1:3" x14ac:dyDescent="0.25">
      <c r="A2480" t="s">
        <v>7774</v>
      </c>
      <c r="C2480" s="27">
        <v>1660189918</v>
      </c>
    </row>
    <row r="2481" spans="1:3" x14ac:dyDescent="0.25">
      <c r="A2481" t="s">
        <v>7775</v>
      </c>
      <c r="C2481" s="27">
        <v>5003058287</v>
      </c>
    </row>
    <row r="2482" spans="1:3" x14ac:dyDescent="0.25">
      <c r="A2482" t="s">
        <v>7776</v>
      </c>
      <c r="C2482" s="27">
        <v>726016339</v>
      </c>
    </row>
    <row r="2483" spans="1:3" x14ac:dyDescent="0.25">
      <c r="A2483" t="s">
        <v>7777</v>
      </c>
      <c r="C2483" s="27">
        <v>1213005171</v>
      </c>
    </row>
    <row r="2484" spans="1:3" x14ac:dyDescent="0.25">
      <c r="A2484" t="s">
        <v>7778</v>
      </c>
      <c r="C2484" s="27">
        <v>7430010194</v>
      </c>
    </row>
    <row r="2485" spans="1:3" x14ac:dyDescent="0.25">
      <c r="A2485" t="s">
        <v>7779</v>
      </c>
      <c r="C2485" s="27">
        <v>644007222604</v>
      </c>
    </row>
    <row r="2486" spans="1:3" x14ac:dyDescent="0.25">
      <c r="A2486" t="s">
        <v>7780</v>
      </c>
      <c r="C2486" s="27">
        <v>910300048830</v>
      </c>
    </row>
    <row r="2487" spans="1:3" x14ac:dyDescent="0.25">
      <c r="A2487" t="s">
        <v>7781</v>
      </c>
      <c r="C2487" s="27">
        <v>1685004894</v>
      </c>
    </row>
    <row r="2488" spans="1:3" x14ac:dyDescent="0.25">
      <c r="A2488" t="s">
        <v>7782</v>
      </c>
      <c r="C2488" s="27">
        <v>3100007862</v>
      </c>
    </row>
    <row r="2489" spans="1:3" x14ac:dyDescent="0.25">
      <c r="A2489" t="s">
        <v>7783</v>
      </c>
      <c r="C2489" s="27">
        <v>3652009308</v>
      </c>
    </row>
    <row r="2490" spans="1:3" x14ac:dyDescent="0.25">
      <c r="A2490" t="s">
        <v>7784</v>
      </c>
      <c r="C2490" s="27">
        <v>3457004232</v>
      </c>
    </row>
    <row r="2491" spans="1:3" x14ac:dyDescent="0.25">
      <c r="A2491" t="s">
        <v>7785</v>
      </c>
      <c r="C2491" s="27">
        <v>10506838516</v>
      </c>
    </row>
    <row r="2492" spans="1:3" x14ac:dyDescent="0.25">
      <c r="A2492" t="s">
        <v>7786</v>
      </c>
      <c r="C2492" s="27">
        <v>2902061277</v>
      </c>
    </row>
    <row r="2493" spans="1:3" x14ac:dyDescent="0.25">
      <c r="A2493" t="s">
        <v>7787</v>
      </c>
      <c r="C2493" s="27">
        <v>1650322575</v>
      </c>
    </row>
    <row r="2494" spans="1:3" x14ac:dyDescent="0.25">
      <c r="A2494" t="s">
        <v>7788</v>
      </c>
      <c r="C2494" s="27">
        <v>7726429547</v>
      </c>
    </row>
    <row r="2495" spans="1:3" x14ac:dyDescent="0.25">
      <c r="A2495" t="s">
        <v>7789</v>
      </c>
      <c r="C2495" s="27">
        <v>7720357769</v>
      </c>
    </row>
    <row r="2496" spans="1:3" x14ac:dyDescent="0.25">
      <c r="A2496" t="s">
        <v>7790</v>
      </c>
      <c r="C2496" s="27">
        <v>2301065510</v>
      </c>
    </row>
    <row r="2497" spans="1:3" x14ac:dyDescent="0.25">
      <c r="A2497" t="s">
        <v>7791</v>
      </c>
      <c r="C2497" s="27">
        <v>2128049028</v>
      </c>
    </row>
    <row r="2498" spans="1:3" x14ac:dyDescent="0.25">
      <c r="A2498" t="s">
        <v>7792</v>
      </c>
      <c r="C2498" s="27">
        <v>5402040690</v>
      </c>
    </row>
    <row r="2499" spans="1:3" x14ac:dyDescent="0.25">
      <c r="A2499" t="s">
        <v>7793</v>
      </c>
      <c r="C2499" s="27">
        <v>3321033243</v>
      </c>
    </row>
    <row r="2500" spans="1:3" x14ac:dyDescent="0.25">
      <c r="A2500" t="s">
        <v>7794</v>
      </c>
      <c r="C2500" s="27">
        <v>2543104888</v>
      </c>
    </row>
    <row r="2501" spans="1:3" x14ac:dyDescent="0.25">
      <c r="A2501" t="s">
        <v>7795</v>
      </c>
      <c r="C2501" s="27">
        <v>3812127408</v>
      </c>
    </row>
    <row r="2502" spans="1:3" x14ac:dyDescent="0.25">
      <c r="A2502" t="s">
        <v>7796</v>
      </c>
      <c r="C2502" s="27">
        <v>8602316126</v>
      </c>
    </row>
    <row r="2503" spans="1:3" x14ac:dyDescent="0.25">
      <c r="A2503" t="s">
        <v>7797</v>
      </c>
      <c r="C2503" s="27">
        <v>613204286130</v>
      </c>
    </row>
    <row r="2504" spans="1:3" x14ac:dyDescent="0.25">
      <c r="A2504" t="s">
        <v>7798</v>
      </c>
      <c r="C2504" s="27">
        <v>2301083090</v>
      </c>
    </row>
    <row r="2505" spans="1:3" x14ac:dyDescent="0.25">
      <c r="A2505" t="s">
        <v>7799</v>
      </c>
      <c r="C2505" s="27">
        <v>5012091308</v>
      </c>
    </row>
    <row r="2506" spans="1:3" x14ac:dyDescent="0.25">
      <c r="A2506" t="s">
        <v>7800</v>
      </c>
      <c r="C2506" s="27">
        <v>1005080530</v>
      </c>
    </row>
    <row r="2507" spans="1:3" x14ac:dyDescent="0.25">
      <c r="A2507" t="s">
        <v>7801</v>
      </c>
      <c r="C2507" s="27">
        <v>3525303699</v>
      </c>
    </row>
    <row r="2508" spans="1:3" x14ac:dyDescent="0.25">
      <c r="A2508" t="s">
        <v>7802</v>
      </c>
      <c r="C2508" s="27">
        <v>266023905</v>
      </c>
    </row>
    <row r="2509" spans="1:3" x14ac:dyDescent="0.25">
      <c r="A2509" t="s">
        <v>7803</v>
      </c>
      <c r="C2509" s="27">
        <v>261808284045</v>
      </c>
    </row>
    <row r="2510" spans="1:3" x14ac:dyDescent="0.25">
      <c r="A2510" t="s">
        <v>7804</v>
      </c>
      <c r="C2510" s="27">
        <v>5032029604</v>
      </c>
    </row>
    <row r="2511" spans="1:3" x14ac:dyDescent="0.25">
      <c r="A2511" t="s">
        <v>7805</v>
      </c>
      <c r="C2511" s="27">
        <v>1327036455</v>
      </c>
    </row>
    <row r="2512" spans="1:3" x14ac:dyDescent="0.25">
      <c r="A2512" t="s">
        <v>7806</v>
      </c>
      <c r="C2512" s="27">
        <v>2348031516</v>
      </c>
    </row>
    <row r="2513" spans="1:3" x14ac:dyDescent="0.25">
      <c r="A2513" t="s">
        <v>7807</v>
      </c>
      <c r="C2513" s="27">
        <v>7713743724</v>
      </c>
    </row>
    <row r="2514" spans="1:3" x14ac:dyDescent="0.25">
      <c r="A2514" t="s">
        <v>7808</v>
      </c>
      <c r="C2514" s="27">
        <v>1658047200</v>
      </c>
    </row>
    <row r="2515" spans="1:3" x14ac:dyDescent="0.25">
      <c r="A2515" t="s">
        <v>7809</v>
      </c>
      <c r="C2515" s="27">
        <v>3702228001</v>
      </c>
    </row>
    <row r="2516" spans="1:3" x14ac:dyDescent="0.25">
      <c r="A2516" t="s">
        <v>7810</v>
      </c>
      <c r="C2516" s="27">
        <v>7734403408</v>
      </c>
    </row>
    <row r="2517" spans="1:3" x14ac:dyDescent="0.25">
      <c r="A2517" t="s">
        <v>7811</v>
      </c>
      <c r="C2517" s="27">
        <v>7207006594</v>
      </c>
    </row>
    <row r="2518" spans="1:3" x14ac:dyDescent="0.25">
      <c r="A2518" t="s">
        <v>7812</v>
      </c>
      <c r="C2518" s="27">
        <v>7703790933</v>
      </c>
    </row>
    <row r="2519" spans="1:3" x14ac:dyDescent="0.25">
      <c r="A2519" t="s">
        <v>7813</v>
      </c>
      <c r="C2519" s="27">
        <v>7017444695</v>
      </c>
    </row>
    <row r="2520" spans="1:3" x14ac:dyDescent="0.25">
      <c r="A2520" t="s">
        <v>7814</v>
      </c>
      <c r="C2520" s="27">
        <v>7810996431</v>
      </c>
    </row>
    <row r="2521" spans="1:3" x14ac:dyDescent="0.25">
      <c r="A2521" t="s">
        <v>7815</v>
      </c>
      <c r="C2521" s="27">
        <v>27406347640</v>
      </c>
    </row>
    <row r="2522" spans="1:3" x14ac:dyDescent="0.25">
      <c r="A2522" t="s">
        <v>7816</v>
      </c>
      <c r="C2522" s="27">
        <v>6318050237</v>
      </c>
    </row>
    <row r="2523" spans="1:3" x14ac:dyDescent="0.25">
      <c r="A2523" t="s">
        <v>7817</v>
      </c>
      <c r="C2523" s="27">
        <v>7722710161</v>
      </c>
    </row>
    <row r="2524" spans="1:3" x14ac:dyDescent="0.25">
      <c r="A2524" t="s">
        <v>7818</v>
      </c>
      <c r="C2524" s="27">
        <v>9106001177</v>
      </c>
    </row>
    <row r="2525" spans="1:3" x14ac:dyDescent="0.25">
      <c r="A2525" t="s">
        <v>7819</v>
      </c>
      <c r="C2525" s="27">
        <v>816004320</v>
      </c>
    </row>
    <row r="2526" spans="1:3" x14ac:dyDescent="0.25">
      <c r="A2526" t="s">
        <v>7820</v>
      </c>
      <c r="C2526" s="27">
        <v>2540196337</v>
      </c>
    </row>
    <row r="2527" spans="1:3" x14ac:dyDescent="0.25">
      <c r="A2527" t="s">
        <v>7821</v>
      </c>
      <c r="C2527" s="27">
        <v>463400014179</v>
      </c>
    </row>
    <row r="2528" spans="1:3" x14ac:dyDescent="0.25">
      <c r="A2528" t="s">
        <v>7822</v>
      </c>
      <c r="C2528" s="27">
        <v>3811437990</v>
      </c>
    </row>
    <row r="2529" spans="1:3" x14ac:dyDescent="0.25">
      <c r="A2529" t="s">
        <v>7823</v>
      </c>
      <c r="C2529" s="27">
        <v>7325016398</v>
      </c>
    </row>
    <row r="2530" spans="1:3" x14ac:dyDescent="0.25">
      <c r="A2530" t="s">
        <v>7824</v>
      </c>
      <c r="C2530" s="27">
        <v>5252017731</v>
      </c>
    </row>
    <row r="2531" spans="1:3" x14ac:dyDescent="0.25">
      <c r="A2531" t="s">
        <v>7825</v>
      </c>
      <c r="C2531" s="27">
        <v>5032047441</v>
      </c>
    </row>
    <row r="2532" spans="1:3" x14ac:dyDescent="0.25">
      <c r="A2532" t="s">
        <v>7826</v>
      </c>
      <c r="C2532" s="27">
        <v>5406610662</v>
      </c>
    </row>
    <row r="2533" spans="1:3" x14ac:dyDescent="0.25">
      <c r="A2533" t="s">
        <v>7827</v>
      </c>
      <c r="C2533" s="27">
        <v>6154165236</v>
      </c>
    </row>
    <row r="2534" spans="1:3" x14ac:dyDescent="0.25">
      <c r="A2534" t="s">
        <v>7828</v>
      </c>
      <c r="C2534" s="27">
        <v>3906179338</v>
      </c>
    </row>
    <row r="2535" spans="1:3" x14ac:dyDescent="0.25">
      <c r="A2535" t="s">
        <v>7829</v>
      </c>
      <c r="C2535" s="27">
        <v>5404326230</v>
      </c>
    </row>
    <row r="2536" spans="1:3" x14ac:dyDescent="0.25">
      <c r="A2536" t="s">
        <v>7830</v>
      </c>
      <c r="C2536" s="27">
        <v>5501125264</v>
      </c>
    </row>
    <row r="2537" spans="1:3" x14ac:dyDescent="0.25">
      <c r="A2537" t="s">
        <v>7831</v>
      </c>
      <c r="C2537" s="27">
        <v>165801315482</v>
      </c>
    </row>
    <row r="2538" spans="1:3" x14ac:dyDescent="0.25">
      <c r="A2538" t="s">
        <v>7832</v>
      </c>
      <c r="C2538" s="27">
        <v>6729039455</v>
      </c>
    </row>
    <row r="2539" spans="1:3" x14ac:dyDescent="0.25">
      <c r="A2539" t="s">
        <v>7833</v>
      </c>
      <c r="C2539" s="27">
        <v>5402501800</v>
      </c>
    </row>
    <row r="2540" spans="1:3" x14ac:dyDescent="0.25">
      <c r="A2540" t="s">
        <v>7834</v>
      </c>
      <c r="C2540" s="27">
        <v>9724112570</v>
      </c>
    </row>
    <row r="2541" spans="1:3" x14ac:dyDescent="0.25">
      <c r="A2541" t="s">
        <v>7835</v>
      </c>
      <c r="C2541" s="27">
        <v>5406718553</v>
      </c>
    </row>
    <row r="2542" spans="1:3" x14ac:dyDescent="0.25">
      <c r="A2542" t="s">
        <v>7836</v>
      </c>
      <c r="C2542" s="27">
        <v>7721813407</v>
      </c>
    </row>
    <row r="2543" spans="1:3" x14ac:dyDescent="0.25">
      <c r="A2543" t="s">
        <v>7837</v>
      </c>
      <c r="C2543" s="27">
        <v>1001168150</v>
      </c>
    </row>
    <row r="2544" spans="1:3" x14ac:dyDescent="0.25">
      <c r="A2544" t="s">
        <v>7838</v>
      </c>
      <c r="C2544" s="27">
        <v>2635250180</v>
      </c>
    </row>
    <row r="2545" spans="1:3" x14ac:dyDescent="0.25">
      <c r="A2545" t="s">
        <v>7839</v>
      </c>
      <c r="C2545" s="27">
        <v>700005710</v>
      </c>
    </row>
    <row r="2546" spans="1:3" x14ac:dyDescent="0.25">
      <c r="A2546" t="s">
        <v>7840</v>
      </c>
      <c r="C2546" s="27">
        <v>612203501136</v>
      </c>
    </row>
    <row r="2547" spans="1:3" x14ac:dyDescent="0.25">
      <c r="A2547" t="s">
        <v>7841</v>
      </c>
      <c r="C2547" s="27">
        <v>3301032570</v>
      </c>
    </row>
    <row r="2548" spans="1:3" x14ac:dyDescent="0.25">
      <c r="A2548" t="s">
        <v>7842</v>
      </c>
      <c r="C2548" s="27">
        <v>3625018134</v>
      </c>
    </row>
    <row r="2549" spans="1:3" x14ac:dyDescent="0.25">
      <c r="A2549" t="s">
        <v>7843</v>
      </c>
      <c r="C2549" s="27">
        <v>6916017589</v>
      </c>
    </row>
    <row r="2550" spans="1:3" x14ac:dyDescent="0.25">
      <c r="A2550" t="s">
        <v>7844</v>
      </c>
      <c r="C2550" s="27">
        <v>2636808380</v>
      </c>
    </row>
    <row r="2551" spans="1:3" x14ac:dyDescent="0.25">
      <c r="A2551" t="s">
        <v>7845</v>
      </c>
      <c r="C2551" s="27">
        <v>2204091610</v>
      </c>
    </row>
    <row r="2552" spans="1:3" x14ac:dyDescent="0.25">
      <c r="A2552" t="s">
        <v>7846</v>
      </c>
      <c r="C2552" s="27">
        <v>1513041251</v>
      </c>
    </row>
    <row r="2553" spans="1:3" x14ac:dyDescent="0.25">
      <c r="A2553" t="s">
        <v>7847</v>
      </c>
      <c r="C2553" s="27">
        <v>360203565027</v>
      </c>
    </row>
    <row r="2554" spans="1:3" x14ac:dyDescent="0.25">
      <c r="A2554" t="s">
        <v>7848</v>
      </c>
      <c r="C2554" s="27">
        <v>7810973730</v>
      </c>
    </row>
    <row r="2555" spans="1:3" x14ac:dyDescent="0.25">
      <c r="A2555" t="s">
        <v>7849</v>
      </c>
      <c r="C2555" s="27">
        <v>503203145515</v>
      </c>
    </row>
    <row r="2556" spans="1:3" x14ac:dyDescent="0.25">
      <c r="A2556" t="s">
        <v>7850</v>
      </c>
      <c r="C2556" s="27">
        <v>301600363969</v>
      </c>
    </row>
    <row r="2557" spans="1:3" x14ac:dyDescent="0.25">
      <c r="A2557" t="s">
        <v>7851</v>
      </c>
      <c r="C2557" s="27">
        <v>7607022343</v>
      </c>
    </row>
    <row r="2558" spans="1:3" x14ac:dyDescent="0.25">
      <c r="A2558" t="s">
        <v>7852</v>
      </c>
      <c r="C2558" s="27">
        <v>690101635917</v>
      </c>
    </row>
    <row r="2559" spans="1:3" x14ac:dyDescent="0.25">
      <c r="A2559" t="s">
        <v>7853</v>
      </c>
      <c r="C2559" s="27">
        <v>7801573260</v>
      </c>
    </row>
    <row r="2560" spans="1:3" x14ac:dyDescent="0.25">
      <c r="A2560" t="s">
        <v>7854</v>
      </c>
      <c r="C2560" s="27">
        <v>5408014922</v>
      </c>
    </row>
    <row r="2561" spans="1:3" x14ac:dyDescent="0.25">
      <c r="A2561" t="s">
        <v>7855</v>
      </c>
      <c r="C2561" s="27">
        <v>1200000930</v>
      </c>
    </row>
    <row r="2562" spans="1:3" x14ac:dyDescent="0.25">
      <c r="A2562" t="s">
        <v>7856</v>
      </c>
      <c r="C2562" s="27">
        <v>2808005821</v>
      </c>
    </row>
    <row r="2563" spans="1:3" x14ac:dyDescent="0.25">
      <c r="A2563" t="s">
        <v>7857</v>
      </c>
      <c r="C2563" s="27">
        <v>3811435907</v>
      </c>
    </row>
    <row r="2564" spans="1:3" x14ac:dyDescent="0.25">
      <c r="A2564" t="s">
        <v>7858</v>
      </c>
      <c r="C2564" s="27">
        <v>5022042412</v>
      </c>
    </row>
    <row r="2565" spans="1:3" x14ac:dyDescent="0.25">
      <c r="A2565" t="s">
        <v>7859</v>
      </c>
      <c r="C2565" s="27">
        <v>3702223691</v>
      </c>
    </row>
    <row r="2566" spans="1:3" x14ac:dyDescent="0.25">
      <c r="A2566" t="s">
        <v>7860</v>
      </c>
      <c r="C2566" s="27">
        <v>2452033260</v>
      </c>
    </row>
    <row r="2567" spans="1:3" x14ac:dyDescent="0.25">
      <c r="A2567" t="s">
        <v>7861</v>
      </c>
      <c r="C2567" s="27">
        <v>6025009976</v>
      </c>
    </row>
    <row r="2568" spans="1:3" x14ac:dyDescent="0.25">
      <c r="A2568" t="s">
        <v>7862</v>
      </c>
      <c r="C2568" s="27">
        <v>6123024997</v>
      </c>
    </row>
    <row r="2569" spans="1:3" x14ac:dyDescent="0.25">
      <c r="A2569" t="s">
        <v>7863</v>
      </c>
      <c r="C2569" s="27">
        <v>5607141756</v>
      </c>
    </row>
    <row r="2570" spans="1:3" x14ac:dyDescent="0.25">
      <c r="A2570" t="s">
        <v>7864</v>
      </c>
      <c r="C2570" s="27">
        <v>261405125170</v>
      </c>
    </row>
    <row r="2571" spans="1:3" x14ac:dyDescent="0.25">
      <c r="A2571" t="s">
        <v>7865</v>
      </c>
      <c r="C2571" s="27">
        <v>2465254643</v>
      </c>
    </row>
    <row r="2572" spans="1:3" x14ac:dyDescent="0.25">
      <c r="A2572" t="s">
        <v>7866</v>
      </c>
      <c r="C2572" s="27">
        <v>233901833304</v>
      </c>
    </row>
    <row r="2573" spans="1:3" x14ac:dyDescent="0.25">
      <c r="A2573" t="s">
        <v>7867</v>
      </c>
      <c r="C2573" s="27">
        <v>5032224940</v>
      </c>
    </row>
    <row r="2574" spans="1:3" x14ac:dyDescent="0.25">
      <c r="A2574" t="s">
        <v>7868</v>
      </c>
      <c r="C2574" s="27">
        <v>504403005115</v>
      </c>
    </row>
    <row r="2575" spans="1:3" x14ac:dyDescent="0.25">
      <c r="A2575" t="s">
        <v>7869</v>
      </c>
      <c r="C2575" s="27">
        <v>7904003086</v>
      </c>
    </row>
    <row r="2576" spans="1:3" x14ac:dyDescent="0.25">
      <c r="A2576" t="s">
        <v>7870</v>
      </c>
      <c r="C2576" s="27">
        <v>2724179109</v>
      </c>
    </row>
    <row r="2577" spans="1:3" x14ac:dyDescent="0.25">
      <c r="A2577" t="s">
        <v>7871</v>
      </c>
      <c r="C2577" s="27">
        <v>150301640721</v>
      </c>
    </row>
    <row r="2578" spans="1:3" x14ac:dyDescent="0.25">
      <c r="A2578" t="s">
        <v>7872</v>
      </c>
      <c r="C2578" s="27">
        <v>4252013598</v>
      </c>
    </row>
    <row r="2579" spans="1:3" x14ac:dyDescent="0.25">
      <c r="A2579" t="s">
        <v>7873</v>
      </c>
      <c r="C2579" s="27">
        <v>5018011997</v>
      </c>
    </row>
    <row r="2580" spans="1:3" x14ac:dyDescent="0.25">
      <c r="A2580" t="s">
        <v>7874</v>
      </c>
      <c r="C2580" s="27">
        <v>3810028049</v>
      </c>
    </row>
    <row r="2581" spans="1:3" x14ac:dyDescent="0.25">
      <c r="A2581" t="s">
        <v>7875</v>
      </c>
      <c r="C2581" s="27">
        <v>6671037306</v>
      </c>
    </row>
    <row r="2582" spans="1:3" x14ac:dyDescent="0.25">
      <c r="A2582" t="s">
        <v>7876</v>
      </c>
      <c r="C2582" s="27">
        <v>5836635002</v>
      </c>
    </row>
    <row r="2583" spans="1:3" x14ac:dyDescent="0.25">
      <c r="A2583" t="s">
        <v>7877</v>
      </c>
      <c r="C2583" s="27">
        <v>7701799793</v>
      </c>
    </row>
    <row r="2584" spans="1:3" x14ac:dyDescent="0.25">
      <c r="A2584" t="s">
        <v>7878</v>
      </c>
      <c r="C2584" s="27">
        <v>6163220483</v>
      </c>
    </row>
    <row r="2585" spans="1:3" x14ac:dyDescent="0.25">
      <c r="A2585" t="s">
        <v>7879</v>
      </c>
      <c r="C2585" s="27">
        <v>2411029867</v>
      </c>
    </row>
    <row r="2586" spans="1:3" x14ac:dyDescent="0.25">
      <c r="A2586" t="s">
        <v>7880</v>
      </c>
      <c r="C2586" s="27">
        <v>7000022328</v>
      </c>
    </row>
    <row r="2587" spans="1:3" x14ac:dyDescent="0.25">
      <c r="A2587" t="s">
        <v>7881</v>
      </c>
      <c r="C2587" s="27">
        <v>3200008179</v>
      </c>
    </row>
    <row r="2588" spans="1:3" x14ac:dyDescent="0.25">
      <c r="A2588" t="s">
        <v>7882</v>
      </c>
      <c r="C2588" s="27">
        <v>5030010090</v>
      </c>
    </row>
    <row r="2589" spans="1:3" x14ac:dyDescent="0.25">
      <c r="A2589" t="s">
        <v>7883</v>
      </c>
      <c r="C2589" s="27">
        <v>7105020600</v>
      </c>
    </row>
    <row r="2590" spans="1:3" x14ac:dyDescent="0.25">
      <c r="A2590" t="s">
        <v>7884</v>
      </c>
      <c r="C2590" s="27">
        <v>7715284321</v>
      </c>
    </row>
    <row r="2591" spans="1:3" x14ac:dyDescent="0.25">
      <c r="A2591" t="s">
        <v>7885</v>
      </c>
      <c r="C2591" s="27">
        <v>2902049350</v>
      </c>
    </row>
    <row r="2592" spans="1:3" x14ac:dyDescent="0.25">
      <c r="A2592" t="s">
        <v>7886</v>
      </c>
      <c r="C2592" s="27">
        <v>2703066986</v>
      </c>
    </row>
    <row r="2593" spans="1:3" x14ac:dyDescent="0.25">
      <c r="A2593" t="s">
        <v>7887</v>
      </c>
      <c r="C2593" s="27">
        <v>4401186783</v>
      </c>
    </row>
    <row r="2594" spans="1:3" x14ac:dyDescent="0.25">
      <c r="A2594" t="s">
        <v>7888</v>
      </c>
      <c r="C2594" s="27">
        <v>6313559214</v>
      </c>
    </row>
    <row r="2595" spans="1:3" x14ac:dyDescent="0.25">
      <c r="A2595" t="s">
        <v>7889</v>
      </c>
      <c r="C2595" s="27">
        <v>3662083798</v>
      </c>
    </row>
    <row r="2596" spans="1:3" x14ac:dyDescent="0.25">
      <c r="A2596" t="s">
        <v>7890</v>
      </c>
      <c r="C2596" s="27">
        <v>323390365</v>
      </c>
    </row>
    <row r="2597" spans="1:3" x14ac:dyDescent="0.25">
      <c r="A2597" t="s">
        <v>7891</v>
      </c>
      <c r="C2597" s="27">
        <v>2448002780</v>
      </c>
    </row>
    <row r="2598" spans="1:3" x14ac:dyDescent="0.25">
      <c r="A2598" t="s">
        <v>7892</v>
      </c>
      <c r="C2598" s="27">
        <v>6141058340</v>
      </c>
    </row>
    <row r="2599" spans="1:3" x14ac:dyDescent="0.25">
      <c r="A2599" t="s">
        <v>7893</v>
      </c>
      <c r="C2599" s="27">
        <v>2361009340</v>
      </c>
    </row>
    <row r="2600" spans="1:3" x14ac:dyDescent="0.25">
      <c r="A2600" t="s">
        <v>7894</v>
      </c>
      <c r="C2600" s="27">
        <v>2720034328</v>
      </c>
    </row>
    <row r="2601" spans="1:3" x14ac:dyDescent="0.25">
      <c r="A2601" t="s">
        <v>7895</v>
      </c>
      <c r="C2601" s="27">
        <v>1660174358</v>
      </c>
    </row>
    <row r="2602" spans="1:3" x14ac:dyDescent="0.25">
      <c r="A2602" t="s">
        <v>7896</v>
      </c>
      <c r="C2602" s="27">
        <v>1402022616</v>
      </c>
    </row>
    <row r="2603" spans="1:3" x14ac:dyDescent="0.25">
      <c r="A2603" t="s">
        <v>7897</v>
      </c>
      <c r="C2603" s="27">
        <v>5009121577</v>
      </c>
    </row>
    <row r="2604" spans="1:3" x14ac:dyDescent="0.25">
      <c r="A2604" t="s">
        <v>7898</v>
      </c>
      <c r="C2604" s="27">
        <v>4442016903</v>
      </c>
    </row>
    <row r="2605" spans="1:3" x14ac:dyDescent="0.25">
      <c r="A2605" t="s">
        <v>7899</v>
      </c>
      <c r="C2605" s="27">
        <v>143501408267</v>
      </c>
    </row>
    <row r="2606" spans="1:3" x14ac:dyDescent="0.25">
      <c r="A2606" t="s">
        <v>7900</v>
      </c>
      <c r="C2606" s="27">
        <v>6658384886</v>
      </c>
    </row>
    <row r="2607" spans="1:3" x14ac:dyDescent="0.25">
      <c r="A2607" t="s">
        <v>7901</v>
      </c>
      <c r="C2607" s="27">
        <v>2352007900</v>
      </c>
    </row>
    <row r="2608" spans="1:3" x14ac:dyDescent="0.25">
      <c r="A2608" t="s">
        <v>7902</v>
      </c>
      <c r="C2608" s="27">
        <v>5410151676</v>
      </c>
    </row>
    <row r="2609" spans="1:3" x14ac:dyDescent="0.25">
      <c r="A2609" t="s">
        <v>7903</v>
      </c>
      <c r="C2609" s="27">
        <v>434533923715</v>
      </c>
    </row>
    <row r="2610" spans="1:3" x14ac:dyDescent="0.25">
      <c r="A2610" t="s">
        <v>7904</v>
      </c>
      <c r="C2610" s="27">
        <v>7113016406</v>
      </c>
    </row>
    <row r="2611" spans="1:3" x14ac:dyDescent="0.25">
      <c r="A2611" t="s">
        <v>7905</v>
      </c>
      <c r="C2611" s="27">
        <v>362709511020</v>
      </c>
    </row>
    <row r="2612" spans="1:3" x14ac:dyDescent="0.25">
      <c r="A2612" t="s">
        <v>7906</v>
      </c>
      <c r="C2612" s="27">
        <v>552801933921</v>
      </c>
    </row>
    <row r="2613" spans="1:3" x14ac:dyDescent="0.25">
      <c r="A2613" t="s">
        <v>7907</v>
      </c>
      <c r="C2613" s="27">
        <v>3305715658</v>
      </c>
    </row>
    <row r="2614" spans="1:3" x14ac:dyDescent="0.25">
      <c r="A2614" t="s">
        <v>7908</v>
      </c>
      <c r="C2614" s="27">
        <v>1650399673</v>
      </c>
    </row>
    <row r="2615" spans="1:3" x14ac:dyDescent="0.25">
      <c r="A2615" t="s">
        <v>7909</v>
      </c>
      <c r="C2615" s="27">
        <v>4205379436</v>
      </c>
    </row>
    <row r="2616" spans="1:3" x14ac:dyDescent="0.25">
      <c r="A2616" t="s">
        <v>7910</v>
      </c>
      <c r="C2616" s="27">
        <v>7723196090</v>
      </c>
    </row>
    <row r="2617" spans="1:3" x14ac:dyDescent="0.25">
      <c r="A2617" t="s">
        <v>7911</v>
      </c>
      <c r="C2617" s="27">
        <v>8620018845</v>
      </c>
    </row>
    <row r="2618" spans="1:3" x14ac:dyDescent="0.25">
      <c r="A2618" t="s">
        <v>7912</v>
      </c>
      <c r="C2618" s="27">
        <v>4345531497</v>
      </c>
    </row>
    <row r="2619" spans="1:3" x14ac:dyDescent="0.25">
      <c r="A2619" t="s">
        <v>7913</v>
      </c>
      <c r="C2619" s="27">
        <v>6950067036</v>
      </c>
    </row>
    <row r="2620" spans="1:3" x14ac:dyDescent="0.25">
      <c r="A2620" t="s">
        <v>7914</v>
      </c>
      <c r="C2620" s="27">
        <v>7204098935</v>
      </c>
    </row>
    <row r="2621" spans="1:3" x14ac:dyDescent="0.25">
      <c r="A2621" t="s">
        <v>7915</v>
      </c>
      <c r="C2621" s="27">
        <v>1515918643</v>
      </c>
    </row>
    <row r="2622" spans="1:3" x14ac:dyDescent="0.25">
      <c r="A2622" t="s">
        <v>7916</v>
      </c>
      <c r="C2622" s="27">
        <v>911018310180</v>
      </c>
    </row>
    <row r="2623" spans="1:3" x14ac:dyDescent="0.25">
      <c r="A2623" t="s">
        <v>7917</v>
      </c>
      <c r="C2623" s="27">
        <v>3102037735</v>
      </c>
    </row>
    <row r="2624" spans="1:3" x14ac:dyDescent="0.25">
      <c r="A2624" t="s">
        <v>7918</v>
      </c>
      <c r="C2624" s="27">
        <v>6831015529</v>
      </c>
    </row>
    <row r="2625" spans="1:3" x14ac:dyDescent="0.25">
      <c r="A2625" t="s">
        <v>7919</v>
      </c>
      <c r="C2625" s="27">
        <v>1209004506</v>
      </c>
    </row>
    <row r="2626" spans="1:3" x14ac:dyDescent="0.25">
      <c r="A2626" t="s">
        <v>7920</v>
      </c>
      <c r="C2626" s="27">
        <v>3510007288</v>
      </c>
    </row>
    <row r="2627" spans="1:3" x14ac:dyDescent="0.25">
      <c r="A2627" t="s">
        <v>7921</v>
      </c>
      <c r="C2627" s="27">
        <v>5535007861</v>
      </c>
    </row>
    <row r="2628" spans="1:3" x14ac:dyDescent="0.25">
      <c r="A2628" t="s">
        <v>7922</v>
      </c>
      <c r="C2628" s="27">
        <v>6671384290</v>
      </c>
    </row>
    <row r="2629" spans="1:3" x14ac:dyDescent="0.25">
      <c r="A2629" t="s">
        <v>7923</v>
      </c>
      <c r="C2629" s="27">
        <v>5245013831</v>
      </c>
    </row>
    <row r="2630" spans="1:3" x14ac:dyDescent="0.25">
      <c r="A2630" t="s">
        <v>7924</v>
      </c>
      <c r="C2630" s="27">
        <v>6907010227</v>
      </c>
    </row>
    <row r="2631" spans="1:3" x14ac:dyDescent="0.25">
      <c r="A2631" t="s">
        <v>7925</v>
      </c>
      <c r="C2631" s="27">
        <v>7734349951</v>
      </c>
    </row>
    <row r="2632" spans="1:3" x14ac:dyDescent="0.25">
      <c r="A2632" t="s">
        <v>7926</v>
      </c>
      <c r="C2632" s="27">
        <v>6319710260</v>
      </c>
    </row>
    <row r="2633" spans="1:3" x14ac:dyDescent="0.25">
      <c r="A2633" t="s">
        <v>7927</v>
      </c>
      <c r="C2633" s="27">
        <v>7716679379</v>
      </c>
    </row>
    <row r="2634" spans="1:3" x14ac:dyDescent="0.25">
      <c r="A2634" t="s">
        <v>7928</v>
      </c>
      <c r="C2634" s="27">
        <v>1400018893</v>
      </c>
    </row>
    <row r="2635" spans="1:3" x14ac:dyDescent="0.25">
      <c r="A2635" t="s">
        <v>7929</v>
      </c>
      <c r="C2635" s="27">
        <v>5504075460</v>
      </c>
    </row>
    <row r="2636" spans="1:3" x14ac:dyDescent="0.25">
      <c r="A2636" t="s">
        <v>7930</v>
      </c>
      <c r="C2636" s="27">
        <v>4826103085</v>
      </c>
    </row>
    <row r="2637" spans="1:3" x14ac:dyDescent="0.25">
      <c r="A2637" t="s">
        <v>7931</v>
      </c>
      <c r="C2637" s="27">
        <v>2466288540</v>
      </c>
    </row>
    <row r="2638" spans="1:3" x14ac:dyDescent="0.25">
      <c r="A2638" t="s">
        <v>7932</v>
      </c>
      <c r="C2638" s="27">
        <v>6604012240</v>
      </c>
    </row>
    <row r="2639" spans="1:3" x14ac:dyDescent="0.25">
      <c r="A2639" t="s">
        <v>7933</v>
      </c>
      <c r="C2639" s="27">
        <v>5030036483</v>
      </c>
    </row>
    <row r="2640" spans="1:3" x14ac:dyDescent="0.25">
      <c r="A2640" t="s">
        <v>7934</v>
      </c>
      <c r="C2640" s="27">
        <v>7743368118</v>
      </c>
    </row>
    <row r="2641" spans="1:3" x14ac:dyDescent="0.25">
      <c r="A2641" t="s">
        <v>7935</v>
      </c>
      <c r="C2641" s="27">
        <v>2801258615</v>
      </c>
    </row>
    <row r="2642" spans="1:3" x14ac:dyDescent="0.25">
      <c r="A2642" t="s">
        <v>7936</v>
      </c>
      <c r="C2642" s="27">
        <v>6670505992</v>
      </c>
    </row>
    <row r="2643" spans="1:3" x14ac:dyDescent="0.25">
      <c r="A2643" t="s">
        <v>7937</v>
      </c>
      <c r="C2643" s="27">
        <v>3123178053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C2" sqref="C2"/>
    </sheetView>
  </sheetViews>
  <sheetFormatPr defaultRowHeight="15" x14ac:dyDescent="0.25"/>
  <cols>
    <col min="2" max="2" width="15.7109375" customWidth="1"/>
  </cols>
  <sheetData>
    <row r="1" spans="1:7" x14ac:dyDescent="0.25">
      <c r="B1" t="s">
        <v>7938</v>
      </c>
      <c r="C1" t="s">
        <v>7939</v>
      </c>
      <c r="G1" t="s">
        <v>7940</v>
      </c>
    </row>
    <row r="2" spans="1:7" x14ac:dyDescent="0.25">
      <c r="A2" t="s">
        <v>43</v>
      </c>
      <c r="B2" t="s">
        <v>7941</v>
      </c>
      <c r="C2" s="10">
        <v>10</v>
      </c>
      <c r="G2" t="s">
        <v>7942</v>
      </c>
    </row>
    <row r="3" spans="1:7" x14ac:dyDescent="0.25">
      <c r="A3" t="s">
        <v>37</v>
      </c>
      <c r="B3" t="s">
        <v>7943</v>
      </c>
      <c r="C3" s="10">
        <v>20</v>
      </c>
    </row>
    <row r="4" spans="1:7" x14ac:dyDescent="0.25">
      <c r="A4" t="s">
        <v>146</v>
      </c>
      <c r="B4" t="s">
        <v>7941</v>
      </c>
      <c r="C4" s="10">
        <v>15</v>
      </c>
    </row>
    <row r="5" spans="1:7" x14ac:dyDescent="0.25">
      <c r="A5" t="s">
        <v>2436</v>
      </c>
      <c r="B5" t="s">
        <v>7941</v>
      </c>
      <c r="C5" s="10">
        <v>10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Задания</vt:lpstr>
      <vt:lpstr>ОТЧЕТ</vt:lpstr>
      <vt:lpstr>Справочник Сети</vt:lpstr>
      <vt:lpstr>Справочник по 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мадро брадро</cp:lastModifiedBy>
  <cp:revision>1</cp:revision>
  <dcterms:created xsi:type="dcterms:W3CDTF">2025-04-29T08:02:54Z</dcterms:created>
  <dcterms:modified xsi:type="dcterms:W3CDTF">2026-04-11T10:44:41Z</dcterms:modified>
</cp:coreProperties>
</file>