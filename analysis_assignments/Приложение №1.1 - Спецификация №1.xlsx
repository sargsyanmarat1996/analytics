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АЭС-АРМ" sheetId="1" state="visible" r:id="rId1"/>
    <sheet xmlns:r="http://schemas.openxmlformats.org/officeDocument/2006/relationships" name="Инструкция" sheetId="2" state="visible" r:id="rId2"/>
  </sheets>
  <definedNames>
    <definedName name="DataRange">'КУР-АРМ'!$A$6:$AS$119</definedName>
    <definedName name="_xlnm._FilterDatabase" localSheetId="0" hidden="1">'АЭС-АРМ'!$A$5:$AS$63</definedName>
    <definedName name="_xlnm.Print_Titles" localSheetId="0">'АЭС-АРМ'!$4:$5</definedName>
    <definedName name="_xlnm.Print_Area" localSheetId="0">'АЭС-АРМ'!$A$1:$AM$83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5">
    <numFmt numFmtId="164" formatCode="dd/mm/yy;@"/>
    <numFmt numFmtId="165" formatCode="#,##0.000"/>
    <numFmt numFmtId="166" formatCode="#,##0.00_ ;\-#,##0.00\ "/>
    <numFmt numFmtId="167" formatCode="#,##0.00\ _₽"/>
    <numFmt numFmtId="168" formatCode="_-* #,##0.00\ _₽_-;\-* #,##0.00\ _₽_-;_-* &quot;-&quot;??\ _₽_-;_-@_-"/>
  </numFmts>
  <fonts count="41">
    <font>
      <name val="Arial Cyr"/>
      <charset val="204"/>
      <sz val="10"/>
    </font>
    <font>
      <name val="Arial Cyr"/>
      <charset val="204"/>
      <sz val="10"/>
    </font>
    <font>
      <name val="Helv"/>
      <charset val="204"/>
      <sz val="10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sz val="10"/>
    </font>
    <font>
      <name val="Times New Roman"/>
      <charset val="204"/>
      <family val="1"/>
      <sz val="12"/>
    </font>
    <font>
      <name val="Arial"/>
      <charset val="204"/>
      <family val="2"/>
      <sz val="10"/>
    </font>
    <font>
      <name val="Arial"/>
      <charset val="204"/>
      <family val="2"/>
      <sz val="12"/>
    </font>
    <font>
      <name val="Arial"/>
      <charset val="204"/>
      <family val="2"/>
      <sz val="11"/>
    </font>
    <font>
      <name val="Arial"/>
      <charset val="204"/>
      <family val="2"/>
      <b val="1"/>
      <sz val="12"/>
    </font>
    <font>
      <name val="Arial"/>
      <charset val="204"/>
      <family val="2"/>
      <color indexed="10"/>
      <sz val="10"/>
    </font>
    <font>
      <name val="Arial"/>
      <charset val="204"/>
      <family val="2"/>
      <b val="1"/>
      <sz val="14"/>
    </font>
    <font>
      <name val="Arial"/>
      <charset val="204"/>
      <family val="2"/>
      <sz val="14"/>
    </font>
    <font>
      <name val="Arial"/>
      <charset val="204"/>
      <family val="2"/>
      <sz val="14"/>
      <u val="single"/>
    </font>
    <font>
      <name val="Arial"/>
      <charset val="204"/>
      <family val="2"/>
      <b val="1"/>
      <sz val="11"/>
      <vertAlign val="superscript"/>
    </font>
    <font>
      <name val="Calibri"/>
      <charset val="204"/>
      <family val="2"/>
      <sz val="11"/>
    </font>
    <font>
      <name val="Calibri"/>
      <charset val="204"/>
      <family val="2"/>
      <b val="1"/>
      <sz val="11"/>
    </font>
    <font>
      <name val="Calibri"/>
      <charset val="204"/>
      <family val="2"/>
      <i val="1"/>
      <sz val="11"/>
    </font>
    <font>
      <name val="Calibri"/>
      <charset val="204"/>
      <family val="2"/>
      <i val="1"/>
      <sz val="11"/>
      <u val="single"/>
    </font>
    <font>
      <name val="Arial"/>
      <charset val="204"/>
      <family val="2"/>
      <b val="1"/>
      <sz val="11"/>
    </font>
    <font>
      <name val="Times New Roman"/>
      <charset val="204"/>
      <family val="1"/>
      <sz val="11"/>
    </font>
    <font>
      <name val="Arial"/>
      <charset val="204"/>
      <family val="2"/>
      <b val="1"/>
      <i val="1"/>
      <sz val="12"/>
    </font>
    <font>
      <name val="Arial"/>
      <charset val="204"/>
      <family val="2"/>
      <sz val="11"/>
      <vertAlign val="superscript"/>
    </font>
    <font>
      <name val="Times New Roman"/>
      <charset val="204"/>
      <family val="1"/>
      <sz val="9"/>
    </font>
    <font>
      <name val="Arial"/>
      <charset val="204"/>
      <family val="2"/>
      <sz val="16"/>
    </font>
    <font>
      <name val="Arial"/>
      <charset val="204"/>
      <family val="2"/>
      <sz val="12"/>
      <vertAlign val="superscript"/>
    </font>
  </fonts>
  <fills count="16">
    <fill>
      <patternFill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30">
    <xf numFmtId="0" fontId="19" fillId="0" borderId="0"/>
    <xf numFmtId="0" fontId="3" fillId="7" borderId="0"/>
    <xf numFmtId="0" fontId="3" fillId="8" borderId="0"/>
    <xf numFmtId="0" fontId="3" fillId="9" borderId="0"/>
    <xf numFmtId="0" fontId="3" fillId="5" borderId="0"/>
    <xf numFmtId="0" fontId="3" fillId="6" borderId="0"/>
    <xf numFmtId="0" fontId="3" fillId="10" borderId="0"/>
    <xf numFmtId="0" fontId="4" fillId="4" borderId="1"/>
    <xf numFmtId="0" fontId="5" fillId="11" borderId="2"/>
    <xf numFmtId="0" fontId="6" fillId="11" borderId="1"/>
    <xf numFmtId="0" fontId="7" fillId="0" borderId="3"/>
    <xf numFmtId="0" fontId="8" fillId="0" borderId="4"/>
    <xf numFmtId="0" fontId="9" fillId="0" borderId="5"/>
    <xf numFmtId="0" fontId="9" fillId="0" borderId="0"/>
    <xf numFmtId="0" fontId="10" fillId="0" borderId="6"/>
    <xf numFmtId="0" fontId="11" fillId="12" borderId="7"/>
    <xf numFmtId="0" fontId="12" fillId="0" borderId="0"/>
    <xf numFmtId="0" fontId="13" fillId="13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" fillId="0" borderId="0"/>
    <xf numFmtId="0" fontId="14" fillId="2" borderId="0"/>
    <xf numFmtId="0" fontId="15" fillId="0" borderId="0"/>
    <xf numFmtId="0" fontId="19" fillId="14" borderId="8"/>
    <xf numFmtId="0" fontId="16" fillId="0" borderId="9"/>
    <xf numFmtId="0" fontId="2" fillId="0" borderId="0"/>
    <xf numFmtId="0" fontId="17" fillId="0" borderId="0"/>
    <xf numFmtId="0" fontId="18" fillId="3" borderId="0"/>
  </cellStyleXfs>
  <cellXfs count="143">
    <xf numFmtId="0" fontId="0" fillId="0" borderId="0" pivotButton="0" quotePrefix="0" xfId="0"/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justify" vertical="center"/>
    </xf>
    <xf numFmtId="0" fontId="33" fillId="0" borderId="0" applyAlignment="1" pivotButton="0" quotePrefix="0" xfId="0">
      <alignment horizontal="justify" vertical="center"/>
    </xf>
    <xf numFmtId="0" fontId="31" fillId="0" borderId="0" applyAlignment="1" pivotButton="0" quotePrefix="0" xfId="0">
      <alignment horizontal="justify" vertical="center"/>
    </xf>
    <xf numFmtId="0" fontId="22" fillId="15" borderId="0" applyAlignment="1" applyProtection="1" pivotButton="0" quotePrefix="0" xfId="0">
      <alignment horizontal="center" vertical="center"/>
      <protection locked="0" hidden="0"/>
    </xf>
    <xf numFmtId="0" fontId="21" fillId="15" borderId="0" applyAlignment="1" pivotButton="0" quotePrefix="0" xfId="0">
      <alignment horizontal="center" vertical="center"/>
    </xf>
    <xf numFmtId="0" fontId="23" fillId="15" borderId="0" applyAlignment="1" applyProtection="1" pivotButton="0" quotePrefix="0" xfId="0">
      <alignment horizontal="center" vertical="center"/>
      <protection locked="0" hidden="0"/>
    </xf>
    <xf numFmtId="49" fontId="23" fillId="15" borderId="0" applyAlignment="1" applyProtection="1" pivotButton="0" quotePrefix="0" xfId="0">
      <alignment horizontal="center" vertical="center" wrapText="1"/>
      <protection locked="0" hidden="0"/>
    </xf>
    <xf numFmtId="2" fontId="26" fillId="15" borderId="0" applyAlignment="1" pivotButton="0" quotePrefix="0" xfId="0">
      <alignment horizontal="center" vertical="center"/>
    </xf>
    <xf numFmtId="2" fontId="27" fillId="15" borderId="0" applyAlignment="1" pivotButton="0" quotePrefix="0" xfId="0">
      <alignment horizontal="center" vertical="center"/>
    </xf>
    <xf numFmtId="0" fontId="27" fillId="15" borderId="0" applyAlignment="1" pivotButton="0" quotePrefix="0" xfId="0">
      <alignment horizontal="center" vertical="center"/>
    </xf>
    <xf numFmtId="49" fontId="28" fillId="15" borderId="10" applyAlignment="1" pivotButton="0" quotePrefix="0" xfId="0">
      <alignment horizontal="center" vertical="center"/>
    </xf>
    <xf numFmtId="49" fontId="24" fillId="15" borderId="0" applyAlignment="1" pivotButton="0" quotePrefix="0" xfId="0">
      <alignment vertical="center"/>
    </xf>
    <xf numFmtId="49" fontId="23" fillId="15" borderId="0" applyAlignment="1" pivotButton="0" quotePrefix="0" xfId="0">
      <alignment horizontal="center" vertical="center" wrapText="1"/>
    </xf>
    <xf numFmtId="0" fontId="23" fillId="15" borderId="0" applyAlignment="1" pivotButton="0" quotePrefix="0" xfId="0">
      <alignment horizontal="center" vertical="center" wrapText="1"/>
    </xf>
    <xf numFmtId="2" fontId="23" fillId="15" borderId="0" applyAlignment="1" pivotButton="0" quotePrefix="0" xfId="0">
      <alignment horizontal="center" vertical="center" wrapText="1"/>
    </xf>
    <xf numFmtId="0" fontId="23" fillId="15" borderId="0" applyAlignment="1" pivotButton="0" quotePrefix="0" xfId="0">
      <alignment vertical="center"/>
    </xf>
    <xf numFmtId="0" fontId="24" fillId="15" borderId="0" applyAlignment="1" pivotButton="0" quotePrefix="0" xfId="0">
      <alignment horizontal="center" vertical="center" wrapText="1"/>
    </xf>
    <xf numFmtId="0" fontId="22" fillId="15" borderId="0" applyAlignment="1" pivotButton="0" quotePrefix="0" xfId="0">
      <alignment horizontal="center" vertical="center"/>
    </xf>
    <xf numFmtId="0" fontId="23" fillId="15" borderId="0" applyAlignment="1" applyProtection="1" pivotButton="0" quotePrefix="0" xfId="0">
      <alignment vertical="center"/>
      <protection locked="0" hidden="0"/>
    </xf>
    <xf numFmtId="0" fontId="24" fillId="15" borderId="0" applyAlignment="1" pivotButton="0" quotePrefix="0" xfId="0">
      <alignment horizontal="right" vertical="center"/>
    </xf>
    <xf numFmtId="49" fontId="36" fillId="15" borderId="10" applyAlignment="1" applyProtection="1" pivotButton="0" quotePrefix="0" xfId="0">
      <alignment horizontal="center" vertical="center" wrapText="1"/>
      <protection locked="0" hidden="0"/>
    </xf>
    <xf numFmtId="0" fontId="22" fillId="15" borderId="15" applyAlignment="1" pivotButton="0" quotePrefix="0" xfId="0">
      <alignment horizontal="left" vertical="center"/>
    </xf>
    <xf numFmtId="0" fontId="22" fillId="15" borderId="0" applyAlignment="1" pivotButton="0" quotePrefix="0" xfId="0">
      <alignment horizontal="left" vertical="center"/>
    </xf>
    <xf numFmtId="49" fontId="24" fillId="15" borderId="0" applyAlignment="1" pivotButton="0" quotePrefix="0" xfId="0">
      <alignment horizontal="left" vertical="center"/>
    </xf>
    <xf numFmtId="0" fontId="24" fillId="15" borderId="10" applyAlignment="1" applyProtection="1" pivotButton="0" quotePrefix="0" xfId="0">
      <alignment horizontal="center" vertical="center" wrapText="1"/>
      <protection locked="0" hidden="0"/>
    </xf>
    <xf numFmtId="0" fontId="24" fillId="15" borderId="0" applyAlignment="1" pivotButton="0" quotePrefix="0" xfId="0">
      <alignment vertical="center" wrapText="1"/>
    </xf>
    <xf numFmtId="0" fontId="23" fillId="15" borderId="0" applyAlignment="1" applyProtection="1" pivotButton="0" quotePrefix="0" xfId="0">
      <alignment horizontal="center" vertical="center" wrapText="1"/>
      <protection locked="0" hidden="0"/>
    </xf>
    <xf numFmtId="0" fontId="22" fillId="15" borderId="0" applyAlignment="1" pivotButton="0" quotePrefix="0" xfId="0">
      <alignment horizontal="center" vertical="center" wrapText="1"/>
    </xf>
    <xf numFmtId="0" fontId="24" fillId="15" borderId="0" applyAlignment="1" pivotButton="0" quotePrefix="0" xfId="0">
      <alignment horizontal="center" vertical="center"/>
    </xf>
    <xf numFmtId="14" fontId="36" fillId="15" borderId="10" applyAlignment="1" applyProtection="1" pivotButton="0" quotePrefix="0" xfId="0">
      <alignment horizontal="center" vertical="center" wrapText="1"/>
      <protection locked="0" hidden="0"/>
    </xf>
    <xf numFmtId="0" fontId="22" fillId="15" borderId="15" applyAlignment="1" pivotButton="0" quotePrefix="0" xfId="0">
      <alignment horizontal="left"/>
    </xf>
    <xf numFmtId="164" fontId="23" fillId="15" borderId="11" applyAlignment="1" pivotButton="0" quotePrefix="0" xfId="0">
      <alignment horizontal="center" vertical="center" textRotation="90" wrapText="1"/>
    </xf>
    <xf numFmtId="164" fontId="23" fillId="15" borderId="11" applyAlignment="1" pivotButton="0" quotePrefix="0" xfId="0">
      <alignment horizontal="center" vertical="center" wrapText="1"/>
    </xf>
    <xf numFmtId="0" fontId="23" fillId="15" borderId="11" applyAlignment="1" pivotButton="0" quotePrefix="0" xfId="0">
      <alignment horizontal="center" vertical="center" wrapText="1"/>
    </xf>
    <xf numFmtId="0" fontId="23" fillId="15" borderId="11" applyAlignment="1" pivotButton="0" quotePrefix="0" xfId="0">
      <alignment horizontal="center" vertical="center" textRotation="90" wrapText="1"/>
    </xf>
    <xf numFmtId="165" fontId="23" fillId="15" borderId="16" applyAlignment="1" pivotButton="0" quotePrefix="0" xfId="0">
      <alignment horizontal="center" vertical="center" textRotation="90" wrapText="1"/>
    </xf>
    <xf numFmtId="164" fontId="23" fillId="15" borderId="11" applyAlignment="1" pivotButton="0" quotePrefix="0" xfId="21">
      <alignment horizontal="center" vertical="center" wrapText="1"/>
    </xf>
    <xf numFmtId="0" fontId="23" fillId="15" borderId="11" applyAlignment="1" pivotButton="0" quotePrefix="0" xfId="22">
      <alignment horizontal="center" vertical="center" wrapText="1"/>
    </xf>
    <xf numFmtId="49" fontId="23" fillId="15" borderId="11" applyAlignment="1" pivotButton="0" quotePrefix="0" xfId="0">
      <alignment horizontal="center" vertical="center" wrapText="1"/>
    </xf>
    <xf numFmtId="49" fontId="23" fillId="15" borderId="16" applyAlignment="1" pivotButton="0" quotePrefix="0" xfId="0">
      <alignment horizontal="center" vertical="center" wrapText="1"/>
    </xf>
    <xf numFmtId="0" fontId="23" fillId="15" borderId="12" applyAlignment="1" pivotButton="0" quotePrefix="0" xfId="21">
      <alignment horizontal="center" vertical="top" wrapText="1"/>
    </xf>
    <xf numFmtId="0" fontId="23" fillId="15" borderId="13" applyAlignment="1" pivotButton="0" quotePrefix="0" xfId="22">
      <alignment horizontal="center" vertical="center" wrapText="1"/>
    </xf>
    <xf numFmtId="49" fontId="22" fillId="15" borderId="11" applyAlignment="1" pivotButton="0" quotePrefix="0" xfId="0">
      <alignment horizontal="center" vertical="center" wrapText="1"/>
    </xf>
    <xf numFmtId="49" fontId="22" fillId="15" borderId="11" applyAlignment="1" applyProtection="1" pivotButton="0" quotePrefix="0" xfId="0">
      <alignment horizontal="center" vertical="center" wrapText="1"/>
      <protection locked="0" hidden="0"/>
    </xf>
    <xf numFmtId="1" fontId="22" fillId="15" borderId="11" applyAlignment="1" pivotButton="0" quotePrefix="0" xfId="0">
      <alignment horizontal="center" vertical="center" wrapText="1"/>
    </xf>
    <xf numFmtId="39" fontId="22" fillId="15" borderId="11" applyAlignment="1" applyProtection="1" pivotButton="0" quotePrefix="0" xfId="0">
      <alignment horizontal="right" vertical="center" wrapText="1"/>
      <protection locked="0" hidden="0"/>
    </xf>
    <xf numFmtId="166" fontId="22" fillId="15" borderId="11" applyAlignment="1" pivotButton="0" quotePrefix="0" xfId="0">
      <alignment horizontal="center" vertical="center" wrapText="1"/>
    </xf>
    <xf numFmtId="14" fontId="22" fillId="15" borderId="11" applyAlignment="1" pivotButton="0" quotePrefix="0" xfId="0">
      <alignment horizontal="center" vertical="center" wrapText="1"/>
    </xf>
    <xf numFmtId="1" fontId="22" fillId="15" borderId="16" applyAlignment="1" applyProtection="1" pivotButton="0" quotePrefix="0" xfId="0">
      <alignment horizontal="center" vertical="center" wrapText="1"/>
      <protection locked="0" hidden="0"/>
    </xf>
    <xf numFmtId="0" fontId="22" fillId="15" borderId="11" applyAlignment="1" pivotButton="0" quotePrefix="0" xfId="0">
      <alignment horizontal="center" vertical="center" wrapText="1"/>
    </xf>
    <xf numFmtId="167" fontId="22" fillId="15" borderId="11" applyAlignment="1" pivotButton="0" quotePrefix="0" xfId="0">
      <alignment horizontal="right" vertical="center" wrapText="1"/>
    </xf>
    <xf numFmtId="39" fontId="22" fillId="15" borderId="11" applyAlignment="1" pivotButton="0" quotePrefix="0" xfId="0">
      <alignment horizontal="right" vertical="center" wrapText="1"/>
    </xf>
    <xf numFmtId="0" fontId="22" fillId="15" borderId="0" applyAlignment="1" applyProtection="1" pivotButton="0" quotePrefix="0" xfId="0">
      <alignment vertical="center" wrapText="1"/>
      <protection locked="0" hidden="0"/>
    </xf>
    <xf numFmtId="4" fontId="38" fillId="15" borderId="0" applyAlignment="1" pivotButton="0" quotePrefix="0" xfId="0">
      <alignment wrapText="1"/>
    </xf>
    <xf numFmtId="0" fontId="38" fillId="15" borderId="0" applyAlignment="1" pivotButton="0" quotePrefix="0" xfId="0">
      <alignment wrapText="1"/>
    </xf>
    <xf numFmtId="49" fontId="23" fillId="15" borderId="0" applyAlignment="1" pivotButton="0" quotePrefix="0" xfId="0">
      <alignment horizontal="center" vertical="center"/>
    </xf>
    <xf numFmtId="0" fontId="23" fillId="15" borderId="0" applyAlignment="1" pivotButton="0" quotePrefix="0" xfId="0">
      <alignment horizontal="center" vertical="center"/>
    </xf>
    <xf numFmtId="2" fontId="23" fillId="15" borderId="0" applyAlignment="1" pivotButton="0" quotePrefix="0" xfId="0">
      <alignment horizontal="center" vertical="center"/>
    </xf>
    <xf numFmtId="1" fontId="24" fillId="15" borderId="0" applyAlignment="1" pivotButton="0" quotePrefix="0" xfId="0">
      <alignment horizontal="center" vertical="center"/>
    </xf>
    <xf numFmtId="168" fontId="24" fillId="15" borderId="0" applyAlignment="1" pivotButton="0" quotePrefix="0" xfId="0">
      <alignment horizontal="center" vertical="center"/>
    </xf>
    <xf numFmtId="39" fontId="24" fillId="15" borderId="0" applyAlignment="1" pivotButton="0" quotePrefix="0" xfId="0">
      <alignment horizontal="right" vertical="center"/>
    </xf>
    <xf numFmtId="0" fontId="23" fillId="15" borderId="15" applyAlignment="1" pivotButton="0" quotePrefix="0" xfId="0">
      <alignment horizontal="center" vertical="center"/>
    </xf>
    <xf numFmtId="167" fontId="24" fillId="15" borderId="0" applyAlignment="1" pivotButton="0" quotePrefix="0" xfId="0">
      <alignment horizontal="right" vertical="center"/>
    </xf>
    <xf numFmtId="4" fontId="39" fillId="15" borderId="0" applyAlignment="1" applyProtection="1" pivotButton="0" quotePrefix="0" xfId="0">
      <alignment vertical="center"/>
      <protection locked="0" hidden="0"/>
    </xf>
    <xf numFmtId="49" fontId="20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2" fontId="20" fillId="15" borderId="0" applyAlignment="1" pivotButton="0" quotePrefix="0" xfId="0">
      <alignment horizontal="center" vertical="center"/>
    </xf>
    <xf numFmtId="164" fontId="20" fillId="15" borderId="0" applyAlignment="1" pivotButton="0" quotePrefix="0" xfId="0">
      <alignment horizontal="center" vertical="center"/>
    </xf>
    <xf numFmtId="0" fontId="23" fillId="15" borderId="0" applyAlignment="1" pivotButton="0" quotePrefix="0" xfId="0">
      <alignment horizontal="left" vertical="center"/>
    </xf>
    <xf numFmtId="0" fontId="20" fillId="15" borderId="15" applyAlignment="1" pivotButton="0" quotePrefix="0" xfId="0">
      <alignment horizontal="center" vertical="center"/>
    </xf>
    <xf numFmtId="0" fontId="24" fillId="15" borderId="18" applyAlignment="1" pivotButton="0" quotePrefix="0" xfId="0">
      <alignment horizontal="right" vertical="center"/>
    </xf>
    <xf numFmtId="4" fontId="24" fillId="15" borderId="11" applyAlignment="1" pivotButton="0" quotePrefix="0" xfId="0">
      <alignment horizontal="right" vertical="center" wrapText="1"/>
    </xf>
    <xf numFmtId="0" fontId="22" fillId="15" borderId="15" applyAlignment="1" pivotButton="0" quotePrefix="0" xfId="0">
      <alignment horizontal="center" vertical="center"/>
    </xf>
    <xf numFmtId="39" fontId="24" fillId="15" borderId="0" applyAlignment="1" pivotButton="0" quotePrefix="0" xfId="0">
      <alignment horizontal="right" vertical="center" wrapText="1"/>
    </xf>
    <xf numFmtId="49" fontId="21" fillId="15" borderId="0" applyAlignment="1" pivotButton="0" quotePrefix="0" xfId="0">
      <alignment horizontal="center" vertical="center"/>
    </xf>
    <xf numFmtId="0" fontId="22" fillId="15" borderId="0" applyAlignment="1" applyProtection="1" pivotButton="0" quotePrefix="0" xfId="0">
      <alignment horizontal="left" vertical="center"/>
      <protection locked="0" hidden="0"/>
    </xf>
    <xf numFmtId="49" fontId="34" fillId="15" borderId="0" applyAlignment="1" applyProtection="1" pivotButton="0" quotePrefix="0" xfId="0">
      <alignment horizontal="left" vertical="center"/>
      <protection locked="0" hidden="0"/>
    </xf>
    <xf numFmtId="49" fontId="23" fillId="15" borderId="0" applyAlignment="1" applyProtection="1" pivotButton="0" quotePrefix="0" xfId="0">
      <alignment horizontal="center" vertical="center"/>
      <protection locked="0" hidden="0"/>
    </xf>
    <xf numFmtId="0" fontId="35" fillId="15" borderId="0" applyAlignment="1" applyProtection="1" pivotButton="0" quotePrefix="0" xfId="0">
      <alignment horizontal="center" vertical="center"/>
      <protection locked="0" hidden="0"/>
    </xf>
    <xf numFmtId="2" fontId="23" fillId="15" borderId="0" applyAlignment="1" applyProtection="1" pivotButton="0" quotePrefix="0" xfId="0">
      <alignment horizontal="center" vertical="center"/>
      <protection locked="0" hidden="0"/>
    </xf>
    <xf numFmtId="49" fontId="23" fillId="15" borderId="0" applyAlignment="1" applyProtection="1" pivotButton="0" quotePrefix="0" xfId="0">
      <alignment horizontal="left" vertical="center" wrapText="1"/>
      <protection locked="0" hidden="0"/>
    </xf>
    <xf numFmtId="2" fontId="34" fillId="15" borderId="0" applyAlignment="1" applyProtection="1" pivotButton="0" quotePrefix="0" xfId="0">
      <alignment horizontal="center" vertical="center"/>
      <protection locked="0" hidden="0"/>
    </xf>
    <xf numFmtId="0" fontId="34" fillId="15" borderId="0" applyAlignment="1" applyProtection="1" pivotButton="0" quotePrefix="0" xfId="0">
      <alignment horizontal="center" vertical="center"/>
      <protection locked="0" hidden="0"/>
    </xf>
    <xf numFmtId="0" fontId="34" fillId="15" borderId="0" applyProtection="1" pivotButton="0" quotePrefix="0" xfId="0">
      <protection locked="0" hidden="0"/>
    </xf>
    <xf numFmtId="2" fontId="24" fillId="15" borderId="0" applyAlignment="1" pivotButton="0" quotePrefix="0" xfId="0">
      <alignment horizontal="center" vertical="center"/>
    </xf>
    <xf numFmtId="0" fontId="24" fillId="15" borderId="0" pivotButton="0" quotePrefix="0" xfId="0"/>
    <xf numFmtId="0" fontId="26" fillId="15" borderId="0" pivotButton="0" quotePrefix="0" xfId="0"/>
    <xf numFmtId="0" fontId="26" fillId="15" borderId="0" applyAlignment="1" pivotButton="0" quotePrefix="0" xfId="0">
      <alignment horizontal="center" vertical="center"/>
    </xf>
    <xf numFmtId="49" fontId="26" fillId="15" borderId="0" applyAlignment="1" pivotButton="0" quotePrefix="0" xfId="0">
      <alignment horizontal="center" vertical="center"/>
    </xf>
    <xf numFmtId="0" fontId="26" fillId="15" borderId="0" applyAlignment="1" pivotButton="0" quotePrefix="0" xfId="0">
      <alignment horizontal="left" vertical="center"/>
    </xf>
    <xf numFmtId="2" fontId="26" fillId="15" borderId="15" applyAlignment="1" pivotButton="0" quotePrefix="0" xfId="0">
      <alignment horizontal="center" vertical="center"/>
    </xf>
    <xf numFmtId="0" fontId="22" fillId="15" borderId="0" pivotButton="0" quotePrefix="0" xfId="0"/>
    <xf numFmtId="0" fontId="27" fillId="15" borderId="0" pivotButton="0" quotePrefix="0" xfId="0"/>
    <xf numFmtId="49" fontId="27" fillId="15" borderId="0" applyAlignment="1" pivotButton="0" quotePrefix="0" xfId="0">
      <alignment horizontal="center" vertical="center"/>
    </xf>
    <xf numFmtId="49" fontId="27" fillId="15" borderId="0" applyAlignment="1" pivotButton="0" quotePrefix="0" xfId="0">
      <alignment horizontal="left" vertical="center"/>
    </xf>
    <xf numFmtId="49" fontId="26" fillId="15" borderId="0" applyAlignment="1" applyProtection="1" pivotButton="0" quotePrefix="0" xfId="0">
      <alignment horizontal="left" vertical="center"/>
      <protection locked="0" hidden="0"/>
    </xf>
    <xf numFmtId="49" fontId="26" fillId="15" borderId="0" applyAlignment="1" pivotButton="0" quotePrefix="0" xfId="0">
      <alignment horizontal="left" vertical="center"/>
    </xf>
    <xf numFmtId="0" fontId="27" fillId="15" borderId="0" applyAlignment="1" pivotButton="0" quotePrefix="0" xfId="0">
      <alignment wrapText="1"/>
    </xf>
    <xf numFmtId="0" fontId="27" fillId="15" borderId="15" pivotButton="0" quotePrefix="0" xfId="0"/>
    <xf numFmtId="49" fontId="27" fillId="15" borderId="0" applyAlignment="1" applyProtection="1" pivotButton="0" quotePrefix="0" xfId="0">
      <alignment horizontal="left" vertical="center"/>
      <protection locked="0" hidden="0"/>
    </xf>
    <xf numFmtId="49" fontId="27" fillId="15" borderId="0" applyAlignment="1" pivotButton="0" quotePrefix="0" xfId="0">
      <alignment vertical="center"/>
    </xf>
    <xf numFmtId="49" fontId="27" fillId="15" borderId="10" applyAlignment="1" pivotButton="0" quotePrefix="0" xfId="0">
      <alignment vertical="center"/>
    </xf>
    <xf numFmtId="49" fontId="27" fillId="15" borderId="0" applyAlignment="1" applyProtection="1" pivotButton="0" quotePrefix="0" xfId="0">
      <alignment vertical="center"/>
      <protection locked="0" hidden="0"/>
    </xf>
    <xf numFmtId="49" fontId="28" fillId="15" borderId="10" applyAlignment="1" pivotButton="0" quotePrefix="0" xfId="0">
      <alignment vertical="center"/>
    </xf>
    <xf numFmtId="49" fontId="27" fillId="15" borderId="0" applyAlignment="1" applyProtection="1" pivotButton="0" quotePrefix="0" xfId="0">
      <alignment horizontal="center" vertical="center"/>
      <protection locked="0" hidden="0"/>
    </xf>
    <xf numFmtId="2" fontId="27" fillId="15" borderId="17" applyAlignment="1" pivotButton="0" quotePrefix="0" xfId="0">
      <alignment horizontal="center" vertical="center"/>
    </xf>
    <xf numFmtId="0" fontId="27" fillId="15" borderId="17" pivotButton="0" quotePrefix="0" xfId="0"/>
    <xf numFmtId="0" fontId="23" fillId="15" borderId="17" applyAlignment="1" pivotButton="0" quotePrefix="0" xfId="0">
      <alignment vertical="center"/>
    </xf>
    <xf numFmtId="0" fontId="20" fillId="15" borderId="0" applyAlignment="1" applyProtection="1" pivotButton="0" quotePrefix="0" xfId="0">
      <alignment horizontal="center" vertical="center"/>
      <protection locked="0" hidden="0"/>
    </xf>
    <xf numFmtId="0" fontId="27" fillId="15" borderId="0" applyProtection="1" pivotButton="0" quotePrefix="0" xfId="0">
      <protection locked="0" hidden="0"/>
    </xf>
    <xf numFmtId="49" fontId="23" fillId="15" borderId="14" applyAlignment="1" applyProtection="1" pivotButton="0" quotePrefix="0" xfId="0">
      <alignment horizontal="center" vertical="center"/>
      <protection locked="0" hidden="0"/>
    </xf>
    <xf numFmtId="0" fontId="23" fillId="15" borderId="14" applyAlignment="1" applyProtection="1" pivotButton="0" quotePrefix="0" xfId="0">
      <alignment horizontal="center" vertical="center"/>
      <protection locked="0" hidden="0"/>
    </xf>
    <xf numFmtId="2" fontId="23" fillId="15" borderId="14" applyAlignment="1" applyProtection="1" pivotButton="0" quotePrefix="0" xfId="0">
      <alignment horizontal="center" vertical="center"/>
      <protection locked="0" hidden="0"/>
    </xf>
    <xf numFmtId="49" fontId="23" fillId="15" borderId="14" applyAlignment="1" applyProtection="1" pivotButton="0" quotePrefix="0" xfId="0">
      <alignment horizontal="center" vertical="center" wrapText="1"/>
      <protection locked="0" hidden="0"/>
    </xf>
    <xf numFmtId="0" fontId="23" fillId="15" borderId="14" applyAlignment="1" applyProtection="1" pivotButton="0" quotePrefix="0" xfId="0">
      <alignment vertical="center"/>
      <protection locked="0" hidden="0"/>
    </xf>
    <xf numFmtId="0" fontId="20" fillId="15" borderId="14" applyAlignment="1" applyProtection="1" pivotButton="0" quotePrefix="0" xfId="0">
      <alignment horizontal="center" vertical="center"/>
      <protection locked="0" hidden="0"/>
    </xf>
    <xf numFmtId="0" fontId="22" fillId="15" borderId="14" applyAlignment="1" applyProtection="1" pivotButton="0" quotePrefix="0" xfId="0">
      <alignment horizontal="center" vertical="center"/>
      <protection locked="0" hidden="0"/>
    </xf>
    <xf numFmtId="0" fontId="22" fillId="15" borderId="0" applyAlignment="1" applyProtection="1" pivotButton="0" quotePrefix="0" xfId="0">
      <alignment horizontal="center" vertical="center" wrapText="1"/>
      <protection locked="0" hidden="0"/>
    </xf>
    <xf numFmtId="0" fontId="23" fillId="15" borderId="14" applyAlignment="1" applyProtection="1" pivotButton="0" quotePrefix="0" xfId="0">
      <alignment horizontal="center" vertical="center" wrapText="1"/>
      <protection locked="0" hidden="0"/>
    </xf>
    <xf numFmtId="2" fontId="23" fillId="15" borderId="14" applyAlignment="1" applyProtection="1" pivotButton="0" quotePrefix="0" xfId="0">
      <alignment horizontal="center" vertical="center" wrapText="1"/>
      <protection locked="0" hidden="0"/>
    </xf>
    <xf numFmtId="0" fontId="20" fillId="15" borderId="0" applyAlignment="1" applyProtection="1" pivotButton="0" quotePrefix="0" xfId="0">
      <alignment horizontal="center" vertical="center" wrapText="1"/>
      <protection locked="0" hidden="0"/>
    </xf>
    <xf numFmtId="49" fontId="23" fillId="15" borderId="0" applyAlignment="1" applyProtection="1" pivotButton="0" quotePrefix="0" xfId="0">
      <alignment horizontal="left" vertical="center"/>
      <protection locked="0" hidden="0"/>
    </xf>
    <xf numFmtId="2" fontId="23" fillId="15" borderId="0" applyAlignment="1" applyProtection="1" pivotButton="0" quotePrefix="0" xfId="0">
      <alignment horizontal="center" vertical="center" wrapText="1"/>
      <protection locked="0" hidden="0"/>
    </xf>
    <xf numFmtId="49" fontId="24" fillId="15" borderId="11" applyAlignment="1" applyProtection="1" pivotButton="0" quotePrefix="0" xfId="0">
      <alignment horizontal="center" vertical="center" wrapText="1"/>
      <protection locked="0" hidden="0"/>
    </xf>
    <xf numFmtId="0" fontId="23" fillId="15" borderId="0" applyAlignment="1" pivotButton="0" quotePrefix="0" xfId="20">
      <alignment vertical="center"/>
    </xf>
    <xf numFmtId="0" fontId="22" fillId="15" borderId="15" applyAlignment="1" applyProtection="1" pivotButton="0" quotePrefix="0" xfId="0">
      <alignment horizontal="center" vertical="center"/>
      <protection locked="0" hidden="0"/>
    </xf>
    <xf numFmtId="0" fontId="23" fillId="15" borderId="15" applyAlignment="1" applyProtection="1" pivotButton="0" quotePrefix="0" xfId="0">
      <alignment horizontal="center" vertical="center"/>
      <protection locked="0" hidden="0"/>
    </xf>
    <xf numFmtId="0" fontId="22" fillId="15" borderId="17" applyAlignment="1" pivotButton="0" quotePrefix="0" xfId="0">
      <alignment horizontal="center" vertical="center" wrapText="1"/>
    </xf>
    <xf numFmtId="49" fontId="23" fillId="15" borderId="0" applyAlignment="1" applyProtection="1" pivotButton="0" quotePrefix="0" xfId="0">
      <alignment horizontal="left" vertical="center" wrapText="1"/>
      <protection locked="0" hidden="0"/>
    </xf>
    <xf numFmtId="49" fontId="36" fillId="15" borderId="10" applyAlignment="1" applyProtection="1" pivotButton="0" quotePrefix="0" xfId="0">
      <alignment horizontal="center" vertical="center" wrapText="1"/>
      <protection locked="0" hidden="0"/>
    </xf>
    <xf numFmtId="0" fontId="22" fillId="15" borderId="0" applyAlignment="1" pivotButton="0" quotePrefix="0" xfId="0">
      <alignment horizontal="center" vertical="center" wrapText="1"/>
    </xf>
    <xf numFmtId="0" fontId="0" fillId="0" borderId="10" applyProtection="1" pivotButton="0" quotePrefix="0" xfId="0">
      <protection locked="0" hidden="0"/>
    </xf>
    <xf numFmtId="164" fontId="23" fillId="15" borderId="11" applyAlignment="1" pivotButton="0" quotePrefix="0" xfId="0">
      <alignment horizontal="center" vertical="center" textRotation="90" wrapText="1"/>
    </xf>
    <xf numFmtId="164" fontId="23" fillId="15" borderId="11" applyAlignment="1" pivotButton="0" quotePrefix="0" xfId="0">
      <alignment horizontal="center" vertical="center" wrapText="1"/>
    </xf>
    <xf numFmtId="165" fontId="23" fillId="15" borderId="16" applyAlignment="1" pivotButton="0" quotePrefix="0" xfId="0">
      <alignment horizontal="center" vertical="center" textRotation="90" wrapText="1"/>
    </xf>
    <xf numFmtId="164" fontId="23" fillId="15" borderId="11" applyAlignment="1" pivotButton="0" quotePrefix="0" xfId="21">
      <alignment horizontal="center" vertical="center" wrapText="1"/>
    </xf>
    <xf numFmtId="166" fontId="22" fillId="15" borderId="11" applyAlignment="1" pivotButton="0" quotePrefix="0" xfId="0">
      <alignment horizontal="center" vertical="center" wrapText="1"/>
    </xf>
    <xf numFmtId="168" fontId="24" fillId="15" borderId="0" applyAlignment="1" pivotButton="0" quotePrefix="0" xfId="0">
      <alignment horizontal="center" vertical="center"/>
    </xf>
    <xf numFmtId="164" fontId="20" fillId="15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</cellXfs>
  <cellStyles count="30">
    <cellStyle name="Обычный" xfId="0" builtinId="0"/>
    <cellStyle name="Акцент1" xfId="1" builtinId="29"/>
    <cellStyle name="Акцент2" xfId="2" builtinId="33"/>
    <cellStyle name="Акцент3" xfId="3" builtinId="37"/>
    <cellStyle name="Акцент4" xfId="4" builtinId="41"/>
    <cellStyle name="Акцент5" xfId="5" builtinId="45"/>
    <cellStyle name="Акцент6" xfId="6" builtinId="49"/>
    <cellStyle name="Ввод " xfId="7" builtinId="20"/>
    <cellStyle name="Вывод" xfId="8" builtinId="21"/>
    <cellStyle name="Вычисление" xfId="9" builtinId="22"/>
    <cellStyle name="Заголовок 1" xfId="10" builtinId="16"/>
    <cellStyle name="Заголовок 2" xfId="11" builtinId="17"/>
    <cellStyle name="Заголовок 3" xfId="12" builtinId="18"/>
    <cellStyle name="Заголовок 4" xfId="13" builtinId="19"/>
    <cellStyle name="Итог" xfId="14" builtinId="25"/>
    <cellStyle name="Контрольная ячейка" xfId="15" builtinId="23"/>
    <cellStyle name="Название" xfId="16" builtinId="15"/>
    <cellStyle name="Нейтральный" xfId="17" builtinId="28"/>
    <cellStyle name="Обычный 2" xfId="18"/>
    <cellStyle name="Обычный 2 2 2" xfId="19"/>
    <cellStyle name="Обычный 6 3" xfId="20"/>
    <cellStyle name="Обычный 6 6" xfId="21"/>
    <cellStyle name="Обычный_Финальная спецификация" xfId="22"/>
    <cellStyle name="Плохой" xfId="23" builtinId="27"/>
    <cellStyle name="Пояснение" xfId="24" builtinId="53"/>
    <cellStyle name="Примечание" xfId="25" builtinId="10"/>
    <cellStyle name="Связанная ячейка" xfId="26" builtinId="24"/>
    <cellStyle name="Стиль 1" xfId="27"/>
    <cellStyle name="Текст предупреждения" xfId="28" builtinId="11"/>
    <cellStyle name="Хороший" xfId="29" builtinId="26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B1943"/>
  <sheetViews>
    <sheetView tabSelected="1" view="pageBreakPreview" topLeftCell="G61" zoomScale="55" zoomScaleNormal="80" zoomScaleSheetLayoutView="55" workbookViewId="0">
      <selection activeCell="AD80" sqref="AD80"/>
    </sheetView>
  </sheetViews>
  <sheetFormatPr baseColWidth="8" defaultColWidth="9.109375" defaultRowHeight="196.95" customHeight="1" outlineLevelRow="1"/>
  <cols>
    <col width="5.6640625" customWidth="1" style="9" min="1" max="1"/>
    <col width="19.44140625" customWidth="1" style="9" min="2" max="2"/>
    <col width="17.88671875" customWidth="1" style="9" min="3" max="3"/>
    <col width="20.88671875" customWidth="1" style="9" min="4" max="4"/>
    <col width="30.109375" customWidth="1" style="9" min="5" max="5"/>
    <col width="6.44140625" customWidth="1" style="29" min="6" max="6"/>
    <col width="7.88671875" customWidth="1" style="29" min="7" max="7"/>
    <col width="7" customWidth="1" style="29" min="8" max="10"/>
    <col width="26.6640625" customWidth="1" style="29" min="11" max="11"/>
    <col width="8.5546875" customWidth="1" style="29" min="12" max="12"/>
    <col width="7" customWidth="1" style="125" min="13" max="13"/>
    <col width="13.33203125" customWidth="1" style="29" min="14" max="14"/>
    <col width="31.88671875" customWidth="1" style="29" min="15" max="15"/>
    <col width="11.5546875" customWidth="1" style="29" min="16" max="16"/>
    <col width="7.44140625" customWidth="1" style="29" min="17" max="17"/>
    <col width="9.44140625" customWidth="1" style="29" min="18" max="18"/>
    <col width="12.33203125" customWidth="1" style="29" min="19" max="19"/>
    <col width="10.109375" customWidth="1" style="29" min="20" max="20"/>
    <col width="6.44140625" customWidth="1" style="29" min="21" max="21"/>
    <col width="19.44140625" customWidth="1" style="29" min="22" max="25"/>
    <col width="19.44140625" customWidth="1" style="9" min="26" max="26"/>
    <col width="19.44140625" customWidth="1" style="29" min="27" max="27"/>
    <col width="19.44140625" customWidth="1" style="125" min="28" max="31"/>
    <col width="14.44140625" customWidth="1" style="29" min="32" max="32"/>
    <col width="19.44140625" customWidth="1" style="29" min="33" max="33"/>
    <col width="18.33203125" customWidth="1" style="29" min="34" max="34"/>
    <col width="11.88671875" customWidth="1" style="29" min="35" max="35"/>
    <col width="88.109375" customWidth="1" style="9" min="36" max="36"/>
    <col width="19.44140625" customWidth="1" style="9" min="37" max="37"/>
    <col width="19.44140625" customWidth="1" style="21" min="38" max="38"/>
    <col width="42.6640625" customWidth="1" style="21" min="39" max="39"/>
    <col width="5.6640625" customWidth="1" style="123" min="40" max="40"/>
    <col width="19.33203125" customWidth="1" style="120" min="41" max="41"/>
    <col width="19.44140625" customWidth="1" style="120" min="42" max="42"/>
    <col width="22.6640625" customWidth="1" style="120" min="43" max="43"/>
    <col width="21.5546875" customWidth="1" style="120" min="44" max="44"/>
    <col width="22.44140625" customWidth="1" style="120" min="45" max="45"/>
    <col width="9.109375" customWidth="1" style="21" min="46" max="46"/>
    <col width="10" bestFit="1" customWidth="1" style="21" min="47" max="47"/>
    <col width="23.5546875" bestFit="1" customWidth="1" style="21" min="48" max="48"/>
    <col width="22" bestFit="1" customWidth="1" style="21" min="49" max="49"/>
    <col width="23.5546875" bestFit="1" customWidth="1" style="21" min="50" max="50"/>
    <col width="9.33203125" bestFit="1" customWidth="1" style="21" min="51" max="54"/>
    <col width="9.109375" customWidth="1" style="21" min="55" max="16384"/>
  </cols>
  <sheetData>
    <row r="1" ht="6.6" customHeight="1">
      <c r="A1" s="15" t="n"/>
      <c r="B1" s="15" t="n"/>
      <c r="C1" s="15" t="n"/>
      <c r="D1" s="15" t="n"/>
      <c r="E1" s="15" t="n"/>
      <c r="F1" s="16" t="n"/>
      <c r="G1" s="16" t="n"/>
      <c r="H1" s="16" t="n"/>
      <c r="I1" s="16" t="n"/>
      <c r="J1" s="16" t="n"/>
      <c r="K1" s="16" t="n"/>
      <c r="L1" s="16" t="n"/>
      <c r="M1" s="17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5" t="n"/>
      <c r="AA1" s="16" t="n"/>
      <c r="AB1" s="17" t="n"/>
      <c r="AC1" s="17" t="n"/>
      <c r="AD1" s="17" t="n"/>
      <c r="AE1" s="17" t="n"/>
      <c r="AF1" s="16" t="n"/>
      <c r="AG1" s="16" t="n"/>
      <c r="AH1" s="16" t="n"/>
      <c r="AI1" s="16" t="n"/>
      <c r="AJ1" s="15" t="n"/>
      <c r="AK1" s="15" t="n"/>
      <c r="AL1" s="18" t="n"/>
      <c r="AM1" s="18" t="n"/>
      <c r="AN1" s="19" t="n"/>
      <c r="AO1" s="20" t="n"/>
      <c r="AP1" s="20" t="n"/>
      <c r="AQ1" s="20" t="n"/>
      <c r="AR1" s="20" t="n"/>
      <c r="AS1" s="20" t="n"/>
    </row>
    <row r="2" ht="36" customHeight="1">
      <c r="A2" s="15" t="n"/>
      <c r="B2" s="14" t="inlineStr">
        <is>
          <t>АЭС</t>
        </is>
      </c>
      <c r="C2" s="15" t="n"/>
      <c r="D2" s="15" t="n"/>
      <c r="E2" s="15" t="n"/>
      <c r="F2" s="16" t="n"/>
      <c r="G2" s="16" t="n"/>
      <c r="H2" s="16" t="n"/>
      <c r="I2" s="16" t="n"/>
      <c r="J2" s="16" t="n"/>
      <c r="K2" s="16" t="n"/>
      <c r="L2" s="16" t="n"/>
      <c r="M2" s="17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5" t="n"/>
      <c r="AA2" s="16" t="n"/>
      <c r="AB2" s="17" t="n"/>
      <c r="AC2" s="17" t="n"/>
      <c r="AD2" s="17" t="n"/>
      <c r="AE2" s="17" t="n"/>
      <c r="AF2" s="16" t="n"/>
      <c r="AG2" s="16" t="n"/>
      <c r="AH2" s="16" t="n"/>
      <c r="AI2" s="16" t="n"/>
      <c r="AJ2" s="15" t="n"/>
      <c r="AK2" s="15" t="n"/>
      <c r="AL2" s="22" t="inlineStr">
        <is>
          <t>Приложение №</t>
        </is>
      </c>
      <c r="AM2" s="132" t="inlineStr">
        <is>
          <t xml:space="preserve"> </t>
        </is>
      </c>
      <c r="AN2" s="24" t="inlineStr">
        <is>
          <t>Российский рубль (RUB)</t>
        </is>
      </c>
      <c r="AO2" s="25" t="inlineStr">
        <is>
          <t>Покупатель:</t>
        </is>
      </c>
      <c r="AP2" s="20" t="n"/>
      <c r="AQ2" s="20" t="n"/>
      <c r="AR2" s="20" t="n"/>
      <c r="AS2" s="20" t="n"/>
    </row>
    <row r="3" ht="43.5" customHeight="1">
      <c r="A3" s="15" t="n"/>
      <c r="B3" s="26" t="inlineStr">
        <is>
          <t>Энергоблок:</t>
        </is>
      </c>
      <c r="C3" s="19" t="n"/>
      <c r="D3" s="27" t="n">
        <v>1</v>
      </c>
      <c r="E3" s="15" t="n"/>
      <c r="F3" s="16" t="n"/>
      <c r="G3" s="16" t="n"/>
      <c r="H3" s="28" t="n"/>
      <c r="I3" s="28" t="n"/>
      <c r="J3" s="16" t="n"/>
      <c r="K3" s="16" t="n"/>
      <c r="L3" s="16" t="n"/>
      <c r="M3" s="17" t="n"/>
      <c r="N3" s="14" t="inlineStr">
        <is>
          <t>Спецификация №1</t>
        </is>
      </c>
      <c r="O3" s="16" t="n"/>
      <c r="P3" s="16" t="n"/>
      <c r="Q3" s="16" t="n"/>
      <c r="R3" s="16" t="n"/>
      <c r="S3" s="16" t="n"/>
      <c r="T3" s="16" t="n"/>
      <c r="U3" s="28" t="n"/>
      <c r="V3" s="16" t="n"/>
      <c r="W3" s="16" t="n"/>
      <c r="X3" s="16" t="n"/>
      <c r="Y3" s="16" t="n"/>
      <c r="Z3" s="28" t="n"/>
      <c r="AA3" s="16" t="n"/>
      <c r="AB3" s="17" t="n"/>
      <c r="AC3" s="17" t="n"/>
      <c r="AD3" s="17" t="n"/>
      <c r="AE3" s="17" t="n"/>
      <c r="AH3" s="133" t="n"/>
      <c r="AI3" s="22" t="inlineStr">
        <is>
          <t>к Договору №</t>
        </is>
      </c>
      <c r="AJ3" s="132" t="n"/>
      <c r="AK3" s="134" t="n"/>
      <c r="AL3" s="31" t="inlineStr">
        <is>
          <t>от</t>
        </is>
      </c>
      <c r="AM3" s="32" t="n"/>
      <c r="AN3" s="33" t="inlineStr">
        <is>
          <t>Доллар США (USD)</t>
        </is>
      </c>
      <c r="AO3" s="25" t="inlineStr">
        <is>
          <t>Заказчик:</t>
        </is>
      </c>
      <c r="AP3" s="20" t="n"/>
      <c r="AQ3" s="20" t="n"/>
      <c r="AR3" s="20" t="n"/>
      <c r="AS3" s="20" t="n"/>
    </row>
    <row r="4" ht="196.95" customHeight="1">
      <c r="A4" s="135" t="inlineStr">
        <is>
          <t>№ п/п</t>
        </is>
      </c>
      <c r="B4" s="135" t="inlineStr">
        <is>
          <t>Идентификатор</t>
        </is>
      </c>
      <c r="C4" s="135" t="inlineStr">
        <is>
          <t>Маркировка (код KKS)
арматуры</t>
        </is>
      </c>
      <c r="D4" s="136" t="inlineStr">
        <is>
          <t>Наименование</t>
        </is>
      </c>
      <c r="E4" s="36" t="inlineStr">
        <is>
          <t xml:space="preserve">Тип, марка, модель, шифр </t>
        </is>
      </c>
      <c r="F4" s="135" t="inlineStr">
        <is>
          <t>Классификационное обозначение арматуры по НП-068-05</t>
        </is>
      </c>
      <c r="G4" s="135" t="inlineStr">
        <is>
          <t>Категория обеспечения качества по СТО СМК-ПКФ-015-06</t>
        </is>
      </c>
      <c r="H4" s="135" t="inlineStr">
        <is>
          <t>DN, мм</t>
        </is>
      </c>
      <c r="I4" s="135" t="inlineStr">
        <is>
          <t>Расчетное давление
арматуры, Мпа</t>
        </is>
      </c>
      <c r="J4" s="135" t="inlineStr">
        <is>
          <t>Расчетная температура
арматуры, ˚C</t>
        </is>
      </c>
      <c r="K4" s="135" t="inlineStr">
        <is>
          <t>Рабочая среда</t>
        </is>
      </c>
      <c r="L4" s="135" t="inlineStr">
        <is>
          <t>Kv,м3/ч
(для регулирующих клапанов)</t>
        </is>
      </c>
      <c r="M4" s="135" t="inlineStr">
        <is>
          <t xml:space="preserve">Масса, кг </t>
        </is>
      </c>
      <c r="N4" s="135" t="inlineStr">
        <is>
          <t>Способ управления</t>
        </is>
      </c>
      <c r="O4" s="135" t="inlineStr">
        <is>
          <t xml:space="preserve">Тип электропривода </t>
        </is>
      </c>
      <c r="P4" s="135" t="inlineStr">
        <is>
          <t>Мощность электродвигателя, кВт 3</t>
        </is>
      </c>
      <c r="Q4" s="135" t="inlineStr">
        <is>
          <t>Материал корпуса арматуры</t>
        </is>
      </c>
      <c r="R4" s="135" t="inlineStr">
        <is>
          <t>Способ присоединения</t>
        </is>
      </c>
      <c r="S4" s="136" t="inlineStr">
        <is>
          <t>ТЗ</t>
        </is>
      </c>
      <c r="T4" s="135" t="inlineStr">
        <is>
          <t>Класс безопасности и группа по НП-001-15 и НП-089-15</t>
        </is>
      </c>
      <c r="U4" s="37" t="inlineStr">
        <is>
          <t>Категория сейсмостойкости
(НП 031-01)</t>
        </is>
      </c>
      <c r="V4" s="136" t="inlineStr">
        <is>
          <t>ИТТ / ТТТ</t>
        </is>
      </c>
      <c r="W4" s="135" t="inlineStr">
        <is>
          <t>Номер чертежа / Позиция по спецификации чертежа   1</t>
        </is>
      </c>
      <c r="X4" s="37" t="inlineStr">
        <is>
          <t>Смета № 2</t>
        </is>
      </c>
      <c r="Y4" s="135" t="inlineStr">
        <is>
          <t>Номер з/сп 2</t>
        </is>
      </c>
      <c r="Z4" s="135" t="inlineStr">
        <is>
          <t>Оборудование / Материалы</t>
        </is>
      </c>
      <c r="AA4" s="135" t="inlineStr">
        <is>
          <t>Количество, шт.</t>
        </is>
      </c>
      <c r="AB4" s="136" t="inlineStr">
        <is>
          <t>Цена за единицу
без НДС</t>
        </is>
      </c>
      <c r="AC4" s="136" t="inlineStr">
        <is>
          <t>Сумма
без НДС</t>
        </is>
      </c>
      <c r="AD4" s="136" t="inlineStr">
        <is>
          <t>Сумма НДС</t>
        </is>
      </c>
      <c r="AE4" s="136" t="inlineStr">
        <is>
          <t>Сумма
с НДС</t>
        </is>
      </c>
      <c r="AF4" s="136" t="inlineStr">
        <is>
          <t>Здание</t>
        </is>
      </c>
      <c r="AG4" s="136" t="inlineStr">
        <is>
          <t>Дата поставки</t>
        </is>
      </c>
      <c r="AH4" s="135" t="inlineStr">
        <is>
          <t>Завод-изготовитель</t>
        </is>
      </c>
      <c r="AI4" s="135" t="inlineStr">
        <is>
          <t>Страна происхождения</t>
        </is>
      </c>
      <c r="AJ4" s="136" t="inlineStr">
        <is>
          <t>Примечание</t>
        </is>
      </c>
      <c r="AK4" s="135" t="inlineStr">
        <is>
          <t>Разработчик ПСД *</t>
        </is>
      </c>
      <c r="AL4" s="136" t="inlineStr">
        <is>
          <t>Код
ЕОС НСИ
(GID) *</t>
        </is>
      </c>
      <c r="AM4" s="136" t="inlineStr">
        <is>
          <t>Имя
ЕОС НСИ *</t>
        </is>
      </c>
      <c r="AN4" s="137" t="inlineStr">
        <is>
          <t>Ставка НДС (%)
НЕ ВЫВОДИТЬ НА ПЕЧАТЬ</t>
        </is>
      </c>
      <c r="AO4" s="138" t="inlineStr">
        <is>
          <t>Код
ОКПД 2</t>
        </is>
      </c>
      <c r="AP4" s="40" t="inlineStr">
        <is>
          <t>(НМЦ) 0
за ед. без НДС</t>
        </is>
      </c>
      <c r="AQ4" s="40" t="inlineStr">
        <is>
          <t>(НМЦ) 0
Всего без НДС</t>
        </is>
      </c>
      <c r="AR4" s="40" t="inlineStr">
        <is>
          <t>(НМЦ) 0
НДС</t>
        </is>
      </c>
      <c r="AS4" s="40" t="inlineStr">
        <is>
          <t>(НМЦ) 0
Всего с НДС</t>
        </is>
      </c>
    </row>
    <row r="5" ht="28.95" customHeight="1">
      <c r="A5" s="41" t="inlineStr">
        <is>
          <t>1</t>
        </is>
      </c>
      <c r="B5" s="41">
        <f>A5+1</f>
        <v/>
      </c>
      <c r="C5" s="41">
        <f>B5+1</f>
        <v/>
      </c>
      <c r="D5" s="41">
        <f>C5+1</f>
        <v/>
      </c>
      <c r="E5" s="41">
        <f>D5+1</f>
        <v/>
      </c>
      <c r="F5" s="41">
        <f>E5+1</f>
        <v/>
      </c>
      <c r="G5" s="41">
        <f>F5+1</f>
        <v/>
      </c>
      <c r="H5" s="41">
        <f>G5+1</f>
        <v/>
      </c>
      <c r="I5" s="41">
        <f>H5+1</f>
        <v/>
      </c>
      <c r="J5" s="41">
        <f>I5+1</f>
        <v/>
      </c>
      <c r="K5" s="41">
        <f>J5+1</f>
        <v/>
      </c>
      <c r="L5" s="41">
        <f>K5+1</f>
        <v/>
      </c>
      <c r="M5" s="41">
        <f>L5+1</f>
        <v/>
      </c>
      <c r="N5" s="41">
        <f>M5+1</f>
        <v/>
      </c>
      <c r="O5" s="41">
        <f>N5+1</f>
        <v/>
      </c>
      <c r="P5" s="41">
        <f>O5+1</f>
        <v/>
      </c>
      <c r="Q5" s="41">
        <f>P5+1</f>
        <v/>
      </c>
      <c r="R5" s="41">
        <f>Q5+1</f>
        <v/>
      </c>
      <c r="S5" s="41">
        <f>R5+1</f>
        <v/>
      </c>
      <c r="T5" s="41">
        <f>S5+1</f>
        <v/>
      </c>
      <c r="U5" s="41">
        <f>T5+1</f>
        <v/>
      </c>
      <c r="V5" s="41">
        <f>U5+1</f>
        <v/>
      </c>
      <c r="W5" s="41">
        <f>V5+1</f>
        <v/>
      </c>
      <c r="X5" s="41">
        <f>W5+1</f>
        <v/>
      </c>
      <c r="Y5" s="41">
        <f>X5+1</f>
        <v/>
      </c>
      <c r="Z5" s="41">
        <f>Y5+1</f>
        <v/>
      </c>
      <c r="AA5" s="41">
        <f>Z5+1</f>
        <v/>
      </c>
      <c r="AB5" s="41">
        <f>AA5+1</f>
        <v/>
      </c>
      <c r="AC5" s="41">
        <f>AB5+1</f>
        <v/>
      </c>
      <c r="AD5" s="41">
        <f>AC5+1</f>
        <v/>
      </c>
      <c r="AE5" s="41">
        <f>AD5+1</f>
        <v/>
      </c>
      <c r="AF5" s="41">
        <f>AE5+1</f>
        <v/>
      </c>
      <c r="AG5" s="41">
        <f>AF5+1</f>
        <v/>
      </c>
      <c r="AH5" s="41">
        <f>AG5+1</f>
        <v/>
      </c>
      <c r="AI5" s="41">
        <f>AH5+1</f>
        <v/>
      </c>
      <c r="AJ5" s="41">
        <f>AI5+1</f>
        <v/>
      </c>
      <c r="AK5" s="41">
        <f>AJ5+1</f>
        <v/>
      </c>
      <c r="AL5" s="41">
        <f>AK5+1</f>
        <v/>
      </c>
      <c r="AM5" s="41">
        <f>AL5+1</f>
        <v/>
      </c>
      <c r="AN5" s="42" t="n"/>
      <c r="AO5" s="43" t="n"/>
      <c r="AP5" s="44" t="n"/>
      <c r="AQ5" s="44" t="n"/>
      <c r="AR5" s="44" t="n"/>
      <c r="AS5" s="40" t="n"/>
    </row>
    <row r="6" ht="180" customFormat="1" customHeight="1" s="55">
      <c r="A6" s="45" t="n">
        <v>1</v>
      </c>
      <c r="B6" s="45" t="inlineStr">
        <is>
          <t>2.ИСУП.17300148</t>
        </is>
      </c>
      <c r="C6" s="45" t="inlineStr">
        <is>
          <t>11JNB13AA201</t>
        </is>
      </c>
      <c r="D6" s="46" t="inlineStr">
        <is>
          <t>Клапан запорно-регулирующий</t>
        </is>
      </c>
      <c r="E6" s="46" t="inlineStr">
        <is>
          <t>NVA-GCV-0065-AS-900#-E-02</t>
        </is>
      </c>
      <c r="F6" s="45" t="inlineStr">
        <is>
          <t>2ВIIа</t>
        </is>
      </c>
      <c r="G6" s="45" t="inlineStr">
        <is>
          <t>QA2</t>
        </is>
      </c>
      <c r="H6" s="46" t="n">
        <v>65</v>
      </c>
      <c r="I6" s="126" t="n">
        <v>16</v>
      </c>
      <c r="J6" s="126" t="n">
        <v>300</v>
      </c>
      <c r="K6" s="46" t="inlineStr">
        <is>
          <t>Сжатый воздух; Альт. среда: азот</t>
        </is>
      </c>
      <c r="L6" s="46" t="inlineStr"/>
      <c r="M6" s="46" t="n">
        <v>409.7</v>
      </c>
      <c r="N6" s="46" t="inlineStr">
        <is>
          <t>электропривод</t>
        </is>
      </c>
      <c r="O6" s="46" t="inlineStr">
        <is>
          <t>ЭПА-120/40-У3</t>
        </is>
      </c>
      <c r="P6" s="46" t="inlineStr">
        <is>
          <t>0,06</t>
        </is>
      </c>
      <c r="Q6" s="46" t="inlineStr">
        <is>
          <t>угл</t>
        </is>
      </c>
      <c r="R6" s="46" t="inlineStr">
        <is>
          <t>муфтовое</t>
        </is>
      </c>
      <c r="S6" s="46" t="inlineStr">
        <is>
          <t>TS-AES-GCV-101-QA</t>
        </is>
      </c>
      <c r="T6" s="45" t="inlineStr">
        <is>
          <t>4Н</t>
        </is>
      </c>
      <c r="U6" s="45" t="inlineStr">
        <is>
          <t>II</t>
        </is>
      </c>
      <c r="V6" s="45" t="inlineStr">
        <is>
          <t>AES-PAA1001; AES-PAA1001_B01_KZ_02</t>
        </is>
      </c>
      <c r="W6" s="45" t="inlineStr">
        <is>
          <t>-</t>
        </is>
      </c>
      <c r="X6" s="45" t="inlineStr">
        <is>
          <t>01-01.2-35т (11UJA-MCA0001)</t>
        </is>
      </c>
      <c r="Y6" s="45" t="inlineStr">
        <is>
          <t>AES_11170053</t>
        </is>
      </c>
      <c r="Z6" s="45" t="inlineStr">
        <is>
          <t>оборудование</t>
        </is>
      </c>
      <c r="AA6" s="47" t="n">
        <v>1</v>
      </c>
      <c r="AB6" s="48" t="n">
        <v>2763834.16</v>
      </c>
      <c r="AC6" s="139" t="n">
        <v>2763834.16</v>
      </c>
      <c r="AD6" s="139" t="n">
        <v>552766.83</v>
      </c>
      <c r="AE6" s="139" t="n">
        <v>3316600.99</v>
      </c>
      <c r="AF6" s="45" t="inlineStr">
        <is>
          <t>Насосная станция технической воды (10UQC)</t>
        </is>
      </c>
      <c r="AG6" s="50" t="n">
        <v>45607</v>
      </c>
      <c r="AH6" s="46" t="inlineStr">
        <is>
          <t>АО «Северная арматура»</t>
        </is>
      </c>
      <c r="AI6" s="46" t="inlineStr">
        <is>
          <t>Россия</t>
        </is>
      </c>
      <c r="AJ6" s="46" t="inlineStr">
        <is>
          <t>10UAA; tсраб=25 s; при dPmin=0.037 МПа; Характеристика: линейная; DNвх=65; DNвых=65; Max расход среды = 53.6 т/ч.
Материал присоединяемого трубопровода - 20; типоразмер трубы 76,1х5; патрубки соосны; тип присоединения - под приварку; строительная длина - не более 320 мм; демонтажный размер - не более 1050 мм; рабочее давление 16 МПа, рабочая температура 300 °C; среда: сжатый воздух; альт. среда: азот.</t>
        </is>
      </c>
      <c r="AK6" s="45" t="inlineStr">
        <is>
          <t>ПИ;БКП-7;ОТВ, Инженер 1</t>
        </is>
      </c>
      <c r="AL6" s="47" t="n">
        <v>1600211</v>
      </c>
      <c r="AM6" s="45" t="inlineStr">
        <is>
          <t>Клапан регулирующий DN 65 PN 16 t 300 °C QA2 2ВIIа AS УХЛ3 ТУ 37-1001-2024</t>
        </is>
      </c>
      <c r="AN6" s="51" t="n">
        <v>20</v>
      </c>
      <c r="AO6" s="52" t="inlineStr">
        <is>
          <t>28.14.13.131</t>
        </is>
      </c>
      <c r="AP6" s="53" t="n">
        <v>2970728.67</v>
      </c>
      <c r="AQ6" s="54" t="n">
        <v>2970728.67</v>
      </c>
      <c r="AR6" s="54" t="n">
        <v>594145.73</v>
      </c>
      <c r="AS6" s="54" t="n">
        <v>3564874.4</v>
      </c>
      <c r="AU6" s="56">
        <f>ROUND(AB6,2)</f>
        <v/>
      </c>
      <c r="AV6" s="57">
        <f>ROUND(AU6*AA6,2)</f>
        <v/>
      </c>
      <c r="AW6" s="57">
        <f>ROUND(AV6*0.2,2)</f>
        <v/>
      </c>
      <c r="AX6" s="57">
        <f>AV6+AW6</f>
        <v/>
      </c>
      <c r="AY6" s="57">
        <f>AU6=AB6</f>
        <v/>
      </c>
      <c r="AZ6" s="57">
        <f>AV6=AC6</f>
        <v/>
      </c>
      <c r="BA6" s="57">
        <f>AW6=AD6</f>
        <v/>
      </c>
      <c r="BB6" s="57">
        <f>AX6=AE6</f>
        <v/>
      </c>
    </row>
    <row r="7" ht="180" customFormat="1" customHeight="1" s="55">
      <c r="A7" s="45" t="n">
        <v>2</v>
      </c>
      <c r="B7" s="45" t="inlineStr">
        <is>
          <t>2.ИСУП.17300301</t>
        </is>
      </c>
      <c r="C7" s="45" t="inlineStr">
        <is>
          <t>12UBA16AA202</t>
        </is>
      </c>
      <c r="D7" s="46" t="inlineStr">
        <is>
          <t>Клапан регулирующий</t>
        </is>
      </c>
      <c r="E7" s="46" t="inlineStr">
        <is>
          <t>NVA-GCV-0050-SS-300#-E-03</t>
        </is>
      </c>
      <c r="F7" s="45" t="inlineStr">
        <is>
          <t>3CIIIв</t>
        </is>
      </c>
      <c r="G7" s="45" t="inlineStr">
        <is>
          <t>QA3</t>
        </is>
      </c>
      <c r="H7" s="46" t="n">
        <v>50</v>
      </c>
      <c r="I7" s="126" t="n">
        <v>1.6</v>
      </c>
      <c r="J7" s="126" t="n">
        <v>180</v>
      </c>
      <c r="K7" s="46" t="inlineStr">
        <is>
          <t>Продувочная вода; Альт. среда: обессоленная вода</t>
        </is>
      </c>
      <c r="L7" s="46" t="inlineStr"/>
      <c r="M7" s="46" t="n">
        <v>261.8</v>
      </c>
      <c r="N7" s="46" t="inlineStr">
        <is>
          <t>встроенный электропривод</t>
        </is>
      </c>
      <c r="O7" s="46" t="inlineStr">
        <is>
          <t>ЭПА-250/60-У3</t>
        </is>
      </c>
      <c r="P7" s="46" t="inlineStr">
        <is>
          <t>0,09</t>
        </is>
      </c>
      <c r="Q7" s="46" t="inlineStr">
        <is>
          <t>легир. сталь</t>
        </is>
      </c>
      <c r="R7" s="46" t="inlineStr">
        <is>
          <t>под приварку</t>
        </is>
      </c>
      <c r="S7" s="46" t="inlineStr">
        <is>
          <t>TS-AES-GCV-102-QB</t>
        </is>
      </c>
      <c r="T7" s="45" t="inlineStr">
        <is>
          <t>3Н</t>
        </is>
      </c>
      <c r="U7" s="45" t="inlineStr">
        <is>
          <t>I</t>
        </is>
      </c>
      <c r="V7" s="45" t="inlineStr">
        <is>
          <t>AES-PAA1002; AES-PAA1002_B01_KZ_03</t>
        </is>
      </c>
      <c r="W7" s="45" t="inlineStr">
        <is>
          <t>-</t>
        </is>
      </c>
      <c r="X7" s="45" t="inlineStr">
        <is>
          <t>01-01.3-22т (12UKA-MCA0002)</t>
        </is>
      </c>
      <c r="Y7" s="45" t="inlineStr">
        <is>
          <t>AES_11170106</t>
        </is>
      </c>
      <c r="Z7" s="45" t="inlineStr">
        <is>
          <t>оборудование</t>
        </is>
      </c>
      <c r="AA7" s="47" t="n">
        <v>1</v>
      </c>
      <c r="AB7" s="48" t="n">
        <v>4482244.81</v>
      </c>
      <c r="AC7" s="139" t="n">
        <v>4482244.81</v>
      </c>
      <c r="AD7" s="139" t="n">
        <v>896448.96</v>
      </c>
      <c r="AE7" s="139" t="n">
        <v>5378693.77</v>
      </c>
      <c r="AF7" s="45" t="inlineStr">
        <is>
          <t>Здание вспомогательных систем (10UKA)</t>
        </is>
      </c>
      <c r="AG7" s="50" t="n">
        <v>45487</v>
      </c>
      <c r="AH7" s="46" t="inlineStr">
        <is>
          <t>АО «Волгапроммаш»</t>
        </is>
      </c>
      <c r="AI7" s="46" t="inlineStr">
        <is>
          <t>РФ</t>
        </is>
      </c>
      <c r="AJ7" s="46" t="inlineStr">
        <is>
          <t>10UAA; tсраб=25 s; при dPmin=0.053 МПа; Характеристика: линейная; DNвх=50; DNвых=50; Max расход среды = 35.3 т/ч.
Материал присоединяемого трубопровода - 20; типоразмер трубы 60,3х4; патрубки соосны; тип присоединения - под приварку; строительная длина - не более 400 мм; демонтажный размер - не более 720 мм; рабочее давление 1.6 МПа, рабочая температура 180 °C; среда: продувочная вода; альт. среда: обессоленная вода.</t>
        </is>
      </c>
      <c r="AK7" s="45" t="inlineStr">
        <is>
          <t>ПИ;БКП-7;ОТВ, Инженер 8</t>
        </is>
      </c>
      <c r="AL7" s="47" t="n">
        <v>1600422</v>
      </c>
      <c r="AM7" s="45" t="inlineStr">
        <is>
          <t>Клапан регулирующий DN 50 PN 1.6 t 180 °C QA3 3CIIIв SS УХЛ3 ТУ 37-1002-2024</t>
        </is>
      </c>
      <c r="AN7" s="51" t="n">
        <v>20</v>
      </c>
      <c r="AO7" s="52" t="inlineStr">
        <is>
          <t>28.14.11.121</t>
        </is>
      </c>
      <c r="AP7" s="53" t="n">
        <v>4722555.76</v>
      </c>
      <c r="AQ7" s="54" t="n">
        <v>4722555.76</v>
      </c>
      <c r="AR7" s="54" t="n">
        <v>944511.15</v>
      </c>
      <c r="AS7" s="54" t="n">
        <v>5667066.91</v>
      </c>
      <c r="AU7" s="56">
        <f>ROUND(AB7,2)</f>
        <v/>
      </c>
      <c r="AV7" s="57">
        <f>ROUND(AU7*AA7,2)</f>
        <v/>
      </c>
      <c r="AW7" s="57">
        <f>ROUND(AV7*0.2,2)</f>
        <v/>
      </c>
      <c r="AX7" s="57">
        <f>AV7+AW7</f>
        <v/>
      </c>
      <c r="AY7" s="57">
        <f>AU7=AB7</f>
        <v/>
      </c>
      <c r="AZ7" s="57">
        <f>AV7=AC7</f>
        <v/>
      </c>
      <c r="BA7" s="57">
        <f>AW7=AD7</f>
        <v/>
      </c>
      <c r="BB7" s="57">
        <f>AX7=AE7</f>
        <v/>
      </c>
    </row>
    <row r="8" ht="180" customFormat="1" customHeight="1" s="55">
      <c r="A8" s="45" t="n">
        <v>3</v>
      </c>
      <c r="B8" s="45" t="inlineStr">
        <is>
          <t>2.ИСУП.17300448</t>
        </is>
      </c>
      <c r="C8" s="45" t="inlineStr">
        <is>
          <t>10LCH19AA203</t>
        </is>
      </c>
      <c r="D8" s="46" t="inlineStr">
        <is>
          <t>Клапан запорно-регулирующий</t>
        </is>
      </c>
      <c r="E8" s="46" t="inlineStr">
        <is>
          <t>NVA-GCV-0020-AS-600#-M-01</t>
        </is>
      </c>
      <c r="F8" s="45" t="inlineStr">
        <is>
          <t>2ВIIа</t>
        </is>
      </c>
      <c r="G8" s="45" t="inlineStr">
        <is>
          <t>QA2</t>
        </is>
      </c>
      <c r="H8" s="46" t="n">
        <v>20</v>
      </c>
      <c r="I8" s="126" t="n">
        <v>11</v>
      </c>
      <c r="J8" s="126" t="n">
        <v>335</v>
      </c>
      <c r="K8" s="46" t="inlineStr">
        <is>
          <t>Сжатый воздух; Альт. среда: азот</t>
        </is>
      </c>
      <c r="L8" s="46" t="inlineStr"/>
      <c r="M8" s="46" t="n">
        <v>149</v>
      </c>
      <c r="N8" s="46" t="inlineStr">
        <is>
          <t>электропривод</t>
        </is>
      </c>
      <c r="O8" s="46" t="inlineStr">
        <is>
          <t>МЭП-400/25-У2</t>
        </is>
      </c>
      <c r="P8" s="46" t="inlineStr">
        <is>
          <t>0,25</t>
        </is>
      </c>
      <c r="Q8" s="46" t="inlineStr">
        <is>
          <t>легир. сталь</t>
        </is>
      </c>
      <c r="R8" s="46" t="inlineStr">
        <is>
          <t>муфтовое</t>
        </is>
      </c>
      <c r="S8" s="46" t="inlineStr">
        <is>
          <t>TS-AES-GCV-103-QC</t>
        </is>
      </c>
      <c r="T8" s="45" t="inlineStr">
        <is>
          <t>2Н</t>
        </is>
      </c>
      <c r="U8" s="45" t="inlineStr">
        <is>
          <t>II</t>
        </is>
      </c>
      <c r="V8" s="45" t="inlineStr">
        <is>
          <t>AES-PAA1003; AES-PAA1003_B01_KZ_04</t>
        </is>
      </c>
      <c r="W8" s="45" t="inlineStr">
        <is>
          <t>-</t>
        </is>
      </c>
      <c r="X8" s="45" t="inlineStr">
        <is>
          <t>01-01.4-35т (10UBA-MCA0003)</t>
        </is>
      </c>
      <c r="Y8" s="45" t="inlineStr">
        <is>
          <t>AES_11170159</t>
        </is>
      </c>
      <c r="Z8" s="45" t="inlineStr">
        <is>
          <t>оборудование</t>
        </is>
      </c>
      <c r="AA8" s="47" t="n">
        <v>1</v>
      </c>
      <c r="AB8" s="48" t="n">
        <v>3004219.84</v>
      </c>
      <c r="AC8" s="139" t="n">
        <v>3004219.84</v>
      </c>
      <c r="AD8" s="139" t="n">
        <v>600843.97</v>
      </c>
      <c r="AE8" s="139" t="n">
        <v>3605063.81</v>
      </c>
      <c r="AF8" s="45" t="inlineStr">
        <is>
          <t>Здание водоподготовки (10UBA)</t>
        </is>
      </c>
      <c r="AG8" s="50" t="n">
        <v>45577</v>
      </c>
      <c r="AH8" s="46" t="inlineStr">
        <is>
          <t>АО «Волгапроммаш»</t>
        </is>
      </c>
      <c r="AI8" s="46" t="inlineStr">
        <is>
          <t>Россия</t>
        </is>
      </c>
      <c r="AJ8" s="46" t="inlineStr">
        <is>
          <t>10UAA; tсраб=40 s; при dPmin=0.046 МПа; Характеристика: линейная; DNвх=20; DNвых=20; Max расход среды = 7.2 т/ч.
Материал присоединяемого трубопровода - 20; типоразмер трубы 26,9х3,2; патрубки соосны; тип присоединения - под приварку; строительная длина - не более 240 мм; демонтажный размер - не более 720 мм; рабочее давление 11 МПа, рабочая температура 335 °C; среда: сжатый воздух; альт. среда: азот.</t>
        </is>
      </c>
      <c r="AK8" s="45" t="inlineStr">
        <is>
          <t>ПИ;БКП-1;ОТВ, Инженер 7</t>
        </is>
      </c>
      <c r="AL8" s="47" t="n">
        <v>1600633</v>
      </c>
      <c r="AM8" s="45" t="inlineStr">
        <is>
          <t>Клапан регулирующий DN 20 PN 11 t 335 °C QA2 2ВIIа AS УХЛ3 ТУ 37-1003-2024</t>
        </is>
      </c>
      <c r="AN8" s="51" t="n">
        <v>20</v>
      </c>
      <c r="AO8" s="52" t="inlineStr">
        <is>
          <t>28.14.20.000</t>
        </is>
      </c>
      <c r="AP8" s="53" t="n">
        <v>3048965.63</v>
      </c>
      <c r="AQ8" s="54" t="n">
        <v>3048965.63</v>
      </c>
      <c r="AR8" s="54" t="n">
        <v>609793.13</v>
      </c>
      <c r="AS8" s="54" t="n">
        <v>3658758.76</v>
      </c>
      <c r="AU8" s="56">
        <f>ROUND(AB8,2)</f>
        <v/>
      </c>
      <c r="AV8" s="57">
        <f>ROUND(AU8*AA8,2)</f>
        <v/>
      </c>
      <c r="AW8" s="57">
        <f>ROUND(AV8*0.2,2)</f>
        <v/>
      </c>
      <c r="AX8" s="57">
        <f>AV8+AW8</f>
        <v/>
      </c>
      <c r="AY8" s="57">
        <f>AU8=AB8</f>
        <v/>
      </c>
      <c r="AZ8" s="57">
        <f>AV8=AC8</f>
        <v/>
      </c>
      <c r="BA8" s="57">
        <f>AW8=AD8</f>
        <v/>
      </c>
      <c r="BB8" s="57">
        <f>AX8=AE8</f>
        <v/>
      </c>
    </row>
    <row r="9" ht="180" customFormat="1" customHeight="1" s="55">
      <c r="A9" s="45" t="n">
        <v>4</v>
      </c>
      <c r="B9" s="45" t="inlineStr">
        <is>
          <t>2.ИСУП.17300584</t>
        </is>
      </c>
      <c r="C9" s="45" t="inlineStr">
        <is>
          <t>11LCH22AA204</t>
        </is>
      </c>
      <c r="D9" s="46" t="inlineStr">
        <is>
          <t>Клапан запорно-регулирующий</t>
        </is>
      </c>
      <c r="E9" s="46" t="inlineStr">
        <is>
          <t>NVA-GCV-0032-AS-150#-E-02</t>
        </is>
      </c>
      <c r="F9" s="45" t="inlineStr">
        <is>
          <t>4CIV</t>
        </is>
      </c>
      <c r="G9" s="45" t="inlineStr">
        <is>
          <t>QA3</t>
        </is>
      </c>
      <c r="H9" s="46" t="n">
        <v>32</v>
      </c>
      <c r="I9" s="46" t="n">
        <v>1</v>
      </c>
      <c r="J9" s="126" t="n">
        <v>350</v>
      </c>
      <c r="K9" s="46" t="inlineStr">
        <is>
          <t>Питательная вода; Альт. среда: техническая вода</t>
        </is>
      </c>
      <c r="L9" s="46" t="n">
        <v>19.4</v>
      </c>
      <c r="M9" s="46" t="n">
        <v>364.7</v>
      </c>
      <c r="N9" s="46" t="inlineStr">
        <is>
          <t>встроенный электропривод</t>
        </is>
      </c>
      <c r="O9" s="46" t="inlineStr">
        <is>
          <t>МЭП-400/25-У2</t>
        </is>
      </c>
      <c r="P9" s="46" t="inlineStr">
        <is>
          <t>0,045</t>
        </is>
      </c>
      <c r="Q9" s="46" t="inlineStr">
        <is>
          <t>нж</t>
        </is>
      </c>
      <c r="R9" s="46" t="inlineStr">
        <is>
          <t>фланцевое</t>
        </is>
      </c>
      <c r="S9" s="46" t="inlineStr">
        <is>
          <t>TS-AES-GCV-104-QC</t>
        </is>
      </c>
      <c r="T9" s="45" t="inlineStr">
        <is>
          <t>2Н</t>
        </is>
      </c>
      <c r="U9" s="45" t="inlineStr">
        <is>
          <t>II</t>
        </is>
      </c>
      <c r="V9" s="45" t="inlineStr">
        <is>
          <t>AES-PAA1004; AES-PAA1004_B01_KZ_05</t>
        </is>
      </c>
      <c r="W9" s="45" t="inlineStr">
        <is>
          <t>ТУ 37-0104-00000000-2024</t>
        </is>
      </c>
      <c r="X9" s="45" t="inlineStr">
        <is>
          <t>01-01.5-10т (11UBA-MCA0004)</t>
        </is>
      </c>
      <c r="Y9" s="45" t="inlineStr">
        <is>
          <t>AES_11170212</t>
        </is>
      </c>
      <c r="Z9" s="45" t="inlineStr">
        <is>
          <t>оборудование</t>
        </is>
      </c>
      <c r="AA9" s="47" t="n">
        <v>1</v>
      </c>
      <c r="AB9" s="48" t="n">
        <v>4662639.37</v>
      </c>
      <c r="AC9" s="139" t="n">
        <v>4662639.37</v>
      </c>
      <c r="AD9" s="139" t="n">
        <v>932527.87</v>
      </c>
      <c r="AE9" s="139" t="n">
        <v>5595167.24</v>
      </c>
      <c r="AF9" s="45" t="inlineStr">
        <is>
          <t>Здание вспомогательных систем (10UKA)</t>
        </is>
      </c>
      <c r="AG9" s="50" t="n">
        <v>45517</v>
      </c>
      <c r="AH9" s="46" t="inlineStr">
        <is>
          <t>АО «Северная арматура»</t>
        </is>
      </c>
      <c r="AI9" s="46" t="inlineStr">
        <is>
          <t>Россия</t>
        </is>
      </c>
      <c r="AJ9" s="46" t="inlineStr">
        <is>
          <t>10UAA; tсраб=25 s; при dPmin=0.056 МПа; Характеристика: линейная; DNвх=32; DNвых=32; Max расход среды = 18.9 т/ч.
Материал присоединяемого трубопровода - 08Х18Н10Т; типоразмер трубы 42,4х3,5; патрубки соосны; тип присоединения - под приварку; строительная длина - не более 520 мм; демонтажный размер - не более 880 мм; рабочее давление 1.0 МПа, рабочая температура 350 °C; среда: питательная вода; альт. среда: техническая вода.</t>
        </is>
      </c>
      <c r="AK9" s="45" t="inlineStr">
        <is>
          <t>ПИ;БКП-1;ОТВ, Инженер 2</t>
        </is>
      </c>
      <c r="AL9" s="47" t="n">
        <v>1600844</v>
      </c>
      <c r="AM9" s="45" t="inlineStr">
        <is>
          <t>Клапан регулирующий DN 32 PN 1.0 t 350 °C QA3 4CIV AS УХЛ3 ТУ 37-1004-2024</t>
        </is>
      </c>
      <c r="AN9" s="51" t="n">
        <v>20</v>
      </c>
      <c r="AO9" s="52" t="inlineStr">
        <is>
          <t>28.14.20.000</t>
        </is>
      </c>
      <c r="AP9" s="53" t="n">
        <v>4936744.44</v>
      </c>
      <c r="AQ9" s="54" t="n">
        <v>4936744.44</v>
      </c>
      <c r="AR9" s="54" t="n">
        <v>987348.89</v>
      </c>
      <c r="AS9" s="54" t="n">
        <v>5924093.33</v>
      </c>
      <c r="AU9" s="56">
        <f>ROUND(AB9,2)</f>
        <v/>
      </c>
      <c r="AV9" s="57">
        <f>ROUND(AU9*AA9,2)</f>
        <v/>
      </c>
      <c r="AW9" s="57">
        <f>ROUND(AV9*0.2,2)</f>
        <v/>
      </c>
      <c r="AX9" s="57">
        <f>AV9+AW9</f>
        <v/>
      </c>
      <c r="AY9" s="57">
        <f>AU9=AB9</f>
        <v/>
      </c>
      <c r="AZ9" s="57">
        <f>AV9=AC9</f>
        <v/>
      </c>
      <c r="BA9" s="57">
        <f>AW9=AD9</f>
        <v/>
      </c>
      <c r="BB9" s="57">
        <f>AX9=AE9</f>
        <v/>
      </c>
    </row>
    <row r="10" ht="180" customFormat="1" customHeight="1" s="55">
      <c r="A10" s="45" t="n">
        <v>5</v>
      </c>
      <c r="B10" s="45" t="inlineStr">
        <is>
          <t>2.ИСУП.17300709</t>
        </is>
      </c>
      <c r="C10" s="45" t="inlineStr">
        <is>
          <t>12QKA25AA205</t>
        </is>
      </c>
      <c r="D10" s="46" t="inlineStr">
        <is>
          <t>Клапан регулирующий проходной</t>
        </is>
      </c>
      <c r="E10" s="46" t="inlineStr">
        <is>
          <t>NVA-GCV-0020-AS-2500#-E-03</t>
        </is>
      </c>
      <c r="F10" s="45" t="inlineStr">
        <is>
          <t>3CIIIа</t>
        </is>
      </c>
      <c r="G10" s="45" t="inlineStr">
        <is>
          <t>QA4</t>
        </is>
      </c>
      <c r="H10" s="46" t="n">
        <v>20</v>
      </c>
      <c r="I10" s="46" t="n">
        <v>20</v>
      </c>
      <c r="J10" s="126" t="n">
        <v>335</v>
      </c>
      <c r="K10" s="46" t="inlineStr">
        <is>
          <t>Продувочная вода; Альт. среда: обессоленная вода</t>
        </is>
      </c>
      <c r="L10" s="46" t="n">
        <v>11.8</v>
      </c>
      <c r="M10" s="46" t="n">
        <v>159.9</v>
      </c>
      <c r="N10" s="46" t="inlineStr">
        <is>
          <t>ручной привод</t>
        </is>
      </c>
      <c r="O10" s="46" t="inlineStr">
        <is>
          <t>ЭПА-120/40-У3</t>
        </is>
      </c>
      <c r="P10" s="46" t="inlineStr">
        <is>
          <t>0,06</t>
        </is>
      </c>
      <c r="Q10" s="46" t="inlineStr">
        <is>
          <t>нж</t>
        </is>
      </c>
      <c r="R10" s="46" t="inlineStr">
        <is>
          <t>под приварку</t>
        </is>
      </c>
      <c r="S10" s="46" t="inlineStr">
        <is>
          <t>TS-AES-GCV-105-QC</t>
        </is>
      </c>
      <c r="T10" s="45" t="inlineStr">
        <is>
          <t>4Н</t>
        </is>
      </c>
      <c r="U10" s="45" t="inlineStr">
        <is>
          <t>III</t>
        </is>
      </c>
      <c r="V10" s="45" t="inlineStr">
        <is>
          <t>AES-PAA1005; AES-PAA1005_B01_KZ_06</t>
        </is>
      </c>
      <c r="W10" s="45" t="inlineStr">
        <is>
          <t>РКД-АЭС-1-005</t>
        </is>
      </c>
      <c r="X10" s="45" t="inlineStr">
        <is>
          <t>01-01.6-35т (12UBA-MCA0005)</t>
        </is>
      </c>
      <c r="Y10" s="45" t="inlineStr">
        <is>
          <t>AES_11170265</t>
        </is>
      </c>
      <c r="Z10" s="45" t="inlineStr">
        <is>
          <t>оборудование</t>
        </is>
      </c>
      <c r="AA10" s="47" t="n">
        <v>1</v>
      </c>
      <c r="AB10" s="48" t="n">
        <v>2272685.83</v>
      </c>
      <c r="AC10" s="139" t="n">
        <v>2272685.83</v>
      </c>
      <c r="AD10" s="139" t="n">
        <v>454537.17</v>
      </c>
      <c r="AE10" s="139" t="n">
        <v>2727223</v>
      </c>
      <c r="AF10" s="45" t="inlineStr">
        <is>
          <t>Насосная станция технической воды (10UQC)</t>
        </is>
      </c>
      <c r="AG10" s="50" t="n">
        <v>45457</v>
      </c>
      <c r="AH10" s="46" t="inlineStr">
        <is>
          <t>ООО «Индустрия клапанов»</t>
        </is>
      </c>
      <c r="AI10" s="46" t="inlineStr">
        <is>
          <t>РФ</t>
        </is>
      </c>
      <c r="AJ10" s="46" t="inlineStr">
        <is>
          <t>10UAA; tсраб=40 s; при dPmin=0.05 МПа; Характеристика: линейная; DNвх=20; DNвых=20; Max расход среды = 4.0 т/ч.
Материал присоединяемого трубопровода - 08Х18Н10Т; типоразмер трубы 26,9х3,2; патрубки соосны; тип присоединения - под приварку; строительная длина - не более 650 мм; демонтажный размер - не более 1050 мм; рабочее давление 20 МПа, рабочая температура 335 °C; среда: продувочная вода; альт. среда: обессоленная вода.</t>
        </is>
      </c>
      <c r="AK10" s="45" t="inlineStr">
        <is>
          <t>ПИ;БКП-6;ОТВ, Инженер 4</t>
        </is>
      </c>
      <c r="AL10" s="47" t="n">
        <v>1601055</v>
      </c>
      <c r="AM10" s="45" t="inlineStr">
        <is>
          <t>Клапан регулирующий DN 20 PN 20 t 335 °C QA4 3CIIIа AS УХЛ3 ТУ 37-1005-2024</t>
        </is>
      </c>
      <c r="AN10" s="51" t="n">
        <v>20</v>
      </c>
      <c r="AO10" s="52" t="inlineStr">
        <is>
          <t>28.14.11.121</t>
        </is>
      </c>
      <c r="AP10" s="53" t="n">
        <v>2349201.45</v>
      </c>
      <c r="AQ10" s="54" t="n">
        <v>2349201.45</v>
      </c>
      <c r="AR10" s="54" t="n">
        <v>469840.29</v>
      </c>
      <c r="AS10" s="54" t="n">
        <v>2819041.74</v>
      </c>
      <c r="AU10" s="56">
        <f>ROUND(AB10,2)</f>
        <v/>
      </c>
      <c r="AV10" s="57">
        <f>ROUND(AU10*AA10,2)</f>
        <v/>
      </c>
      <c r="AW10" s="57">
        <f>ROUND(AV10*0.2,2)</f>
        <v/>
      </c>
      <c r="AX10" s="57">
        <f>AV10+AW10</f>
        <v/>
      </c>
      <c r="AY10" s="57">
        <f>AU10=AB10</f>
        <v/>
      </c>
      <c r="AZ10" s="57">
        <f>AV10=AC10</f>
        <v/>
      </c>
      <c r="BA10" s="57">
        <f>AW10=AD10</f>
        <v/>
      </c>
      <c r="BB10" s="57">
        <f>AX10=AE10</f>
        <v/>
      </c>
    </row>
    <row r="11" ht="180" customFormat="1" customHeight="1" s="55">
      <c r="A11" s="45" t="n">
        <v>6</v>
      </c>
      <c r="B11" s="45" t="inlineStr">
        <is>
          <t>2.ИСУП.17300900</t>
        </is>
      </c>
      <c r="C11" s="45" t="inlineStr">
        <is>
          <t>10KWB28AA206</t>
        </is>
      </c>
      <c r="D11" s="46" t="inlineStr">
        <is>
          <t>Клапан регулирующий</t>
        </is>
      </c>
      <c r="E11" s="46" t="inlineStr">
        <is>
          <t>NVA-GCV-0020-CS-300#-M-01</t>
        </is>
      </c>
      <c r="F11" s="45" t="inlineStr">
        <is>
          <t>-</t>
        </is>
      </c>
      <c r="G11" s="45" t="inlineStr">
        <is>
          <t>QA4</t>
        </is>
      </c>
      <c r="H11" s="46" t="n">
        <v>20</v>
      </c>
      <c r="I11" s="46" t="n">
        <v>9.800000000000001</v>
      </c>
      <c r="J11" s="126" t="n">
        <v>200</v>
      </c>
      <c r="K11" s="46" t="inlineStr">
        <is>
          <t>Конденсат пара; Альт. среда: промывочный раствор</t>
        </is>
      </c>
      <c r="L11" s="46" t="inlineStr"/>
      <c r="M11" s="46" t="n">
        <v>235.2</v>
      </c>
      <c r="N11" s="46" t="inlineStr">
        <is>
          <t>встроенный электропривод</t>
        </is>
      </c>
      <c r="O11" s="46" t="inlineStr">
        <is>
          <t>МЭП-400/25-У2</t>
        </is>
      </c>
      <c r="P11" s="46" t="inlineStr">
        <is>
          <t>0,06</t>
        </is>
      </c>
      <c r="Q11" s="46" t="inlineStr">
        <is>
          <t>легир. сталь</t>
        </is>
      </c>
      <c r="R11" s="46" t="inlineStr">
        <is>
          <t>под приварку</t>
        </is>
      </c>
      <c r="S11" s="46" t="inlineStr">
        <is>
          <t>TS-AES-GCV-106-QB</t>
        </is>
      </c>
      <c r="T11" s="45" t="inlineStr">
        <is>
          <t>4Н</t>
        </is>
      </c>
      <c r="U11" s="45" t="inlineStr">
        <is>
          <t>II</t>
        </is>
      </c>
      <c r="V11" s="45" t="inlineStr">
        <is>
          <t>AES-PAA1006; AES-PAA1006_B01_KZ_07</t>
        </is>
      </c>
      <c r="W11" s="45" t="inlineStr">
        <is>
          <t>РКД-АЭС-1-006</t>
        </is>
      </c>
      <c r="X11" s="45" t="inlineStr">
        <is>
          <t>01-01.7-10т (10UJA-MCA0006)</t>
        </is>
      </c>
      <c r="Y11" s="45" t="inlineStr">
        <is>
          <t>AES_11170318</t>
        </is>
      </c>
      <c r="Z11" s="45" t="inlineStr">
        <is>
          <t>оборудование</t>
        </is>
      </c>
      <c r="AA11" s="47" t="n">
        <v>1</v>
      </c>
      <c r="AB11" s="48" t="n">
        <v>2913691</v>
      </c>
      <c r="AC11" s="139" t="n">
        <v>2913691</v>
      </c>
      <c r="AD11" s="139" t="n">
        <v>582738.2</v>
      </c>
      <c r="AE11" s="139" t="n">
        <v>3496429.2</v>
      </c>
      <c r="AF11" s="45" t="inlineStr">
        <is>
          <t>Здание вспомогательных систем (10UKA)</t>
        </is>
      </c>
      <c r="AG11" s="50" t="n">
        <v>45517</v>
      </c>
      <c r="AH11" s="46" t="inlineStr">
        <is>
          <t>АО «Северная арматура»</t>
        </is>
      </c>
      <c r="AI11" s="46" t="inlineStr">
        <is>
          <t>Россия</t>
        </is>
      </c>
      <c r="AJ11" s="46" t="inlineStr">
        <is>
          <t>10UAA; tсраб=25 s; при dPmin=0.046 МПа; Характеристика: линейная; DNвх=20; DNвых=20; Max расход среды = 11.3 т/ч.
Материал присоединяемого трубопровода - 20; типоразмер трубы 26,9х3,2; патрубки соосны; тип присоединения - под приварку; строительная длина - не более 650 мм; демонтажный размер - не более 1250 мм; рабочее давление 9.8 МПа, рабочая температура 200 °C; среда: конденсат пара; альт. среда: промывочный раствор.</t>
        </is>
      </c>
      <c r="AK11" s="45" t="inlineStr">
        <is>
          <t>ПИ;БКП-8;ОТВ, Инженер 3</t>
        </is>
      </c>
      <c r="AL11" s="47" t="n">
        <v>1601266</v>
      </c>
      <c r="AM11" s="45" t="inlineStr">
        <is>
          <t>Клапан регулирующий DN 20 PN 9.8 t 200 °C QA4 - CS УХЛ3 ТУ 37-1006-2024</t>
        </is>
      </c>
      <c r="AN11" s="51" t="n">
        <v>20</v>
      </c>
      <c r="AO11" s="52" t="inlineStr">
        <is>
          <t>28.14.11.121</t>
        </is>
      </c>
      <c r="AP11" s="53" t="n">
        <v>2962710.16</v>
      </c>
      <c r="AQ11" s="54" t="n">
        <v>2962710.16</v>
      </c>
      <c r="AR11" s="54" t="n">
        <v>592542.03</v>
      </c>
      <c r="AS11" s="54" t="n">
        <v>3555252.19</v>
      </c>
      <c r="AU11" s="56">
        <f>ROUND(AB11,2)</f>
        <v/>
      </c>
      <c r="AV11" s="57">
        <f>ROUND(AU11*AA11,2)</f>
        <v/>
      </c>
      <c r="AW11" s="57">
        <f>ROUND(AV11*0.2,2)</f>
        <v/>
      </c>
      <c r="AX11" s="57">
        <f>AV11+AW11</f>
        <v/>
      </c>
      <c r="AY11" s="57">
        <f>AU11=AB11</f>
        <v/>
      </c>
      <c r="AZ11" s="57">
        <f>AV11=AC11</f>
        <v/>
      </c>
      <c r="BA11" s="57">
        <f>AW11=AD11</f>
        <v/>
      </c>
      <c r="BB11" s="57">
        <f>AX11=AE11</f>
        <v/>
      </c>
    </row>
    <row r="12" ht="225" customFormat="1" customHeight="1" s="55">
      <c r="A12" s="45" t="n">
        <v>7</v>
      </c>
      <c r="B12" s="45" t="inlineStr">
        <is>
          <t>2.ИСУП.17301051</t>
        </is>
      </c>
      <c r="C12" s="45" t="inlineStr">
        <is>
          <t>11JNA31AA207</t>
        </is>
      </c>
      <c r="D12" s="46" t="inlineStr">
        <is>
          <t>Клапан запорно-регулирующий</t>
        </is>
      </c>
      <c r="E12" s="46" t="inlineStr">
        <is>
          <t>NVA-GCV-0050-CS-2500#-M-02</t>
        </is>
      </c>
      <c r="F12" s="45" t="inlineStr">
        <is>
          <t>-</t>
        </is>
      </c>
      <c r="G12" s="45" t="inlineStr">
        <is>
          <t>QA4</t>
        </is>
      </c>
      <c r="H12" s="46" t="n">
        <v>50</v>
      </c>
      <c r="I12" s="126" t="n">
        <v>20</v>
      </c>
      <c r="J12" s="126" t="n">
        <v>335</v>
      </c>
      <c r="K12" s="46" t="inlineStr">
        <is>
          <t>Техническая вода; Альт. среда: обессоленная вода</t>
        </is>
      </c>
      <c r="L12" s="46" t="n">
        <v>31.6</v>
      </c>
      <c r="M12" s="46" t="n">
        <v>609.1</v>
      </c>
      <c r="N12" s="46" t="inlineStr">
        <is>
          <t>ручной привод</t>
        </is>
      </c>
      <c r="O12" s="46" t="inlineStr">
        <is>
          <t>РПМ-80/30-УХЛ3</t>
        </is>
      </c>
      <c r="P12" s="46" t="inlineStr">
        <is>
          <t>0,045</t>
        </is>
      </c>
      <c r="Q12" s="46" t="inlineStr">
        <is>
          <t>угл</t>
        </is>
      </c>
      <c r="R12" s="46" t="inlineStr">
        <is>
          <t>фланцевое</t>
        </is>
      </c>
      <c r="S12" s="46" t="inlineStr">
        <is>
          <t>TS-AES-GCV-107-QC</t>
        </is>
      </c>
      <c r="T12" s="45" t="inlineStr">
        <is>
          <t>2ЗЛ</t>
        </is>
      </c>
      <c r="U12" s="45" t="inlineStr">
        <is>
          <t>II</t>
        </is>
      </c>
      <c r="V12" s="45" t="inlineStr">
        <is>
          <t>AES-PAA1007; AES-PAA1007_B01_KZ_08</t>
        </is>
      </c>
      <c r="W12" s="45" t="inlineStr">
        <is>
          <t>ТУ 37-0107-00000000-2024</t>
        </is>
      </c>
      <c r="X12" s="45" t="inlineStr">
        <is>
          <t>01-01.8-22т (11UBA-MCA0007)</t>
        </is>
      </c>
      <c r="Y12" s="45" t="inlineStr">
        <is>
          <t>AES_11170371</t>
        </is>
      </c>
      <c r="Z12" s="45" t="inlineStr">
        <is>
          <t>оборудование</t>
        </is>
      </c>
      <c r="AA12" s="47" t="n">
        <v>1</v>
      </c>
      <c r="AB12" s="48" t="n">
        <v>1915763.46</v>
      </c>
      <c r="AC12" s="139" t="n">
        <v>1915763.46</v>
      </c>
      <c r="AD12" s="139" t="n">
        <v>383152.69</v>
      </c>
      <c r="AE12" s="139" t="n">
        <v>2298916.15</v>
      </c>
      <c r="AF12" s="45" t="inlineStr">
        <is>
          <t>Здание вспомогательных систем (10UKA)</t>
        </is>
      </c>
      <c r="AG12" s="50" t="n">
        <v>45607</v>
      </c>
      <c r="AH12" s="46" t="inlineStr">
        <is>
          <t>ООО «Индустрия клапанов»</t>
        </is>
      </c>
      <c r="AI12" s="46" t="inlineStr">
        <is>
          <t>Россия</t>
        </is>
      </c>
      <c r="AJ12" s="46" t="inlineStr">
        <is>
          <t>10UAA; tсраб=40 s; при dPmin=0.062 МПа; Характеристика: линейная; DNвх=50; DNвых=50; Max расход среды = 55.2 т/ч.
Материал присоединяемого трубопровода - 20; типоразмер трубы 60,3х4; патрубки соосны; тип присоединения - под приварку; строительная длина - не более 650 мм; демонтажный размер - не более 880 мм; рабочее давление 20 МПа, рабочая температура 335 °C; среда: техническая вода; альт. среда: обессоленная вода.</t>
        </is>
      </c>
      <c r="AK12" s="45" t="inlineStr">
        <is>
          <t>ПИ;БКП-2;ОТВ, Инженер 1</t>
        </is>
      </c>
      <c r="AL12" s="47" t="n">
        <v>1601477</v>
      </c>
      <c r="AM12" s="45" t="inlineStr">
        <is>
          <t>Клапан регулирующий DN 50 PN 20 t 335 °C QA4 - CS УХЛ3 ТУ 37-1007-2024</t>
        </is>
      </c>
      <c r="AN12" s="51" t="n">
        <v>20</v>
      </c>
      <c r="AO12" s="52" t="inlineStr">
        <is>
          <t>28.14.13.131</t>
        </is>
      </c>
      <c r="AP12" s="53" t="n">
        <v>1990446.14</v>
      </c>
      <c r="AQ12" s="54" t="n">
        <v>1990446.14</v>
      </c>
      <c r="AR12" s="54" t="n">
        <v>398089.23</v>
      </c>
      <c r="AS12" s="54" t="n">
        <v>2388535.37</v>
      </c>
      <c r="AU12" s="56">
        <f>ROUND(AB12,2)</f>
        <v/>
      </c>
      <c r="AV12" s="57">
        <f>ROUND(AU12*AA12,2)</f>
        <v/>
      </c>
      <c r="AW12" s="57">
        <f>ROUND(AV12*0.2,2)</f>
        <v/>
      </c>
      <c r="AX12" s="57">
        <f>AV12+AW12</f>
        <v/>
      </c>
      <c r="AY12" s="57">
        <f>AU12=AB12</f>
        <v/>
      </c>
      <c r="AZ12" s="57">
        <f>AV12=AC12</f>
        <v/>
      </c>
      <c r="BA12" s="57">
        <f>AW12=AD12</f>
        <v/>
      </c>
      <c r="BB12" s="57">
        <f>AX12=AE12</f>
        <v/>
      </c>
    </row>
    <row r="13" ht="225" customFormat="1" customHeight="1" s="55">
      <c r="A13" s="45" t="n">
        <v>8</v>
      </c>
      <c r="B13" s="45" t="inlineStr">
        <is>
          <t>2.ИСУП.17301167</t>
        </is>
      </c>
      <c r="C13" s="45" t="inlineStr">
        <is>
          <t>12QKB34AA208</t>
        </is>
      </c>
      <c r="D13" s="46" t="inlineStr">
        <is>
          <t>Клапан регулирующий</t>
        </is>
      </c>
      <c r="E13" s="46" t="inlineStr">
        <is>
          <t>NVA-GCV-0125-AS-300#-E-03</t>
        </is>
      </c>
      <c r="F13" s="45" t="inlineStr">
        <is>
          <t>3CIIIв</t>
        </is>
      </c>
      <c r="G13" s="45" t="inlineStr">
        <is>
          <t>QA4</t>
        </is>
      </c>
      <c r="H13" s="46" t="n">
        <v>125</v>
      </c>
      <c r="I13" s="126" t="n">
        <v>20</v>
      </c>
      <c r="J13" s="126" t="n">
        <v>250</v>
      </c>
      <c r="K13" s="46" t="inlineStr">
        <is>
          <t>Техническая вода; Альт. среда: обессоленная вода</t>
        </is>
      </c>
      <c r="L13" s="46" t="n">
        <v>111</v>
      </c>
      <c r="M13" s="46" t="n">
        <v>2244.3</v>
      </c>
      <c r="N13" s="46" t="inlineStr">
        <is>
          <t>ручной привод</t>
        </is>
      </c>
      <c r="O13" s="46" t="inlineStr">
        <is>
          <t>ЭПА-250/60-У3</t>
        </is>
      </c>
      <c r="P13" s="46" t="inlineStr">
        <is>
          <t>0,06</t>
        </is>
      </c>
      <c r="Q13" s="46" t="inlineStr">
        <is>
          <t>легир. сталь</t>
        </is>
      </c>
      <c r="R13" s="46" t="inlineStr">
        <is>
          <t>муфтовое</t>
        </is>
      </c>
      <c r="S13" s="46" t="inlineStr">
        <is>
          <t>TS-AES-GCV-108-QA</t>
        </is>
      </c>
      <c r="T13" s="45" t="inlineStr">
        <is>
          <t>3ЗЛ</t>
        </is>
      </c>
      <c r="U13" s="45" t="inlineStr">
        <is>
          <t>II</t>
        </is>
      </c>
      <c r="V13" s="45" t="inlineStr">
        <is>
          <t>AES-PAA1008; AES-PAA1008_B01_KZ_09</t>
        </is>
      </c>
      <c r="W13" s="45" t="inlineStr">
        <is>
          <t>РКД-АЭС-1-008</t>
        </is>
      </c>
      <c r="X13" s="45" t="inlineStr">
        <is>
          <t>01-01.9-22т (12UJA-MCA0008)</t>
        </is>
      </c>
      <c r="Y13" s="45" t="inlineStr">
        <is>
          <t>AES_11170424</t>
        </is>
      </c>
      <c r="Z13" s="45" t="inlineStr">
        <is>
          <t>оборудование</t>
        </is>
      </c>
      <c r="AA13" s="47" t="n">
        <v>1</v>
      </c>
      <c r="AB13" s="48" t="n">
        <v>1981129.46</v>
      </c>
      <c r="AC13" s="139" t="n">
        <v>1981129.46</v>
      </c>
      <c r="AD13" s="139" t="n">
        <v>396225.89</v>
      </c>
      <c r="AE13" s="139" t="n">
        <v>2377355.35</v>
      </c>
      <c r="AF13" s="45" t="inlineStr">
        <is>
          <t>Реакторное здание (10UJA)</t>
        </is>
      </c>
      <c r="AG13" s="50" t="n">
        <v>45517</v>
      </c>
      <c r="AH13" s="46" t="inlineStr">
        <is>
          <t>ООО «Индустрия клапанов»</t>
        </is>
      </c>
      <c r="AI13" s="46" t="inlineStr">
        <is>
          <t>РФ</t>
        </is>
      </c>
      <c r="AJ13" s="46" t="inlineStr">
        <is>
          <t>10UAA; tсраб=60 s; при dPmin=0.032 МПа; Характеристика: линейная; DNвх=125; DNвых=125; Max расход среды = 82.7 т/ч.
Материал присоединяемого трубопровода - 20; типоразмер трубы 139,7х9; патрубки соосны; тип присоединения - под приварку; строительная длина - не более 520 мм; демонтажный размер - не более 1050 мм; рабочее давление 20 МПа, рабочая температура 250 °C; среда: техническая вода; альт. среда: обессоленная вода.</t>
        </is>
      </c>
      <c r="AK13" s="45" t="inlineStr">
        <is>
          <t>ПИ;БКП-2;ОТВ, Инженер 6</t>
        </is>
      </c>
      <c r="AL13" s="47" t="n">
        <v>1601688</v>
      </c>
      <c r="AM13" s="45" t="inlineStr">
        <is>
          <t>Клапан регулирующий DN 125 PN 20 t 250 °C QA4 3CIIIв AS УХЛ3 ТУ 37-1008-2024</t>
        </is>
      </c>
      <c r="AN13" s="51" t="n">
        <v>20</v>
      </c>
      <c r="AO13" s="52" t="inlineStr">
        <is>
          <t>28.14.13.131</t>
        </is>
      </c>
      <c r="AP13" s="53" t="n">
        <v>2008529.81</v>
      </c>
      <c r="AQ13" s="54" t="n">
        <v>2008529.81</v>
      </c>
      <c r="AR13" s="54" t="n">
        <v>401705.96</v>
      </c>
      <c r="AS13" s="54" t="n">
        <v>2410235.77</v>
      </c>
      <c r="AU13" s="56">
        <f>ROUND(AB13,2)</f>
        <v/>
      </c>
      <c r="AV13" s="57">
        <f>ROUND(AU13*AA13,2)</f>
        <v/>
      </c>
      <c r="AW13" s="57">
        <f>ROUND(AV13*0.2,2)</f>
        <v/>
      </c>
      <c r="AX13" s="57">
        <f>AV13+AW13</f>
        <v/>
      </c>
      <c r="AY13" s="57">
        <f>AU13=AB13</f>
        <v/>
      </c>
      <c r="AZ13" s="57">
        <f>AV13=AC13</f>
        <v/>
      </c>
      <c r="BA13" s="57">
        <f>AW13=AD13</f>
        <v/>
      </c>
      <c r="BB13" s="57">
        <f>AX13=AE13</f>
        <v/>
      </c>
    </row>
    <row r="14" ht="225" customFormat="1" customHeight="1" s="55">
      <c r="A14" s="45" t="n">
        <v>9</v>
      </c>
      <c r="B14" s="45" t="inlineStr">
        <is>
          <t>2.ИСУП.17301295</t>
        </is>
      </c>
      <c r="C14" s="45" t="inlineStr">
        <is>
          <t>10UJA37AA209</t>
        </is>
      </c>
      <c r="D14" s="46" t="inlineStr">
        <is>
          <t>Клапан запорно-регулирующий</t>
        </is>
      </c>
      <c r="E14" s="46" t="inlineStr">
        <is>
          <t>NVA-GCV-0050-SS-2500#-M-01</t>
        </is>
      </c>
      <c r="F14" s="45" t="inlineStr">
        <is>
          <t>3CIIIа</t>
        </is>
      </c>
      <c r="G14" s="45" t="inlineStr">
        <is>
          <t>QA4</t>
        </is>
      </c>
      <c r="H14" s="46" t="n">
        <v>50</v>
      </c>
      <c r="I14" s="126" t="n">
        <v>9.800000000000001</v>
      </c>
      <c r="J14" s="126" t="n">
        <v>250</v>
      </c>
      <c r="K14" s="46" t="inlineStr">
        <is>
          <t>Горячая вода; Альт. среда: сетевая вода</t>
        </is>
      </c>
      <c r="L14" s="46" t="inlineStr"/>
      <c r="M14" s="46" t="n">
        <v>770.3</v>
      </c>
      <c r="N14" s="46" t="inlineStr">
        <is>
          <t>встроенный электропривод</t>
        </is>
      </c>
      <c r="O14" s="46" t="inlineStr">
        <is>
          <t>МЭП-400/25-У2</t>
        </is>
      </c>
      <c r="P14" s="46" t="inlineStr">
        <is>
          <t>0,37</t>
        </is>
      </c>
      <c r="Q14" s="46" t="inlineStr">
        <is>
          <t>легир. сталь</t>
        </is>
      </c>
      <c r="R14" s="46" t="inlineStr">
        <is>
          <t>под приварку</t>
        </is>
      </c>
      <c r="S14" s="46" t="inlineStr">
        <is>
          <t>TS-AES-GCV-109-QB</t>
        </is>
      </c>
      <c r="T14" s="45" t="inlineStr">
        <is>
          <t>2ЗЛ</t>
        </is>
      </c>
      <c r="U14" s="45" t="inlineStr">
        <is>
          <t>I</t>
        </is>
      </c>
      <c r="V14" s="45" t="inlineStr">
        <is>
          <t>AES-PAA1009; AES-PAA1009_B01_KZ_10</t>
        </is>
      </c>
      <c r="W14" s="45" t="inlineStr">
        <is>
          <t>ТУ 37-0109-00000000-2024</t>
        </is>
      </c>
      <c r="X14" s="45" t="inlineStr">
        <is>
          <t>01-01.1-22т (10UKA-MCA0009)</t>
        </is>
      </c>
      <c r="Y14" s="45" t="inlineStr">
        <is>
          <t>AES_11170477</t>
        </is>
      </c>
      <c r="Z14" s="45" t="inlineStr">
        <is>
          <t>оборудование</t>
        </is>
      </c>
      <c r="AA14" s="47" t="n">
        <v>1</v>
      </c>
      <c r="AB14" s="48" t="n">
        <v>1169697.45</v>
      </c>
      <c r="AC14" s="139" t="n">
        <v>1169697.45</v>
      </c>
      <c r="AD14" s="139" t="n">
        <v>233939.49</v>
      </c>
      <c r="AE14" s="139" t="n">
        <v>1403636.94</v>
      </c>
      <c r="AF14" s="45" t="inlineStr">
        <is>
          <t>Насосная станция технической воды (10UQC)</t>
        </is>
      </c>
      <c r="AG14" s="50" t="n">
        <v>45607</v>
      </c>
      <c r="AH14" s="46" t="inlineStr">
        <is>
          <t>ООО «Индустрия клапанов»</t>
        </is>
      </c>
      <c r="AI14" s="46" t="inlineStr">
        <is>
          <t>РФ</t>
        </is>
      </c>
      <c r="AJ14" s="46" t="inlineStr">
        <is>
          <t>10UAA; tсраб=40 s; при dPmin=0.067 МПа; Характеристика: линейная; DNвх=50; DNвых=50; Max расход среды = 39.9 т/ч.
Материал присоединяемого трубопровода - 20; типоразмер трубы 60,3х4; патрубки соосны; тип присоединения - под приварку; строительная длина - не более 520 мм; демонтажный размер - не более 720 мм; рабочее давление 9.8 МПа, рабочая температура 250 °C; среда: горячая вода; альт. среда: сетевая вода.</t>
        </is>
      </c>
      <c r="AK14" s="45" t="inlineStr">
        <is>
          <t>ПИ;БКП-5;ОТВ, Инженер 9</t>
        </is>
      </c>
      <c r="AL14" s="47" t="n">
        <v>1601899</v>
      </c>
      <c r="AM14" s="45" t="inlineStr">
        <is>
          <t>Клапан регулирующий DN 50 PN 9.8 t 250 °C QA4 3CIIIа SS УХЛ3 ТУ 37-1009-2024</t>
        </is>
      </c>
      <c r="AN14" s="51" t="n">
        <v>20</v>
      </c>
      <c r="AO14" s="52" t="inlineStr">
        <is>
          <t>28.14.11.121</t>
        </is>
      </c>
      <c r="AP14" s="53" t="n">
        <v>1212378.09</v>
      </c>
      <c r="AQ14" s="54" t="n">
        <v>1212378.09</v>
      </c>
      <c r="AR14" s="54" t="n">
        <v>242475.62</v>
      </c>
      <c r="AS14" s="54" t="n">
        <v>1454853.71</v>
      </c>
      <c r="AU14" s="56">
        <f>ROUND(AB14,2)</f>
        <v/>
      </c>
      <c r="AV14" s="57">
        <f>ROUND(AU14*AA14,2)</f>
        <v/>
      </c>
      <c r="AW14" s="57">
        <f>ROUND(AV14*0.2,2)</f>
        <v/>
      </c>
      <c r="AX14" s="57">
        <f>AV14+AW14</f>
        <v/>
      </c>
      <c r="AY14" s="57">
        <f>AU14=AB14</f>
        <v/>
      </c>
      <c r="AZ14" s="57">
        <f>AV14=AC14</f>
        <v/>
      </c>
      <c r="BA14" s="57">
        <f>AW14=AD14</f>
        <v/>
      </c>
      <c r="BB14" s="57">
        <f>AX14=AE14</f>
        <v/>
      </c>
    </row>
    <row r="15" ht="225" customFormat="1" customHeight="1" s="55">
      <c r="A15" s="45" t="n">
        <v>10</v>
      </c>
      <c r="B15" s="45" t="inlineStr">
        <is>
          <t>2.ИСУП.17301431</t>
        </is>
      </c>
      <c r="C15" s="45" t="inlineStr">
        <is>
          <t>11KWA40AA210</t>
        </is>
      </c>
      <c r="D15" s="46" t="inlineStr">
        <is>
          <t>Клапан регулирующий</t>
        </is>
      </c>
      <c r="E15" s="46" t="inlineStr">
        <is>
          <t>NVA-GCV-0040-CS-2500#-M-02</t>
        </is>
      </c>
      <c r="F15" s="45" t="inlineStr">
        <is>
          <t>2ВIIа</t>
        </is>
      </c>
      <c r="G15" s="45" t="inlineStr">
        <is>
          <t>QA2</t>
        </is>
      </c>
      <c r="H15" s="46" t="n">
        <v>40</v>
      </c>
      <c r="I15" s="126" t="n">
        <v>9.800000000000001</v>
      </c>
      <c r="J15" s="126" t="n">
        <v>250</v>
      </c>
      <c r="K15" s="46" t="inlineStr">
        <is>
          <t>Сжатый воздух; Альт. среда: азот</t>
        </is>
      </c>
      <c r="L15" s="46" t="n">
        <v>21.9</v>
      </c>
      <c r="M15" s="46" t="n">
        <v>718.1</v>
      </c>
      <c r="N15" s="46" t="inlineStr">
        <is>
          <t>ручной привод</t>
        </is>
      </c>
      <c r="O15" s="46" t="inlineStr">
        <is>
          <t>РПМ-80/30-УХЛ3</t>
        </is>
      </c>
      <c r="P15" s="46" t="inlineStr">
        <is>
          <t>0,25</t>
        </is>
      </c>
      <c r="Q15" s="46" t="inlineStr">
        <is>
          <t>легир. сталь</t>
        </is>
      </c>
      <c r="R15" s="46" t="inlineStr">
        <is>
          <t>под приварку</t>
        </is>
      </c>
      <c r="S15" s="46" t="inlineStr">
        <is>
          <t>TS-AES-GCV-110-QA</t>
        </is>
      </c>
      <c r="T15" s="45" t="inlineStr">
        <is>
          <t>4Н</t>
        </is>
      </c>
      <c r="U15" s="45" t="inlineStr">
        <is>
          <t>I</t>
        </is>
      </c>
      <c r="V15" s="45" t="inlineStr">
        <is>
          <t>AES-PAA1010; AES-PAA1010_B01_KZ_11</t>
        </is>
      </c>
      <c r="W15" s="45" t="inlineStr">
        <is>
          <t>-</t>
        </is>
      </c>
      <c r="X15" s="45" t="inlineStr">
        <is>
          <t>01-01.2-35т (11UJA-MCA0010)</t>
        </is>
      </c>
      <c r="Y15" s="45" t="inlineStr">
        <is>
          <t>AES_11170530</t>
        </is>
      </c>
      <c r="Z15" s="45" t="inlineStr">
        <is>
          <t>оборудование</t>
        </is>
      </c>
      <c r="AA15" s="47" t="n">
        <v>1</v>
      </c>
      <c r="AB15" s="48" t="n">
        <v>2566346.59</v>
      </c>
      <c r="AC15" s="139" t="n">
        <v>2566346.59</v>
      </c>
      <c r="AD15" s="139" t="n">
        <v>513269.32</v>
      </c>
      <c r="AE15" s="139" t="n">
        <v>3079615.91</v>
      </c>
      <c r="AF15" s="45" t="inlineStr">
        <is>
          <t>Корпус нормальной эксплуатации (10UCB)</t>
        </is>
      </c>
      <c r="AG15" s="50" t="n">
        <v>45577</v>
      </c>
      <c r="AH15" s="46" t="inlineStr">
        <is>
          <t>ООО «Техноарматура»</t>
        </is>
      </c>
      <c r="AI15" s="46" t="inlineStr">
        <is>
          <t>Россия</t>
        </is>
      </c>
      <c r="AJ15" s="46" t="inlineStr">
        <is>
          <t>10UAA; tсраб=40 s; при dPmin=0.085 МПа; Характеристика: линейная; DNвх=40; DNвых=40; Max расход среды = 35.2 т/ч.
Материал присоединяемого трубопровода - 20; типоразмер трубы 48,3х3,5; патрубки соосны; тип присоединения - под приварку; строительная длина - не более 650 мм; демонтажный размер - не более 880 мм; рабочее давление 9.8 МПа, рабочая температура 250 °C; среда: сжатый воздух; альт. среда: азот.</t>
        </is>
      </c>
      <c r="AK15" s="45" t="inlineStr">
        <is>
          <t>ПИ;БКП-4;ОТВ, Инженер 6</t>
        </is>
      </c>
      <c r="AL15" s="47" t="n">
        <v>1602110</v>
      </c>
      <c r="AM15" s="45" t="inlineStr">
        <is>
          <t>Клапан регулирующий DN 40 PN 9.8 t 250 °C QA2 2ВIIа CS УХЛ3 ТУ 37-1010-2024</t>
        </is>
      </c>
      <c r="AN15" s="51" t="n">
        <v>20</v>
      </c>
      <c r="AO15" s="52" t="inlineStr">
        <is>
          <t>28.14.11.121</t>
        </is>
      </c>
      <c r="AP15" s="53" t="n">
        <v>2673264.18</v>
      </c>
      <c r="AQ15" s="54" t="n">
        <v>2673264.18</v>
      </c>
      <c r="AR15" s="54" t="n">
        <v>534652.84</v>
      </c>
      <c r="AS15" s="54" t="n">
        <v>3207917.02</v>
      </c>
      <c r="AU15" s="56">
        <f>ROUND(AB15,2)</f>
        <v/>
      </c>
      <c r="AV15" s="57">
        <f>ROUND(AU15*AA15,2)</f>
        <v/>
      </c>
      <c r="AW15" s="57">
        <f>ROUND(AV15*0.2,2)</f>
        <v/>
      </c>
      <c r="AX15" s="57">
        <f>AV15+AW15</f>
        <v/>
      </c>
      <c r="AY15" s="57">
        <f>AU15=AB15</f>
        <v/>
      </c>
      <c r="AZ15" s="57">
        <f>AV15=AC15</f>
        <v/>
      </c>
      <c r="BA15" s="57">
        <f>AW15=AD15</f>
        <v/>
      </c>
      <c r="BB15" s="57">
        <f>AX15=AE15</f>
        <v/>
      </c>
    </row>
    <row r="16" ht="195" customFormat="1" customHeight="1" s="55">
      <c r="A16" s="45" t="n">
        <v>11</v>
      </c>
      <c r="B16" s="45" t="inlineStr">
        <is>
          <t>2.ИСУП.17301528</t>
        </is>
      </c>
      <c r="C16" s="45" t="inlineStr">
        <is>
          <t>12UJA43AA211</t>
        </is>
      </c>
      <c r="D16" s="46" t="inlineStr">
        <is>
          <t>Клапан регулирующий проходной</t>
        </is>
      </c>
      <c r="E16" s="46" t="inlineStr">
        <is>
          <t>NVA-GCV-0100-SS-2500#-M-03</t>
        </is>
      </c>
      <c r="F16" s="45" t="inlineStr">
        <is>
          <t>-</t>
        </is>
      </c>
      <c r="G16" s="45" t="inlineStr">
        <is>
          <t>QA3</t>
        </is>
      </c>
      <c r="H16" s="46" t="n">
        <v>100</v>
      </c>
      <c r="I16" s="126" t="n">
        <v>20</v>
      </c>
      <c r="J16" s="126" t="n">
        <v>350</v>
      </c>
      <c r="K16" s="46" t="inlineStr">
        <is>
          <t>Техническая вода; Альт. среда: обессоленная вода</t>
        </is>
      </c>
      <c r="L16" s="46" t="n">
        <v>119.4</v>
      </c>
      <c r="M16" s="46" t="n">
        <v>1295.3</v>
      </c>
      <c r="N16" s="46" t="inlineStr">
        <is>
          <t>ручной привод</t>
        </is>
      </c>
      <c r="O16" s="46" t="inlineStr">
        <is>
          <t>ЭПА-250/60-У3</t>
        </is>
      </c>
      <c r="P16" s="46" t="inlineStr">
        <is>
          <t>0,06</t>
        </is>
      </c>
      <c r="Q16" s="46" t="inlineStr">
        <is>
          <t>нж</t>
        </is>
      </c>
      <c r="R16" s="46" t="inlineStr">
        <is>
          <t>под приварку</t>
        </is>
      </c>
      <c r="S16" s="46" t="inlineStr">
        <is>
          <t>TS-AES-GCV-111-QC</t>
        </is>
      </c>
      <c r="T16" s="45" t="inlineStr">
        <is>
          <t>3ЗЛ</t>
        </is>
      </c>
      <c r="U16" s="45" t="inlineStr">
        <is>
          <t>III</t>
        </is>
      </c>
      <c r="V16" s="45" t="inlineStr">
        <is>
          <t>AES-PAA1011; AES-PAA1011_B01_KZ_12</t>
        </is>
      </c>
      <c r="W16" s="45" t="inlineStr">
        <is>
          <t>-</t>
        </is>
      </c>
      <c r="X16" s="45" t="inlineStr">
        <is>
          <t>01-01.3-22т (12UKA-MCA0011)</t>
        </is>
      </c>
      <c r="Y16" s="45" t="inlineStr">
        <is>
          <t>AES_11170583</t>
        </is>
      </c>
      <c r="Z16" s="45" t="inlineStr">
        <is>
          <t>оборудование</t>
        </is>
      </c>
      <c r="AA16" s="47" t="n">
        <v>1</v>
      </c>
      <c r="AB16" s="48" t="n">
        <v>1435290.41</v>
      </c>
      <c r="AC16" s="139" t="n">
        <v>1435290.41</v>
      </c>
      <c r="AD16" s="139" t="n">
        <v>287058.08</v>
      </c>
      <c r="AE16" s="139" t="n">
        <v>1722348.49</v>
      </c>
      <c r="AF16" s="45" t="inlineStr">
        <is>
          <t>Здание вспомогательных систем (10UKA)</t>
        </is>
      </c>
      <c r="AG16" s="50" t="n">
        <v>45457</v>
      </c>
      <c r="AH16" s="46" t="inlineStr">
        <is>
          <t>АО «Северная арматура»</t>
        </is>
      </c>
      <c r="AI16" s="46" t="inlineStr">
        <is>
          <t>РФ</t>
        </is>
      </c>
      <c r="AJ16" s="46" t="inlineStr">
        <is>
          <t>10UAA; tсраб=40 s; при dPmin=0.043 МПа; Характеристика: линейная; DNвх=100; DNвых=100; Max расход среды = 47.4 т/ч.
Материал присоединяемого трубопровода - 08Х18Н10Т; типоразмер трубы 114,3х8; патрубки соосны; тип присоединения - под приварку; строительная длина - не более 400 мм; демонтажный размер - не более 1050 мм; рабочее давление 20 МПа, рабочая температура 350 °C; среда: техническая вода; альт. среда: обессоленная вода.</t>
        </is>
      </c>
      <c r="AK16" s="45" t="inlineStr">
        <is>
          <t>ПИ;БКП-7;ОТВ, Инженер 3</t>
        </is>
      </c>
      <c r="AL16" s="47" t="n">
        <v>1602321</v>
      </c>
      <c r="AM16" s="45" t="inlineStr">
        <is>
          <t>Клапан регулирующий DN 100 PN 20 t 350 °C QA3 - SS УХЛ3 ТУ 37-1011-2024</t>
        </is>
      </c>
      <c r="AN16" s="51" t="n">
        <v>20</v>
      </c>
      <c r="AO16" s="52" t="inlineStr">
        <is>
          <t>28.14.13.131</t>
        </is>
      </c>
      <c r="AP16" s="53" t="n">
        <v>1475262.88</v>
      </c>
      <c r="AQ16" s="54" t="n">
        <v>1475262.88</v>
      </c>
      <c r="AR16" s="54" t="n">
        <v>295052.58</v>
      </c>
      <c r="AS16" s="54" t="n">
        <v>1770315.46</v>
      </c>
      <c r="AU16" s="56">
        <f>ROUND(AB16,2)</f>
        <v/>
      </c>
      <c r="AV16" s="57">
        <f>ROUND(AU16*AA16,2)</f>
        <v/>
      </c>
      <c r="AW16" s="57">
        <f>ROUND(AV16*0.2,2)</f>
        <v/>
      </c>
      <c r="AX16" s="57">
        <f>AV16+AW16</f>
        <v/>
      </c>
      <c r="AY16" s="57">
        <f>AU16=AB16</f>
        <v/>
      </c>
      <c r="AZ16" s="57">
        <f>AV16=AC16</f>
        <v/>
      </c>
      <c r="BA16" s="57">
        <f>AW16=AD16</f>
        <v/>
      </c>
      <c r="BB16" s="57">
        <f>AX16=AE16</f>
        <v/>
      </c>
    </row>
    <row r="17" ht="195" customFormat="1" customHeight="1" s="55">
      <c r="A17" s="45" t="n">
        <v>12</v>
      </c>
      <c r="B17" s="45" t="inlineStr">
        <is>
          <t>2.ИСУП.17301733</t>
        </is>
      </c>
      <c r="C17" s="45" t="inlineStr">
        <is>
          <t>10LCH46AA212</t>
        </is>
      </c>
      <c r="D17" s="46" t="inlineStr">
        <is>
          <t>Клапан регулирующий</t>
        </is>
      </c>
      <c r="E17" s="46" t="inlineStr">
        <is>
          <t>NVA-GCV-0040-AS-600#-M-01</t>
        </is>
      </c>
      <c r="F17" s="45" t="inlineStr">
        <is>
          <t>3CIIIа</t>
        </is>
      </c>
      <c r="G17" s="45" t="inlineStr">
        <is>
          <t>QA3</t>
        </is>
      </c>
      <c r="H17" s="46" t="n">
        <v>40</v>
      </c>
      <c r="I17" s="126" t="n">
        <v>6.3</v>
      </c>
      <c r="J17" s="126" t="n">
        <v>335</v>
      </c>
      <c r="K17" s="46" t="inlineStr">
        <is>
          <t>Питательная вода; Альт. среда: техническая вода</t>
        </is>
      </c>
      <c r="L17" s="46" t="n">
        <v>67.40000000000001</v>
      </c>
      <c r="M17" s="46" t="n">
        <v>679.9</v>
      </c>
      <c r="N17" s="46" t="inlineStr">
        <is>
          <t>электропривод</t>
        </is>
      </c>
      <c r="O17" s="46" t="inlineStr">
        <is>
          <t>РПМ-80/30-УХЛ3</t>
        </is>
      </c>
      <c r="P17" s="46" t="inlineStr">
        <is>
          <t>0,25</t>
        </is>
      </c>
      <c r="Q17" s="46" t="inlineStr">
        <is>
          <t>легир. сталь</t>
        </is>
      </c>
      <c r="R17" s="46" t="inlineStr">
        <is>
          <t>муфтовое</t>
        </is>
      </c>
      <c r="S17" s="46" t="inlineStr">
        <is>
          <t>TS-AES-GCV-112-QC</t>
        </is>
      </c>
      <c r="T17" s="45" t="inlineStr">
        <is>
          <t>2Н</t>
        </is>
      </c>
      <c r="U17" s="45" t="inlineStr">
        <is>
          <t>II</t>
        </is>
      </c>
      <c r="V17" s="45" t="inlineStr">
        <is>
          <t>AES-PAA1012; AES-PAA1012_B01_KZ_01</t>
        </is>
      </c>
      <c r="W17" s="45" t="inlineStr">
        <is>
          <t>ТУ 37-0112-00000000-2024</t>
        </is>
      </c>
      <c r="X17" s="45" t="inlineStr">
        <is>
          <t>01-01.4-22т (10UBA-MCA0012)</t>
        </is>
      </c>
      <c r="Y17" s="45" t="inlineStr">
        <is>
          <t>AES_11170636</t>
        </is>
      </c>
      <c r="Z17" s="45" t="inlineStr">
        <is>
          <t>оборудование</t>
        </is>
      </c>
      <c r="AA17" s="47" t="n">
        <v>1</v>
      </c>
      <c r="AB17" s="48" t="n">
        <v>2782482.66</v>
      </c>
      <c r="AC17" s="139" t="n">
        <v>2782482.66</v>
      </c>
      <c r="AD17" s="139" t="n">
        <v>556496.53</v>
      </c>
      <c r="AE17" s="139" t="n">
        <v>3338979.19</v>
      </c>
      <c r="AF17" s="45" t="inlineStr">
        <is>
          <t>Насосная станция технической воды (10UQC)</t>
        </is>
      </c>
      <c r="AG17" s="50" t="n">
        <v>45547</v>
      </c>
      <c r="AH17" s="46" t="inlineStr">
        <is>
          <t>ООО «Индустрия клапанов»</t>
        </is>
      </c>
      <c r="AI17" s="46" t="inlineStr">
        <is>
          <t>РФ</t>
        </is>
      </c>
      <c r="AJ17" s="46" t="inlineStr">
        <is>
          <t>10UAA; tсраб=50 s; при dPmin=0.059 МПа; Характеристика: линейная; DNвх=40; DNвых=40; Max расход среды = 24.9 т/ч.
Материал присоединяемого трубопровода - 20; типоразмер трубы 48,3х3,5; патрубки соосны; тип присоединения - под приварку; строительная длина - не более 240 мм; демонтажный размер - не более 720 мм; рабочее давление 6.3 МПа, рабочая температура 335 °C; среда: питательная вода; альт. среда: техническая вода.</t>
        </is>
      </c>
      <c r="AK17" s="45" t="inlineStr">
        <is>
          <t>ПИ;БКП-5;ОТВ, Инженер 7</t>
        </is>
      </c>
      <c r="AL17" s="47" t="n">
        <v>1602532</v>
      </c>
      <c r="AM17" s="45" t="inlineStr">
        <is>
          <t>Клапан регулирующий DN 40 PN 6.3 t 335 °C QA3 3CIIIа AS УХЛ3 ТУ 37-1012-2024</t>
        </is>
      </c>
      <c r="AN17" s="51" t="n">
        <v>20</v>
      </c>
      <c r="AO17" s="52" t="inlineStr">
        <is>
          <t>28.14.13.131</t>
        </is>
      </c>
      <c r="AP17" s="53" t="n">
        <v>2878981.55</v>
      </c>
      <c r="AQ17" s="54" t="n">
        <v>2878981.55</v>
      </c>
      <c r="AR17" s="54" t="n">
        <v>575796.3100000001</v>
      </c>
      <c r="AS17" s="54" t="n">
        <v>3454777.86</v>
      </c>
      <c r="AU17" s="56">
        <f>ROUND(AB17,2)</f>
        <v/>
      </c>
      <c r="AV17" s="57">
        <f>ROUND(AU17*AA17,2)</f>
        <v/>
      </c>
      <c r="AW17" s="57">
        <f>ROUND(AV17*0.2,2)</f>
        <v/>
      </c>
      <c r="AX17" s="57">
        <f>AV17+AW17</f>
        <v/>
      </c>
      <c r="AY17" s="57">
        <f>AU17=AB17</f>
        <v/>
      </c>
      <c r="AZ17" s="57">
        <f>AV17=AC17</f>
        <v/>
      </c>
      <c r="BA17" s="57">
        <f>AW17=AD17</f>
        <v/>
      </c>
      <c r="BB17" s="57">
        <f>AX17=AE17</f>
        <v/>
      </c>
    </row>
    <row r="18" ht="195" customFormat="1" customHeight="1" s="55">
      <c r="A18" s="45" t="n">
        <v>13</v>
      </c>
      <c r="B18" s="45" t="inlineStr">
        <is>
          <t>2.ИСУП.17301838</t>
        </is>
      </c>
      <c r="C18" s="45" t="inlineStr">
        <is>
          <t>11QKA49AA213</t>
        </is>
      </c>
      <c r="D18" s="46" t="inlineStr">
        <is>
          <t>Клапан регулирующий проходной</t>
        </is>
      </c>
      <c r="E18" s="46" t="inlineStr">
        <is>
          <t>NVA-GCV-0050-SS-1500#-E-02</t>
        </is>
      </c>
      <c r="F18" s="45" t="inlineStr">
        <is>
          <t>4CIV</t>
        </is>
      </c>
      <c r="G18" s="45" t="inlineStr">
        <is>
          <t>QA4</t>
        </is>
      </c>
      <c r="H18" s="46" t="n">
        <v>50</v>
      </c>
      <c r="I18" s="126" t="n">
        <v>1.6</v>
      </c>
      <c r="J18" s="126" t="n">
        <v>200</v>
      </c>
      <c r="K18" s="46" t="inlineStr">
        <is>
          <t>Питательная вода; Альт. среда: техническая вода</t>
        </is>
      </c>
      <c r="L18" s="46" t="inlineStr"/>
      <c r="M18" s="46" t="n">
        <v>694.5</v>
      </c>
      <c r="N18" s="46" t="inlineStr">
        <is>
          <t>ручной привод</t>
        </is>
      </c>
      <c r="O18" s="46" t="inlineStr">
        <is>
          <t>ЭПА-250/60-У3</t>
        </is>
      </c>
      <c r="P18" s="46" t="inlineStr">
        <is>
          <t>0,09</t>
        </is>
      </c>
      <c r="Q18" s="46" t="inlineStr">
        <is>
          <t>нж</t>
        </is>
      </c>
      <c r="R18" s="46" t="inlineStr">
        <is>
          <t>под приварку</t>
        </is>
      </c>
      <c r="S18" s="46" t="inlineStr">
        <is>
          <t>TS-AES-GCV-113-QB</t>
        </is>
      </c>
      <c r="T18" s="45" t="inlineStr">
        <is>
          <t>2Н</t>
        </is>
      </c>
      <c r="U18" s="45" t="inlineStr">
        <is>
          <t>III</t>
        </is>
      </c>
      <c r="V18" s="45" t="inlineStr">
        <is>
          <t>AES-PAA1013; AES-PAA1013_B01_KZ_02</t>
        </is>
      </c>
      <c r="W18" s="45" t="inlineStr">
        <is>
          <t>-</t>
        </is>
      </c>
      <c r="X18" s="45" t="inlineStr">
        <is>
          <t>01-01.5-22т (11UJA-MCA0013)</t>
        </is>
      </c>
      <c r="Y18" s="45" t="inlineStr">
        <is>
          <t>AES_11170689</t>
        </is>
      </c>
      <c r="Z18" s="45" t="inlineStr">
        <is>
          <t>оборудование</t>
        </is>
      </c>
      <c r="AA18" s="47" t="n">
        <v>1</v>
      </c>
      <c r="AB18" s="48" t="n">
        <v>1871013.03</v>
      </c>
      <c r="AC18" s="139" t="n">
        <v>1871013.03</v>
      </c>
      <c r="AD18" s="139" t="n">
        <v>374202.61</v>
      </c>
      <c r="AE18" s="139" t="n">
        <v>2245215.64</v>
      </c>
      <c r="AF18" s="45" t="inlineStr">
        <is>
          <t>Здание водоподготовки (10UBA)</t>
        </is>
      </c>
      <c r="AG18" s="50" t="n">
        <v>45517</v>
      </c>
      <c r="AH18" s="46" t="inlineStr">
        <is>
          <t>АО «Волгапроммаш»</t>
        </is>
      </c>
      <c r="AI18" s="46" t="inlineStr">
        <is>
          <t>Россия</t>
        </is>
      </c>
      <c r="AJ18" s="46" t="inlineStr">
        <is>
          <t>10UAA; tсраб=50 s; при dPmin=0.035 МПа; Характеристика: линейная; DNвх=50; DNвых=50; Max расход среды = 44.5 т/ч.
Материал присоединяемого трубопровода - 08Х18Н10Т; типоразмер трубы 60,3х4; патрубки соосны; тип присоединения - под приварку; строительная длина - не более 650 мм; демонтажный размер - не более 1250 мм; рабочее давление 1.6 МПа, рабочая температура 200 °C; среда: питательная вода; альт. среда: техническая вода.</t>
        </is>
      </c>
      <c r="AK18" s="45" t="inlineStr">
        <is>
          <t>ПИ;БКП-8;ОТВ, Инженер 8</t>
        </is>
      </c>
      <c r="AL18" s="47" t="n">
        <v>1602743</v>
      </c>
      <c r="AM18" s="45" t="inlineStr">
        <is>
          <t>Клапан регулирующий DN 50 PN 1.6 t 200 °C QA4 4CIV SS УХЛ3 ТУ 37-1013-2024</t>
        </is>
      </c>
      <c r="AN18" s="51" t="n">
        <v>20</v>
      </c>
      <c r="AO18" s="52" t="inlineStr">
        <is>
          <t>28.14.11.121</t>
        </is>
      </c>
      <c r="AP18" s="53" t="n">
        <v>1937058.12</v>
      </c>
      <c r="AQ18" s="54" t="n">
        <v>1937058.12</v>
      </c>
      <c r="AR18" s="54" t="n">
        <v>387411.62</v>
      </c>
      <c r="AS18" s="54" t="n">
        <v>2324469.74</v>
      </c>
      <c r="AU18" s="56">
        <f>ROUND(AB18,2)</f>
        <v/>
      </c>
      <c r="AV18" s="57">
        <f>ROUND(AU18*AA18,2)</f>
        <v/>
      </c>
      <c r="AW18" s="57">
        <f>ROUND(AV18*0.2,2)</f>
        <v/>
      </c>
      <c r="AX18" s="57">
        <f>AV18+AW18</f>
        <v/>
      </c>
      <c r="AY18" s="57">
        <f>AU18=AB18</f>
        <v/>
      </c>
      <c r="AZ18" s="57">
        <f>AV18=AC18</f>
        <v/>
      </c>
      <c r="BA18" s="57">
        <f>AW18=AD18</f>
        <v/>
      </c>
      <c r="BB18" s="57">
        <f>AX18=AE18</f>
        <v/>
      </c>
    </row>
    <row r="19" ht="195" customFormat="1" customHeight="1" s="55">
      <c r="A19" s="45" t="n">
        <v>14</v>
      </c>
      <c r="B19" s="45" t="inlineStr">
        <is>
          <t>2.ИСУП.17301932</t>
        </is>
      </c>
      <c r="C19" s="45" t="inlineStr">
        <is>
          <t>12SBP52AA214</t>
        </is>
      </c>
      <c r="D19" s="46" t="inlineStr">
        <is>
          <t>Клапан запорно-регулирующий</t>
        </is>
      </c>
      <c r="E19" s="46" t="inlineStr">
        <is>
          <t>NVA-GCV-0100-CS-300#-E-03</t>
        </is>
      </c>
      <c r="F19" s="45" t="inlineStr">
        <is>
          <t>2ВIIа</t>
        </is>
      </c>
      <c r="G19" s="45" t="inlineStr">
        <is>
          <t>QA2</t>
        </is>
      </c>
      <c r="H19" s="46" t="n">
        <v>100</v>
      </c>
      <c r="I19" s="126" t="n">
        <v>14</v>
      </c>
      <c r="J19" s="126" t="n">
        <v>350</v>
      </c>
      <c r="K19" s="46" t="inlineStr">
        <is>
          <t>Дренажная вода; Альт. среда: слабосолевой раствор</t>
        </is>
      </c>
      <c r="L19" s="46" t="n">
        <v>68.7</v>
      </c>
      <c r="M19" s="46" t="n">
        <v>1605.5</v>
      </c>
      <c r="N19" s="46" t="inlineStr">
        <is>
          <t>электропривод</t>
        </is>
      </c>
      <c r="O19" s="46" t="inlineStr">
        <is>
          <t>МЭП-400/25-У2</t>
        </is>
      </c>
      <c r="P19" s="46" t="inlineStr">
        <is>
          <t>0,37</t>
        </is>
      </c>
      <c r="Q19" s="46" t="inlineStr">
        <is>
          <t>угл</t>
        </is>
      </c>
      <c r="R19" s="46" t="inlineStr">
        <is>
          <t>под приварку</t>
        </is>
      </c>
      <c r="S19" s="46" t="inlineStr">
        <is>
          <t>TS-AES-GCV-114-QC</t>
        </is>
      </c>
      <c r="T19" s="45" t="inlineStr">
        <is>
          <t>2ЗЛ</t>
        </is>
      </c>
      <c r="U19" s="45" t="inlineStr">
        <is>
          <t>III</t>
        </is>
      </c>
      <c r="V19" s="45" t="inlineStr">
        <is>
          <t>AES-PAA1014; AES-PAA1014_B01_KZ_03</t>
        </is>
      </c>
      <c r="W19" s="45" t="inlineStr">
        <is>
          <t>ТУ 37-0114-00000000-2024</t>
        </is>
      </c>
      <c r="X19" s="45" t="inlineStr">
        <is>
          <t>01-01.6-35т (12UBA-MCA0014)</t>
        </is>
      </c>
      <c r="Y19" s="45" t="inlineStr">
        <is>
          <t>AES_11170742</t>
        </is>
      </c>
      <c r="Z19" s="45" t="inlineStr">
        <is>
          <t>оборудование</t>
        </is>
      </c>
      <c r="AA19" s="47" t="n">
        <v>1</v>
      </c>
      <c r="AB19" s="48" t="n">
        <v>1488753.58</v>
      </c>
      <c r="AC19" s="139" t="n">
        <v>1488753.58</v>
      </c>
      <c r="AD19" s="139" t="n">
        <v>297750.72</v>
      </c>
      <c r="AE19" s="139" t="n">
        <v>1786504.3</v>
      </c>
      <c r="AF19" s="45" t="inlineStr">
        <is>
          <t>Корпус нормальной эксплуатации (10UCB)</t>
        </is>
      </c>
      <c r="AG19" s="50" t="n">
        <v>45577</v>
      </c>
      <c r="AH19" s="46" t="inlineStr">
        <is>
          <t>АО «Северная арматура»</t>
        </is>
      </c>
      <c r="AI19" s="46" t="inlineStr">
        <is>
          <t>РФ</t>
        </is>
      </c>
      <c r="AJ19" s="46" t="inlineStr">
        <is>
          <t>10UAA; tсраб=60 s; при dPmin=0.041 МПа; Характеристика: линейная; DNвх=100; DNвых=100; Max расход среды = 28.8 т/ч.
Материал присоединяемого трубопровода - 20; типоразмер трубы 114,3х8; патрубки соосны; тип присоединения - под приварку; строительная длина - не более 400 мм; демонтажный размер - не более 880 мм; рабочее давление 14 МПа, рабочая температура 350 °C; среда: дренажная вода; альт. среда: слабосолевой раствор.</t>
        </is>
      </c>
      <c r="AK19" s="45" t="inlineStr">
        <is>
          <t>ПИ;БКП-6;ОТВ, Инженер 1</t>
        </is>
      </c>
      <c r="AL19" s="47" t="n">
        <v>1602954</v>
      </c>
      <c r="AM19" s="45" t="inlineStr">
        <is>
          <t>Клапан регулирующий DN 100 PN 14 t 350 °C QA2 2ВIIа CS УХЛ3 ТУ 37-1014-2024</t>
        </is>
      </c>
      <c r="AN19" s="51" t="n">
        <v>20</v>
      </c>
      <c r="AO19" s="52" t="inlineStr">
        <is>
          <t>28.14.20.000</t>
        </is>
      </c>
      <c r="AP19" s="53" t="n">
        <v>1531276.59</v>
      </c>
      <c r="AQ19" s="54" t="n">
        <v>1531276.59</v>
      </c>
      <c r="AR19" s="54" t="n">
        <v>306255.32</v>
      </c>
      <c r="AS19" s="54" t="n">
        <v>1837531.91</v>
      </c>
      <c r="AU19" s="56">
        <f>ROUND(AB19,2)</f>
        <v/>
      </c>
      <c r="AV19" s="57">
        <f>ROUND(AU19*AA19,2)</f>
        <v/>
      </c>
      <c r="AW19" s="57">
        <f>ROUND(AV19*0.2,2)</f>
        <v/>
      </c>
      <c r="AX19" s="57">
        <f>AV19+AW19</f>
        <v/>
      </c>
      <c r="AY19" s="57">
        <f>AU19=AB19</f>
        <v/>
      </c>
      <c r="AZ19" s="57">
        <f>AV19=AC19</f>
        <v/>
      </c>
      <c r="BA19" s="57">
        <f>AW19=AD19</f>
        <v/>
      </c>
      <c r="BB19" s="57">
        <f>AX19=AE19</f>
        <v/>
      </c>
    </row>
    <row r="20" ht="195" customFormat="1" customHeight="1" s="55">
      <c r="A20" s="45" t="n">
        <v>15</v>
      </c>
      <c r="B20" s="45" t="inlineStr">
        <is>
          <t>2.ИСУП.17302149</t>
        </is>
      </c>
      <c r="C20" s="45" t="inlineStr">
        <is>
          <t>10LCQ55AA215</t>
        </is>
      </c>
      <c r="D20" s="46" t="inlineStr">
        <is>
          <t>Клапан регулирующий</t>
        </is>
      </c>
      <c r="E20" s="46" t="inlineStr">
        <is>
          <t>NVA-GCV-0025-SS-900#-M-01</t>
        </is>
      </c>
      <c r="F20" s="45" t="inlineStr">
        <is>
          <t>3CIIIв</t>
        </is>
      </c>
      <c r="G20" s="45" t="inlineStr">
        <is>
          <t>QA3</t>
        </is>
      </c>
      <c r="H20" s="46" t="n">
        <v>25</v>
      </c>
      <c r="I20" s="126" t="n">
        <v>2.5</v>
      </c>
      <c r="J20" s="126" t="n">
        <v>335</v>
      </c>
      <c r="K20" s="46" t="inlineStr">
        <is>
          <t>Продувочная вода; Альт. среда: обессоленная вода</t>
        </is>
      </c>
      <c r="L20" s="46" t="n">
        <v>28.9</v>
      </c>
      <c r="M20" s="46" t="n">
        <v>300.2</v>
      </c>
      <c r="N20" s="46" t="inlineStr">
        <is>
          <t>ручной привод</t>
        </is>
      </c>
      <c r="O20" s="46" t="inlineStr">
        <is>
          <t>РПМ-80/30-УХЛ3</t>
        </is>
      </c>
      <c r="P20" s="46" t="inlineStr">
        <is>
          <t>0,37</t>
        </is>
      </c>
      <c r="Q20" s="46" t="inlineStr">
        <is>
          <t>угл</t>
        </is>
      </c>
      <c r="R20" s="46" t="inlineStr">
        <is>
          <t>под приварку</t>
        </is>
      </c>
      <c r="S20" s="46" t="inlineStr">
        <is>
          <t>TS-AES-GCV-115-QC</t>
        </is>
      </c>
      <c r="T20" s="45" t="inlineStr">
        <is>
          <t>4Н</t>
        </is>
      </c>
      <c r="U20" s="45" t="inlineStr">
        <is>
          <t>I</t>
        </is>
      </c>
      <c r="V20" s="45" t="inlineStr">
        <is>
          <t>AES-PAA1015; AES-PAA1015_B01_KZ_04</t>
        </is>
      </c>
      <c r="W20" s="45" t="inlineStr">
        <is>
          <t>-</t>
        </is>
      </c>
      <c r="X20" s="45" t="inlineStr">
        <is>
          <t>01-01.7-10т (10UJA-MCA0015)</t>
        </is>
      </c>
      <c r="Y20" s="45" t="inlineStr">
        <is>
          <t>AES_11170795</t>
        </is>
      </c>
      <c r="Z20" s="45" t="inlineStr">
        <is>
          <t>оборудование</t>
        </is>
      </c>
      <c r="AA20" s="47" t="n">
        <v>1</v>
      </c>
      <c r="AB20" s="48" t="n">
        <v>1709983.38</v>
      </c>
      <c r="AC20" s="139" t="n">
        <v>1709983.38</v>
      </c>
      <c r="AD20" s="139" t="n">
        <v>341996.68</v>
      </c>
      <c r="AE20" s="139" t="n">
        <v>2051980.06</v>
      </c>
      <c r="AF20" s="45" t="inlineStr">
        <is>
          <t>Здание водоподготовки (10UBA)</t>
        </is>
      </c>
      <c r="AG20" s="50" t="n">
        <v>45487</v>
      </c>
      <c r="AH20" s="46" t="inlineStr">
        <is>
          <t>ООО «Техноарматура»</t>
        </is>
      </c>
      <c r="AI20" s="46" t="inlineStr">
        <is>
          <t>Россия</t>
        </is>
      </c>
      <c r="AJ20" s="46" t="inlineStr">
        <is>
          <t>10UAA; tсраб=40 s; при dPmin=0.055 МПа; Характеристика: линейная; DNвх=25; DNвых=25; Max расход среды = 7.9 т/ч.
Материал присоединяемого трубопровода - 20; типоразмер трубы 33,7х3,2; патрубки соосны; тип присоединения - под приварку; строительная длина - не более 400 мм; демонтажный размер - не более 880 мм; рабочее давление 2.5 МПа, рабочая температура 335 °C; среда: продувочная вода; альт. среда: обессоленная вода.</t>
        </is>
      </c>
      <c r="AK20" s="45" t="inlineStr">
        <is>
          <t>ПИ;БКП-6;ОТВ, Инженер 6</t>
        </is>
      </c>
      <c r="AL20" s="47" t="n">
        <v>1603165</v>
      </c>
      <c r="AM20" s="45" t="inlineStr">
        <is>
          <t>Клапан регулирующий DN 25 PN 2.5 t 335 °C QA3 3CIIIв SS УХЛ3 ТУ 37-1015-2024</t>
        </is>
      </c>
      <c r="AN20" s="51" t="n">
        <v>20</v>
      </c>
      <c r="AO20" s="52" t="inlineStr">
        <is>
          <t>28.14.20.000</t>
        </is>
      </c>
      <c r="AP20" s="53" t="n">
        <v>1736209.13</v>
      </c>
      <c r="AQ20" s="54" t="n">
        <v>1736209.13</v>
      </c>
      <c r="AR20" s="54" t="n">
        <v>347241.83</v>
      </c>
      <c r="AS20" s="54" t="n">
        <v>2083450.96</v>
      </c>
      <c r="AU20" s="56">
        <f>ROUND(AB20,2)</f>
        <v/>
      </c>
      <c r="AV20" s="57">
        <f>ROUND(AU20*AA20,2)</f>
        <v/>
      </c>
      <c r="AW20" s="57">
        <f>ROUND(AV20*0.2,2)</f>
        <v/>
      </c>
      <c r="AX20" s="57">
        <f>AV20+AW20</f>
        <v/>
      </c>
      <c r="AY20" s="57">
        <f>AU20=AB20</f>
        <v/>
      </c>
      <c r="AZ20" s="57">
        <f>AV20=AC20</f>
        <v/>
      </c>
      <c r="BA20" s="57">
        <f>AW20=AD20</f>
        <v/>
      </c>
      <c r="BB20" s="57">
        <f>AX20=AE20</f>
        <v/>
      </c>
    </row>
    <row r="21" ht="195" customFormat="1" customHeight="1" s="55">
      <c r="A21" s="45" t="n">
        <v>16</v>
      </c>
      <c r="B21" s="45" t="inlineStr">
        <is>
          <t>2.ИСУП.17302226</t>
        </is>
      </c>
      <c r="C21" s="45" t="inlineStr">
        <is>
          <t>11UBA58AA216</t>
        </is>
      </c>
      <c r="D21" s="46" t="inlineStr">
        <is>
          <t>Клапан запорно-регулирующий</t>
        </is>
      </c>
      <c r="E21" s="46" t="inlineStr">
        <is>
          <t>NVA-GCV-0020-AS-1500#-E-02</t>
        </is>
      </c>
      <c r="F21" s="45" t="inlineStr">
        <is>
          <t>3CIIIа</t>
        </is>
      </c>
      <c r="G21" s="45" t="inlineStr">
        <is>
          <t>QA3</t>
        </is>
      </c>
      <c r="H21" s="46" t="n">
        <v>20</v>
      </c>
      <c r="I21" s="126" t="n">
        <v>6.3</v>
      </c>
      <c r="J21" s="126" t="n">
        <v>335</v>
      </c>
      <c r="K21" s="46" t="inlineStr">
        <is>
          <t>Дренажная вода; Альт. среда: слабосолевой раствор</t>
        </is>
      </c>
      <c r="L21" s="46" t="n">
        <v>27.5</v>
      </c>
      <c r="M21" s="46" t="n">
        <v>203.7</v>
      </c>
      <c r="N21" s="46" t="inlineStr">
        <is>
          <t>ручной привод</t>
        </is>
      </c>
      <c r="O21" s="46" t="inlineStr">
        <is>
          <t>РПМ-80/30-УХЛ3</t>
        </is>
      </c>
      <c r="P21" s="46" t="inlineStr">
        <is>
          <t>0,045</t>
        </is>
      </c>
      <c r="Q21" s="46" t="inlineStr">
        <is>
          <t>легир. сталь</t>
        </is>
      </c>
      <c r="R21" s="46" t="inlineStr">
        <is>
          <t>муфтовое</t>
        </is>
      </c>
      <c r="S21" s="46" t="inlineStr">
        <is>
          <t>TS-AES-GCV-116-QB</t>
        </is>
      </c>
      <c r="T21" s="45" t="inlineStr">
        <is>
          <t>3Н</t>
        </is>
      </c>
      <c r="U21" s="45" t="inlineStr">
        <is>
          <t>III</t>
        </is>
      </c>
      <c r="V21" s="45" t="inlineStr">
        <is>
          <t>AES-PAA1016; AES-PAA1016_B01_KZ_05</t>
        </is>
      </c>
      <c r="W21" s="45" t="inlineStr">
        <is>
          <t>РКД-АЭС-1-016</t>
        </is>
      </c>
      <c r="X21" s="45" t="inlineStr">
        <is>
          <t>01-01.8-35т (11UBA-MCA0016)</t>
        </is>
      </c>
      <c r="Y21" s="45" t="inlineStr">
        <is>
          <t>AES_11170848</t>
        </is>
      </c>
      <c r="Z21" s="45" t="inlineStr">
        <is>
          <t>оборудование</t>
        </is>
      </c>
      <c r="AA21" s="47" t="n">
        <v>1</v>
      </c>
      <c r="AB21" s="48" t="n">
        <v>980525.96</v>
      </c>
      <c r="AC21" s="139" t="n">
        <v>980525.96</v>
      </c>
      <c r="AD21" s="139" t="n">
        <v>196105.19</v>
      </c>
      <c r="AE21" s="139" t="n">
        <v>1176631.15</v>
      </c>
      <c r="AF21" s="45" t="inlineStr">
        <is>
          <t>Реакторное здание (10UJA)</t>
        </is>
      </c>
      <c r="AG21" s="50" t="n">
        <v>45517</v>
      </c>
      <c r="AH21" s="46" t="inlineStr">
        <is>
          <t>АО «Волгапроммаш»</t>
        </is>
      </c>
      <c r="AI21" s="46" t="inlineStr">
        <is>
          <t>РФ</t>
        </is>
      </c>
      <c r="AJ21" s="46" t="inlineStr">
        <is>
          <t>10UAA; tсраб=40 s; при dPmin=0.056 МПа; Характеристика: линейная; DNвх=20; DNвых=20; Max расход среды = 5.6 т/ч.
Материал присоединяемого трубопровода - 20; типоразмер трубы 26,9х3,2; патрубки соосны; тип присоединения - под приварку; строительная длина - не более 400 мм; демонтажный размер - не более 880 мм; рабочее давление 6.3 МПа, рабочая температура 335 °C; среда: дренажная вода; альт. среда: слабосолевой раствор.</t>
        </is>
      </c>
      <c r="AK21" s="45" t="inlineStr">
        <is>
          <t>ПИ;БКП-2;ОТВ, Инженер 4</t>
        </is>
      </c>
      <c r="AL21" s="47" t="n">
        <v>1603376</v>
      </c>
      <c r="AM21" s="45" t="inlineStr">
        <is>
          <t>Клапан регулирующий DN 20 PN 6.3 t 335 °C QA3 3CIIIа AS УХЛ3 ТУ 37-1016-2024</t>
        </is>
      </c>
      <c r="AN21" s="51" t="n">
        <v>20</v>
      </c>
      <c r="AO21" s="52" t="inlineStr">
        <is>
          <t>28.14.11.121</t>
        </is>
      </c>
      <c r="AP21" s="53" t="n">
        <v>1010519.54</v>
      </c>
      <c r="AQ21" s="54" t="n">
        <v>1010519.54</v>
      </c>
      <c r="AR21" s="54" t="n">
        <v>202103.91</v>
      </c>
      <c r="AS21" s="54" t="n">
        <v>1212623.45</v>
      </c>
      <c r="AU21" s="56">
        <f>ROUND(AB21,2)</f>
        <v/>
      </c>
      <c r="AV21" s="57">
        <f>ROUND(AU21*AA21,2)</f>
        <v/>
      </c>
      <c r="AW21" s="57">
        <f>ROUND(AV21*0.2,2)</f>
        <v/>
      </c>
      <c r="AX21" s="57">
        <f>AV21+AW21</f>
        <v/>
      </c>
      <c r="AY21" s="57">
        <f>AU21=AB21</f>
        <v/>
      </c>
      <c r="AZ21" s="57">
        <f>AV21=AC21</f>
        <v/>
      </c>
      <c r="BA21" s="57">
        <f>AW21=AD21</f>
        <v/>
      </c>
      <c r="BB21" s="57">
        <f>AX21=AE21</f>
        <v/>
      </c>
    </row>
    <row r="22" ht="195" customFormat="1" customHeight="1" s="55">
      <c r="A22" s="45" t="n">
        <v>17</v>
      </c>
      <c r="B22" s="45" t="inlineStr">
        <is>
          <t>2.ИСУП.17302415</t>
        </is>
      </c>
      <c r="C22" s="45" t="inlineStr">
        <is>
          <t>12KWA61AA217</t>
        </is>
      </c>
      <c r="D22" s="46" t="inlineStr">
        <is>
          <t>Клапан запорно-регулирующий</t>
        </is>
      </c>
      <c r="E22" s="46" t="inlineStr">
        <is>
          <t>NVA-GCV-0040-SS-300#-E-03</t>
        </is>
      </c>
      <c r="F22" s="45" t="inlineStr">
        <is>
          <t>-</t>
        </is>
      </c>
      <c r="G22" s="45" t="inlineStr">
        <is>
          <t>QA4</t>
        </is>
      </c>
      <c r="H22" s="46" t="n">
        <v>40</v>
      </c>
      <c r="I22" s="126" t="n">
        <v>14</v>
      </c>
      <c r="J22" s="126" t="n">
        <v>150</v>
      </c>
      <c r="K22" s="46" t="inlineStr">
        <is>
          <t>Дренажная вода; Альт. среда: слабосолевой раствор</t>
        </is>
      </c>
      <c r="L22" s="46" t="n">
        <v>17.3</v>
      </c>
      <c r="M22" s="46" t="n">
        <v>532.2</v>
      </c>
      <c r="N22" s="46" t="inlineStr">
        <is>
          <t>электропривод</t>
        </is>
      </c>
      <c r="O22" s="46" t="inlineStr">
        <is>
          <t>МЭП-400/25-У2</t>
        </is>
      </c>
      <c r="P22" s="46" t="inlineStr">
        <is>
          <t>0,37</t>
        </is>
      </c>
      <c r="Q22" s="46" t="inlineStr">
        <is>
          <t>легир. сталь</t>
        </is>
      </c>
      <c r="R22" s="46" t="inlineStr">
        <is>
          <t>под приварку</t>
        </is>
      </c>
      <c r="S22" s="46" t="inlineStr">
        <is>
          <t>TS-AES-GCV-117-QA</t>
        </is>
      </c>
      <c r="T22" s="45" t="inlineStr">
        <is>
          <t>3ЗЛ</t>
        </is>
      </c>
      <c r="U22" s="45" t="inlineStr">
        <is>
          <t>II</t>
        </is>
      </c>
      <c r="V22" s="45" t="inlineStr">
        <is>
          <t>AES-PAA1017; AES-PAA1017_B01_KZ_06</t>
        </is>
      </c>
      <c r="W22" s="45" t="inlineStr">
        <is>
          <t>РКД-АЭС-1-017</t>
        </is>
      </c>
      <c r="X22" s="45" t="inlineStr">
        <is>
          <t>01-01.9-10т (12UBA-MCA0017)</t>
        </is>
      </c>
      <c r="Y22" s="45" t="inlineStr">
        <is>
          <t>AES_11170901</t>
        </is>
      </c>
      <c r="Z22" s="45" t="inlineStr">
        <is>
          <t>оборудование</t>
        </is>
      </c>
      <c r="AA22" s="47" t="n">
        <v>1</v>
      </c>
      <c r="AB22" s="48" t="n">
        <v>2085965.72</v>
      </c>
      <c r="AC22" s="139" t="n">
        <v>2085965.72</v>
      </c>
      <c r="AD22" s="139" t="n">
        <v>417193.14</v>
      </c>
      <c r="AE22" s="139" t="n">
        <v>2503158.86</v>
      </c>
      <c r="AF22" s="45" t="inlineStr">
        <is>
          <t>Здание водоподготовки (10UBA)</t>
        </is>
      </c>
      <c r="AG22" s="50" t="n">
        <v>45457</v>
      </c>
      <c r="AH22" s="46" t="inlineStr">
        <is>
          <t>ООО «Техноарматура»</t>
        </is>
      </c>
      <c r="AI22" s="46" t="inlineStr">
        <is>
          <t>РФ</t>
        </is>
      </c>
      <c r="AJ22" s="46" t="inlineStr">
        <is>
          <t>10UAA; tсраб=25 s; при dPmin=0.042 МПа; Характеристика: линейная; DNвх=40; DNвых=40; Max расход среды = 24.7 т/ч.
Материал присоединяемого трубопровода - 20; типоразмер трубы 48,3х3,5; патрубки соосны; тип присоединения - под приварку; строительная длина - не более 650 мм; демонтажный размер - не более 880 мм; рабочее давление 14 МПа, рабочая температура 150 °C; среда: дренажная вода; альт. среда: слабосолевой раствор.</t>
        </is>
      </c>
      <c r="AK22" s="45" t="inlineStr">
        <is>
          <t>ПИ;БКП-3;ОТВ, Инженер 6</t>
        </is>
      </c>
      <c r="AL22" s="47" t="n">
        <v>1603587</v>
      </c>
      <c r="AM22" s="45" t="inlineStr">
        <is>
          <t>Клапан регулирующий DN 40 PN 14 t 150 °C QA4 - SS УХЛ3 ТУ 37-1017-2024</t>
        </is>
      </c>
      <c r="AN22" s="51" t="n">
        <v>20</v>
      </c>
      <c r="AO22" s="52" t="inlineStr">
        <is>
          <t>28.14.11.121</t>
        </is>
      </c>
      <c r="AP22" s="53" t="n">
        <v>2222052.69</v>
      </c>
      <c r="AQ22" s="54" t="n">
        <v>2222052.69</v>
      </c>
      <c r="AR22" s="54" t="n">
        <v>444410.54</v>
      </c>
      <c r="AS22" s="54" t="n">
        <v>2666463.23</v>
      </c>
      <c r="AU22" s="56">
        <f>ROUND(AB22,2)</f>
        <v/>
      </c>
      <c r="AV22" s="57">
        <f>ROUND(AU22*AA22,2)</f>
        <v/>
      </c>
      <c r="AW22" s="57">
        <f>ROUND(AV22*0.2,2)</f>
        <v/>
      </c>
      <c r="AX22" s="57">
        <f>AV22+AW22</f>
        <v/>
      </c>
      <c r="AY22" s="57">
        <f>AU22=AB22</f>
        <v/>
      </c>
      <c r="AZ22" s="57">
        <f>AV22=AC22</f>
        <v/>
      </c>
      <c r="BA22" s="57">
        <f>AW22=AD22</f>
        <v/>
      </c>
      <c r="BB22" s="57">
        <f>AX22=AE22</f>
        <v/>
      </c>
    </row>
    <row r="23" ht="195" customFormat="1" customHeight="1" s="55">
      <c r="A23" s="45" t="n">
        <v>18</v>
      </c>
      <c r="B23" s="45" t="inlineStr">
        <is>
          <t>2.ИСУП.17302493</t>
        </is>
      </c>
      <c r="C23" s="45" t="inlineStr">
        <is>
          <t>10KWA64AA218</t>
        </is>
      </c>
      <c r="D23" s="46" t="inlineStr">
        <is>
          <t>Клапан регулирующий</t>
        </is>
      </c>
      <c r="E23" s="46" t="inlineStr">
        <is>
          <t>NVA-GCV-0100-SS-2500#-E-01</t>
        </is>
      </c>
      <c r="F23" s="45" t="inlineStr">
        <is>
          <t>3CIIIв</t>
        </is>
      </c>
      <c r="G23" s="45" t="inlineStr">
        <is>
          <t>QA3</t>
        </is>
      </c>
      <c r="H23" s="46" t="n">
        <v>100</v>
      </c>
      <c r="I23" s="126" t="n">
        <v>11</v>
      </c>
      <c r="J23" s="126" t="n">
        <v>180</v>
      </c>
      <c r="K23" s="46" t="inlineStr">
        <is>
          <t>Горячая вода; Альт. среда: сетевая вода</t>
        </is>
      </c>
      <c r="L23" s="46" t="n">
        <v>85.90000000000001</v>
      </c>
      <c r="M23" s="46" t="n">
        <v>733.9</v>
      </c>
      <c r="N23" s="46" t="inlineStr">
        <is>
          <t>ручной привод</t>
        </is>
      </c>
      <c r="O23" s="46" t="inlineStr">
        <is>
          <t>РПМ-80/30-УХЛ3</t>
        </is>
      </c>
      <c r="P23" s="46" t="inlineStr">
        <is>
          <t>0,25</t>
        </is>
      </c>
      <c r="Q23" s="46" t="inlineStr">
        <is>
          <t>легир. сталь</t>
        </is>
      </c>
      <c r="R23" s="46" t="inlineStr">
        <is>
          <t>муфтовое</t>
        </is>
      </c>
      <c r="S23" s="46" t="inlineStr">
        <is>
          <t>TS-AES-GCV-118-QC</t>
        </is>
      </c>
      <c r="T23" s="45" t="inlineStr">
        <is>
          <t>3Н</t>
        </is>
      </c>
      <c r="U23" s="45" t="inlineStr">
        <is>
          <t>I</t>
        </is>
      </c>
      <c r="V23" s="45" t="inlineStr">
        <is>
          <t>AES-PAA1018; AES-PAA1018_B01_KZ_07</t>
        </is>
      </c>
      <c r="W23" s="45" t="inlineStr">
        <is>
          <t>ТУ 37-0118-00000000-2024</t>
        </is>
      </c>
      <c r="X23" s="45" t="inlineStr">
        <is>
          <t>01-01.1-35т (10UJA-MCA0018)</t>
        </is>
      </c>
      <c r="Y23" s="45" t="inlineStr">
        <is>
          <t>AES_11170954</t>
        </is>
      </c>
      <c r="Z23" s="45" t="inlineStr">
        <is>
          <t>оборудование</t>
        </is>
      </c>
      <c r="AA23" s="47" t="n">
        <v>1</v>
      </c>
      <c r="AB23" s="48" t="n">
        <v>1978229.36</v>
      </c>
      <c r="AC23" s="139" t="n">
        <v>1978229.36</v>
      </c>
      <c r="AD23" s="139" t="n">
        <v>395645.87</v>
      </c>
      <c r="AE23" s="139" t="n">
        <v>2373875.23</v>
      </c>
      <c r="AF23" s="45" t="inlineStr">
        <is>
          <t>Реакторное здание (10UJA)</t>
        </is>
      </c>
      <c r="AG23" s="50" t="n">
        <v>45517</v>
      </c>
      <c r="AH23" s="46" t="inlineStr">
        <is>
          <t>ООО «Индустрия клапанов»</t>
        </is>
      </c>
      <c r="AI23" s="46" t="inlineStr">
        <is>
          <t>РФ</t>
        </is>
      </c>
      <c r="AJ23" s="46" t="inlineStr">
        <is>
          <t>10UAA; tсраб=40 s; при dPmin=0.049 МПа; Характеристика: линейная; DNвх=100; DNвых=100; Max расход среды = 99.8 т/ч.
Материал присоединяемого трубопровода - 20; типоразмер трубы 114,3х8; патрубки соосны; тип присоединения - под приварку; строительная длина - не более 240 мм; демонтажный размер - не более 1250 мм; рабочее давление 11 МПа, рабочая температура 180 °C; среда: горячая вода; альт. среда: сетевая вода.</t>
        </is>
      </c>
      <c r="AK23" s="45" t="inlineStr">
        <is>
          <t>ПИ;БКП-7;ОТВ, Инженер 5</t>
        </is>
      </c>
      <c r="AL23" s="47" t="n">
        <v>1603798</v>
      </c>
      <c r="AM23" s="45" t="inlineStr">
        <is>
          <t>Клапан регулирующий DN 100 PN 11 t 180 °C QA3 3CIIIв SS УХЛ3 ТУ 37-1018-2024</t>
        </is>
      </c>
      <c r="AN23" s="51" t="n">
        <v>20</v>
      </c>
      <c r="AO23" s="52" t="inlineStr">
        <is>
          <t>28.14.11.121</t>
        </is>
      </c>
      <c r="AP23" s="53" t="n">
        <v>2038609.54</v>
      </c>
      <c r="AQ23" s="54" t="n">
        <v>2038609.54</v>
      </c>
      <c r="AR23" s="54" t="n">
        <v>407721.91</v>
      </c>
      <c r="AS23" s="54" t="n">
        <v>2446331.45</v>
      </c>
      <c r="AU23" s="56">
        <f>ROUND(AB23,2)</f>
        <v/>
      </c>
      <c r="AV23" s="57">
        <f>ROUND(AU23*AA23,2)</f>
        <v/>
      </c>
      <c r="AW23" s="57">
        <f>ROUND(AV23*0.2,2)</f>
        <v/>
      </c>
      <c r="AX23" s="57">
        <f>AV23+AW23</f>
        <v/>
      </c>
      <c r="AY23" s="57">
        <f>AU23=AB23</f>
        <v/>
      </c>
      <c r="AZ23" s="57">
        <f>AV23=AC23</f>
        <v/>
      </c>
      <c r="BA23" s="57">
        <f>AW23=AD23</f>
        <v/>
      </c>
      <c r="BB23" s="57">
        <f>AX23=AE23</f>
        <v/>
      </c>
    </row>
    <row r="24" ht="195" customFormat="1" customHeight="1" s="55">
      <c r="A24" s="45" t="n">
        <v>19</v>
      </c>
      <c r="B24" s="45" t="inlineStr">
        <is>
          <t>2.ИСУП.17302683</t>
        </is>
      </c>
      <c r="C24" s="45" t="inlineStr">
        <is>
          <t>11SBC67AA219</t>
        </is>
      </c>
      <c r="D24" s="46" t="inlineStr">
        <is>
          <t>Клапан регулирующий проходной</t>
        </is>
      </c>
      <c r="E24" s="46" t="inlineStr">
        <is>
          <t>NVA-GCV-0050-SS-1500#-M-02</t>
        </is>
      </c>
      <c r="F24" s="45" t="inlineStr">
        <is>
          <t>4CIV</t>
        </is>
      </c>
      <c r="G24" s="45" t="inlineStr">
        <is>
          <t>QA4</t>
        </is>
      </c>
      <c r="H24" s="46" t="n">
        <v>50</v>
      </c>
      <c r="I24" s="126" t="n">
        <v>6.3</v>
      </c>
      <c r="J24" s="126" t="n">
        <v>300</v>
      </c>
      <c r="K24" s="46" t="inlineStr">
        <is>
          <t>Питательная вода; Альт. среда: техническая вода</t>
        </is>
      </c>
      <c r="L24" s="46" t="n">
        <v>13.7</v>
      </c>
      <c r="M24" s="46" t="n">
        <v>869.7</v>
      </c>
      <c r="N24" s="46" t="inlineStr">
        <is>
          <t>встроенный электропривод</t>
        </is>
      </c>
      <c r="O24" s="46" t="inlineStr">
        <is>
          <t>ЭПА-250/60-У3</t>
        </is>
      </c>
      <c r="P24" s="46" t="inlineStr">
        <is>
          <t>0,37</t>
        </is>
      </c>
      <c r="Q24" s="46" t="inlineStr">
        <is>
          <t>угл</t>
        </is>
      </c>
      <c r="R24" s="46" t="inlineStr">
        <is>
          <t>под приварку</t>
        </is>
      </c>
      <c r="S24" s="46" t="inlineStr">
        <is>
          <t>TS-AES-GCV-119-QC</t>
        </is>
      </c>
      <c r="T24" s="45" t="inlineStr">
        <is>
          <t>3Н</t>
        </is>
      </c>
      <c r="U24" s="45" t="inlineStr">
        <is>
          <t>II</t>
        </is>
      </c>
      <c r="V24" s="45" t="inlineStr">
        <is>
          <t>AES-PAA1019; AES-PAA1019_B01_KZ_08</t>
        </is>
      </c>
      <c r="W24" s="45" t="inlineStr">
        <is>
          <t>-</t>
        </is>
      </c>
      <c r="X24" s="45" t="inlineStr">
        <is>
          <t>01-01.2-22т (11UJA-MCA0019)</t>
        </is>
      </c>
      <c r="Y24" s="45" t="inlineStr">
        <is>
          <t>AES_11171007</t>
        </is>
      </c>
      <c r="Z24" s="45" t="inlineStr">
        <is>
          <t>оборудование</t>
        </is>
      </c>
      <c r="AA24" s="47" t="n">
        <v>1</v>
      </c>
      <c r="AB24" s="48" t="n">
        <v>2266915.4</v>
      </c>
      <c r="AC24" s="139" t="n">
        <v>2266915.4</v>
      </c>
      <c r="AD24" s="139" t="n">
        <v>453383.08</v>
      </c>
      <c r="AE24" s="139" t="n">
        <v>2720298.48</v>
      </c>
      <c r="AF24" s="45" t="inlineStr">
        <is>
          <t>Здание вспомогательных систем (10UKA)</t>
        </is>
      </c>
      <c r="AG24" s="50" t="n">
        <v>45487</v>
      </c>
      <c r="AH24" s="46" t="inlineStr">
        <is>
          <t>ООО «Техноарматура»</t>
        </is>
      </c>
      <c r="AI24" s="46" t="inlineStr">
        <is>
          <t>Россия</t>
        </is>
      </c>
      <c r="AJ24" s="46" t="inlineStr">
        <is>
          <t>10UAA; tсраб=60 s; при dPmin=0.053 МПа; Характеристика: линейная; DNвх=50; DNвых=50; Max расход среды = 9.4 т/ч.
Материал присоединяемого трубопровода - 20; типоразмер трубы 60,3х4; патрубки соосны; тип присоединения - под приварку; строительная длина - не более 240 мм; демонтажный размер - не более 720 мм; рабочее давление 6.3 МПа, рабочая температура 300 °C; среда: питательная вода; альт. среда: техническая вода.</t>
        </is>
      </c>
      <c r="AK24" s="45" t="inlineStr">
        <is>
          <t>ПИ;БКП-2;ОТВ, Инженер 5</t>
        </is>
      </c>
      <c r="AL24" s="47" t="n">
        <v>1604009</v>
      </c>
      <c r="AM24" s="45" t="inlineStr">
        <is>
          <t>Клапан регулирующий DN 50 PN 6.3 t 300 °C QA4 4CIV SS УХЛ3 ТУ 37-1019-2024</t>
        </is>
      </c>
      <c r="AN24" s="51" t="n">
        <v>20</v>
      </c>
      <c r="AO24" s="52" t="inlineStr">
        <is>
          <t>28.14.20.000</t>
        </is>
      </c>
      <c r="AP24" s="53" t="n">
        <v>2290761.87</v>
      </c>
      <c r="AQ24" s="54" t="n">
        <v>2290761.87</v>
      </c>
      <c r="AR24" s="54" t="n">
        <v>458152.37</v>
      </c>
      <c r="AS24" s="54" t="n">
        <v>2748914.24</v>
      </c>
      <c r="AU24" s="56">
        <f>ROUND(AB24,2)</f>
        <v/>
      </c>
      <c r="AV24" s="57">
        <f>ROUND(AU24*AA24,2)</f>
        <v/>
      </c>
      <c r="AW24" s="57">
        <f>ROUND(AV24*0.2,2)</f>
        <v/>
      </c>
      <c r="AX24" s="57">
        <f>AV24+AW24</f>
        <v/>
      </c>
      <c r="AY24" s="57">
        <f>AU24=AB24</f>
        <v/>
      </c>
      <c r="AZ24" s="57">
        <f>AV24=AC24</f>
        <v/>
      </c>
      <c r="BA24" s="57">
        <f>AW24=AD24</f>
        <v/>
      </c>
      <c r="BB24" s="57">
        <f>AX24=AE24</f>
        <v/>
      </c>
    </row>
    <row r="25" ht="195" customFormat="1" customHeight="1" s="55">
      <c r="A25" s="45" t="n">
        <v>20</v>
      </c>
      <c r="B25" s="45" t="inlineStr">
        <is>
          <t>2.ИСУП.17302810</t>
        </is>
      </c>
      <c r="C25" s="45" t="inlineStr">
        <is>
          <t>12UJA70AA220</t>
        </is>
      </c>
      <c r="D25" s="46" t="inlineStr">
        <is>
          <t>Клапан запорно-регулирующий</t>
        </is>
      </c>
      <c r="E25" s="46" t="inlineStr">
        <is>
          <t>NVA-GCV-0080-AS-1500#-E-03</t>
        </is>
      </c>
      <c r="F25" s="45" t="inlineStr">
        <is>
          <t>3CIIIв</t>
        </is>
      </c>
      <c r="G25" s="45" t="inlineStr">
        <is>
          <t>QA2</t>
        </is>
      </c>
      <c r="H25" s="46" t="n">
        <v>80</v>
      </c>
      <c r="I25" s="126" t="n">
        <v>1</v>
      </c>
      <c r="J25" s="126" t="n">
        <v>290</v>
      </c>
      <c r="K25" s="46" t="inlineStr">
        <is>
          <t>Дренажная вода; Альт. среда: слабосолевой раствор</t>
        </is>
      </c>
      <c r="L25" s="46" t="n">
        <v>97.90000000000001</v>
      </c>
      <c r="M25" s="46" t="n">
        <v>862.9</v>
      </c>
      <c r="N25" s="46" t="inlineStr">
        <is>
          <t>ручной привод</t>
        </is>
      </c>
      <c r="O25" s="46" t="inlineStr">
        <is>
          <t>ЭПА-250/60-У3</t>
        </is>
      </c>
      <c r="P25" s="46" t="inlineStr">
        <is>
          <t>0,09</t>
        </is>
      </c>
      <c r="Q25" s="46" t="inlineStr">
        <is>
          <t>нж/угл</t>
        </is>
      </c>
      <c r="R25" s="46" t="inlineStr">
        <is>
          <t>под приварку</t>
        </is>
      </c>
      <c r="S25" s="46" t="inlineStr">
        <is>
          <t>TS-AES-GCV-120-QA</t>
        </is>
      </c>
      <c r="T25" s="45" t="inlineStr">
        <is>
          <t>3Н</t>
        </is>
      </c>
      <c r="U25" s="45" t="inlineStr">
        <is>
          <t>III</t>
        </is>
      </c>
      <c r="V25" s="45" t="inlineStr">
        <is>
          <t>AES-PAA1020; AES-PAA1020_B01_KZ_09</t>
        </is>
      </c>
      <c r="W25" s="45" t="inlineStr">
        <is>
          <t>-</t>
        </is>
      </c>
      <c r="X25" s="45" t="inlineStr">
        <is>
          <t>01-01.3-35т (12UKA-MCA0020)</t>
        </is>
      </c>
      <c r="Y25" s="45" t="inlineStr">
        <is>
          <t>AES_11171060</t>
        </is>
      </c>
      <c r="Z25" s="45" t="inlineStr">
        <is>
          <t>оборудование</t>
        </is>
      </c>
      <c r="AA25" s="47" t="n">
        <v>1</v>
      </c>
      <c r="AB25" s="48" t="n">
        <v>1615861.79</v>
      </c>
      <c r="AC25" s="139" t="n">
        <v>1615861.79</v>
      </c>
      <c r="AD25" s="139" t="n">
        <v>323172.36</v>
      </c>
      <c r="AE25" s="139" t="n">
        <v>1939034.15</v>
      </c>
      <c r="AF25" s="45" t="inlineStr">
        <is>
          <t>Здание вспомогательных систем (10UKA)</t>
        </is>
      </c>
      <c r="AG25" s="50" t="n">
        <v>45547</v>
      </c>
      <c r="AH25" s="46" t="inlineStr">
        <is>
          <t>АО «Северная арматура»</t>
        </is>
      </c>
      <c r="AI25" s="46" t="inlineStr">
        <is>
          <t>РФ</t>
        </is>
      </c>
      <c r="AJ25" s="46" t="inlineStr">
        <is>
          <t>10UAA; tсраб=60 s; при dPmin=0.046 МПа; Характеристика: линейная; DNвх=80; DNвых=80; Max расход среды = 84.3 т/ч.
Материал присоединяемого трубопровода - 08Х18Н10Т; типоразмер трубы 88,9х6; патрубки соосны; тип присоединения - под приварку; строительная длина - не более 520 мм; демонтажный размер - не более 720 мм; рабочее давление 1.0 МПа, рабочая температура 290 °C; среда: дренажная вода; альт. среда: слабосолевой раствор.</t>
        </is>
      </c>
      <c r="AK25" s="45" t="inlineStr">
        <is>
          <t>ПИ;БКП-2;ОТВ, Инженер 3</t>
        </is>
      </c>
      <c r="AL25" s="47" t="n">
        <v>1604220</v>
      </c>
      <c r="AM25" s="45" t="inlineStr">
        <is>
          <t>Клапан регулирующий DN 80 PN 1.0 t 290 °C QA2 3CIIIв AS УХЛ3 ТУ 37-1020-2024</t>
        </is>
      </c>
      <c r="AN25" s="51" t="n">
        <v>20</v>
      </c>
      <c r="AO25" s="52" t="inlineStr">
        <is>
          <t>28.14.13.131</t>
        </is>
      </c>
      <c r="AP25" s="53" t="n">
        <v>1676146.77</v>
      </c>
      <c r="AQ25" s="54" t="n">
        <v>1676146.77</v>
      </c>
      <c r="AR25" s="54" t="n">
        <v>335229.35</v>
      </c>
      <c r="AS25" s="54" t="n">
        <v>2011376.12</v>
      </c>
      <c r="AU25" s="56">
        <f>ROUND(AB25,2)</f>
        <v/>
      </c>
      <c r="AV25" s="57">
        <f>ROUND(AU25*AA25,2)</f>
        <v/>
      </c>
      <c r="AW25" s="57">
        <f>ROUND(AV25*0.2,2)</f>
        <v/>
      </c>
      <c r="AX25" s="57">
        <f>AV25+AW25</f>
        <v/>
      </c>
      <c r="AY25" s="57">
        <f>AU25=AB25</f>
        <v/>
      </c>
      <c r="AZ25" s="57">
        <f>AV25=AC25</f>
        <v/>
      </c>
      <c r="BA25" s="57">
        <f>AW25=AD25</f>
        <v/>
      </c>
      <c r="BB25" s="57">
        <f>AX25=AE25</f>
        <v/>
      </c>
    </row>
    <row r="26" ht="195" customFormat="1" customHeight="1" s="55">
      <c r="A26" s="45" t="n">
        <v>21</v>
      </c>
      <c r="B26" s="45" t="inlineStr">
        <is>
          <t>2.ИСУП.17302935</t>
        </is>
      </c>
      <c r="C26" s="45" t="inlineStr">
        <is>
          <t>10JNA73AA221</t>
        </is>
      </c>
      <c r="D26" s="46" t="inlineStr">
        <is>
          <t>Клапан запорно-регулирующий</t>
        </is>
      </c>
      <c r="E26" s="46" t="inlineStr">
        <is>
          <t>NVA-GCV-0150-AS-600#-M-01</t>
        </is>
      </c>
      <c r="F26" s="45" t="inlineStr">
        <is>
          <t>2ВIIа</t>
        </is>
      </c>
      <c r="G26" s="45" t="inlineStr">
        <is>
          <t>QA4</t>
        </is>
      </c>
      <c r="H26" s="46" t="n">
        <v>150</v>
      </c>
      <c r="I26" s="126" t="n">
        <v>16</v>
      </c>
      <c r="J26" s="126" t="n">
        <v>150</v>
      </c>
      <c r="K26" s="46" t="inlineStr">
        <is>
          <t>Горячая вода; Альт. среда: сетевая вода</t>
        </is>
      </c>
      <c r="L26" s="46" t="n">
        <v>96.7</v>
      </c>
      <c r="M26" s="46" t="n">
        <v>2482.8</v>
      </c>
      <c r="N26" s="46" t="inlineStr">
        <is>
          <t>ручной привод</t>
        </is>
      </c>
      <c r="O26" s="46" t="inlineStr">
        <is>
          <t>ЭПА-120/40-У3</t>
        </is>
      </c>
      <c r="P26" s="46" t="inlineStr">
        <is>
          <t>0,06</t>
        </is>
      </c>
      <c r="Q26" s="46" t="inlineStr">
        <is>
          <t>нж/угл</t>
        </is>
      </c>
      <c r="R26" s="46" t="inlineStr">
        <is>
          <t>под приварку</t>
        </is>
      </c>
      <c r="S26" s="46" t="inlineStr">
        <is>
          <t>TS-AES-GCV-121-QA</t>
        </is>
      </c>
      <c r="T26" s="45" t="inlineStr">
        <is>
          <t>3Н</t>
        </is>
      </c>
      <c r="U26" s="45" t="inlineStr">
        <is>
          <t>I</t>
        </is>
      </c>
      <c r="V26" s="45" t="inlineStr">
        <is>
          <t>AES-PAA1021; AES-PAA1021_B01_KZ_10</t>
        </is>
      </c>
      <c r="W26" s="45" t="inlineStr">
        <is>
          <t>РКД-АЭС-1-021</t>
        </is>
      </c>
      <c r="X26" s="45" t="inlineStr">
        <is>
          <t>01-01.4-10т (10UBA-MCA0021)</t>
        </is>
      </c>
      <c r="Y26" s="45" t="inlineStr">
        <is>
          <t>AES_11171113</t>
        </is>
      </c>
      <c r="Z26" s="45" t="inlineStr">
        <is>
          <t>оборудование</t>
        </is>
      </c>
      <c r="AA26" s="47" t="n">
        <v>1</v>
      </c>
      <c r="AB26" s="48" t="n">
        <v>1701335.35</v>
      </c>
      <c r="AC26" s="139" t="n">
        <v>1701335.35</v>
      </c>
      <c r="AD26" s="139" t="n">
        <v>340267.07</v>
      </c>
      <c r="AE26" s="139" t="n">
        <v>2041602.42</v>
      </c>
      <c r="AF26" s="45" t="inlineStr">
        <is>
          <t>Здание вспомогательных систем (10UKA)</t>
        </is>
      </c>
      <c r="AG26" s="50" t="n">
        <v>45487</v>
      </c>
      <c r="AH26" s="46" t="inlineStr">
        <is>
          <t>АО «Волгапроммаш»</t>
        </is>
      </c>
      <c r="AI26" s="46" t="inlineStr">
        <is>
          <t>РФ</t>
        </is>
      </c>
      <c r="AJ26" s="46" t="inlineStr">
        <is>
          <t>10UAA; tсраб=25 s; при dPmin=0.043 МПа; Характеристика: линейная; DNвх=150; DNвых=150; Max расход среды = 171.9 т/ч.
Материал присоединяемого трубопровода - 08Х18Н10Т; типоразмер трубы 168,3х10; патрубки соосны; тип присоединения - под приварку; строительная длина - не более 520 мм; демонтажный размер - не более 880 мм; рабочее давление 16 МПа, рабочая температура 150 °C; среда: горячая вода; альт. среда: сетевая вода.</t>
        </is>
      </c>
      <c r="AK26" s="45" t="inlineStr">
        <is>
          <t>ПИ;БКП-1;ОТВ, Инженер 6</t>
        </is>
      </c>
      <c r="AL26" s="47" t="n">
        <v>1604431</v>
      </c>
      <c r="AM26" s="45" t="inlineStr">
        <is>
          <t>Клапан регулирующий DN 150 PN 16 t 150 °C QA4 2ВIIа AS УХЛ3 ТУ 37-1021-2024</t>
        </is>
      </c>
      <c r="AN26" s="51" t="n">
        <v>20</v>
      </c>
      <c r="AO26" s="52" t="inlineStr">
        <is>
          <t>28.14.11.121</t>
        </is>
      </c>
      <c r="AP26" s="53" t="n">
        <v>1830186.52</v>
      </c>
      <c r="AQ26" s="54" t="n">
        <v>1830186.52</v>
      </c>
      <c r="AR26" s="54" t="n">
        <v>366037.3</v>
      </c>
      <c r="AS26" s="54" t="n">
        <v>2196223.82</v>
      </c>
      <c r="AU26" s="56">
        <f>ROUND(AB26,2)</f>
        <v/>
      </c>
      <c r="AV26" s="57">
        <f>ROUND(AU26*AA26,2)</f>
        <v/>
      </c>
      <c r="AW26" s="57">
        <f>ROUND(AV26*0.2,2)</f>
        <v/>
      </c>
      <c r="AX26" s="57">
        <f>AV26+AW26</f>
        <v/>
      </c>
      <c r="AY26" s="57">
        <f>AU26=AB26</f>
        <v/>
      </c>
      <c r="AZ26" s="57">
        <f>AV26=AC26</f>
        <v/>
      </c>
      <c r="BA26" s="57">
        <f>AW26=AD26</f>
        <v/>
      </c>
      <c r="BB26" s="57">
        <f>AX26=AE26</f>
        <v/>
      </c>
    </row>
    <row r="27" ht="195" customFormat="1" customHeight="1" s="55">
      <c r="A27" s="45" t="n">
        <v>22</v>
      </c>
      <c r="B27" s="45" t="inlineStr">
        <is>
          <t>2.ИСУП.17303045</t>
        </is>
      </c>
      <c r="C27" s="45" t="inlineStr">
        <is>
          <t>11SBP76AA222</t>
        </is>
      </c>
      <c r="D27" s="46" t="inlineStr">
        <is>
          <t>Клапан регулирующий проходной</t>
        </is>
      </c>
      <c r="E27" s="46" t="inlineStr">
        <is>
          <t>NVA-GCV-0100-SS-2500#-E-02</t>
        </is>
      </c>
      <c r="F27" s="45" t="inlineStr">
        <is>
          <t>-</t>
        </is>
      </c>
      <c r="G27" s="45" t="inlineStr">
        <is>
          <t>QA3</t>
        </is>
      </c>
      <c r="H27" s="46" t="n">
        <v>100</v>
      </c>
      <c r="I27" s="126" t="n">
        <v>1</v>
      </c>
      <c r="J27" s="126" t="n">
        <v>180</v>
      </c>
      <c r="K27" s="46" t="inlineStr">
        <is>
          <t>Питательная вода; Альт. среда: техническая вода</t>
        </is>
      </c>
      <c r="L27" s="46" t="n">
        <v>62.3</v>
      </c>
      <c r="M27" s="46" t="n">
        <v>1602.3</v>
      </c>
      <c r="N27" s="46" t="inlineStr">
        <is>
          <t>ручной привод</t>
        </is>
      </c>
      <c r="O27" s="46" t="inlineStr">
        <is>
          <t>ЭПА-250/60-У3</t>
        </is>
      </c>
      <c r="P27" s="46" t="inlineStr">
        <is>
          <t>0,18</t>
        </is>
      </c>
      <c r="Q27" s="46" t="inlineStr">
        <is>
          <t>нж/угл</t>
        </is>
      </c>
      <c r="R27" s="46" t="inlineStr">
        <is>
          <t>фланцевое</t>
        </is>
      </c>
      <c r="S27" s="46" t="inlineStr">
        <is>
          <t>TS-AES-GCV-122-QC</t>
        </is>
      </c>
      <c r="T27" s="45" t="inlineStr">
        <is>
          <t>4Н</t>
        </is>
      </c>
      <c r="U27" s="45" t="inlineStr">
        <is>
          <t>I</t>
        </is>
      </c>
      <c r="V27" s="45" t="inlineStr">
        <is>
          <t>AES-PAA1022; AES-PAA1022_B01_KZ_11</t>
        </is>
      </c>
      <c r="W27" s="45" t="inlineStr">
        <is>
          <t>ТУ 37-0122-00000000-2024</t>
        </is>
      </c>
      <c r="X27" s="45" t="inlineStr">
        <is>
          <t>01-01.5-22т (11UJA-MCA0022)</t>
        </is>
      </c>
      <c r="Y27" s="45" t="inlineStr">
        <is>
          <t>AES_11171166</t>
        </is>
      </c>
      <c r="Z27" s="45" t="inlineStr">
        <is>
          <t>оборудование</t>
        </is>
      </c>
      <c r="AA27" s="47" t="n">
        <v>1</v>
      </c>
      <c r="AB27" s="48" t="n">
        <v>1194942.03</v>
      </c>
      <c r="AC27" s="139" t="n">
        <v>1194942.03</v>
      </c>
      <c r="AD27" s="139" t="n">
        <v>238988.41</v>
      </c>
      <c r="AE27" s="139" t="n">
        <v>1433930.44</v>
      </c>
      <c r="AF27" s="45" t="inlineStr">
        <is>
          <t>Корпус нормальной эксплуатации (10UCB)</t>
        </is>
      </c>
      <c r="AG27" s="50" t="n">
        <v>45457</v>
      </c>
      <c r="AH27" s="46" t="inlineStr">
        <is>
          <t>АО «Волгапроммаш»</t>
        </is>
      </c>
      <c r="AI27" s="46" t="inlineStr">
        <is>
          <t>РФ</t>
        </is>
      </c>
      <c r="AJ27" s="46" t="inlineStr">
        <is>
          <t>10UAA; tсраб=50 s; при dPmin=0.063 МПа; Характеристика: линейная; DNвх=100; DNвых=100; Max расход среды = 51.4 т/ч.
Материал присоединяемого трубопровода - 08Х18Н10Т; типоразмер трубы 114,3х8; патрубки соосны; тип присоединения - под приварку; строительная длина - не более 400 мм; демонтажный размер - не более 1050 мм; рабочее давление 1.0 МПа, рабочая температура 180 °C; среда: питательная вода; альт. среда: техническая вода.</t>
        </is>
      </c>
      <c r="AK27" s="45" t="inlineStr">
        <is>
          <t>ПИ;БКП-8;ОТВ, Инженер 8</t>
        </is>
      </c>
      <c r="AL27" s="47" t="n">
        <v>1604642</v>
      </c>
      <c r="AM27" s="45" t="inlineStr">
        <is>
          <t>Клапан регулирующий DN 100 PN 1.0 t 180 °C QA3 - SS УХЛ3 ТУ 37-1022-2024</t>
        </is>
      </c>
      <c r="AN27" s="51" t="n">
        <v>20</v>
      </c>
      <c r="AO27" s="52" t="inlineStr">
        <is>
          <t>28.14.11.121</t>
        </is>
      </c>
      <c r="AP27" s="53" t="n">
        <v>1211756.51</v>
      </c>
      <c r="AQ27" s="54" t="n">
        <v>1211756.51</v>
      </c>
      <c r="AR27" s="54" t="n">
        <v>242351.3</v>
      </c>
      <c r="AS27" s="54" t="n">
        <v>1454107.81</v>
      </c>
      <c r="AU27" s="56">
        <f>ROUND(AB27,2)</f>
        <v/>
      </c>
      <c r="AV27" s="57">
        <f>ROUND(AU27*AA27,2)</f>
        <v/>
      </c>
      <c r="AW27" s="57">
        <f>ROUND(AV27*0.2,2)</f>
        <v/>
      </c>
      <c r="AX27" s="57">
        <f>AV27+AW27</f>
        <v/>
      </c>
      <c r="AY27" s="57">
        <f>AU27=AB27</f>
        <v/>
      </c>
      <c r="AZ27" s="57">
        <f>AV27=AC27</f>
        <v/>
      </c>
      <c r="BA27" s="57">
        <f>AW27=AD27</f>
        <v/>
      </c>
      <c r="BB27" s="57">
        <f>AX27=AE27</f>
        <v/>
      </c>
    </row>
    <row r="28" ht="120" customFormat="1" customHeight="1" s="55">
      <c r="A28" s="45" t="n">
        <v>23</v>
      </c>
      <c r="B28" s="45" t="inlineStr">
        <is>
          <t>2.ИСУП.17303163</t>
        </is>
      </c>
      <c r="C28" s="45" t="inlineStr">
        <is>
          <t>12UBA79AA223</t>
        </is>
      </c>
      <c r="D28" s="46" t="inlineStr">
        <is>
          <t>Клапан регулирующий проходной</t>
        </is>
      </c>
      <c r="E28" s="46" t="inlineStr">
        <is>
          <t>NVA-GCV-0065-AS-1500#-E-03</t>
        </is>
      </c>
      <c r="F28" s="45" t="inlineStr">
        <is>
          <t>2ВIIа</t>
        </is>
      </c>
      <c r="G28" s="45" t="inlineStr">
        <is>
          <t>QA3</t>
        </is>
      </c>
      <c r="H28" s="46" t="n">
        <v>65</v>
      </c>
      <c r="I28" s="46" t="n">
        <v>2.5</v>
      </c>
      <c r="J28" s="46" t="n">
        <v>350</v>
      </c>
      <c r="K28" s="46" t="inlineStr">
        <is>
          <t>Конденсат пара; Альт. среда: промывочный раствор</t>
        </is>
      </c>
      <c r="L28" s="46" t="n">
        <v>15.1</v>
      </c>
      <c r="M28" s="46" t="n">
        <v>919.8</v>
      </c>
      <c r="N28" s="46" t="inlineStr">
        <is>
          <t>электропривод</t>
        </is>
      </c>
      <c r="O28" s="46" t="inlineStr">
        <is>
          <t>ЭПА-250/60-У3</t>
        </is>
      </c>
      <c r="P28" s="46" t="inlineStr">
        <is>
          <t>0,18</t>
        </is>
      </c>
      <c r="Q28" s="46" t="inlineStr">
        <is>
          <t>нж/угл</t>
        </is>
      </c>
      <c r="R28" s="46" t="inlineStr">
        <is>
          <t>муфтовое</t>
        </is>
      </c>
      <c r="S28" s="46" t="inlineStr">
        <is>
          <t>TS-AES-GCV-123-QC</t>
        </is>
      </c>
      <c r="T28" s="45" t="inlineStr">
        <is>
          <t>4Н</t>
        </is>
      </c>
      <c r="U28" s="45" t="inlineStr">
        <is>
          <t>III</t>
        </is>
      </c>
      <c r="V28" s="45" t="inlineStr">
        <is>
          <t>AES-PAA1023; AES-PAA1023_B01_KZ_12</t>
        </is>
      </c>
      <c r="W28" s="45" t="inlineStr">
        <is>
          <t>-</t>
        </is>
      </c>
      <c r="X28" s="45" t="inlineStr">
        <is>
          <t>01-01.6-10т (12UKA-MCA0023)</t>
        </is>
      </c>
      <c r="Y28" s="45" t="inlineStr">
        <is>
          <t>AES_11171219</t>
        </is>
      </c>
      <c r="Z28" s="45" t="inlineStr">
        <is>
          <t>оборудование</t>
        </is>
      </c>
      <c r="AA28" s="47" t="n">
        <v>1</v>
      </c>
      <c r="AB28" s="48" t="n">
        <v>2674394.03</v>
      </c>
      <c r="AC28" s="139" t="n">
        <v>2674394.03</v>
      </c>
      <c r="AD28" s="139" t="n">
        <v>534878.8100000001</v>
      </c>
      <c r="AE28" s="139" t="n">
        <v>3209272.84</v>
      </c>
      <c r="AF28" s="45" t="inlineStr">
        <is>
          <t>Здание водоподготовки (10UBA)</t>
        </is>
      </c>
      <c r="AG28" s="50" t="n">
        <v>45517</v>
      </c>
      <c r="AH28" s="46" t="inlineStr">
        <is>
          <t>АО «Северная арматура»</t>
        </is>
      </c>
      <c r="AI28" s="46" t="inlineStr">
        <is>
          <t>Россия</t>
        </is>
      </c>
      <c r="AJ28" s="46" t="inlineStr">
        <is>
          <t>10UAA; tсраб=50 s; при dPmin=0.078 МПа; Характеристика: линейная; DNвх=65; DNвых=65; Max расход среды = 24.1 т/ч.
Материал присоединяемого трубопровода - 08Х18Н10Т; типоразмер трубы 76,1х5; патрубки соосны; тип присоединения - под приварку; строительная длина - не более 240 мм; демонтажный размер - не более 1250 мм; рабочее давление 2.5 МПа, рабочая температура 350 °C; среда: конденсат пара; альт. среда: промывочный раствор.</t>
        </is>
      </c>
      <c r="AK28" s="45" t="inlineStr">
        <is>
          <t>ПИ;БКП-5;ОТВ, Инженер 9</t>
        </is>
      </c>
      <c r="AL28" s="47" t="n">
        <v>1604853</v>
      </c>
      <c r="AM28" s="45" t="inlineStr">
        <is>
          <t>Клапан регулирующий DN 65 PN 2.5 t 350 °C QA3 2ВIIа AS УХЛ3 ТУ 37-1023-2024</t>
        </is>
      </c>
      <c r="AN28" s="51" t="n">
        <v>20</v>
      </c>
      <c r="AO28" s="52" t="inlineStr">
        <is>
          <t>28.14.13.131</t>
        </is>
      </c>
      <c r="AP28" s="53" t="n">
        <v>2824482.34</v>
      </c>
      <c r="AQ28" s="54" t="n">
        <v>2824482.34</v>
      </c>
      <c r="AR28" s="54" t="n">
        <v>564896.47</v>
      </c>
      <c r="AS28" s="54" t="n">
        <v>3389378.81</v>
      </c>
      <c r="AU28" s="56">
        <f>ROUND(AB28,2)</f>
        <v/>
      </c>
      <c r="AV28" s="57">
        <f>ROUND(AU28*AA28,2)</f>
        <v/>
      </c>
      <c r="AW28" s="57">
        <f>ROUND(AV28*0.2,2)</f>
        <v/>
      </c>
      <c r="AX28" s="57">
        <f>AV28+AW28</f>
        <v/>
      </c>
      <c r="AY28" s="57">
        <f>AU28=AB28</f>
        <v/>
      </c>
      <c r="AZ28" s="57">
        <f>AV28=AC28</f>
        <v/>
      </c>
      <c r="BA28" s="57">
        <f>AW28=AD28</f>
        <v/>
      </c>
      <c r="BB28" s="57">
        <f>AX28=AE28</f>
        <v/>
      </c>
    </row>
    <row r="29" ht="270" customFormat="1" customHeight="1" s="55">
      <c r="A29" s="45" t="n">
        <v>24</v>
      </c>
      <c r="B29" s="45" t="inlineStr">
        <is>
          <t>2.ИСУП.17303339</t>
        </is>
      </c>
      <c r="C29" s="45" t="inlineStr">
        <is>
          <t>10JNA82AA224</t>
        </is>
      </c>
      <c r="D29" s="46" t="inlineStr">
        <is>
          <t>Клапан регулирующий проходной</t>
        </is>
      </c>
      <c r="E29" s="46" t="inlineStr">
        <is>
          <t>NVA-GCV-0050-CS-300#-M-01</t>
        </is>
      </c>
      <c r="F29" s="45" t="inlineStr">
        <is>
          <t>3CIIIа</t>
        </is>
      </c>
      <c r="G29" s="45" t="inlineStr">
        <is>
          <t>QA2</t>
        </is>
      </c>
      <c r="H29" s="46" t="n">
        <v>50</v>
      </c>
      <c r="I29" s="46" t="n">
        <v>6.3</v>
      </c>
      <c r="J29" s="46" t="n">
        <v>300</v>
      </c>
      <c r="K29" s="46" t="inlineStr">
        <is>
          <t>Конденсат пара; Альт. среда: промывочный раствор</t>
        </is>
      </c>
      <c r="L29" s="46" t="n">
        <v>9.4</v>
      </c>
      <c r="M29" s="46" t="n">
        <v>467.2</v>
      </c>
      <c r="N29" s="46" t="inlineStr">
        <is>
          <t>встроенный электропривод</t>
        </is>
      </c>
      <c r="O29" s="46" t="inlineStr">
        <is>
          <t>ЭПА-250/60-У3</t>
        </is>
      </c>
      <c r="P29" s="46" t="inlineStr">
        <is>
          <t>0,045</t>
        </is>
      </c>
      <c r="Q29" s="46" t="inlineStr">
        <is>
          <t>легир. сталь</t>
        </is>
      </c>
      <c r="R29" s="46" t="inlineStr">
        <is>
          <t>под приварку</t>
        </is>
      </c>
      <c r="S29" s="46" t="inlineStr">
        <is>
          <t>TS-AES-GCV-124-QC</t>
        </is>
      </c>
      <c r="T29" s="45" t="inlineStr">
        <is>
          <t>3ЗЛ</t>
        </is>
      </c>
      <c r="U29" s="45" t="inlineStr">
        <is>
          <t>II</t>
        </is>
      </c>
      <c r="V29" s="45" t="inlineStr">
        <is>
          <t>AES-PAA1024; AES-PAA1024_B01_KZ_01</t>
        </is>
      </c>
      <c r="W29" s="45" t="inlineStr">
        <is>
          <t>ТУ 37-0124-00000000-2024</t>
        </is>
      </c>
      <c r="X29" s="45" t="inlineStr">
        <is>
          <t>01-01.7-10т (10UJA-MCA0024)</t>
        </is>
      </c>
      <c r="Y29" s="45" t="inlineStr">
        <is>
          <t>AES_11171272</t>
        </is>
      </c>
      <c r="Z29" s="45" t="inlineStr">
        <is>
          <t>оборудование</t>
        </is>
      </c>
      <c r="AA29" s="47" t="n">
        <v>1</v>
      </c>
      <c r="AB29" s="48" t="n">
        <v>2364085.73</v>
      </c>
      <c r="AC29" s="139" t="n">
        <v>2364085.73</v>
      </c>
      <c r="AD29" s="139" t="n">
        <v>472817.15</v>
      </c>
      <c r="AE29" s="139" t="n">
        <v>2836902.88</v>
      </c>
      <c r="AF29" s="45" t="inlineStr">
        <is>
          <t>Насосная станция технической воды (10UQC)</t>
        </is>
      </c>
      <c r="AG29" s="50" t="n">
        <v>45517</v>
      </c>
      <c r="AH29" s="46" t="inlineStr">
        <is>
          <t>ООО «Индустрия клапанов»</t>
        </is>
      </c>
      <c r="AI29" s="46" t="inlineStr">
        <is>
          <t>Россия</t>
        </is>
      </c>
      <c r="AJ29" s="46" t="inlineStr">
        <is>
          <t>10UAA; tсраб=50 s; при dPmin=0.072 МПа; Характеристика: линейная; DNвх=50; DNвых=50; Max расход среды = 28.7 т/ч.
Материал присоединяемого трубопровода - 20; типоразмер трубы 60,3х4; патрубки соосны; тип присоединения - под приварку; строительная длина - не более 520 мм; демонтажный размер - не более 880 мм; рабочее давление 6.3 МПа, рабочая температура 300 °C; среда: конденсат пара; альт. среда: промывочный раствор.</t>
        </is>
      </c>
      <c r="AK29" s="45" t="inlineStr">
        <is>
          <t>ПИ;БКП-3;ОТВ, Инженер 5</t>
        </is>
      </c>
      <c r="AL29" s="47" t="n">
        <v>1605064</v>
      </c>
      <c r="AM29" s="45" t="inlineStr">
        <is>
          <t>Клапан регулирующий DN 50 PN 6.3 t 300 °C QA2 3CIIIа CS УХЛ3 ТУ 37-1024-2024</t>
        </is>
      </c>
      <c r="AN29" s="51" t="n">
        <v>20</v>
      </c>
      <c r="AO29" s="52" t="inlineStr">
        <is>
          <t>28.14.13.131</t>
        </is>
      </c>
      <c r="AP29" s="53" t="n">
        <v>2422419.52</v>
      </c>
      <c r="AQ29" s="54" t="n">
        <v>2422419.52</v>
      </c>
      <c r="AR29" s="54" t="n">
        <v>484483.9</v>
      </c>
      <c r="AS29" s="54" t="n">
        <v>2906903.42</v>
      </c>
      <c r="AU29" s="56">
        <f>ROUND(AB29,2)</f>
        <v/>
      </c>
      <c r="AV29" s="57">
        <f>ROUND(AU29*AA29,2)</f>
        <v/>
      </c>
      <c r="AW29" s="57">
        <f>ROUND(AV29*0.2,2)</f>
        <v/>
      </c>
      <c r="AX29" s="57">
        <f>AV29+AW29</f>
        <v/>
      </c>
      <c r="AY29" s="57">
        <f>AU29=AB29</f>
        <v/>
      </c>
      <c r="AZ29" s="57">
        <f>AV29=AC29</f>
        <v/>
      </c>
      <c r="BA29" s="57">
        <f>AW29=AD29</f>
        <v/>
      </c>
      <c r="BB29" s="57">
        <f>AX29=AE29</f>
        <v/>
      </c>
    </row>
    <row r="30" ht="135" customFormat="1" customHeight="1" s="55">
      <c r="A30" s="45" t="n">
        <v>25</v>
      </c>
      <c r="B30" s="45" t="inlineStr">
        <is>
          <t>2.ИСУП.17303497</t>
        </is>
      </c>
      <c r="C30" s="45" t="inlineStr">
        <is>
          <t>11UJA85AA225</t>
        </is>
      </c>
      <c r="D30" s="46" t="inlineStr">
        <is>
          <t>Клапан регулирующий</t>
        </is>
      </c>
      <c r="E30" s="46" t="inlineStr">
        <is>
          <t>NVA-GCV-0150-AS-900#-M-02</t>
        </is>
      </c>
      <c r="F30" s="45" t="inlineStr">
        <is>
          <t>-</t>
        </is>
      </c>
      <c r="G30" s="45" t="inlineStr">
        <is>
          <t>QA3</t>
        </is>
      </c>
      <c r="H30" s="46" t="n">
        <v>150</v>
      </c>
      <c r="I30" s="126" t="n">
        <v>16</v>
      </c>
      <c r="J30" s="126" t="n">
        <v>335</v>
      </c>
      <c r="K30" s="46" t="inlineStr">
        <is>
          <t>Питательная вода; Альт. среда: техническая вода</t>
        </is>
      </c>
      <c r="L30" s="46" t="n">
        <v>148.2</v>
      </c>
      <c r="M30" s="46" t="n">
        <v>2489</v>
      </c>
      <c r="N30" s="46" t="inlineStr">
        <is>
          <t>электропривод</t>
        </is>
      </c>
      <c r="O30" s="46" t="inlineStr">
        <is>
          <t>МЭП-400/25-У2</t>
        </is>
      </c>
      <c r="P30" s="46" t="inlineStr">
        <is>
          <t>0,18</t>
        </is>
      </c>
      <c r="Q30" s="46" t="inlineStr">
        <is>
          <t>нж</t>
        </is>
      </c>
      <c r="R30" s="46" t="inlineStr">
        <is>
          <t>муфтовое</t>
        </is>
      </c>
      <c r="S30" s="46" t="inlineStr">
        <is>
          <t>TS-AES-GCV-125-QA</t>
        </is>
      </c>
      <c r="T30" s="45" t="inlineStr">
        <is>
          <t>3Н</t>
        </is>
      </c>
      <c r="U30" s="45" t="inlineStr">
        <is>
          <t>I</t>
        </is>
      </c>
      <c r="V30" s="45" t="inlineStr">
        <is>
          <t>AES-PAA1025; AES-PAA1025_B01_KZ_02</t>
        </is>
      </c>
      <c r="W30" s="45" t="inlineStr">
        <is>
          <t>РКД-АЭС-1-025</t>
        </is>
      </c>
      <c r="X30" s="45" t="inlineStr">
        <is>
          <t>01-01.8-35т (11UBA-MCA0025)</t>
        </is>
      </c>
      <c r="Y30" s="45" t="inlineStr">
        <is>
          <t>AES_11171325</t>
        </is>
      </c>
      <c r="Z30" s="45" t="inlineStr">
        <is>
          <t>оборудование</t>
        </is>
      </c>
      <c r="AA30" s="47" t="n">
        <v>1</v>
      </c>
      <c r="AB30" s="48" t="n">
        <v>1753611.95</v>
      </c>
      <c r="AC30" s="139" t="n">
        <v>1753611.95</v>
      </c>
      <c r="AD30" s="139" t="n">
        <v>350722.39</v>
      </c>
      <c r="AE30" s="139" t="n">
        <v>2104334.34</v>
      </c>
      <c r="AF30" s="45" t="inlineStr">
        <is>
          <t>Корпус нормальной эксплуатации (10UCB)</t>
        </is>
      </c>
      <c r="AG30" s="50" t="n">
        <v>45517</v>
      </c>
      <c r="AH30" s="46" t="inlineStr">
        <is>
          <t>АО «Северная арматура»</t>
        </is>
      </c>
      <c r="AI30" s="46" t="inlineStr">
        <is>
          <t>РФ</t>
        </is>
      </c>
      <c r="AJ30" s="46" t="inlineStr">
        <is>
          <t>10UAA; tсраб=60 s; при dPmin=0.032 МПа; Характеристика: линейная; DNвх=150; DNвых=150; Max расход среды = 148.0 т/ч.
Материал присоединяемого трубопровода - 08Х18Н10Т; типоразмер трубы 168,3х10; патрубки соосны; тип присоединения - под приварку; строительная длина - не более 240 мм; демонтажный размер - не более 1050 мм; рабочее давление 16 МПа, рабочая температура 335 °C; среда: питательная вода; альт. среда: техническая вода.</t>
        </is>
      </c>
      <c r="AK30" s="45" t="inlineStr">
        <is>
          <t>ПИ;БКП-1;ОТВ, Инженер 7</t>
        </is>
      </c>
      <c r="AL30" s="47" t="n">
        <v>1605275</v>
      </c>
      <c r="AM30" s="45" t="inlineStr">
        <is>
          <t>Клапан регулирующий DN 150 PN 16 t 335 °C QA3 - AS УХЛ3 ТУ 37-1025-2024</t>
        </is>
      </c>
      <c r="AN30" s="51" t="n">
        <v>20</v>
      </c>
      <c r="AO30" s="52" t="inlineStr">
        <is>
          <t>28.14.11.121</t>
        </is>
      </c>
      <c r="AP30" s="53" t="n">
        <v>1860238.91</v>
      </c>
      <c r="AQ30" s="54" t="n">
        <v>1860238.91</v>
      </c>
      <c r="AR30" s="54" t="n">
        <v>372047.78</v>
      </c>
      <c r="AS30" s="54" t="n">
        <v>2232286.69</v>
      </c>
      <c r="AU30" s="56">
        <f>ROUND(AB30,2)</f>
        <v/>
      </c>
      <c r="AV30" s="57">
        <f>ROUND(AU30*AA30,2)</f>
        <v/>
      </c>
      <c r="AW30" s="57">
        <f>ROUND(AV30*0.2,2)</f>
        <v/>
      </c>
      <c r="AX30" s="57">
        <f>AV30+AW30</f>
        <v/>
      </c>
      <c r="AY30" s="57">
        <f>AU30=AB30</f>
        <v/>
      </c>
      <c r="AZ30" s="57">
        <f>AV30=AC30</f>
        <v/>
      </c>
      <c r="BA30" s="57">
        <f>AW30=AD30</f>
        <v/>
      </c>
      <c r="BB30" s="57">
        <f>AX30=AE30</f>
        <v/>
      </c>
    </row>
    <row r="31" ht="135" customFormat="1" customHeight="1" s="55">
      <c r="A31" s="45" t="n">
        <v>26</v>
      </c>
      <c r="B31" s="45" t="inlineStr">
        <is>
          <t>2.ИСУП.17303650</t>
        </is>
      </c>
      <c r="C31" s="45" t="inlineStr">
        <is>
          <t>12SBC88AA226</t>
        </is>
      </c>
      <c r="D31" s="46" t="inlineStr">
        <is>
          <t>Клапан регулирующий проходной</t>
        </is>
      </c>
      <c r="E31" s="46" t="inlineStr">
        <is>
          <t>NVA-GCV-0020-AS-900#-M-03</t>
        </is>
      </c>
      <c r="F31" s="45" t="inlineStr">
        <is>
          <t>-</t>
        </is>
      </c>
      <c r="G31" s="45" t="inlineStr">
        <is>
          <t>QA4</t>
        </is>
      </c>
      <c r="H31" s="46" t="n">
        <v>20</v>
      </c>
      <c r="I31" s="126" t="n">
        <v>1.6</v>
      </c>
      <c r="J31" s="126" t="n">
        <v>150</v>
      </c>
      <c r="K31" s="46" t="inlineStr">
        <is>
          <t>Дренажная вода; Альт. среда: слабосолевой раствор</t>
        </is>
      </c>
      <c r="L31" s="46" t="n">
        <v>28.6</v>
      </c>
      <c r="M31" s="46" t="n">
        <v>246</v>
      </c>
      <c r="N31" s="46" t="inlineStr">
        <is>
          <t>встроенный электропривод</t>
        </is>
      </c>
      <c r="O31" s="46" t="inlineStr">
        <is>
          <t>МЭП-400/25-У2</t>
        </is>
      </c>
      <c r="P31" s="46" t="inlineStr">
        <is>
          <t>0,06</t>
        </is>
      </c>
      <c r="Q31" s="46" t="inlineStr">
        <is>
          <t>угл</t>
        </is>
      </c>
      <c r="R31" s="46" t="inlineStr">
        <is>
          <t>фланцевое</t>
        </is>
      </c>
      <c r="S31" s="46" t="inlineStr">
        <is>
          <t>TS-AES-GCV-126-QB</t>
        </is>
      </c>
      <c r="T31" s="45" t="inlineStr">
        <is>
          <t>2ЗЛ</t>
        </is>
      </c>
      <c r="U31" s="45" t="inlineStr">
        <is>
          <t>I</t>
        </is>
      </c>
      <c r="V31" s="45" t="inlineStr">
        <is>
          <t>AES-PAA1026; AES-PAA1026_B01_KZ_03</t>
        </is>
      </c>
      <c r="W31" s="45" t="inlineStr">
        <is>
          <t>-</t>
        </is>
      </c>
      <c r="X31" s="45" t="inlineStr">
        <is>
          <t>01-01.9-22т (12UJA-MCA0026)</t>
        </is>
      </c>
      <c r="Y31" s="45" t="inlineStr">
        <is>
          <t>AES_11171378</t>
        </is>
      </c>
      <c r="Z31" s="45" t="inlineStr">
        <is>
          <t>оборудование</t>
        </is>
      </c>
      <c r="AA31" s="47" t="n">
        <v>1</v>
      </c>
      <c r="AB31" s="48" t="n">
        <v>1533885.83</v>
      </c>
      <c r="AC31" s="139" t="n">
        <v>1533885.83</v>
      </c>
      <c r="AD31" s="139" t="n">
        <v>306777.17</v>
      </c>
      <c r="AE31" s="139" t="n">
        <v>1840663</v>
      </c>
      <c r="AF31" s="45" t="inlineStr">
        <is>
          <t>Корпус нормальной эксплуатации (10UCB)</t>
        </is>
      </c>
      <c r="AG31" s="50" t="n">
        <v>45517</v>
      </c>
      <c r="AH31" s="46" t="inlineStr">
        <is>
          <t>ООО «Индустрия клапанов»</t>
        </is>
      </c>
      <c r="AI31" s="46" t="inlineStr">
        <is>
          <t>Россия</t>
        </is>
      </c>
      <c r="AJ31" s="46" t="inlineStr">
        <is>
          <t>10UAA; tсраб=25 s; при dPmin=0.038 МПа; Характеристика: линейная; DNвх=20; DNвых=20; Max расход среды = 17.1 т/ч.
Материал присоединяемого трубопровода - 20; типоразмер трубы 26,9х3,2; патрубки соосны; тип присоединения - под приварку; строительная длина - не более 400 мм; демонтажный размер - не более 720 мм; рабочее давление 1.6 МПа, рабочая температура 150 °C; среда: дренажная вода; альт. среда: слабосолевой раствор.</t>
        </is>
      </c>
      <c r="AK31" s="45" t="inlineStr">
        <is>
          <t>ПИ;БКП-4;ОТВ, Инженер 8</t>
        </is>
      </c>
      <c r="AL31" s="47" t="n">
        <v>1605486</v>
      </c>
      <c r="AM31" s="45" t="inlineStr">
        <is>
          <t>Клапан регулирующий DN 20 PN 1.6 t 150 °C QA4 - AS УХЛ3 ТУ 37-1026-2024</t>
        </is>
      </c>
      <c r="AN31" s="51" t="n">
        <v>20</v>
      </c>
      <c r="AO31" s="52" t="inlineStr">
        <is>
          <t>28.14.11.121</t>
        </is>
      </c>
      <c r="AP31" s="53" t="n">
        <v>1576289.47</v>
      </c>
      <c r="AQ31" s="54" t="n">
        <v>1576289.47</v>
      </c>
      <c r="AR31" s="54" t="n">
        <v>315257.89</v>
      </c>
      <c r="AS31" s="54" t="n">
        <v>1891547.36</v>
      </c>
      <c r="AU31" s="56">
        <f>ROUND(AB31,2)</f>
        <v/>
      </c>
      <c r="AV31" s="57">
        <f>ROUND(AU31*AA31,2)</f>
        <v/>
      </c>
      <c r="AW31" s="57">
        <f>ROUND(AV31*0.2,2)</f>
        <v/>
      </c>
      <c r="AX31" s="57">
        <f>AV31+AW31</f>
        <v/>
      </c>
      <c r="AY31" s="57">
        <f>AU31=AB31</f>
        <v/>
      </c>
      <c r="AZ31" s="57">
        <f>AV31=AC31</f>
        <v/>
      </c>
      <c r="BA31" s="57">
        <f>AW31=AD31</f>
        <v/>
      </c>
      <c r="BB31" s="57">
        <f>AX31=AE31</f>
        <v/>
      </c>
    </row>
    <row r="32" ht="225" customFormat="1" customHeight="1" s="55">
      <c r="A32" s="45" t="n">
        <v>27</v>
      </c>
      <c r="B32" s="45" t="inlineStr">
        <is>
          <t>2.ИСУП.17303768</t>
        </is>
      </c>
      <c r="C32" s="45" t="inlineStr">
        <is>
          <t>10UBA91AA227</t>
        </is>
      </c>
      <c r="D32" s="46" t="inlineStr">
        <is>
          <t>Клапан регулирующий проходной</t>
        </is>
      </c>
      <c r="E32" s="46" t="inlineStr">
        <is>
          <t>NVA-GCV-0025-CS-150#-M-01</t>
        </is>
      </c>
      <c r="F32" s="45" t="inlineStr">
        <is>
          <t>3CIIIа</t>
        </is>
      </c>
      <c r="G32" s="45" t="inlineStr">
        <is>
          <t>QA3</t>
        </is>
      </c>
      <c r="H32" s="46" t="n">
        <v>25</v>
      </c>
      <c r="I32" s="126" t="n">
        <v>0.6</v>
      </c>
      <c r="J32" s="126" t="n">
        <v>290</v>
      </c>
      <c r="K32" s="46" t="inlineStr">
        <is>
          <t>Дренажная вода; Альт. среда: слабосолевой раствор</t>
        </is>
      </c>
      <c r="L32" s="46" t="inlineStr"/>
      <c r="M32" s="46" t="n">
        <v>407.7</v>
      </c>
      <c r="N32" s="46" t="inlineStr">
        <is>
          <t>встроенный электропривод</t>
        </is>
      </c>
      <c r="O32" s="46" t="inlineStr">
        <is>
          <t>ЭПА-250/60-У3</t>
        </is>
      </c>
      <c r="P32" s="46" t="inlineStr">
        <is>
          <t>0,18</t>
        </is>
      </c>
      <c r="Q32" s="46" t="inlineStr">
        <is>
          <t>нж</t>
        </is>
      </c>
      <c r="R32" s="46" t="inlineStr">
        <is>
          <t>муфтовое</t>
        </is>
      </c>
      <c r="S32" s="46" t="inlineStr">
        <is>
          <t>TS-AES-GCV-127-QA</t>
        </is>
      </c>
      <c r="T32" s="45" t="inlineStr">
        <is>
          <t>2Н</t>
        </is>
      </c>
      <c r="U32" s="45" t="inlineStr">
        <is>
          <t>I</t>
        </is>
      </c>
      <c r="V32" s="45" t="inlineStr">
        <is>
          <t>AES-PAA1027; AES-PAA1027_B01_KZ_04</t>
        </is>
      </c>
      <c r="W32" s="45" t="inlineStr">
        <is>
          <t>-</t>
        </is>
      </c>
      <c r="X32" s="45" t="inlineStr">
        <is>
          <t>01-01.1-35т (10UBA-MCA0027)</t>
        </is>
      </c>
      <c r="Y32" s="45" t="inlineStr">
        <is>
          <t>AES_11171431</t>
        </is>
      </c>
      <c r="Z32" s="45" t="inlineStr">
        <is>
          <t>оборудование</t>
        </is>
      </c>
      <c r="AA32" s="47" t="n">
        <v>1</v>
      </c>
      <c r="AB32" s="48" t="n">
        <v>1563066.25</v>
      </c>
      <c r="AC32" s="139" t="n">
        <v>1563066.25</v>
      </c>
      <c r="AD32" s="139" t="n">
        <v>312613.25</v>
      </c>
      <c r="AE32" s="139" t="n">
        <v>1875679.5</v>
      </c>
      <c r="AF32" s="45" t="inlineStr">
        <is>
          <t>Здание вспомогательных систем (10UKA)</t>
        </is>
      </c>
      <c r="AG32" s="50" t="n">
        <v>45517</v>
      </c>
      <c r="AH32" s="46" t="inlineStr">
        <is>
          <t>АО «Волгапроммаш»</t>
        </is>
      </c>
      <c r="AI32" s="46" t="inlineStr">
        <is>
          <t>РФ</t>
        </is>
      </c>
      <c r="AJ32" s="46" t="inlineStr">
        <is>
          <t>10UAA; tсраб=50 s; при dPmin=0.077 МПа; Характеристика: линейная; DNвх=25; DNвых=25; Max расход среды = 10.7 т/ч.
Материал присоединяемого трубопровода - 08Х18Н10Т; типоразмер трубы 33,7х3,2; патрубки соосны; тип присоединения - под приварку; строительная длина - не более 320 мм; демонтажный размер - не более 720 мм; рабочее давление 0.6 МПа, рабочая температура 290 °C; среда: дренажная вода; альт. среда: слабосолевой раствор.</t>
        </is>
      </c>
      <c r="AK32" s="45" t="inlineStr">
        <is>
          <t>ПИ;БКП-6;ОТВ, Инженер 1</t>
        </is>
      </c>
      <c r="AL32" s="47" t="n">
        <v>1605697</v>
      </c>
      <c r="AM32" s="45" t="inlineStr">
        <is>
          <t>Клапан регулирующий DN 25 PN 0.6 t 290 °C QA3 3CIIIа CS УХЛ3 ТУ 37-1027-2024</t>
        </is>
      </c>
      <c r="AN32" s="51" t="n">
        <v>20</v>
      </c>
      <c r="AO32" s="52" t="inlineStr">
        <is>
          <t>28.14.13.131</t>
        </is>
      </c>
      <c r="AP32" s="53" t="n">
        <v>1585364.3</v>
      </c>
      <c r="AQ32" s="54" t="n">
        <v>1585364.3</v>
      </c>
      <c r="AR32" s="54" t="n">
        <v>317072.86</v>
      </c>
      <c r="AS32" s="54" t="n">
        <v>1902437.16</v>
      </c>
      <c r="AU32" s="56">
        <f>ROUND(AB32,2)</f>
        <v/>
      </c>
      <c r="AV32" s="57">
        <f>ROUND(AU32*AA32,2)</f>
        <v/>
      </c>
      <c r="AW32" s="57">
        <f>ROUND(AV32*0.2,2)</f>
        <v/>
      </c>
      <c r="AX32" s="57">
        <f>AV32+AW32</f>
        <v/>
      </c>
      <c r="AY32" s="57">
        <f>AU32=AB32</f>
        <v/>
      </c>
      <c r="AZ32" s="57">
        <f>AV32=AC32</f>
        <v/>
      </c>
      <c r="BA32" s="57">
        <f>AW32=AD32</f>
        <v/>
      </c>
      <c r="BB32" s="57">
        <f>AX32=AE32</f>
        <v/>
      </c>
    </row>
    <row r="33" ht="225" customFormat="1" customHeight="1" s="55">
      <c r="A33" s="45" t="n">
        <v>28</v>
      </c>
      <c r="B33" s="45" t="inlineStr">
        <is>
          <t>2.ИСУП.17303890</t>
        </is>
      </c>
      <c r="C33" s="45" t="inlineStr">
        <is>
          <t>11UBA94AA228</t>
        </is>
      </c>
      <c r="D33" s="46" t="inlineStr">
        <is>
          <t>Клапан запорно-регулирующий</t>
        </is>
      </c>
      <c r="E33" s="46" t="inlineStr">
        <is>
          <t>NVA-GCV-0125-AS-900#-E-02</t>
        </is>
      </c>
      <c r="F33" s="45" t="inlineStr">
        <is>
          <t>-</t>
        </is>
      </c>
      <c r="G33" s="45" t="inlineStr">
        <is>
          <t>QA3</t>
        </is>
      </c>
      <c r="H33" s="46" t="n">
        <v>125</v>
      </c>
      <c r="I33" s="126" t="n">
        <v>6.3</v>
      </c>
      <c r="J33" s="126" t="n">
        <v>290</v>
      </c>
      <c r="K33" s="46" t="inlineStr">
        <is>
          <t>Техническая вода; Альт. среда: обессоленная вода</t>
        </is>
      </c>
      <c r="L33" s="46" t="n">
        <v>72.59999999999999</v>
      </c>
      <c r="M33" s="46" t="n">
        <v>1281.7</v>
      </c>
      <c r="N33" s="46" t="inlineStr">
        <is>
          <t>ручной привод</t>
        </is>
      </c>
      <c r="O33" s="46" t="inlineStr">
        <is>
          <t>ЭПА-120/40-У3</t>
        </is>
      </c>
      <c r="P33" s="46" t="inlineStr">
        <is>
          <t>0,06</t>
        </is>
      </c>
      <c r="Q33" s="46" t="inlineStr">
        <is>
          <t>нж</t>
        </is>
      </c>
      <c r="R33" s="46" t="inlineStr">
        <is>
          <t>под приварку</t>
        </is>
      </c>
      <c r="S33" s="46" t="inlineStr">
        <is>
          <t>TS-AES-GCV-128-QB</t>
        </is>
      </c>
      <c r="T33" s="45" t="inlineStr">
        <is>
          <t>2Н</t>
        </is>
      </c>
      <c r="U33" s="45" t="inlineStr">
        <is>
          <t>III</t>
        </is>
      </c>
      <c r="V33" s="45" t="inlineStr">
        <is>
          <t>AES-PAA1028; AES-PAA1028_B01_KZ_05</t>
        </is>
      </c>
      <c r="W33" s="45" t="inlineStr">
        <is>
          <t>-</t>
        </is>
      </c>
      <c r="X33" s="45" t="inlineStr">
        <is>
          <t>01-01.2-35т (11UJA-MCA0028)</t>
        </is>
      </c>
      <c r="Y33" s="45" t="inlineStr">
        <is>
          <t>AES_11171484</t>
        </is>
      </c>
      <c r="Z33" s="45" t="inlineStr">
        <is>
          <t>оборудование</t>
        </is>
      </c>
      <c r="AA33" s="47" t="n">
        <v>1</v>
      </c>
      <c r="AB33" s="48" t="n">
        <v>709931.5</v>
      </c>
      <c r="AC33" s="139" t="n">
        <v>709931.5</v>
      </c>
      <c r="AD33" s="139" t="n">
        <v>141986.3</v>
      </c>
      <c r="AE33" s="139" t="n">
        <v>851917.8</v>
      </c>
      <c r="AF33" s="45" t="inlineStr">
        <is>
          <t>Здание водоподготовки (10UBA)</t>
        </is>
      </c>
      <c r="AG33" s="50" t="n">
        <v>45517</v>
      </c>
      <c r="AH33" s="46" t="inlineStr">
        <is>
          <t>ООО «Индустрия клапанов»</t>
        </is>
      </c>
      <c r="AI33" s="46" t="inlineStr">
        <is>
          <t>РФ</t>
        </is>
      </c>
      <c r="AJ33" s="46" t="inlineStr">
        <is>
          <t>10UAA; tсраб=40 s; при dPmin=0.049 МПа; Характеристика: линейная; DNвх=125; DNвых=125; Max расход среды = 102.0 т/ч.
Материал присоединяемого трубопровода - 08Х18Н10Т; типоразмер трубы 139,7х9; патрубки соосны; тип присоединения - под приварку; строительная длина - не более 400 мм; демонтажный размер - не более 880 мм; рабочее давление 6.3 МПа, рабочая температура 290 °C; среда: техническая вода; альт. среда: обессоленная вода.</t>
        </is>
      </c>
      <c r="AK33" s="45" t="inlineStr">
        <is>
          <t>ПИ;БКП-8;ОТВ, Инженер 9</t>
        </is>
      </c>
      <c r="AL33" s="47" t="n">
        <v>1605908</v>
      </c>
      <c r="AM33" s="45" t="inlineStr">
        <is>
          <t>Клапан регулирующий DN 125 PN 6.3 t 290 °C QA3 - AS УХЛ3 ТУ 37-1028-2024</t>
        </is>
      </c>
      <c r="AN33" s="51" t="n">
        <v>20</v>
      </c>
      <c r="AO33" s="52" t="inlineStr">
        <is>
          <t>28.14.20.000</t>
        </is>
      </c>
      <c r="AP33" s="53" t="n">
        <v>720740.5699999999</v>
      </c>
      <c r="AQ33" s="54" t="n">
        <v>720740.5699999999</v>
      </c>
      <c r="AR33" s="54" t="n">
        <v>144148.11</v>
      </c>
      <c r="AS33" s="54" t="n">
        <v>864888.6800000001</v>
      </c>
      <c r="AU33" s="56">
        <f>ROUND(AB33,2)</f>
        <v/>
      </c>
      <c r="AV33" s="57">
        <f>ROUND(AU33*AA33,2)</f>
        <v/>
      </c>
      <c r="AW33" s="57">
        <f>ROUND(AV33*0.2,2)</f>
        <v/>
      </c>
      <c r="AX33" s="57">
        <f>AV33+AW33</f>
        <v/>
      </c>
      <c r="AY33" s="57">
        <f>AU33=AB33</f>
        <v/>
      </c>
      <c r="AZ33" s="57">
        <f>AV33=AC33</f>
        <v/>
      </c>
      <c r="BA33" s="57">
        <f>AW33=AD33</f>
        <v/>
      </c>
      <c r="BB33" s="57">
        <f>AX33=AE33</f>
        <v/>
      </c>
    </row>
    <row r="34" ht="195" customFormat="1" customHeight="1" s="55">
      <c r="A34" s="45" t="n">
        <v>29</v>
      </c>
      <c r="B34" s="45" t="inlineStr">
        <is>
          <t>2.ИСУП.17304005</t>
        </is>
      </c>
      <c r="C34" s="45" t="inlineStr">
        <is>
          <t>12UBA97AA229</t>
        </is>
      </c>
      <c r="D34" s="46" t="inlineStr">
        <is>
          <t>Клапан запорно-регулирующий</t>
        </is>
      </c>
      <c r="E34" s="46" t="inlineStr">
        <is>
          <t>NVA-GCV-0125-SS-600#-M-03</t>
        </is>
      </c>
      <c r="F34" s="45" t="inlineStr">
        <is>
          <t>2ВIIа</t>
        </is>
      </c>
      <c r="G34" s="45" t="inlineStr">
        <is>
          <t>QA3</t>
        </is>
      </c>
      <c r="H34" s="46" t="n">
        <v>125</v>
      </c>
      <c r="I34" s="126" t="n">
        <v>20</v>
      </c>
      <c r="J34" s="126" t="n">
        <v>200</v>
      </c>
      <c r="K34" s="46" t="inlineStr">
        <is>
          <t>Горячая вода; Альт. среда: сетевая вода</t>
        </is>
      </c>
      <c r="L34" s="46" t="n">
        <v>194</v>
      </c>
      <c r="M34" s="46" t="n">
        <v>1266.3</v>
      </c>
      <c r="N34" s="46" t="inlineStr">
        <is>
          <t>встроенный электропривод</t>
        </is>
      </c>
      <c r="O34" s="46" t="inlineStr">
        <is>
          <t>ЭПА-120/40-У3</t>
        </is>
      </c>
      <c r="P34" s="46" t="inlineStr">
        <is>
          <t>0,18</t>
        </is>
      </c>
      <c r="Q34" s="46" t="inlineStr">
        <is>
          <t>нж</t>
        </is>
      </c>
      <c r="R34" s="46" t="inlineStr">
        <is>
          <t>фланцевое</t>
        </is>
      </c>
      <c r="S34" s="46" t="inlineStr">
        <is>
          <t>TS-AES-GCV-129-QB</t>
        </is>
      </c>
      <c r="T34" s="45" t="inlineStr">
        <is>
          <t>2ЗЛ</t>
        </is>
      </c>
      <c r="U34" s="45" t="inlineStr">
        <is>
          <t>III</t>
        </is>
      </c>
      <c r="V34" s="45" t="inlineStr">
        <is>
          <t>AES-PAA1029; AES-PAA1029_B01_KZ_06</t>
        </is>
      </c>
      <c r="W34" s="45" t="inlineStr">
        <is>
          <t>ТУ 37-0129-00000000-2024</t>
        </is>
      </c>
      <c r="X34" s="45" t="inlineStr">
        <is>
          <t>01-01.3-22т (12UBA-MCA0029)</t>
        </is>
      </c>
      <c r="Y34" s="45" t="inlineStr">
        <is>
          <t>AES_11171537</t>
        </is>
      </c>
      <c r="Z34" s="45" t="inlineStr">
        <is>
          <t>оборудование</t>
        </is>
      </c>
      <c r="AA34" s="47" t="n">
        <v>1</v>
      </c>
      <c r="AB34" s="48" t="n">
        <v>1265398.48</v>
      </c>
      <c r="AC34" s="139" t="n">
        <v>1265398.48</v>
      </c>
      <c r="AD34" s="139" t="n">
        <v>253079.7</v>
      </c>
      <c r="AE34" s="139" t="n">
        <v>1518478.18</v>
      </c>
      <c r="AF34" s="45" t="inlineStr">
        <is>
          <t>Здание водоподготовки (10UBA)</t>
        </is>
      </c>
      <c r="AG34" s="50" t="n">
        <v>45487</v>
      </c>
      <c r="AH34" s="46" t="inlineStr">
        <is>
          <t>ООО «Индустрия клапанов»</t>
        </is>
      </c>
      <c r="AI34" s="46" t="inlineStr">
        <is>
          <t>Россия</t>
        </is>
      </c>
      <c r="AJ34" s="46" t="inlineStr">
        <is>
          <t>10UAA; tсраб=40 s; при dPmin=0.039 МПа; Характеристика: линейная; DNвх=125; DNвых=125; Max расход среды = 37.6 т/ч.
Материал присоединяемого трубопровода - 08Х18Н10Т; типоразмер трубы 139,7х9; патрубки соосны; тип присоединения - под приварку; строительная длина - не более 650 мм; демонтажный размер - не более 720 мм; рабочее давление 20 МПа, рабочая температура 200 °C; среда: горячая вода; альт. среда: сетевая вода.</t>
        </is>
      </c>
      <c r="AK34" s="45" t="inlineStr">
        <is>
          <t>ПИ;БКП-8;ОТВ, Инженер 7</t>
        </is>
      </c>
      <c r="AL34" s="47" t="n">
        <v>1606119</v>
      </c>
      <c r="AM34" s="45" t="inlineStr">
        <is>
          <t>Клапан регулирующий DN 125 PN 20 t 200 °C QA3 2ВIIа SS УХЛ3 ТУ 37-1029-2024</t>
        </is>
      </c>
      <c r="AN34" s="51" t="n">
        <v>20</v>
      </c>
      <c r="AO34" s="52" t="inlineStr">
        <is>
          <t>28.14.11.121</t>
        </is>
      </c>
      <c r="AP34" s="53" t="n">
        <v>1320456.16</v>
      </c>
      <c r="AQ34" s="54" t="n">
        <v>1320456.16</v>
      </c>
      <c r="AR34" s="54" t="n">
        <v>264091.23</v>
      </c>
      <c r="AS34" s="54" t="n">
        <v>1584547.39</v>
      </c>
      <c r="AU34" s="56">
        <f>ROUND(AB34,2)</f>
        <v/>
      </c>
      <c r="AV34" s="57">
        <f>ROUND(AU34*AA34,2)</f>
        <v/>
      </c>
      <c r="AW34" s="57">
        <f>ROUND(AV34*0.2,2)</f>
        <v/>
      </c>
      <c r="AX34" s="57">
        <f>AV34+AW34</f>
        <v/>
      </c>
      <c r="AY34" s="57">
        <f>AU34=AB34</f>
        <v/>
      </c>
      <c r="AZ34" s="57">
        <f>AV34=AC34</f>
        <v/>
      </c>
      <c r="BA34" s="57">
        <f>AW34=AD34</f>
        <v/>
      </c>
      <c r="BB34" s="57">
        <f>AX34=AE34</f>
        <v/>
      </c>
    </row>
    <row r="35" ht="180" customFormat="1" customHeight="1" s="55">
      <c r="A35" s="45" t="n">
        <v>30</v>
      </c>
      <c r="B35" s="45" t="inlineStr">
        <is>
          <t>2.ИСУП.17304134</t>
        </is>
      </c>
      <c r="C35" s="45" t="inlineStr">
        <is>
          <t>10JNB10AA230</t>
        </is>
      </c>
      <c r="D35" s="46" t="inlineStr">
        <is>
          <t>Клапан запорно-регулирующий</t>
        </is>
      </c>
      <c r="E35" s="46" t="inlineStr">
        <is>
          <t>NVA-GCV-0125-CS-900#-M-01</t>
        </is>
      </c>
      <c r="F35" s="45" t="inlineStr">
        <is>
          <t>3CIIIв</t>
        </is>
      </c>
      <c r="G35" s="45" t="inlineStr">
        <is>
          <t>QA2</t>
        </is>
      </c>
      <c r="H35" s="46" t="n">
        <v>125</v>
      </c>
      <c r="I35" s="126" t="n">
        <v>2.5</v>
      </c>
      <c r="J35" s="126" t="n">
        <v>300</v>
      </c>
      <c r="K35" s="46" t="inlineStr">
        <is>
          <t>Горячая вода; Альт. среда: сетевая вода</t>
        </is>
      </c>
      <c r="L35" s="46" t="n">
        <v>113</v>
      </c>
      <c r="M35" s="46" t="n">
        <v>630.4</v>
      </c>
      <c r="N35" s="46" t="inlineStr">
        <is>
          <t>ручной привод</t>
        </is>
      </c>
      <c r="O35" s="46" t="inlineStr">
        <is>
          <t>ЭПА-120/40-У3</t>
        </is>
      </c>
      <c r="P35" s="46" t="inlineStr">
        <is>
          <t>0,09</t>
        </is>
      </c>
      <c r="Q35" s="46" t="inlineStr">
        <is>
          <t>угл</t>
        </is>
      </c>
      <c r="R35" s="46" t="inlineStr">
        <is>
          <t>под приварку</t>
        </is>
      </c>
      <c r="S35" s="46" t="inlineStr">
        <is>
          <t>TS-AES-GCV-130-QB</t>
        </is>
      </c>
      <c r="T35" s="45" t="inlineStr">
        <is>
          <t>2Н</t>
        </is>
      </c>
      <c r="U35" s="45" t="inlineStr">
        <is>
          <t>II</t>
        </is>
      </c>
      <c r="V35" s="45" t="inlineStr">
        <is>
          <t>AES-PAA1030; AES-PAA1030_B01_KZ_07</t>
        </is>
      </c>
      <c r="W35" s="45" t="inlineStr">
        <is>
          <t>ТУ 37-0130-00000000-2024</t>
        </is>
      </c>
      <c r="X35" s="45" t="inlineStr">
        <is>
          <t>01-01.4-10т (10UBA-MCA0030)</t>
        </is>
      </c>
      <c r="Y35" s="45" t="inlineStr">
        <is>
          <t>AES_11171590</t>
        </is>
      </c>
      <c r="Z35" s="45" t="inlineStr">
        <is>
          <t>оборудование</t>
        </is>
      </c>
      <c r="AA35" s="47" t="n">
        <v>1</v>
      </c>
      <c r="AB35" s="48" t="n">
        <v>1323433.25</v>
      </c>
      <c r="AC35" s="139" t="n">
        <v>1323433.25</v>
      </c>
      <c r="AD35" s="139" t="n">
        <v>264686.65</v>
      </c>
      <c r="AE35" s="139" t="n">
        <v>1588119.9</v>
      </c>
      <c r="AF35" s="45" t="inlineStr">
        <is>
          <t>Реакторное здание (10UJA)</t>
        </is>
      </c>
      <c r="AG35" s="50" t="n">
        <v>45547</v>
      </c>
      <c r="AH35" s="46" t="inlineStr">
        <is>
          <t>АО «Волгапроммаш»</t>
        </is>
      </c>
      <c r="AI35" s="46" t="inlineStr">
        <is>
          <t>РФ</t>
        </is>
      </c>
      <c r="AJ35" s="46" t="inlineStr">
        <is>
          <t>10UAA; tсраб=40 s; при dPmin=0.073 МПа; Характеристика: линейная; DNвх=125; DNвых=125; Max расход среды = 131.4 т/ч.
Материал присоединяемого трубопровода - 20; типоразмер трубы 139,7х9; патрубки соосны; тип присоединения - под приварку; строительная длина - не более 520 мм; демонтажный размер - не более 1050 мм; рабочее давление 2.5 МПа, рабочая температура 300 °C; среда: горячая вода; альт. среда: сетевая вода.</t>
        </is>
      </c>
      <c r="AK35" s="45" t="inlineStr">
        <is>
          <t>ПИ;БКП-4;ОТВ, Инженер 3</t>
        </is>
      </c>
      <c r="AL35" s="47" t="n">
        <v>1606330</v>
      </c>
      <c r="AM35" s="45" t="inlineStr">
        <is>
          <t>Клапан регулирующий DN 125 PN 2.5 t 300 °C QA2 3CIIIв CS УХЛ3 ТУ 37-1030-2024</t>
        </is>
      </c>
      <c r="AN35" s="51" t="n">
        <v>20</v>
      </c>
      <c r="AO35" s="52" t="inlineStr">
        <is>
          <t>28.14.11.121</t>
        </is>
      </c>
      <c r="AP35" s="53" t="n">
        <v>1353302.02</v>
      </c>
      <c r="AQ35" s="54" t="n">
        <v>1353302.02</v>
      </c>
      <c r="AR35" s="54" t="n">
        <v>270660.4</v>
      </c>
      <c r="AS35" s="54" t="n">
        <v>1623962.42</v>
      </c>
      <c r="AU35" s="56">
        <f>ROUND(AB35,2)</f>
        <v/>
      </c>
      <c r="AV35" s="57">
        <f>ROUND(AU35*AA35,2)</f>
        <v/>
      </c>
      <c r="AW35" s="57">
        <f>ROUND(AV35*0.2,2)</f>
        <v/>
      </c>
      <c r="AX35" s="57">
        <f>AV35+AW35</f>
        <v/>
      </c>
      <c r="AY35" s="57">
        <f>AU35=AB35</f>
        <v/>
      </c>
      <c r="AZ35" s="57">
        <f>AV35=AC35</f>
        <v/>
      </c>
      <c r="BA35" s="57">
        <f>AW35=AD35</f>
        <v/>
      </c>
      <c r="BB35" s="57">
        <f>AX35=AE35</f>
        <v/>
      </c>
    </row>
    <row r="36" ht="180" customFormat="1" customHeight="1" s="55">
      <c r="A36" s="45" t="n">
        <v>31</v>
      </c>
      <c r="B36" s="45" t="inlineStr">
        <is>
          <t>2.ИСУП.17304300</t>
        </is>
      </c>
      <c r="C36" s="45" t="inlineStr">
        <is>
          <t>11QKB13AA231</t>
        </is>
      </c>
      <c r="D36" s="46" t="inlineStr">
        <is>
          <t>Клапан регулирующий</t>
        </is>
      </c>
      <c r="E36" s="46" t="inlineStr">
        <is>
          <t>NVA-GCV-0150-AS-2500#-E-02</t>
        </is>
      </c>
      <c r="F36" s="45" t="inlineStr">
        <is>
          <t>4CIV</t>
        </is>
      </c>
      <c r="G36" s="45" t="inlineStr">
        <is>
          <t>QA3</t>
        </is>
      </c>
      <c r="H36" s="46" t="n">
        <v>150</v>
      </c>
      <c r="I36" s="126" t="n">
        <v>9.800000000000001</v>
      </c>
      <c r="J36" s="126" t="n">
        <v>290</v>
      </c>
      <c r="K36" s="46" t="inlineStr">
        <is>
          <t>Конденсат пара; Альт. среда: промывочный раствор</t>
        </is>
      </c>
      <c r="L36" s="46" t="n">
        <v>90.5</v>
      </c>
      <c r="M36" s="46" t="n">
        <v>887.7</v>
      </c>
      <c r="N36" s="46" t="inlineStr">
        <is>
          <t>электропривод</t>
        </is>
      </c>
      <c r="O36" s="46" t="inlineStr">
        <is>
          <t>РПМ-80/30-УХЛ3</t>
        </is>
      </c>
      <c r="P36" s="46" t="inlineStr">
        <is>
          <t>0,06</t>
        </is>
      </c>
      <c r="Q36" s="46" t="inlineStr">
        <is>
          <t>легир. сталь</t>
        </is>
      </c>
      <c r="R36" s="46" t="inlineStr">
        <is>
          <t>муфтовое</t>
        </is>
      </c>
      <c r="S36" s="46" t="inlineStr">
        <is>
          <t>TS-AES-GCV-131-QC</t>
        </is>
      </c>
      <c r="T36" s="45" t="inlineStr">
        <is>
          <t>2ЗЛ</t>
        </is>
      </c>
      <c r="U36" s="45" t="inlineStr">
        <is>
          <t>II</t>
        </is>
      </c>
      <c r="V36" s="45" t="inlineStr">
        <is>
          <t>AES-PAA1031; AES-PAA1031_B01_KZ_08</t>
        </is>
      </c>
      <c r="W36" s="45" t="inlineStr">
        <is>
          <t>ТУ 37-0131-00000000-2024</t>
        </is>
      </c>
      <c r="X36" s="45" t="inlineStr">
        <is>
          <t>01-01.5-35т (11UJA-MCA0031)</t>
        </is>
      </c>
      <c r="Y36" s="45" t="inlineStr">
        <is>
          <t>AES_11171643</t>
        </is>
      </c>
      <c r="Z36" s="45" t="inlineStr">
        <is>
          <t>оборудование</t>
        </is>
      </c>
      <c r="AA36" s="47" t="n">
        <v>1</v>
      </c>
      <c r="AB36" s="48" t="n">
        <v>869192.03</v>
      </c>
      <c r="AC36" s="139" t="n">
        <v>869192.03</v>
      </c>
      <c r="AD36" s="139" t="n">
        <v>173838.41</v>
      </c>
      <c r="AE36" s="139" t="n">
        <v>1043030.44</v>
      </c>
      <c r="AF36" s="45" t="inlineStr">
        <is>
          <t>Насосная станция технической воды (10UQC)</t>
        </is>
      </c>
      <c r="AG36" s="50" t="n">
        <v>45487</v>
      </c>
      <c r="AH36" s="46" t="inlineStr">
        <is>
          <t>АО «Северная арматура»</t>
        </is>
      </c>
      <c r="AI36" s="46" t="inlineStr">
        <is>
          <t>Россия</t>
        </is>
      </c>
      <c r="AJ36" s="46" t="inlineStr">
        <is>
          <t>10UAA; tсраб=60 s; при dPmin=0.046 МПа; Характеристика: линейная; DNвх=150; DNвых=150; Max расход среды = 66.1 т/ч.
Материал присоединяемого трубопровода - 20; типоразмер трубы 168,3х10; патрубки соосны; тип присоединения - под приварку; строительная длина - не более 240 мм; демонтажный размер - не более 1250 мм; рабочее давление 9.8 МПа, рабочая температура 290 °C; среда: конденсат пара; альт. среда: промывочный раствор.</t>
        </is>
      </c>
      <c r="AK36" s="45" t="inlineStr">
        <is>
          <t>ПИ;БКП-2;ОТВ, Инженер 8</t>
        </is>
      </c>
      <c r="AL36" s="47" t="n">
        <v>1606541</v>
      </c>
      <c r="AM36" s="45" t="inlineStr">
        <is>
          <t>Клапан регулирующий DN 150 PN 9.8 t 290 °C QA3 4CIV AS УХЛ3 ТУ 37-1031-2024</t>
        </is>
      </c>
      <c r="AN36" s="51" t="n">
        <v>20</v>
      </c>
      <c r="AO36" s="52" t="inlineStr">
        <is>
          <t>28.14.13.131</t>
        </is>
      </c>
      <c r="AP36" s="53" t="n">
        <v>931456.52</v>
      </c>
      <c r="AQ36" s="54" t="n">
        <v>931456.52</v>
      </c>
      <c r="AR36" s="54" t="n">
        <v>186291.3</v>
      </c>
      <c r="AS36" s="54" t="n">
        <v>1117747.82</v>
      </c>
      <c r="AU36" s="56">
        <f>ROUND(AB36,2)</f>
        <v/>
      </c>
      <c r="AV36" s="57">
        <f>ROUND(AU36*AA36,2)</f>
        <v/>
      </c>
      <c r="AW36" s="57">
        <f>ROUND(AV36*0.2,2)</f>
        <v/>
      </c>
      <c r="AX36" s="57">
        <f>AV36+AW36</f>
        <v/>
      </c>
      <c r="AY36" s="57">
        <f>AU36=AB36</f>
        <v/>
      </c>
      <c r="AZ36" s="57">
        <f>AV36=AC36</f>
        <v/>
      </c>
      <c r="BA36" s="57">
        <f>AW36=AD36</f>
        <v/>
      </c>
      <c r="BB36" s="57">
        <f>AX36=AE36</f>
        <v/>
      </c>
    </row>
    <row r="37" ht="150" customFormat="1" customHeight="1" s="55">
      <c r="A37" s="45" t="n">
        <v>32</v>
      </c>
      <c r="B37" s="45" t="inlineStr">
        <is>
          <t>2.ИСУП.17304436</t>
        </is>
      </c>
      <c r="C37" s="45" t="inlineStr">
        <is>
          <t>12LCQ16AA232</t>
        </is>
      </c>
      <c r="D37" s="46" t="inlineStr">
        <is>
          <t>Клапан регулирующий</t>
        </is>
      </c>
      <c r="E37" s="46" t="inlineStr">
        <is>
          <t>NVA-GCV-0020-CS-1500#-E-03</t>
        </is>
      </c>
      <c r="F37" s="45" t="inlineStr">
        <is>
          <t>4CIV</t>
        </is>
      </c>
      <c r="G37" s="45" t="inlineStr">
        <is>
          <t>QA4</t>
        </is>
      </c>
      <c r="H37" s="46" t="n">
        <v>20</v>
      </c>
      <c r="I37" s="126" t="n">
        <v>9.800000000000001</v>
      </c>
      <c r="J37" s="126" t="n">
        <v>290</v>
      </c>
      <c r="K37" s="46" t="inlineStr">
        <is>
          <t>Горячая вода; Альт. среда: сетевая вода</t>
        </is>
      </c>
      <c r="L37" s="46" t="inlineStr"/>
      <c r="M37" s="46" t="n">
        <v>301.3</v>
      </c>
      <c r="N37" s="46" t="inlineStr">
        <is>
          <t>ручной привод</t>
        </is>
      </c>
      <c r="O37" s="46" t="inlineStr">
        <is>
          <t>ЭПА-250/60-У3</t>
        </is>
      </c>
      <c r="P37" s="46" t="inlineStr">
        <is>
          <t>0,09</t>
        </is>
      </c>
      <c r="Q37" s="46" t="inlineStr">
        <is>
          <t>нж</t>
        </is>
      </c>
      <c r="R37" s="46" t="inlineStr">
        <is>
          <t>муфтовое</t>
        </is>
      </c>
      <c r="S37" s="46" t="inlineStr">
        <is>
          <t>TS-AES-GCV-132-QC</t>
        </is>
      </c>
      <c r="T37" s="45" t="inlineStr">
        <is>
          <t>2ЗЛ</t>
        </is>
      </c>
      <c r="U37" s="45" t="inlineStr">
        <is>
          <t>III</t>
        </is>
      </c>
      <c r="V37" s="45" t="inlineStr">
        <is>
          <t>AES-PAA1032; AES-PAA1032_B01_KZ_09</t>
        </is>
      </c>
      <c r="W37" s="45" t="inlineStr">
        <is>
          <t>РКД-АЭС-1-032</t>
        </is>
      </c>
      <c r="X37" s="45" t="inlineStr">
        <is>
          <t>01-01.6-35т (12UKA-MCA0032)</t>
        </is>
      </c>
      <c r="Y37" s="45" t="inlineStr">
        <is>
          <t>AES_11171696</t>
        </is>
      </c>
      <c r="Z37" s="45" t="inlineStr">
        <is>
          <t>оборудование</t>
        </is>
      </c>
      <c r="AA37" s="47" t="n">
        <v>1</v>
      </c>
      <c r="AB37" s="48" t="n">
        <v>1717721.02</v>
      </c>
      <c r="AC37" s="139" t="n">
        <v>1717721.02</v>
      </c>
      <c r="AD37" s="139" t="n">
        <v>343544.2</v>
      </c>
      <c r="AE37" s="139" t="n">
        <v>2061265.22</v>
      </c>
      <c r="AF37" s="45" t="inlineStr">
        <is>
          <t>Насосная станция технической воды (10UQC)</t>
        </is>
      </c>
      <c r="AG37" s="50" t="n">
        <v>45577</v>
      </c>
      <c r="AH37" s="46" t="inlineStr">
        <is>
          <t>АО «Волгапроммаш»</t>
        </is>
      </c>
      <c r="AI37" s="46" t="inlineStr">
        <is>
          <t>Россия</t>
        </is>
      </c>
      <c r="AJ37" s="46" t="inlineStr">
        <is>
          <t>10UAA; tсраб=25 s; при dPmin=0.059 МПа; Характеристика: линейная; DNвх=20; DNвых=20; Max расход среды = 14.1 т/ч.
Материал присоединяемого трубопровода - 08Х18Н10Т; типоразмер трубы 26,9х3,2; патрубки соосны; тип присоединения - под приварку; строительная длина - не более 520 мм; демонтажный размер - не более 720 мм; рабочее давление 9.8 МПа, рабочая температура 290 °C; среда: горячая вода; альт. среда: сетевая вода.</t>
        </is>
      </c>
      <c r="AK37" s="45" t="inlineStr">
        <is>
          <t>ПИ;БКП-4;ОТВ, Инженер 2</t>
        </is>
      </c>
      <c r="AL37" s="47" t="n">
        <v>1606752</v>
      </c>
      <c r="AM37" s="45" t="inlineStr">
        <is>
          <t>Клапан регулирующий DN 20 PN 9.8 t 290 °C QA4 4CIV CS УХЛ3 ТУ 37-1032-2024</t>
        </is>
      </c>
      <c r="AN37" s="51" t="n">
        <v>20</v>
      </c>
      <c r="AO37" s="52" t="inlineStr">
        <is>
          <t>28.14.11.121</t>
        </is>
      </c>
      <c r="AP37" s="53" t="n">
        <v>1827753.05</v>
      </c>
      <c r="AQ37" s="54" t="n">
        <v>1827753.05</v>
      </c>
      <c r="AR37" s="54" t="n">
        <v>365550.61</v>
      </c>
      <c r="AS37" s="54" t="n">
        <v>2193303.66</v>
      </c>
      <c r="AU37" s="56">
        <f>ROUND(AB37,2)</f>
        <v/>
      </c>
      <c r="AV37" s="57">
        <f>ROUND(AU37*AA37,2)</f>
        <v/>
      </c>
      <c r="AW37" s="57">
        <f>ROUND(AV37*0.2,2)</f>
        <v/>
      </c>
      <c r="AX37" s="57">
        <f>AV37+AW37</f>
        <v/>
      </c>
      <c r="AY37" s="57">
        <f>AU37=AB37</f>
        <v/>
      </c>
      <c r="AZ37" s="57">
        <f>AV37=AC37</f>
        <v/>
      </c>
      <c r="BA37" s="57">
        <f>AW37=AD37</f>
        <v/>
      </c>
      <c r="BB37" s="57">
        <f>AX37=AE37</f>
        <v/>
      </c>
    </row>
    <row r="38" ht="150" customFormat="1" customHeight="1" s="55">
      <c r="A38" s="45" t="n">
        <v>33</v>
      </c>
      <c r="B38" s="45" t="inlineStr">
        <is>
          <t>2.ИСУП.17304532</t>
        </is>
      </c>
      <c r="C38" s="45" t="inlineStr">
        <is>
          <t>10LCQ19AA233</t>
        </is>
      </c>
      <c r="D38" s="46" t="inlineStr">
        <is>
          <t>Клапан запорно-регулирующий</t>
        </is>
      </c>
      <c r="E38" s="46" t="inlineStr">
        <is>
          <t>NVA-GCV-0015-SS-600#-E-01</t>
        </is>
      </c>
      <c r="F38" s="45" t="inlineStr">
        <is>
          <t>2ВIIа</t>
        </is>
      </c>
      <c r="G38" s="45" t="inlineStr">
        <is>
          <t>QA3</t>
        </is>
      </c>
      <c r="H38" s="46" t="n">
        <v>15</v>
      </c>
      <c r="I38" s="126" t="n">
        <v>11</v>
      </c>
      <c r="J38" s="126" t="n">
        <v>350</v>
      </c>
      <c r="K38" s="46" t="inlineStr">
        <is>
          <t>Питательная вода; Альт. среда: техническая вода</t>
        </is>
      </c>
      <c r="L38" s="46" t="n">
        <v>11.4</v>
      </c>
      <c r="M38" s="46" t="n">
        <v>189.6</v>
      </c>
      <c r="N38" s="46" t="inlineStr">
        <is>
          <t>ручной привод</t>
        </is>
      </c>
      <c r="O38" s="46" t="inlineStr">
        <is>
          <t>МЭП-400/25-У2</t>
        </is>
      </c>
      <c r="P38" s="46" t="inlineStr">
        <is>
          <t>0,09</t>
        </is>
      </c>
      <c r="Q38" s="46" t="inlineStr">
        <is>
          <t>угл</t>
        </is>
      </c>
      <c r="R38" s="46" t="inlineStr">
        <is>
          <t>под приварку</t>
        </is>
      </c>
      <c r="S38" s="46" t="inlineStr">
        <is>
          <t>TS-AES-GCV-133-QC</t>
        </is>
      </c>
      <c r="T38" s="45" t="inlineStr">
        <is>
          <t>3ЗЛ</t>
        </is>
      </c>
      <c r="U38" s="45" t="inlineStr">
        <is>
          <t>II</t>
        </is>
      </c>
      <c r="V38" s="45" t="inlineStr">
        <is>
          <t>AES-PAA1033; AES-PAA1033_B01_KZ_10</t>
        </is>
      </c>
      <c r="W38" s="45" t="inlineStr">
        <is>
          <t>ТУ 37-0133-00000000-2024</t>
        </is>
      </c>
      <c r="X38" s="45" t="inlineStr">
        <is>
          <t>01-01.7-22т (10UKA-MCA0033)</t>
        </is>
      </c>
      <c r="Y38" s="45" t="inlineStr">
        <is>
          <t>AES_11171749</t>
        </is>
      </c>
      <c r="Z38" s="45" t="inlineStr">
        <is>
          <t>оборудование</t>
        </is>
      </c>
      <c r="AA38" s="47" t="n">
        <v>1</v>
      </c>
      <c r="AB38" s="48" t="n">
        <v>972363.99</v>
      </c>
      <c r="AC38" s="139" t="n">
        <v>972363.99</v>
      </c>
      <c r="AD38" s="139" t="n">
        <v>194472.8</v>
      </c>
      <c r="AE38" s="139" t="n">
        <v>1166836.79</v>
      </c>
      <c r="AF38" s="45" t="inlineStr">
        <is>
          <t>Реакторное здание (10UJA)</t>
        </is>
      </c>
      <c r="AG38" s="50" t="n">
        <v>45577</v>
      </c>
      <c r="AH38" s="46" t="inlineStr">
        <is>
          <t>ООО «Индустрия клапанов»</t>
        </is>
      </c>
      <c r="AI38" s="46" t="inlineStr">
        <is>
          <t>РФ</t>
        </is>
      </c>
      <c r="AJ38" s="46" t="inlineStr">
        <is>
          <t>10UAA; tсраб=50 s; при dPmin=0.074 МПа; Характеристика: линейная; DNвх=15; DNвых=15; Max расход среды = 15.9 т/ч.
Материал присоединяемого трубопровода - 20; типоразмер трубы 21,3х2,8; патрубки соосны; тип присоединения - под приварку; строительная длина - не более 520 мм; демонтажный размер - не более 1050 мм; рабочее давление 11 МПа, рабочая температура 350 °C; среда: питательная вода; альт. среда: техническая вода.</t>
        </is>
      </c>
      <c r="AK38" s="45" t="inlineStr">
        <is>
          <t>ПИ;БКП-3;ОТВ, Инженер 2</t>
        </is>
      </c>
      <c r="AL38" s="47" t="n">
        <v>1606963</v>
      </c>
      <c r="AM38" s="45" t="inlineStr">
        <is>
          <t>Клапан регулирующий DN 15 PN 11 t 350 °C QA3 2ВIIа SS УХЛ3 ТУ 37-1033-2024</t>
        </is>
      </c>
      <c r="AN38" s="51" t="n">
        <v>20</v>
      </c>
      <c r="AO38" s="52" t="inlineStr">
        <is>
          <t>28.14.11.121</t>
        </is>
      </c>
      <c r="AP38" s="53" t="n">
        <v>1035126.97</v>
      </c>
      <c r="AQ38" s="54" t="n">
        <v>1035126.97</v>
      </c>
      <c r="AR38" s="54" t="n">
        <v>207025.39</v>
      </c>
      <c r="AS38" s="54" t="n">
        <v>1242152.36</v>
      </c>
      <c r="AU38" s="56">
        <f>ROUND(AB38,2)</f>
        <v/>
      </c>
      <c r="AV38" s="57">
        <f>ROUND(AU38*AA38,2)</f>
        <v/>
      </c>
      <c r="AW38" s="57">
        <f>ROUND(AV38*0.2,2)</f>
        <v/>
      </c>
      <c r="AX38" s="57">
        <f>AV38+AW38</f>
        <v/>
      </c>
      <c r="AY38" s="57">
        <f>AU38=AB38</f>
        <v/>
      </c>
      <c r="AZ38" s="57">
        <f>AV38=AC38</f>
        <v/>
      </c>
      <c r="BA38" s="57">
        <f>AW38=AD38</f>
        <v/>
      </c>
      <c r="BB38" s="57">
        <f>AX38=AE38</f>
        <v/>
      </c>
    </row>
    <row r="39" ht="120" customFormat="1" customHeight="1" s="55">
      <c r="A39" s="45" t="n">
        <v>34</v>
      </c>
      <c r="B39" s="45" t="inlineStr">
        <is>
          <t>2.ИСУП.17304678</t>
        </is>
      </c>
      <c r="C39" s="45" t="inlineStr">
        <is>
          <t>11SBC22AA234</t>
        </is>
      </c>
      <c r="D39" s="46" t="inlineStr">
        <is>
          <t>Клапан запорно-регулирующий</t>
        </is>
      </c>
      <c r="E39" s="46" t="inlineStr">
        <is>
          <t>NVA-GCV-0010-AS-2500#-M-02</t>
        </is>
      </c>
      <c r="F39" s="45" t="inlineStr">
        <is>
          <t>4CIV</t>
        </is>
      </c>
      <c r="G39" s="45" t="inlineStr">
        <is>
          <t>QA3</t>
        </is>
      </c>
      <c r="H39" s="46" t="n">
        <v>10</v>
      </c>
      <c r="I39" s="46" t="n">
        <v>11</v>
      </c>
      <c r="J39" s="46" t="n">
        <v>150</v>
      </c>
      <c r="K39" s="46" t="inlineStr">
        <is>
          <t>Сжатый воздух; Альт. среда: азот</t>
        </is>
      </c>
      <c r="L39" s="46" t="inlineStr"/>
      <c r="M39" s="46" t="n">
        <v>150.7</v>
      </c>
      <c r="N39" s="46" t="inlineStr">
        <is>
          <t>электропривод</t>
        </is>
      </c>
      <c r="O39" s="46" t="inlineStr">
        <is>
          <t>РПМ-80/30-УХЛ3</t>
        </is>
      </c>
      <c r="P39" s="46" t="inlineStr">
        <is>
          <t>0,18</t>
        </is>
      </c>
      <c r="Q39" s="46" t="inlineStr">
        <is>
          <t>нж/угл</t>
        </is>
      </c>
      <c r="R39" s="46" t="inlineStr">
        <is>
          <t>фланцевое</t>
        </is>
      </c>
      <c r="S39" s="46" t="inlineStr">
        <is>
          <t>TS-AES-GCV-134-QB</t>
        </is>
      </c>
      <c r="T39" s="45" t="inlineStr">
        <is>
          <t>4Н</t>
        </is>
      </c>
      <c r="U39" s="45" t="inlineStr">
        <is>
          <t>II</t>
        </is>
      </c>
      <c r="V39" s="45" t="inlineStr">
        <is>
          <t>AES-PAA1034; AES-PAA1034_B01_KZ_11</t>
        </is>
      </c>
      <c r="W39" s="45" t="inlineStr">
        <is>
          <t>РКД-АЭС-1-034</t>
        </is>
      </c>
      <c r="X39" s="45" t="inlineStr">
        <is>
          <t>01-01.8-22т (11UJA-MCA0034)</t>
        </is>
      </c>
      <c r="Y39" s="45" t="inlineStr">
        <is>
          <t>AES_11171802</t>
        </is>
      </c>
      <c r="Z39" s="45" t="inlineStr">
        <is>
          <t>оборудование</t>
        </is>
      </c>
      <c r="AA39" s="47" t="n">
        <v>1</v>
      </c>
      <c r="AB39" s="48" t="n">
        <v>1087907.68</v>
      </c>
      <c r="AC39" s="139" t="n">
        <v>1087907.68</v>
      </c>
      <c r="AD39" s="139" t="n">
        <v>217581.54</v>
      </c>
      <c r="AE39" s="139" t="n">
        <v>1305489.22</v>
      </c>
      <c r="AF39" s="45" t="inlineStr">
        <is>
          <t>Реакторное здание (10UJA)</t>
        </is>
      </c>
      <c r="AG39" s="50" t="n">
        <v>45607</v>
      </c>
      <c r="AH39" s="46" t="inlineStr">
        <is>
          <t>ООО «Техноарматура»</t>
        </is>
      </c>
      <c r="AI39" s="46" t="inlineStr">
        <is>
          <t>Россия</t>
        </is>
      </c>
      <c r="AJ39" s="46" t="inlineStr">
        <is>
          <t>10UAA; tсраб=40 s; при dPmin=0.058 МПа; Характеристика: линейная; DNвх=10; DNвых=10; Max расход среды = 7.2 т/ч.
Материал присоединяемого трубопровода - 08Х18Н10Т; типоразмер трубы 17,2х2,3; патрубки соосны; тип присоединения - под приварку; строительная длина - не более 320 мм; демонтажный размер - не более 720 мм; рабочее давление 11 МПа, рабочая температура 150 °C; среда: сжатый воздух; альт. среда: азот.</t>
        </is>
      </c>
      <c r="AK39" s="45" t="inlineStr">
        <is>
          <t>ПИ;БКП-6;ОТВ, Инженер 5</t>
        </is>
      </c>
      <c r="AL39" s="47" t="n">
        <v>1607174</v>
      </c>
      <c r="AM39" s="45" t="inlineStr">
        <is>
          <t>Клапан регулирующий DN 10 PN 11 t 150 °C QA3 4CIV AS УХЛ3 ТУ 37-1034-2024</t>
        </is>
      </c>
      <c r="AN39" s="51" t="n">
        <v>20</v>
      </c>
      <c r="AO39" s="52" t="inlineStr">
        <is>
          <t>28.14.20.000</t>
        </is>
      </c>
      <c r="AP39" s="53" t="n">
        <v>1138442.02</v>
      </c>
      <c r="AQ39" s="54" t="n">
        <v>1138442.02</v>
      </c>
      <c r="AR39" s="54" t="n">
        <v>227688.4</v>
      </c>
      <c r="AS39" s="54" t="n">
        <v>1366130.42</v>
      </c>
      <c r="AU39" s="56">
        <f>ROUND(AB39,2)</f>
        <v/>
      </c>
      <c r="AV39" s="57">
        <f>ROUND(AU39*AA39,2)</f>
        <v/>
      </c>
      <c r="AW39" s="57">
        <f>ROUND(AV39*0.2,2)</f>
        <v/>
      </c>
      <c r="AX39" s="57">
        <f>AV39+AW39</f>
        <v/>
      </c>
      <c r="AY39" s="57">
        <f>AU39=AB39</f>
        <v/>
      </c>
      <c r="AZ39" s="57">
        <f>AV39=AC39</f>
        <v/>
      </c>
      <c r="BA39" s="57">
        <f>AW39=AD39</f>
        <v/>
      </c>
      <c r="BB39" s="57">
        <f>AX39=AE39</f>
        <v/>
      </c>
    </row>
    <row r="40" ht="120" customFormat="1" customHeight="1" s="55">
      <c r="A40" s="45" t="n">
        <v>35</v>
      </c>
      <c r="B40" s="45" t="inlineStr">
        <is>
          <t>2.ИСУП.17304878</t>
        </is>
      </c>
      <c r="C40" s="45" t="inlineStr">
        <is>
          <t>12UBA25AA235</t>
        </is>
      </c>
      <c r="D40" s="46" t="inlineStr">
        <is>
          <t>Клапан регулирующий</t>
        </is>
      </c>
      <c r="E40" s="46" t="inlineStr">
        <is>
          <t>NVA-GCV-0100-CS-1500#-M-03</t>
        </is>
      </c>
      <c r="F40" s="45" t="inlineStr">
        <is>
          <t>2ВIIа</t>
        </is>
      </c>
      <c r="G40" s="45" t="inlineStr">
        <is>
          <t>QA2</t>
        </is>
      </c>
      <c r="H40" s="46" t="n">
        <v>100</v>
      </c>
      <c r="I40" s="46" t="n">
        <v>20</v>
      </c>
      <c r="J40" s="46" t="n">
        <v>300</v>
      </c>
      <c r="K40" s="46" t="inlineStr">
        <is>
          <t>Продувочная вода; Альт. среда: обессоленная вода</t>
        </is>
      </c>
      <c r="L40" s="46" t="inlineStr"/>
      <c r="M40" s="46" t="n">
        <v>1282.5</v>
      </c>
      <c r="N40" s="46" t="inlineStr">
        <is>
          <t>встроенный электропривод</t>
        </is>
      </c>
      <c r="O40" s="46" t="inlineStr">
        <is>
          <t>ЭПА-250/60-У3</t>
        </is>
      </c>
      <c r="P40" s="46" t="inlineStr">
        <is>
          <t>0,09</t>
        </is>
      </c>
      <c r="Q40" s="46" t="inlineStr">
        <is>
          <t>угл</t>
        </is>
      </c>
      <c r="R40" s="46" t="inlineStr">
        <is>
          <t>под приварку</t>
        </is>
      </c>
      <c r="S40" s="46" t="inlineStr">
        <is>
          <t>TS-AES-GCV-135-QC</t>
        </is>
      </c>
      <c r="T40" s="45" t="inlineStr">
        <is>
          <t>3Н</t>
        </is>
      </c>
      <c r="U40" s="45" t="inlineStr">
        <is>
          <t>I</t>
        </is>
      </c>
      <c r="V40" s="45" t="inlineStr">
        <is>
          <t>AES-PAA1035; AES-PAA1035_B01_KZ_12</t>
        </is>
      </c>
      <c r="W40" s="45" t="inlineStr">
        <is>
          <t>РКД-АЭС-1-035</t>
        </is>
      </c>
      <c r="X40" s="45" t="inlineStr">
        <is>
          <t>01-01.9-35т (12UKA-MCA0035)</t>
        </is>
      </c>
      <c r="Y40" s="45" t="inlineStr">
        <is>
          <t>AES_11171855</t>
        </is>
      </c>
      <c r="Z40" s="45" t="inlineStr">
        <is>
          <t>оборудование</t>
        </is>
      </c>
      <c r="AA40" s="47" t="n">
        <v>1</v>
      </c>
      <c r="AB40" s="48" t="n">
        <v>1526479.55</v>
      </c>
      <c r="AC40" s="139" t="n">
        <v>1526479.55</v>
      </c>
      <c r="AD40" s="139" t="n">
        <v>305295.91</v>
      </c>
      <c r="AE40" s="139" t="n">
        <v>1831775.46</v>
      </c>
      <c r="AF40" s="45" t="inlineStr">
        <is>
          <t>Насосная станция технической воды (10UQC)</t>
        </is>
      </c>
      <c r="AG40" s="50" t="n">
        <v>45607</v>
      </c>
      <c r="AH40" s="46" t="inlineStr">
        <is>
          <t>ООО «Индустрия клапанов»</t>
        </is>
      </c>
      <c r="AI40" s="46" t="inlineStr">
        <is>
          <t>РФ</t>
        </is>
      </c>
      <c r="AJ40" s="46" t="inlineStr">
        <is>
          <t>10UAA; tсраб=40 s; при dPmin=0.056 МПа; Характеристика: линейная; DNвх=100; DNвых=100; Max расход среды = 49.0 т/ч.
Материал присоединяемого трубопровода - 20; типоразмер трубы 114,3х8; патрубки соосны; тип присоединения - под приварку; строительная длина - не более 520 мм; демонтажный размер - не более 1250 мм; рабочее давление 20 МПа, рабочая температура 300 °C; среда: продувочная вода; альт. среда: обессоленная вода.</t>
        </is>
      </c>
      <c r="AK40" s="45" t="inlineStr">
        <is>
          <t>ПИ;БКП-8;ОТВ, Инженер 9</t>
        </is>
      </c>
      <c r="AL40" s="47" t="n">
        <v>1607385</v>
      </c>
      <c r="AM40" s="45" t="inlineStr">
        <is>
          <t>Клапан регулирующий DN 100 PN 20 t 300 °C QA2 2ВIIа CS УХЛ3 ТУ 37-1035-2024</t>
        </is>
      </c>
      <c r="AN40" s="51" t="n">
        <v>20</v>
      </c>
      <c r="AO40" s="52" t="inlineStr">
        <is>
          <t>28.14.13.131</t>
        </is>
      </c>
      <c r="AP40" s="53" t="n">
        <v>1637592.59</v>
      </c>
      <c r="AQ40" s="54" t="n">
        <v>1637592.59</v>
      </c>
      <c r="AR40" s="54" t="n">
        <v>327518.52</v>
      </c>
      <c r="AS40" s="54" t="n">
        <v>1965111.11</v>
      </c>
      <c r="AU40" s="56">
        <f>ROUND(AB40,2)</f>
        <v/>
      </c>
      <c r="AV40" s="57">
        <f>ROUND(AU40*AA40,2)</f>
        <v/>
      </c>
      <c r="AW40" s="57">
        <f>ROUND(AV40*0.2,2)</f>
        <v/>
      </c>
      <c r="AX40" s="57">
        <f>AV40+AW40</f>
        <v/>
      </c>
      <c r="AY40" s="57">
        <f>AU40=AB40</f>
        <v/>
      </c>
      <c r="AZ40" s="57">
        <f>AV40=AC40</f>
        <v/>
      </c>
      <c r="BA40" s="57">
        <f>AW40=AD40</f>
        <v/>
      </c>
      <c r="BB40" s="57">
        <f>AX40=AE40</f>
        <v/>
      </c>
    </row>
    <row r="41" ht="120" customFormat="1" customHeight="1" s="55">
      <c r="A41" s="45" t="n">
        <v>36</v>
      </c>
      <c r="B41" s="45" t="inlineStr">
        <is>
          <t>2.ИСУП.17304946</t>
        </is>
      </c>
      <c r="C41" s="45" t="inlineStr">
        <is>
          <t>10QKA28AA200</t>
        </is>
      </c>
      <c r="D41" s="46" t="inlineStr">
        <is>
          <t>Клапан регулирующий</t>
        </is>
      </c>
      <c r="E41" s="46" t="inlineStr">
        <is>
          <t>NVA-GCV-0032-AS-1500#-M-01</t>
        </is>
      </c>
      <c r="F41" s="45" t="inlineStr">
        <is>
          <t>3CIIIв</t>
        </is>
      </c>
      <c r="G41" s="45" t="inlineStr">
        <is>
          <t>QA4</t>
        </is>
      </c>
      <c r="H41" s="46" t="n">
        <v>32</v>
      </c>
      <c r="I41" s="46" t="n">
        <v>2.5</v>
      </c>
      <c r="J41" s="46" t="n">
        <v>150</v>
      </c>
      <c r="K41" s="46" t="inlineStr">
        <is>
          <t>Горячая вода; Альт. среда: сетевая вода</t>
        </is>
      </c>
      <c r="L41" s="46" t="inlineStr"/>
      <c r="M41" s="46" t="n">
        <v>328</v>
      </c>
      <c r="N41" s="46" t="inlineStr">
        <is>
          <t>электропривод</t>
        </is>
      </c>
      <c r="O41" s="46" t="inlineStr">
        <is>
          <t>РПМ-80/30-УХЛ3</t>
        </is>
      </c>
      <c r="P41" s="46" t="inlineStr">
        <is>
          <t>0,09</t>
        </is>
      </c>
      <c r="Q41" s="46" t="inlineStr">
        <is>
          <t>легир. сталь</t>
        </is>
      </c>
      <c r="R41" s="46" t="inlineStr">
        <is>
          <t>под приварку</t>
        </is>
      </c>
      <c r="S41" s="46" t="inlineStr">
        <is>
          <t>TS-AES-GCV-136-QA</t>
        </is>
      </c>
      <c r="T41" s="45" t="inlineStr">
        <is>
          <t>3ЗЛ</t>
        </is>
      </c>
      <c r="U41" s="45" t="inlineStr">
        <is>
          <t>I</t>
        </is>
      </c>
      <c r="V41" s="45" t="inlineStr">
        <is>
          <t>AES-PAA1036; AES-PAA1036_B01_KZ_01</t>
        </is>
      </c>
      <c r="W41" s="45" t="inlineStr">
        <is>
          <t>ТУ 37-0136-00000000-2024</t>
        </is>
      </c>
      <c r="X41" s="45" t="inlineStr">
        <is>
          <t>01-01.1-35т (10UKA-MCA0036)</t>
        </is>
      </c>
      <c r="Y41" s="45" t="inlineStr">
        <is>
          <t>AES_11171908</t>
        </is>
      </c>
      <c r="Z41" s="45" t="inlineStr">
        <is>
          <t>оборудование</t>
        </is>
      </c>
      <c r="AA41" s="47" t="n">
        <v>1</v>
      </c>
      <c r="AB41" s="48" t="n">
        <v>1581632.57</v>
      </c>
      <c r="AC41" s="139" t="n">
        <v>1581632.57</v>
      </c>
      <c r="AD41" s="139" t="n">
        <v>316326.51</v>
      </c>
      <c r="AE41" s="139" t="n">
        <v>1897959.08</v>
      </c>
      <c r="AF41" s="45" t="inlineStr">
        <is>
          <t>Насосная станция технической воды (10UQC)</t>
        </is>
      </c>
      <c r="AG41" s="50" t="n">
        <v>45487</v>
      </c>
      <c r="AH41" s="46" t="inlineStr">
        <is>
          <t>ООО «Индустрия клапанов»</t>
        </is>
      </c>
      <c r="AI41" s="46" t="inlineStr">
        <is>
          <t>РФ</t>
        </is>
      </c>
      <c r="AJ41" s="46" t="inlineStr">
        <is>
          <t>10UAA; tсраб=50 s; при dPmin=0.081 МПа; Характеристика: линейная; DNвх=32; DNвых=32; Max расход среды = 13.2 т/ч.
Материал присоединяемого трубопровода - 20; типоразмер трубы 42,4х3,5; патрубки соосны; тип присоединения - под приварку; строительная длина - не более 520 мм; демонтажный размер - не более 720 мм; рабочее давление 2.5 МПа, рабочая температура 150 °C; среда: горячая вода; альт. среда: сетевая вода.</t>
        </is>
      </c>
      <c r="AK41" s="45" t="inlineStr">
        <is>
          <t>ПИ;БКП-5;ОТВ, Инженер 7</t>
        </is>
      </c>
      <c r="AL41" s="47" t="n">
        <v>1607596</v>
      </c>
      <c r="AM41" s="45" t="inlineStr">
        <is>
          <t>Клапан регулирующий DN 32 PN 2.5 t 150 °C QA4 3CIIIв AS УХЛ3 ТУ 37-1036-2024</t>
        </is>
      </c>
      <c r="AN41" s="51" t="n">
        <v>20</v>
      </c>
      <c r="AO41" s="52" t="inlineStr">
        <is>
          <t>28.14.20.000</t>
        </is>
      </c>
      <c r="AP41" s="53" t="n">
        <v>1629983.54</v>
      </c>
      <c r="AQ41" s="54" t="n">
        <v>1629983.54</v>
      </c>
      <c r="AR41" s="54" t="n">
        <v>325996.71</v>
      </c>
      <c r="AS41" s="54" t="n">
        <v>1955980.25</v>
      </c>
      <c r="AU41" s="56">
        <f>ROUND(AB41,2)</f>
        <v/>
      </c>
      <c r="AV41" s="57">
        <f>ROUND(AU41*AA41,2)</f>
        <v/>
      </c>
      <c r="AW41" s="57">
        <f>ROUND(AV41*0.2,2)</f>
        <v/>
      </c>
      <c r="AX41" s="57">
        <f>AV41+AW41</f>
        <v/>
      </c>
      <c r="AY41" s="57">
        <f>AU41=AB41</f>
        <v/>
      </c>
      <c r="AZ41" s="57">
        <f>AV41=AC41</f>
        <v/>
      </c>
      <c r="BA41" s="57">
        <f>AW41=AD41</f>
        <v/>
      </c>
      <c r="BB41" s="57">
        <f>AX41=AE41</f>
        <v/>
      </c>
    </row>
    <row r="42" ht="120" customFormat="1" customHeight="1" s="55">
      <c r="A42" s="45" t="n">
        <v>37</v>
      </c>
      <c r="B42" s="45" t="inlineStr">
        <is>
          <t>2.ИСУП.17305162</t>
        </is>
      </c>
      <c r="C42" s="45" t="inlineStr">
        <is>
          <t>11SBP31AA201</t>
        </is>
      </c>
      <c r="D42" s="46" t="inlineStr">
        <is>
          <t>Клапан регулирующий</t>
        </is>
      </c>
      <c r="E42" s="46" t="inlineStr">
        <is>
          <t>NVA-GCV-0080-AS-900#-M-02</t>
        </is>
      </c>
      <c r="F42" s="45" t="inlineStr">
        <is>
          <t>2ВIIа</t>
        </is>
      </c>
      <c r="G42" s="45" t="inlineStr">
        <is>
          <t>QA3</t>
        </is>
      </c>
      <c r="H42" s="46" t="n">
        <v>80</v>
      </c>
      <c r="I42" s="46" t="n">
        <v>2.5</v>
      </c>
      <c r="J42" s="46" t="n">
        <v>250</v>
      </c>
      <c r="K42" s="46" t="inlineStr">
        <is>
          <t>Продувочная вода; Альт. среда: обессоленная вода</t>
        </is>
      </c>
      <c r="L42" s="46" t="n">
        <v>87.90000000000001</v>
      </c>
      <c r="M42" s="46" t="n">
        <v>666.5</v>
      </c>
      <c r="N42" s="46" t="inlineStr">
        <is>
          <t>ручной привод</t>
        </is>
      </c>
      <c r="O42" s="46" t="inlineStr">
        <is>
          <t>ЭПА-120/40-У3</t>
        </is>
      </c>
      <c r="P42" s="46" t="inlineStr">
        <is>
          <t>0,06</t>
        </is>
      </c>
      <c r="Q42" s="46" t="inlineStr">
        <is>
          <t>нж/угл</t>
        </is>
      </c>
      <c r="R42" s="46" t="inlineStr">
        <is>
          <t>под приварку</t>
        </is>
      </c>
      <c r="S42" s="46" t="inlineStr">
        <is>
          <t>TS-AES-GCV-137-QC</t>
        </is>
      </c>
      <c r="T42" s="45" t="inlineStr">
        <is>
          <t>4Н</t>
        </is>
      </c>
      <c r="U42" s="45" t="inlineStr">
        <is>
          <t>I</t>
        </is>
      </c>
      <c r="V42" s="45" t="inlineStr">
        <is>
          <t>AES-PAA1037; AES-PAA1037_B01_KZ_02</t>
        </is>
      </c>
      <c r="W42" s="45" t="inlineStr">
        <is>
          <t>-</t>
        </is>
      </c>
      <c r="X42" s="45" t="inlineStr">
        <is>
          <t>01-01.2-10т (11UKA-MCA0037)</t>
        </is>
      </c>
      <c r="Y42" s="45" t="inlineStr">
        <is>
          <t>AES_11171961</t>
        </is>
      </c>
      <c r="Z42" s="45" t="inlineStr">
        <is>
          <t>оборудование</t>
        </is>
      </c>
      <c r="AA42" s="47" t="n">
        <v>1</v>
      </c>
      <c r="AB42" s="48" t="n">
        <v>702369.16</v>
      </c>
      <c r="AC42" s="139" t="n">
        <v>702369.16</v>
      </c>
      <c r="AD42" s="139" t="n">
        <v>140473.83</v>
      </c>
      <c r="AE42" s="139" t="n">
        <v>842842.99</v>
      </c>
      <c r="AF42" s="45" t="inlineStr">
        <is>
          <t>Здание водоподготовки (10UBA)</t>
        </is>
      </c>
      <c r="AG42" s="50" t="n">
        <v>45457</v>
      </c>
      <c r="AH42" s="46" t="inlineStr">
        <is>
          <t>ООО «Индустрия клапанов»</t>
        </is>
      </c>
      <c r="AI42" s="46" t="inlineStr">
        <is>
          <t>Россия</t>
        </is>
      </c>
      <c r="AJ42" s="46" t="inlineStr">
        <is>
          <t>10UAA; tсраб=25 s; при dPmin=0.054 МПа; Характеристика: линейная; DNвх=80; DNвых=80; Max расход среды = 21.5 т/ч.
Материал присоединяемого трубопровода - 08Х18Н10Т; типоразмер трубы 88,9х6; патрубки соосны; тип присоединения - под приварку; строительная длина - не более 320 мм; демонтажный размер - не более 720 мм; рабочее давление 2.5 МПа, рабочая температура 250 °C; среда: продувочная вода; альт. среда: обессоленная вода.</t>
        </is>
      </c>
      <c r="AK42" s="45" t="inlineStr">
        <is>
          <t>ПИ;БКП-3;ОТВ, Инженер 9</t>
        </is>
      </c>
      <c r="AL42" s="47" t="n">
        <v>1607807</v>
      </c>
      <c r="AM42" s="45" t="inlineStr">
        <is>
          <t>Клапан регулирующий DN 80 PN 2.5 t 250 °C QA3 2ВIIа AS УХЛ3 ТУ 37-1037-2024</t>
        </is>
      </c>
      <c r="AN42" s="51" t="n">
        <v>20</v>
      </c>
      <c r="AO42" s="52" t="inlineStr">
        <is>
          <t>28.14.11.121</t>
        </is>
      </c>
      <c r="AP42" s="53" t="n">
        <v>758392.91</v>
      </c>
      <c r="AQ42" s="54" t="n">
        <v>758392.91</v>
      </c>
      <c r="AR42" s="54" t="n">
        <v>151678.58</v>
      </c>
      <c r="AS42" s="54" t="n">
        <v>910071.49</v>
      </c>
      <c r="AU42" s="56">
        <f>ROUND(AB42,2)</f>
        <v/>
      </c>
      <c r="AV42" s="57">
        <f>ROUND(AU42*AA42,2)</f>
        <v/>
      </c>
      <c r="AW42" s="57">
        <f>ROUND(AV42*0.2,2)</f>
        <v/>
      </c>
      <c r="AX42" s="57">
        <f>AV42+AW42</f>
        <v/>
      </c>
      <c r="AY42" s="57">
        <f>AU42=AB42</f>
        <v/>
      </c>
      <c r="AZ42" s="57">
        <f>AV42=AC42</f>
        <v/>
      </c>
      <c r="BA42" s="57">
        <f>AW42=AD42</f>
        <v/>
      </c>
      <c r="BB42" s="57">
        <f>AX42=AE42</f>
        <v/>
      </c>
    </row>
    <row r="43" ht="180" customFormat="1" customHeight="1" s="55">
      <c r="A43" s="45" t="n">
        <v>38</v>
      </c>
      <c r="B43" s="45" t="inlineStr">
        <is>
          <t>2.ИСУП.17305227</t>
        </is>
      </c>
      <c r="C43" s="45" t="inlineStr">
        <is>
          <t>12KWA34AA202</t>
        </is>
      </c>
      <c r="D43" s="46" t="inlineStr">
        <is>
          <t>Клапан регулирующий проходной</t>
        </is>
      </c>
      <c r="E43" s="46" t="inlineStr">
        <is>
          <t>NVA-GCV-0100-AS-600#-M-03</t>
        </is>
      </c>
      <c r="F43" s="45" t="inlineStr">
        <is>
          <t>-</t>
        </is>
      </c>
      <c r="G43" s="45" t="inlineStr">
        <is>
          <t>QA4</t>
        </is>
      </c>
      <c r="H43" s="46" t="n">
        <v>100</v>
      </c>
      <c r="I43" s="126" t="n">
        <v>2.5</v>
      </c>
      <c r="J43" s="126" t="n">
        <v>180</v>
      </c>
      <c r="K43" s="46" t="inlineStr">
        <is>
          <t>Сжатый воздух; Альт. среда: азот</t>
        </is>
      </c>
      <c r="L43" s="46" t="inlineStr"/>
      <c r="M43" s="46" t="n">
        <v>828.7</v>
      </c>
      <c r="N43" s="46" t="inlineStr">
        <is>
          <t>ручной привод</t>
        </is>
      </c>
      <c r="O43" s="46" t="inlineStr">
        <is>
          <t>РПМ-80/30-УХЛ3</t>
        </is>
      </c>
      <c r="P43" s="46" t="inlineStr">
        <is>
          <t>0,37</t>
        </is>
      </c>
      <c r="Q43" s="46" t="inlineStr">
        <is>
          <t>нж</t>
        </is>
      </c>
      <c r="R43" s="46" t="inlineStr">
        <is>
          <t>под приварку</t>
        </is>
      </c>
      <c r="S43" s="46" t="inlineStr">
        <is>
          <t>TS-AES-GCV-138-QB</t>
        </is>
      </c>
      <c r="T43" s="45" t="inlineStr">
        <is>
          <t>4Н</t>
        </is>
      </c>
      <c r="U43" s="45" t="inlineStr">
        <is>
          <t>I</t>
        </is>
      </c>
      <c r="V43" s="45" t="inlineStr">
        <is>
          <t>AES-PAA1038; AES-PAA1038_B01_KZ_03</t>
        </is>
      </c>
      <c r="W43" s="46" t="inlineStr">
        <is>
          <t>РКД-АЭС-1-038</t>
        </is>
      </c>
      <c r="X43" s="45" t="inlineStr">
        <is>
          <t>01-01.3-10т (12UBA-MCA0038)</t>
        </is>
      </c>
      <c r="Y43" s="45" t="inlineStr">
        <is>
          <t>AES_11172014</t>
        </is>
      </c>
      <c r="Z43" s="45" t="inlineStr">
        <is>
          <t>оборудование</t>
        </is>
      </c>
      <c r="AA43" s="47" t="n">
        <v>1</v>
      </c>
      <c r="AB43" s="48" t="n">
        <v>1118948.74</v>
      </c>
      <c r="AC43" s="139" t="n">
        <v>1118948.74</v>
      </c>
      <c r="AD43" s="139" t="n">
        <v>223789.75</v>
      </c>
      <c r="AE43" s="139" t="n">
        <v>1342738.49</v>
      </c>
      <c r="AF43" s="45" t="inlineStr">
        <is>
          <t>Здание вспомогательных систем (10UKA)</t>
        </is>
      </c>
      <c r="AG43" s="50" t="n">
        <v>45577</v>
      </c>
      <c r="AH43" s="46" t="inlineStr">
        <is>
          <t>ООО «Техноарматура»</t>
        </is>
      </c>
      <c r="AI43" s="46" t="inlineStr">
        <is>
          <t>РФ</t>
        </is>
      </c>
      <c r="AJ43" s="46" t="inlineStr">
        <is>
          <t>10UAA; tсраб=50 s; при dPmin=0.048 МПа; Характеристика: линейная; DNвх=100; DNвых=100; Max расход среды = 96.0 т/ч.
Материал присоединяемого трубопровода - 08Х18Н10Т; типоразмер трубы 114,3х8; патрубки соосны; тип присоединения - под приварку; строительная длина - не более 320 мм; демонтажный размер - не более 1250 мм; рабочее давление 2.5 МПа, рабочая температура 180 °C; среда: сжатый воздух; альт. среда: азот.</t>
        </is>
      </c>
      <c r="AK43" s="45" t="inlineStr">
        <is>
          <t>ПИ;БКП-8;ОТВ, Инженер 3</t>
        </is>
      </c>
      <c r="AL43" s="47" t="n">
        <v>1608018</v>
      </c>
      <c r="AM43" s="45" t="inlineStr">
        <is>
          <t>Клапан регулирующий DN 100 PN 2.5 t 180 °C QA4 - AS УХЛ3 ТУ 37-1038-2024</t>
        </is>
      </c>
      <c r="AN43" s="51" t="n">
        <v>20</v>
      </c>
      <c r="AO43" s="52" t="inlineStr">
        <is>
          <t>28.14.11.121</t>
        </is>
      </c>
      <c r="AP43" s="53" t="n">
        <v>1174824.59</v>
      </c>
      <c r="AQ43" s="54" t="n">
        <v>1174824.59</v>
      </c>
      <c r="AR43" s="54" t="n">
        <v>234964.92</v>
      </c>
      <c r="AS43" s="54" t="n">
        <v>1409789.51</v>
      </c>
      <c r="AU43" s="56">
        <f>ROUND(AB43,2)</f>
        <v/>
      </c>
      <c r="AV43" s="57">
        <f>ROUND(AU43*AA43,2)</f>
        <v/>
      </c>
      <c r="AW43" s="57">
        <f>ROUND(AV43*0.2,2)</f>
        <v/>
      </c>
      <c r="AX43" s="57">
        <f>AV43+AW43</f>
        <v/>
      </c>
      <c r="AY43" s="57">
        <f>AU43=AB43</f>
        <v/>
      </c>
      <c r="AZ43" s="57">
        <f>AV43=AC43</f>
        <v/>
      </c>
      <c r="BA43" s="57">
        <f>AW43=AD43</f>
        <v/>
      </c>
      <c r="BB43" s="57">
        <f>AX43=AE43</f>
        <v/>
      </c>
    </row>
    <row r="44" ht="180" customFormat="1" customHeight="1" s="55">
      <c r="A44" s="45" t="n">
        <v>39</v>
      </c>
      <c r="B44" s="45" t="inlineStr">
        <is>
          <t>2.ИСУП.17305370</t>
        </is>
      </c>
      <c r="C44" s="45" t="inlineStr">
        <is>
          <t>10UJA37AA203</t>
        </is>
      </c>
      <c r="D44" s="46" t="inlineStr">
        <is>
          <t>Клапан регулирующий</t>
        </is>
      </c>
      <c r="E44" s="46" t="inlineStr">
        <is>
          <t>NVA-GCV-0065-AS-150#-M-01</t>
        </is>
      </c>
      <c r="F44" s="45" t="inlineStr">
        <is>
          <t>3CIIIв</t>
        </is>
      </c>
      <c r="G44" s="45" t="inlineStr">
        <is>
          <t>QA2</t>
        </is>
      </c>
      <c r="H44" s="46" t="n">
        <v>65</v>
      </c>
      <c r="I44" s="126" t="n">
        <v>9.800000000000001</v>
      </c>
      <c r="J44" s="126" t="n">
        <v>150</v>
      </c>
      <c r="K44" s="46" t="inlineStr">
        <is>
          <t>Конденсат пара; Альт. среда: промывочный раствор</t>
        </is>
      </c>
      <c r="L44" s="46" t="n">
        <v>56.4</v>
      </c>
      <c r="M44" s="46" t="n">
        <v>557.6</v>
      </c>
      <c r="N44" s="46" t="inlineStr">
        <is>
          <t>встроенный электропривод</t>
        </is>
      </c>
      <c r="O44" s="46" t="inlineStr">
        <is>
          <t>РПМ-80/30-УХЛ3</t>
        </is>
      </c>
      <c r="P44" s="46" t="inlineStr">
        <is>
          <t>0,045</t>
        </is>
      </c>
      <c r="Q44" s="46" t="inlineStr">
        <is>
          <t>нж</t>
        </is>
      </c>
      <c r="R44" s="46" t="inlineStr">
        <is>
          <t>фланцевое</t>
        </is>
      </c>
      <c r="S44" s="46" t="inlineStr">
        <is>
          <t>TS-AES-GCV-139-QC</t>
        </is>
      </c>
      <c r="T44" s="45" t="inlineStr">
        <is>
          <t>4Н</t>
        </is>
      </c>
      <c r="U44" s="45" t="inlineStr">
        <is>
          <t>III</t>
        </is>
      </c>
      <c r="V44" s="45" t="inlineStr">
        <is>
          <t>AES-PAA1039; AES-PAA1039_B01_KZ_04</t>
        </is>
      </c>
      <c r="W44" s="46" t="inlineStr">
        <is>
          <t>ТУ 37-0139-00000000-2024</t>
        </is>
      </c>
      <c r="X44" s="45" t="inlineStr">
        <is>
          <t>01-01.4-10т (10UBA-MCA0039)</t>
        </is>
      </c>
      <c r="Y44" s="45" t="inlineStr">
        <is>
          <t>AES_11172067</t>
        </is>
      </c>
      <c r="Z44" s="45" t="inlineStr">
        <is>
          <t>оборудование</t>
        </is>
      </c>
      <c r="AA44" s="47" t="n">
        <v>1</v>
      </c>
      <c r="AB44" s="48" t="n">
        <v>1379543.74</v>
      </c>
      <c r="AC44" s="139" t="n">
        <v>1379543.74</v>
      </c>
      <c r="AD44" s="139" t="n">
        <v>275908.75</v>
      </c>
      <c r="AE44" s="139" t="n">
        <v>1655452.49</v>
      </c>
      <c r="AF44" s="45" t="inlineStr">
        <is>
          <t>Реакторное здание (10UJA)</t>
        </is>
      </c>
      <c r="AG44" s="50" t="n">
        <v>45457</v>
      </c>
      <c r="AH44" s="46" t="inlineStr">
        <is>
          <t>АО «Волгапроммаш»</t>
        </is>
      </c>
      <c r="AI44" s="46" t="inlineStr">
        <is>
          <t>Россия</t>
        </is>
      </c>
      <c r="AJ44" s="46" t="inlineStr">
        <is>
          <t>10UAA; tсраб=50 s; при dPmin=0.051 МПа; Характеристика: линейная; DNвх=65; DNвых=65; Max расход среды = 50.7 т/ч.
Материал присоединяемого трубопровода - 08Х18Н10Т; типоразмер трубы 76,1х5; патрубки соосны; тип присоединения - под приварку; строительная длина - не более 650 мм; демонтажный размер - не более 1250 мм; рабочее давление 9.8 МПа, рабочая температура 150 °C; среда: конденсат пара; альт. среда: промывочный раствор.</t>
        </is>
      </c>
      <c r="AK44" s="45" t="inlineStr">
        <is>
          <t>ПИ;БКП-2;ОТВ, Инженер 4</t>
        </is>
      </c>
      <c r="AL44" s="47" t="n">
        <v>1608229</v>
      </c>
      <c r="AM44" s="45" t="inlineStr">
        <is>
          <t>Клапан регулирующий DN 65 PN 9.8 t 150 °C QA2 3CIIIв AS УХЛ3 ТУ 37-1039-2024</t>
        </is>
      </c>
      <c r="AN44" s="51" t="n">
        <v>20</v>
      </c>
      <c r="AO44" s="52" t="inlineStr">
        <is>
          <t>28.14.13.131</t>
        </is>
      </c>
      <c r="AP44" s="53" t="n">
        <v>1479448.16</v>
      </c>
      <c r="AQ44" s="54" t="n">
        <v>1479448.16</v>
      </c>
      <c r="AR44" s="54" t="n">
        <v>295889.63</v>
      </c>
      <c r="AS44" s="54" t="n">
        <v>1775337.79</v>
      </c>
      <c r="AU44" s="56">
        <f>ROUND(AB44,2)</f>
        <v/>
      </c>
      <c r="AV44" s="57">
        <f>ROUND(AU44*AA44,2)</f>
        <v/>
      </c>
      <c r="AW44" s="57">
        <f>ROUND(AV44*0.2,2)</f>
        <v/>
      </c>
      <c r="AX44" s="57">
        <f>AV44+AW44</f>
        <v/>
      </c>
      <c r="AY44" s="57">
        <f>AU44=AB44</f>
        <v/>
      </c>
      <c r="AZ44" s="57">
        <f>AV44=AC44</f>
        <v/>
      </c>
      <c r="BA44" s="57">
        <f>AW44=AD44</f>
        <v/>
      </c>
      <c r="BB44" s="57">
        <f>AX44=AE44</f>
        <v/>
      </c>
    </row>
    <row r="45" ht="120" customFormat="1" customHeight="1" s="55">
      <c r="A45" s="45" t="n">
        <v>40</v>
      </c>
      <c r="B45" s="45" t="inlineStr">
        <is>
          <t>2.ИСУП.17305545</t>
        </is>
      </c>
      <c r="C45" s="45" t="inlineStr">
        <is>
          <t>11KWA40AA204</t>
        </is>
      </c>
      <c r="D45" s="46" t="inlineStr">
        <is>
          <t>Клапан регулирующий</t>
        </is>
      </c>
      <c r="E45" s="46" t="inlineStr">
        <is>
          <t>NVA-GCV-0050-SS-1500#-E-02</t>
        </is>
      </c>
      <c r="F45" s="45" t="inlineStr">
        <is>
          <t>2ВIIа</t>
        </is>
      </c>
      <c r="G45" s="45" t="inlineStr">
        <is>
          <t>QA3</t>
        </is>
      </c>
      <c r="H45" s="46" t="n">
        <v>50</v>
      </c>
      <c r="I45" s="46" t="n">
        <v>16</v>
      </c>
      <c r="J45" s="46" t="n">
        <v>300</v>
      </c>
      <c r="K45" s="46" t="inlineStr">
        <is>
          <t>Дренажная вода; Альт. среда: слабосолевой раствор</t>
        </is>
      </c>
      <c r="L45" s="46" t="inlineStr"/>
      <c r="M45" s="46" t="n">
        <v>302</v>
      </c>
      <c r="N45" s="46" t="inlineStr">
        <is>
          <t>встроенный электропривод</t>
        </is>
      </c>
      <c r="O45" s="46" t="inlineStr">
        <is>
          <t>МЭП-400/25-У2</t>
        </is>
      </c>
      <c r="P45" s="46" t="inlineStr">
        <is>
          <t>0,09</t>
        </is>
      </c>
      <c r="Q45" s="46" t="inlineStr">
        <is>
          <t>нж</t>
        </is>
      </c>
      <c r="R45" s="46" t="inlineStr">
        <is>
          <t>под приварку</t>
        </is>
      </c>
      <c r="S45" s="46" t="inlineStr">
        <is>
          <t>TS-AES-GCV-140-QB</t>
        </is>
      </c>
      <c r="T45" s="45" t="inlineStr">
        <is>
          <t>3Н</t>
        </is>
      </c>
      <c r="U45" s="45" t="inlineStr">
        <is>
          <t>I</t>
        </is>
      </c>
      <c r="V45" s="45" t="inlineStr">
        <is>
          <t>AES-PAA1040; AES-PAA1040_B01_KZ_05</t>
        </is>
      </c>
      <c r="W45" s="45" t="inlineStr">
        <is>
          <t>-</t>
        </is>
      </c>
      <c r="X45" s="45" t="inlineStr">
        <is>
          <t>01-01.5-35т (11UJA-MCA0040)</t>
        </is>
      </c>
      <c r="Y45" s="45" t="inlineStr">
        <is>
          <t>AES_11172120</t>
        </is>
      </c>
      <c r="Z45" s="45" t="inlineStr">
        <is>
          <t>оборудование</t>
        </is>
      </c>
      <c r="AA45" s="47" t="n">
        <v>1</v>
      </c>
      <c r="AB45" s="48" t="n">
        <v>1502646</v>
      </c>
      <c r="AC45" s="139" t="n">
        <v>1502646</v>
      </c>
      <c r="AD45" s="139" t="n">
        <v>300529.2</v>
      </c>
      <c r="AE45" s="139" t="n">
        <v>1803175.2</v>
      </c>
      <c r="AF45" s="45" t="inlineStr">
        <is>
          <t>Здание вспомогательных систем (10UKA)</t>
        </is>
      </c>
      <c r="AG45" s="50" t="n">
        <v>45487</v>
      </c>
      <c r="AH45" s="46" t="inlineStr">
        <is>
          <t>АО «Северная арматура»</t>
        </is>
      </c>
      <c r="AI45" s="46" t="inlineStr">
        <is>
          <t>Россия</t>
        </is>
      </c>
      <c r="AJ45" s="46" t="inlineStr">
        <is>
          <t>10UAA; tсраб=60 s; при dPmin=0.037 МПа; Характеристика: линейная; DNвх=50; DNвых=50; Max расход среды = 13.0 т/ч.
Материал присоединяемого трубопровода - 08Х18Н10Т; типоразмер трубы 60,3х4; патрубки соосны; тип присоединения - под приварку; строительная длина - не более 400 мм; демонтажный размер - не более 720 мм; рабочее давление 16 МПа, рабочая температура 300 °C; среда: дренажная вода; альт. среда: слабосолевой раствор.</t>
        </is>
      </c>
      <c r="AK45" s="45" t="inlineStr">
        <is>
          <t>ПИ;БКП-3;ОТВ, Инженер 1</t>
        </is>
      </c>
      <c r="AL45" s="47" t="n">
        <v>1608440</v>
      </c>
      <c r="AM45" s="45" t="inlineStr">
        <is>
          <t>Клапан регулирующий DN 50 PN 16 t 300 °C QA3 2ВIIа SS УХЛ3 ТУ 37-1040-2024</t>
        </is>
      </c>
      <c r="AN45" s="51" t="n">
        <v>20</v>
      </c>
      <c r="AO45" s="52" t="inlineStr">
        <is>
          <t>28.14.20.000</t>
        </is>
      </c>
      <c r="AP45" s="53" t="n">
        <v>1553829.42</v>
      </c>
      <c r="AQ45" s="54" t="n">
        <v>1553829.42</v>
      </c>
      <c r="AR45" s="54" t="n">
        <v>310765.88</v>
      </c>
      <c r="AS45" s="54" t="n">
        <v>1864595.3</v>
      </c>
      <c r="AU45" s="56">
        <f>ROUND(AB45,2)</f>
        <v/>
      </c>
      <c r="AV45" s="57">
        <f>ROUND(AU45*AA45,2)</f>
        <v/>
      </c>
      <c r="AW45" s="57">
        <f>ROUND(AV45*0.2,2)</f>
        <v/>
      </c>
      <c r="AX45" s="57">
        <f>AV45+AW45</f>
        <v/>
      </c>
      <c r="AY45" s="57">
        <f>AU45=AB45</f>
        <v/>
      </c>
      <c r="AZ45" s="57">
        <f>AV45=AC45</f>
        <v/>
      </c>
      <c r="BA45" s="57">
        <f>AW45=AD45</f>
        <v/>
      </c>
      <c r="BB45" s="57">
        <f>AX45=AE45</f>
        <v/>
      </c>
    </row>
    <row r="46" ht="120" customFormat="1" customHeight="1" s="55">
      <c r="A46" s="45" t="n">
        <v>41</v>
      </c>
      <c r="B46" s="45" t="inlineStr">
        <is>
          <t>2.ИСУП.17305631</t>
        </is>
      </c>
      <c r="C46" s="45" t="inlineStr">
        <is>
          <t>12JNA43AA205</t>
        </is>
      </c>
      <c r="D46" s="46" t="inlineStr">
        <is>
          <t>Клапан регулирующий проходной</t>
        </is>
      </c>
      <c r="E46" s="46" t="inlineStr">
        <is>
          <t>NVA-GCV-0040-CS-150#-M-03</t>
        </is>
      </c>
      <c r="F46" s="45" t="inlineStr">
        <is>
          <t>-</t>
        </is>
      </c>
      <c r="G46" s="45" t="inlineStr">
        <is>
          <t>QA3</t>
        </is>
      </c>
      <c r="H46" s="46" t="n">
        <v>40</v>
      </c>
      <c r="I46" s="46" t="n">
        <v>0.6</v>
      </c>
      <c r="J46" s="46" t="n">
        <v>150</v>
      </c>
      <c r="K46" s="46" t="inlineStr">
        <is>
          <t>Конденсат пара; Альт. среда: промывочный раствор</t>
        </is>
      </c>
      <c r="L46" s="46" t="inlineStr"/>
      <c r="M46" s="46" t="n">
        <v>314.6</v>
      </c>
      <c r="N46" s="46" t="inlineStr">
        <is>
          <t>электропривод</t>
        </is>
      </c>
      <c r="O46" s="46" t="inlineStr">
        <is>
          <t>ЭПА-120/40-У3</t>
        </is>
      </c>
      <c r="P46" s="46" t="inlineStr">
        <is>
          <t>0,09</t>
        </is>
      </c>
      <c r="Q46" s="46" t="inlineStr">
        <is>
          <t>нж</t>
        </is>
      </c>
      <c r="R46" s="46" t="inlineStr">
        <is>
          <t>муфтовое</t>
        </is>
      </c>
      <c r="S46" s="46" t="inlineStr">
        <is>
          <t>TS-AES-GCV-141-QC</t>
        </is>
      </c>
      <c r="T46" s="45" t="inlineStr">
        <is>
          <t>2Н</t>
        </is>
      </c>
      <c r="U46" s="45" t="inlineStr">
        <is>
          <t>III</t>
        </is>
      </c>
      <c r="V46" s="45" t="inlineStr">
        <is>
          <t>AES-PAA1041; AES-PAA1041_B01_KZ_06</t>
        </is>
      </c>
      <c r="W46" s="45" t="inlineStr">
        <is>
          <t>РКД-АЭС-1-041</t>
        </is>
      </c>
      <c r="X46" s="45" t="inlineStr">
        <is>
          <t>01-01.6-35т (12UKA-MCA0041)</t>
        </is>
      </c>
      <c r="Y46" s="45" t="inlineStr">
        <is>
          <t>AES_11172173</t>
        </is>
      </c>
      <c r="Z46" s="45" t="inlineStr">
        <is>
          <t>оборудование</t>
        </is>
      </c>
      <c r="AA46" s="47" t="n">
        <v>1</v>
      </c>
      <c r="AB46" s="48" t="n">
        <v>1176973.8</v>
      </c>
      <c r="AC46" s="139" t="n">
        <v>1176973.8</v>
      </c>
      <c r="AD46" s="139" t="n">
        <v>235394.76</v>
      </c>
      <c r="AE46" s="139" t="n">
        <v>1412368.56</v>
      </c>
      <c r="AF46" s="45" t="inlineStr">
        <is>
          <t>Насосная станция технической воды (10UQC)</t>
        </is>
      </c>
      <c r="AG46" s="50" t="n">
        <v>45547</v>
      </c>
      <c r="AH46" s="46" t="inlineStr">
        <is>
          <t>АО «Северная арматура»</t>
        </is>
      </c>
      <c r="AI46" s="46" t="inlineStr">
        <is>
          <t>РФ</t>
        </is>
      </c>
      <c r="AJ46" s="46" t="inlineStr">
        <is>
          <t>10UAA; tсраб=25 s; при dPmin=0.078 МПа; Характеристика: линейная; DNвх=40; DNвых=40; Max расход среды = 35.0 т/ч.
Материал присоединяемого трубопровода - 08Х18Н10Т; типоразмер трубы 48,3х3,5; патрубки соосны; тип присоединения - под приварку; строительная длина - не более 320 мм; демонтажный размер - не более 1250 мм; рабочее давление 0.6 МПа, рабочая температура 150 °C; среда: конденсат пара; альт. среда: промывочный раствор.</t>
        </is>
      </c>
      <c r="AK46" s="45" t="inlineStr">
        <is>
          <t>ПИ;БКП-6;ОТВ, Инженер 3</t>
        </is>
      </c>
      <c r="AL46" s="47" t="n">
        <v>1608651</v>
      </c>
      <c r="AM46" s="45" t="inlineStr">
        <is>
          <t>Клапан регулирующий DN 40 PN 0.6 t 150 °C QA3 - CS УХЛ3 ТУ 37-1041-2024</t>
        </is>
      </c>
      <c r="AN46" s="51" t="n">
        <v>20</v>
      </c>
      <c r="AO46" s="52" t="inlineStr">
        <is>
          <t>28.14.13.131</t>
        </is>
      </c>
      <c r="AP46" s="53" t="n">
        <v>1229232.14</v>
      </c>
      <c r="AQ46" s="54" t="n">
        <v>1229232.14</v>
      </c>
      <c r="AR46" s="54" t="n">
        <v>245846.43</v>
      </c>
      <c r="AS46" s="54" t="n">
        <v>1475078.57</v>
      </c>
      <c r="AU46" s="56">
        <f>ROUND(AB46,2)</f>
        <v/>
      </c>
      <c r="AV46" s="57">
        <f>ROUND(AU46*AA46,2)</f>
        <v/>
      </c>
      <c r="AW46" s="57">
        <f>ROUND(AV46*0.2,2)</f>
        <v/>
      </c>
      <c r="AX46" s="57">
        <f>AV46+AW46</f>
        <v/>
      </c>
      <c r="AY46" s="57">
        <f>AU46=AB46</f>
        <v/>
      </c>
      <c r="AZ46" s="57">
        <f>AV46=AC46</f>
        <v/>
      </c>
      <c r="BA46" s="57">
        <f>AW46=AD46</f>
        <v/>
      </c>
      <c r="BB46" s="57">
        <f>AX46=AE46</f>
        <v/>
      </c>
    </row>
    <row r="47" ht="120" customFormat="1" customHeight="1" s="55">
      <c r="A47" s="45" t="n">
        <v>42</v>
      </c>
      <c r="B47" s="45" t="inlineStr">
        <is>
          <t>2.ИСУП.17305842</t>
        </is>
      </c>
      <c r="C47" s="45" t="inlineStr">
        <is>
          <t>10LCH46AA206</t>
        </is>
      </c>
      <c r="D47" s="46" t="inlineStr">
        <is>
          <t>Клапан регулирующий проходной</t>
        </is>
      </c>
      <c r="E47" s="46" t="inlineStr">
        <is>
          <t>NVA-GCV-0125-SS-1500#-M-01</t>
        </is>
      </c>
      <c r="F47" s="45" t="inlineStr">
        <is>
          <t>3CIIIа</t>
        </is>
      </c>
      <c r="G47" s="45" t="inlineStr">
        <is>
          <t>QA3</t>
        </is>
      </c>
      <c r="H47" s="46" t="n">
        <v>125</v>
      </c>
      <c r="I47" s="46" t="n">
        <v>14</v>
      </c>
      <c r="J47" s="46" t="n">
        <v>335</v>
      </c>
      <c r="K47" s="46" t="inlineStr">
        <is>
          <t>Горячая вода; Альт. среда: сетевая вода</t>
        </is>
      </c>
      <c r="L47" s="46" t="inlineStr"/>
      <c r="M47" s="46" t="n">
        <v>1891.3</v>
      </c>
      <c r="N47" s="46" t="inlineStr">
        <is>
          <t>встроенный электропривод</t>
        </is>
      </c>
      <c r="O47" s="46" t="inlineStr">
        <is>
          <t>ЭПА-250/60-У3</t>
        </is>
      </c>
      <c r="P47" s="46" t="inlineStr">
        <is>
          <t>0,09</t>
        </is>
      </c>
      <c r="Q47" s="46" t="inlineStr">
        <is>
          <t>нж/угл</t>
        </is>
      </c>
      <c r="R47" s="46" t="inlineStr">
        <is>
          <t>муфтовое</t>
        </is>
      </c>
      <c r="S47" s="46" t="inlineStr">
        <is>
          <t>TS-AES-GCV-142-QC</t>
        </is>
      </c>
      <c r="T47" s="45" t="inlineStr">
        <is>
          <t>2Н</t>
        </is>
      </c>
      <c r="U47" s="45" t="inlineStr">
        <is>
          <t>II</t>
        </is>
      </c>
      <c r="V47" s="45" t="inlineStr">
        <is>
          <t>AES-PAA1042; AES-PAA1042_B01_KZ_07</t>
        </is>
      </c>
      <c r="W47" s="45" t="inlineStr">
        <is>
          <t>ТУ 37-0142-00000000-2024</t>
        </is>
      </c>
      <c r="X47" s="45" t="inlineStr">
        <is>
          <t>01-01.7-22т (10UKA-MCA0042)</t>
        </is>
      </c>
      <c r="Y47" s="45" t="inlineStr">
        <is>
          <t>AES_11172226</t>
        </is>
      </c>
      <c r="Z47" s="45" t="inlineStr">
        <is>
          <t>оборудование</t>
        </is>
      </c>
      <c r="AA47" s="47" t="n">
        <v>1</v>
      </c>
      <c r="AB47" s="48" t="n">
        <v>1354909.04</v>
      </c>
      <c r="AC47" s="139" t="n">
        <v>1354909.04</v>
      </c>
      <c r="AD47" s="139" t="n">
        <v>270981.81</v>
      </c>
      <c r="AE47" s="139" t="n">
        <v>1625890.85</v>
      </c>
      <c r="AF47" s="45" t="inlineStr">
        <is>
          <t>Реакторное здание (10UJA)</t>
        </is>
      </c>
      <c r="AG47" s="50" t="n">
        <v>45547</v>
      </c>
      <c r="AH47" s="46" t="inlineStr">
        <is>
          <t>АО «Волгапроммаш»</t>
        </is>
      </c>
      <c r="AI47" s="46" t="inlineStr">
        <is>
          <t>Россия</t>
        </is>
      </c>
      <c r="AJ47" s="46" t="inlineStr">
        <is>
          <t>10UAA; tсраб=25 s; при dPmin=0.059 МПа; Характеристика: линейная; DNвх=125; DNвых=125; Max расход среды = 63.1 т/ч.
Материал присоединяемого трубопровода - 08Х18Н10Т; типоразмер трубы 139,7х9; патрубки соосны; тип присоединения - под приварку; строительная длина - не более 400 мм; демонтажный размер - не более 1050 мм; рабочее давление 14 МПа, рабочая температура 335 °C; среда: горячая вода; альт. среда: сетевая вода.</t>
        </is>
      </c>
      <c r="AK47" s="45" t="inlineStr">
        <is>
          <t>ПИ;БКП-4;ОТВ, Инженер 8</t>
        </is>
      </c>
      <c r="AL47" s="47" t="n">
        <v>1608862</v>
      </c>
      <c r="AM47" s="45" t="inlineStr">
        <is>
          <t>Клапан регулирующий DN 125 PN 14 t 335 °C QA3 3CIIIа SS УХЛ3 ТУ 37-1042-2024</t>
        </is>
      </c>
      <c r="AN47" s="51" t="n">
        <v>20</v>
      </c>
      <c r="AO47" s="52" t="inlineStr">
        <is>
          <t>28.14.20.000</t>
        </is>
      </c>
      <c r="AP47" s="53" t="n">
        <v>1390649.34</v>
      </c>
      <c r="AQ47" s="54" t="n">
        <v>1390649.34</v>
      </c>
      <c r="AR47" s="54" t="n">
        <v>278129.87</v>
      </c>
      <c r="AS47" s="54" t="n">
        <v>1668779.21</v>
      </c>
      <c r="AU47" s="56">
        <f>ROUND(AB47,2)</f>
        <v/>
      </c>
      <c r="AV47" s="57">
        <f>ROUND(AU47*AA47,2)</f>
        <v/>
      </c>
      <c r="AW47" s="57">
        <f>ROUND(AV47*0.2,2)</f>
        <v/>
      </c>
      <c r="AX47" s="57">
        <f>AV47+AW47</f>
        <v/>
      </c>
      <c r="AY47" s="57">
        <f>AU47=AB47</f>
        <v/>
      </c>
      <c r="AZ47" s="57">
        <f>AV47=AC47</f>
        <v/>
      </c>
      <c r="BA47" s="57">
        <f>AW47=AD47</f>
        <v/>
      </c>
      <c r="BB47" s="57">
        <f>AX47=AE47</f>
        <v/>
      </c>
    </row>
    <row r="48" ht="120" customFormat="1" customHeight="1" s="55">
      <c r="A48" s="45" t="n">
        <v>43</v>
      </c>
      <c r="B48" s="45" t="inlineStr">
        <is>
          <t>2.ИСУП.17305968</t>
        </is>
      </c>
      <c r="C48" s="45" t="inlineStr">
        <is>
          <t>11QKB49AA207</t>
        </is>
      </c>
      <c r="D48" s="46" t="inlineStr">
        <is>
          <t>Клапан регулирующий проходной</t>
        </is>
      </c>
      <c r="E48" s="46" t="inlineStr">
        <is>
          <t>NVA-GCV-0010-AS-900#-E-02</t>
        </is>
      </c>
      <c r="F48" s="45" t="inlineStr">
        <is>
          <t>3CIIIв</t>
        </is>
      </c>
      <c r="G48" s="45" t="inlineStr">
        <is>
          <t>QA3</t>
        </is>
      </c>
      <c r="H48" s="46" t="n">
        <v>10</v>
      </c>
      <c r="I48" s="46" t="n">
        <v>0.6</v>
      </c>
      <c r="J48" s="46" t="n">
        <v>200</v>
      </c>
      <c r="K48" s="46" t="inlineStr">
        <is>
          <t>Продувочная вода; Альт. среда: обессоленная вода</t>
        </is>
      </c>
      <c r="L48" s="46" t="inlineStr"/>
      <c r="M48" s="46" t="n">
        <v>149.6</v>
      </c>
      <c r="N48" s="46" t="inlineStr">
        <is>
          <t>электропривод</t>
        </is>
      </c>
      <c r="O48" s="46" t="inlineStr">
        <is>
          <t>РПМ-80/30-УХЛ3</t>
        </is>
      </c>
      <c r="P48" s="46" t="inlineStr">
        <is>
          <t>0,25</t>
        </is>
      </c>
      <c r="Q48" s="46" t="inlineStr">
        <is>
          <t>нж/угл</t>
        </is>
      </c>
      <c r="R48" s="46" t="inlineStr">
        <is>
          <t>под приварку</t>
        </is>
      </c>
      <c r="S48" s="46" t="inlineStr">
        <is>
          <t>TS-AES-GCV-143-QA</t>
        </is>
      </c>
      <c r="T48" s="45" t="inlineStr">
        <is>
          <t>3Н</t>
        </is>
      </c>
      <c r="U48" s="45" t="inlineStr">
        <is>
          <t>III</t>
        </is>
      </c>
      <c r="V48" s="45" t="inlineStr">
        <is>
          <t>AES-PAA1043; AES-PAA1043_B01_KZ_08</t>
        </is>
      </c>
      <c r="W48" s="45" t="inlineStr">
        <is>
          <t>РКД-АЭС-1-043</t>
        </is>
      </c>
      <c r="X48" s="45" t="inlineStr">
        <is>
          <t>01-01.8-10т (11UBA-MCA0043)</t>
        </is>
      </c>
      <c r="Y48" s="45" t="inlineStr">
        <is>
          <t>AES_11172279</t>
        </is>
      </c>
      <c r="Z48" s="45" t="inlineStr">
        <is>
          <t>оборудование</t>
        </is>
      </c>
      <c r="AA48" s="47" t="n">
        <v>1</v>
      </c>
      <c r="AB48" s="48" t="n">
        <v>1952722.58</v>
      </c>
      <c r="AC48" s="139" t="n">
        <v>1952722.58</v>
      </c>
      <c r="AD48" s="139" t="n">
        <v>390544.52</v>
      </c>
      <c r="AE48" s="139" t="n">
        <v>2343267.1</v>
      </c>
      <c r="AF48" s="45" t="inlineStr">
        <is>
          <t>Здание вспомогательных систем (10UKA)</t>
        </is>
      </c>
      <c r="AG48" s="50" t="n">
        <v>45517</v>
      </c>
      <c r="AH48" s="46" t="inlineStr">
        <is>
          <t>АО «Волгапроммаш»</t>
        </is>
      </c>
      <c r="AI48" s="46" t="inlineStr">
        <is>
          <t>Россия</t>
        </is>
      </c>
      <c r="AJ48" s="46" t="inlineStr">
        <is>
          <t>10UAA; tсраб=25 s; при dPmin=0.032 МПа; Характеристика: линейная; DNвх=10; DNвых=10; Max расход среды = 10.1 т/ч.
Материал присоединяемого трубопровода - 08Х18Н10Т; типоразмер трубы 17,2х2,3; патрубки соосны; тип присоединения - под приварку; строительная длина - не более 520 мм; демонтажный размер - не более 1250 мм; рабочее давление 0.6 МПа, рабочая температура 200 °C; среда: продувочная вода; альт. среда: обессоленная вода.</t>
        </is>
      </c>
      <c r="AK48" s="45" t="inlineStr">
        <is>
          <t>ПИ;БКП-5;ОТВ, Инженер 6</t>
        </is>
      </c>
      <c r="AL48" s="47" t="n">
        <v>1609073</v>
      </c>
      <c r="AM48" s="45" t="inlineStr">
        <is>
          <t>Клапан регулирующий DN 10 PN 0.6 t 200 °C QA3 3CIIIв AS УХЛ3 ТУ 37-1043-2024</t>
        </is>
      </c>
      <c r="AN48" s="51" t="n">
        <v>20</v>
      </c>
      <c r="AO48" s="52" t="inlineStr">
        <is>
          <t>28.14.11.121</t>
        </is>
      </c>
      <c r="AP48" s="53" t="n">
        <v>2058363.18</v>
      </c>
      <c r="AQ48" s="54" t="n">
        <v>2058363.18</v>
      </c>
      <c r="AR48" s="54" t="n">
        <v>411672.64</v>
      </c>
      <c r="AS48" s="54" t="n">
        <v>2470035.82</v>
      </c>
      <c r="AU48" s="56">
        <f>ROUND(AB48,2)</f>
        <v/>
      </c>
      <c r="AV48" s="57">
        <f>ROUND(AU48*AA48,2)</f>
        <v/>
      </c>
      <c r="AW48" s="57">
        <f>ROUND(AV48*0.2,2)</f>
        <v/>
      </c>
      <c r="AX48" s="57">
        <f>AV48+AW48</f>
        <v/>
      </c>
      <c r="AY48" s="57">
        <f>AU48=AB48</f>
        <v/>
      </c>
      <c r="AZ48" s="57">
        <f>AV48=AC48</f>
        <v/>
      </c>
      <c r="BA48" s="57">
        <f>AW48=AD48</f>
        <v/>
      </c>
      <c r="BB48" s="57">
        <f>AX48=AE48</f>
        <v/>
      </c>
    </row>
    <row r="49" ht="120" customFormat="1" customHeight="1" s="55">
      <c r="A49" s="45" t="n">
        <v>44</v>
      </c>
      <c r="B49" s="45" t="inlineStr">
        <is>
          <t>2.ИСУП.17306043</t>
        </is>
      </c>
      <c r="C49" s="45" t="inlineStr">
        <is>
          <t>12SBC52AA208</t>
        </is>
      </c>
      <c r="D49" s="46" t="inlineStr">
        <is>
          <t>Клапан регулирующий</t>
        </is>
      </c>
      <c r="E49" s="46" t="inlineStr">
        <is>
          <t>NVA-GCV-0065-AS-2500#-M-03</t>
        </is>
      </c>
      <c r="F49" s="45" t="inlineStr">
        <is>
          <t>3CIIIа</t>
        </is>
      </c>
      <c r="G49" s="45" t="inlineStr">
        <is>
          <t>QA2</t>
        </is>
      </c>
      <c r="H49" s="46" t="n">
        <v>65</v>
      </c>
      <c r="I49" s="46" t="n">
        <v>20</v>
      </c>
      <c r="J49" s="46" t="n">
        <v>300</v>
      </c>
      <c r="K49" s="46" t="inlineStr">
        <is>
          <t>Горячая вода; Альт. среда: сетевая вода</t>
        </is>
      </c>
      <c r="L49" s="46" t="inlineStr"/>
      <c r="M49" s="46" t="n">
        <v>823.4</v>
      </c>
      <c r="N49" s="46" t="inlineStr">
        <is>
          <t>встроенный электропривод</t>
        </is>
      </c>
      <c r="O49" s="46" t="inlineStr">
        <is>
          <t>ЭПА-120/40-У3</t>
        </is>
      </c>
      <c r="P49" s="46" t="inlineStr">
        <is>
          <t>0,06</t>
        </is>
      </c>
      <c r="Q49" s="46" t="inlineStr">
        <is>
          <t>нж/угл</t>
        </is>
      </c>
      <c r="R49" s="46" t="inlineStr">
        <is>
          <t>муфтовое</t>
        </is>
      </c>
      <c r="S49" s="46" t="inlineStr">
        <is>
          <t>TS-AES-GCV-144-QA</t>
        </is>
      </c>
      <c r="T49" s="45" t="inlineStr">
        <is>
          <t>3ЗЛ</t>
        </is>
      </c>
      <c r="U49" s="45" t="inlineStr">
        <is>
          <t>II</t>
        </is>
      </c>
      <c r="V49" s="45" t="inlineStr">
        <is>
          <t>AES-PAA1044; AES-PAA1044_B01_KZ_09</t>
        </is>
      </c>
      <c r="W49" s="45" t="inlineStr">
        <is>
          <t>РКД-АЭС-1-044</t>
        </is>
      </c>
      <c r="X49" s="45" t="inlineStr">
        <is>
          <t>01-01.9-10т (12UBA-MCA0044)</t>
        </is>
      </c>
      <c r="Y49" s="45" t="inlineStr">
        <is>
          <t>AES_11172332</t>
        </is>
      </c>
      <c r="Z49" s="45" t="inlineStr">
        <is>
          <t>оборудование</t>
        </is>
      </c>
      <c r="AA49" s="47" t="n">
        <v>1</v>
      </c>
      <c r="AB49" s="48" t="n">
        <v>1044000.09</v>
      </c>
      <c r="AC49" s="139" t="n">
        <v>1044000.09</v>
      </c>
      <c r="AD49" s="139" t="n">
        <v>208800.02</v>
      </c>
      <c r="AE49" s="139" t="n">
        <v>1252800.11</v>
      </c>
      <c r="AF49" s="45" t="inlineStr">
        <is>
          <t>Здание водоподготовки (10UBA)</t>
        </is>
      </c>
      <c r="AG49" s="50" t="n">
        <v>45457</v>
      </c>
      <c r="AH49" s="46" t="inlineStr">
        <is>
          <t>ООО «Техноарматура»</t>
        </is>
      </c>
      <c r="AI49" s="46" t="inlineStr">
        <is>
          <t>Россия</t>
        </is>
      </c>
      <c r="AJ49" s="46" t="inlineStr">
        <is>
          <t>10UAA; tсраб=40 s; при dPmin=0.04 МПа; Характеристика: линейная; DNвх=65; DNвых=65; Max расход среды = 73.5 т/ч.
Материал присоединяемого трубопровода - 08Х18Н10Т; типоразмер трубы 76,1х5; патрубки соосны; тип присоединения - под приварку; строительная длина - не более 320 мм; демонтажный размер - не более 1050 мм; рабочее давление 20 МПа, рабочая температура 300 °C; среда: горячая вода; альт. среда: сетевая вода.</t>
        </is>
      </c>
      <c r="AK49" s="45" t="inlineStr">
        <is>
          <t>ПИ;БКП-6;ОТВ, Инженер 2</t>
        </is>
      </c>
      <c r="AL49" s="47" t="n">
        <v>1609284</v>
      </c>
      <c r="AM49" s="45" t="inlineStr">
        <is>
          <t>Клапан регулирующий DN 65 PN 20 t 300 °C QA2 3CIIIа AS УХЛ3 ТУ 37-1044-2024</t>
        </is>
      </c>
      <c r="AN49" s="51" t="n">
        <v>20</v>
      </c>
      <c r="AO49" s="52" t="inlineStr">
        <is>
          <t>28.14.11.121</t>
        </is>
      </c>
      <c r="AP49" s="53" t="n">
        <v>1088884.08</v>
      </c>
      <c r="AQ49" s="54" t="n">
        <v>1088884.08</v>
      </c>
      <c r="AR49" s="54" t="n">
        <v>217776.82</v>
      </c>
      <c r="AS49" s="54" t="n">
        <v>1306660.9</v>
      </c>
      <c r="AU49" s="56">
        <f>ROUND(AB49,2)</f>
        <v/>
      </c>
      <c r="AV49" s="57">
        <f>ROUND(AU49*AA49,2)</f>
        <v/>
      </c>
      <c r="AW49" s="57">
        <f>ROUND(AV49*0.2,2)</f>
        <v/>
      </c>
      <c r="AX49" s="57">
        <f>AV49+AW49</f>
        <v/>
      </c>
      <c r="AY49" s="57">
        <f>AU49=AB49</f>
        <v/>
      </c>
      <c r="AZ49" s="57">
        <f>AV49=AC49</f>
        <v/>
      </c>
      <c r="BA49" s="57">
        <f>AW49=AD49</f>
        <v/>
      </c>
      <c r="BB49" s="57">
        <f>AX49=AE49</f>
        <v/>
      </c>
    </row>
    <row r="50" ht="120" customFormat="1" customHeight="1" s="55">
      <c r="A50" s="45" t="n">
        <v>45</v>
      </c>
      <c r="B50" s="45" t="inlineStr">
        <is>
          <t>2.ИСУП.17306209</t>
        </is>
      </c>
      <c r="C50" s="45" t="inlineStr">
        <is>
          <t>10SBP55AA209</t>
        </is>
      </c>
      <c r="D50" s="46" t="inlineStr">
        <is>
          <t>Клапан регулирующий</t>
        </is>
      </c>
      <c r="E50" s="46" t="inlineStr">
        <is>
          <t>NVA-GCV-0100-AS-150#-M-01</t>
        </is>
      </c>
      <c r="F50" s="45" t="inlineStr">
        <is>
          <t>-</t>
        </is>
      </c>
      <c r="G50" s="45" t="inlineStr">
        <is>
          <t>QA3</t>
        </is>
      </c>
      <c r="H50" s="46" t="n">
        <v>100</v>
      </c>
      <c r="I50" s="46" t="n">
        <v>16</v>
      </c>
      <c r="J50" s="46" t="n">
        <v>290</v>
      </c>
      <c r="K50" s="46" t="inlineStr">
        <is>
          <t>Техническая вода; Альт. среда: обессоленная вода</t>
        </is>
      </c>
      <c r="L50" s="46" t="n">
        <v>112.1</v>
      </c>
      <c r="M50" s="46" t="n">
        <v>692.8</v>
      </c>
      <c r="N50" s="46" t="inlineStr">
        <is>
          <t>ручной привод</t>
        </is>
      </c>
      <c r="O50" s="46" t="inlineStr">
        <is>
          <t>РПМ-80/30-УХЛ3</t>
        </is>
      </c>
      <c r="P50" s="46" t="inlineStr">
        <is>
          <t>0,09</t>
        </is>
      </c>
      <c r="Q50" s="46" t="inlineStr">
        <is>
          <t>легир. сталь</t>
        </is>
      </c>
      <c r="R50" s="46" t="inlineStr">
        <is>
          <t>под приварку</t>
        </is>
      </c>
      <c r="S50" s="46" t="inlineStr">
        <is>
          <t>TS-AES-GCV-145-QB</t>
        </is>
      </c>
      <c r="T50" s="45" t="inlineStr">
        <is>
          <t>4Н</t>
        </is>
      </c>
      <c r="U50" s="45" t="inlineStr">
        <is>
          <t>II</t>
        </is>
      </c>
      <c r="V50" s="45" t="inlineStr">
        <is>
          <t>AES-PAA1045; AES-PAA1045_B01_KZ_10</t>
        </is>
      </c>
      <c r="W50" s="45" t="inlineStr">
        <is>
          <t>ТУ 37-0145-00000000-2024</t>
        </is>
      </c>
      <c r="X50" s="45" t="inlineStr">
        <is>
          <t>01-01.1-22т (10UJA-MCA0045)</t>
        </is>
      </c>
      <c r="Y50" s="45" t="inlineStr">
        <is>
          <t>AES_11172385</t>
        </is>
      </c>
      <c r="Z50" s="45" t="inlineStr">
        <is>
          <t>оборудование</t>
        </is>
      </c>
      <c r="AA50" s="47" t="n">
        <v>1</v>
      </c>
      <c r="AB50" s="48" t="n">
        <v>1874005.81</v>
      </c>
      <c r="AC50" s="139" t="n">
        <v>1874005.81</v>
      </c>
      <c r="AD50" s="139" t="n">
        <v>374801.16</v>
      </c>
      <c r="AE50" s="139" t="n">
        <v>2248806.97</v>
      </c>
      <c r="AF50" s="45" t="inlineStr">
        <is>
          <t>Насосная станция технической воды (10UQC)</t>
        </is>
      </c>
      <c r="AG50" s="50" t="n">
        <v>45457</v>
      </c>
      <c r="AH50" s="46" t="inlineStr">
        <is>
          <t>АО «Волгапроммаш»</t>
        </is>
      </c>
      <c r="AI50" s="46" t="inlineStr">
        <is>
          <t>РФ</t>
        </is>
      </c>
      <c r="AJ50" s="46" t="inlineStr">
        <is>
          <t>10UAA; tсраб=40 s; при dPmin=0.069 МПа; Характеристика: линейная; DNвх=100; DNвых=100; Max расход среды = 57.9 т/ч.
Материал присоединяемого трубопровода - 20; типоразмер трубы 114,3х8; патрубки соосны; тип присоединения - под приварку; строительная длина - не более 320 мм; демонтажный размер - не более 1250 мм; рабочее давление 16 МПа, рабочая температура 290 °C; среда: техническая вода; альт. среда: обессоленная вода.</t>
        </is>
      </c>
      <c r="AK50" s="45" t="inlineStr">
        <is>
          <t>ПИ;БКП-3;ОТВ, Инженер 6</t>
        </is>
      </c>
      <c r="AL50" s="47" t="n">
        <v>1609495</v>
      </c>
      <c r="AM50" s="45" t="inlineStr">
        <is>
          <t>Клапан регулирующий DN 100 PN 16 t 290 °C QA3 - AS УХЛ3 ТУ 37-1045-2024</t>
        </is>
      </c>
      <c r="AN50" s="51" t="n">
        <v>20</v>
      </c>
      <c r="AO50" s="52" t="inlineStr">
        <is>
          <t>28.14.20.000</t>
        </is>
      </c>
      <c r="AP50" s="53" t="n">
        <v>1921111.53</v>
      </c>
      <c r="AQ50" s="54" t="n">
        <v>1921111.53</v>
      </c>
      <c r="AR50" s="54" t="n">
        <v>384222.31</v>
      </c>
      <c r="AS50" s="54" t="n">
        <v>2305333.84</v>
      </c>
      <c r="AU50" s="56">
        <f>ROUND(AB50,2)</f>
        <v/>
      </c>
      <c r="AV50" s="57">
        <f>ROUND(AU50*AA50,2)</f>
        <v/>
      </c>
      <c r="AW50" s="57">
        <f>ROUND(AV50*0.2,2)</f>
        <v/>
      </c>
      <c r="AX50" s="57">
        <f>AV50+AW50</f>
        <v/>
      </c>
      <c r="AY50" s="57">
        <f>AU50=AB50</f>
        <v/>
      </c>
      <c r="AZ50" s="57">
        <f>AV50=AC50</f>
        <v/>
      </c>
      <c r="BA50" s="57">
        <f>AW50=AD50</f>
        <v/>
      </c>
      <c r="BB50" s="57">
        <f>AX50=AE50</f>
        <v/>
      </c>
    </row>
    <row r="51" ht="120" customFormat="1" customHeight="1" s="55">
      <c r="A51" s="45" t="n">
        <v>46</v>
      </c>
      <c r="B51" s="45" t="inlineStr">
        <is>
          <t>2.ИСУП.17306331</t>
        </is>
      </c>
      <c r="C51" s="45" t="inlineStr">
        <is>
          <t>11LCQ58AA210</t>
        </is>
      </c>
      <c r="D51" s="46" t="inlineStr">
        <is>
          <t>Клапан регулирующий</t>
        </is>
      </c>
      <c r="E51" s="46" t="inlineStr">
        <is>
          <t>NVA-GCV-0050-SS-900#-E-02</t>
        </is>
      </c>
      <c r="F51" s="45" t="inlineStr">
        <is>
          <t>3CIIIа</t>
        </is>
      </c>
      <c r="G51" s="45" t="inlineStr">
        <is>
          <t>QA3</t>
        </is>
      </c>
      <c r="H51" s="46" t="n">
        <v>50</v>
      </c>
      <c r="I51" s="46" t="n">
        <v>1</v>
      </c>
      <c r="J51" s="46" t="n">
        <v>335</v>
      </c>
      <c r="K51" s="46" t="inlineStr">
        <is>
          <t>Горячая вода; Альт. среда: сетевая вода</t>
        </is>
      </c>
      <c r="L51" s="46" t="n">
        <v>85.8</v>
      </c>
      <c r="M51" s="46" t="n">
        <v>493</v>
      </c>
      <c r="N51" s="46" t="inlineStr">
        <is>
          <t>встроенный электропривод</t>
        </is>
      </c>
      <c r="O51" s="46" t="inlineStr">
        <is>
          <t>ЭПА-250/60-У3</t>
        </is>
      </c>
      <c r="P51" s="46" t="inlineStr">
        <is>
          <t>0,09</t>
        </is>
      </c>
      <c r="Q51" s="46" t="inlineStr">
        <is>
          <t>нж/угл</t>
        </is>
      </c>
      <c r="R51" s="46" t="inlineStr">
        <is>
          <t>муфтовое</t>
        </is>
      </c>
      <c r="S51" s="46" t="inlineStr">
        <is>
          <t>TS-AES-GCV-146-QB</t>
        </is>
      </c>
      <c r="T51" s="45" t="inlineStr">
        <is>
          <t>2ЗЛ</t>
        </is>
      </c>
      <c r="U51" s="45" t="inlineStr">
        <is>
          <t>III</t>
        </is>
      </c>
      <c r="V51" s="45" t="inlineStr">
        <is>
          <t>AES-PAA1046; AES-PAA1046_B01_KZ_11</t>
        </is>
      </c>
      <c r="W51" s="45" t="inlineStr">
        <is>
          <t>ТУ 37-0146-00000000-2024</t>
        </is>
      </c>
      <c r="X51" s="45" t="inlineStr">
        <is>
          <t>01-01.2-10т (11UKA-MCA0046)</t>
        </is>
      </c>
      <c r="Y51" s="45" t="inlineStr">
        <is>
          <t>AES_11172438</t>
        </is>
      </c>
      <c r="Z51" s="45" t="inlineStr">
        <is>
          <t>оборудование</t>
        </is>
      </c>
      <c r="AA51" s="47" t="n">
        <v>1</v>
      </c>
      <c r="AB51" s="48" t="n">
        <v>1994114.96</v>
      </c>
      <c r="AC51" s="139" t="n">
        <v>1994114.96</v>
      </c>
      <c r="AD51" s="139" t="n">
        <v>398822.99</v>
      </c>
      <c r="AE51" s="139" t="n">
        <v>2392937.95</v>
      </c>
      <c r="AF51" s="45" t="inlineStr">
        <is>
          <t>Насосная станция технической воды (10UQC)</t>
        </is>
      </c>
      <c r="AG51" s="50" t="n">
        <v>45547</v>
      </c>
      <c r="AH51" s="46" t="inlineStr">
        <is>
          <t>ООО «Техноарматура»</t>
        </is>
      </c>
      <c r="AI51" s="46" t="inlineStr">
        <is>
          <t>РФ</t>
        </is>
      </c>
      <c r="AJ51" s="46" t="inlineStr">
        <is>
          <t>10UAA; tсраб=40 s; при dPmin=0.08 МПа; Характеристика: линейная; DNвх=50; DNвых=50; Max расход среды = 51.9 т/ч.
Материал присоединяемого трубопровода - 08Х18Н10Т; типоразмер трубы 60,3х4; патрубки соосны; тип присоединения - под приварку; строительная длина - не более 240 мм; демонтажный размер - не более 1250 мм; рабочее давление 1.0 МПа, рабочая температура 335 °C; среда: горячая вода; альт. среда: сетевая вода.</t>
        </is>
      </c>
      <c r="AK51" s="45" t="inlineStr">
        <is>
          <t>ПИ;БКП-3;ОТВ, Инженер 8</t>
        </is>
      </c>
      <c r="AL51" s="47" t="n">
        <v>1609706</v>
      </c>
      <c r="AM51" s="45" t="inlineStr">
        <is>
          <t>Клапан регулирующий DN 50 PN 1.0 t 335 °C QA3 3CIIIа SS УХЛ3 ТУ 37-1046-2024</t>
        </is>
      </c>
      <c r="AN51" s="51" t="n">
        <v>20</v>
      </c>
      <c r="AO51" s="52" t="inlineStr">
        <is>
          <t>28.14.11.121</t>
        </is>
      </c>
      <c r="AP51" s="53" t="n">
        <v>2146421.16</v>
      </c>
      <c r="AQ51" s="54" t="n">
        <v>2146421.16</v>
      </c>
      <c r="AR51" s="54" t="n">
        <v>429284.23</v>
      </c>
      <c r="AS51" s="54" t="n">
        <v>2575705.39</v>
      </c>
      <c r="AU51" s="56">
        <f>ROUND(AB51,2)</f>
        <v/>
      </c>
      <c r="AV51" s="57">
        <f>ROUND(AU51*AA51,2)</f>
        <v/>
      </c>
      <c r="AW51" s="57">
        <f>ROUND(AV51*0.2,2)</f>
        <v/>
      </c>
      <c r="AX51" s="57">
        <f>AV51+AW51</f>
        <v/>
      </c>
      <c r="AY51" s="57">
        <f>AU51=AB51</f>
        <v/>
      </c>
      <c r="AZ51" s="57">
        <f>AV51=AC51</f>
        <v/>
      </c>
      <c r="BA51" s="57">
        <f>AW51=AD51</f>
        <v/>
      </c>
      <c r="BB51" s="57">
        <f>AX51=AE51</f>
        <v/>
      </c>
    </row>
    <row r="52" ht="120" customFormat="1" customHeight="1" s="55">
      <c r="A52" s="45" t="n">
        <v>47</v>
      </c>
      <c r="B52" s="45" t="inlineStr">
        <is>
          <t>2.ИСУП.17306458</t>
        </is>
      </c>
      <c r="C52" s="45" t="inlineStr">
        <is>
          <t>12KWA61AA211</t>
        </is>
      </c>
      <c r="D52" s="46" t="inlineStr">
        <is>
          <t>Клапан регулирующий</t>
        </is>
      </c>
      <c r="E52" s="46" t="inlineStr">
        <is>
          <t>NVA-GCV-0150-SS-1500#-E-03</t>
        </is>
      </c>
      <c r="F52" s="45" t="inlineStr">
        <is>
          <t>3CIIIв</t>
        </is>
      </c>
      <c r="G52" s="45" t="inlineStr">
        <is>
          <t>QA4</t>
        </is>
      </c>
      <c r="H52" s="46" t="n">
        <v>150</v>
      </c>
      <c r="I52" s="46" t="n">
        <v>11</v>
      </c>
      <c r="J52" s="46" t="n">
        <v>350</v>
      </c>
      <c r="K52" s="46" t="inlineStr">
        <is>
          <t>Горячая вода; Альт. среда: сетевая вода</t>
        </is>
      </c>
      <c r="L52" s="46" t="inlineStr"/>
      <c r="M52" s="46" t="n">
        <v>860.7</v>
      </c>
      <c r="N52" s="46" t="inlineStr">
        <is>
          <t>электропривод</t>
        </is>
      </c>
      <c r="O52" s="46" t="inlineStr">
        <is>
          <t>ЭПА-250/60-У3</t>
        </is>
      </c>
      <c r="P52" s="46" t="inlineStr">
        <is>
          <t>0,18</t>
        </is>
      </c>
      <c r="Q52" s="46" t="inlineStr">
        <is>
          <t>нж</t>
        </is>
      </c>
      <c r="R52" s="46" t="inlineStr">
        <is>
          <t>под приварку</t>
        </is>
      </c>
      <c r="S52" s="46" t="inlineStr">
        <is>
          <t>TS-AES-GCV-147-QC</t>
        </is>
      </c>
      <c r="T52" s="45" t="inlineStr">
        <is>
          <t>3Н</t>
        </is>
      </c>
      <c r="U52" s="45" t="inlineStr">
        <is>
          <t>III</t>
        </is>
      </c>
      <c r="V52" s="45" t="inlineStr">
        <is>
          <t>AES-PAA1047; AES-PAA1047_B01_KZ_12</t>
        </is>
      </c>
      <c r="W52" s="45" t="inlineStr">
        <is>
          <t>РКД-АЭС-1-047</t>
        </is>
      </c>
      <c r="X52" s="45" t="inlineStr">
        <is>
          <t>01-01.3-10т (12UJA-MCA0047)</t>
        </is>
      </c>
      <c r="Y52" s="45" t="inlineStr">
        <is>
          <t>AES_11172491</t>
        </is>
      </c>
      <c r="Z52" s="45" t="inlineStr">
        <is>
          <t>оборудование</t>
        </is>
      </c>
      <c r="AA52" s="47" t="n">
        <v>1</v>
      </c>
      <c r="AB52" s="48" t="n">
        <v>2028586.44</v>
      </c>
      <c r="AC52" s="139" t="n">
        <v>2028586.44</v>
      </c>
      <c r="AD52" s="139" t="n">
        <v>405717.29</v>
      </c>
      <c r="AE52" s="139" t="n">
        <v>2434303.73</v>
      </c>
      <c r="AF52" s="45" t="inlineStr">
        <is>
          <t>Насосная станция технической воды (10UQC)</t>
        </is>
      </c>
      <c r="AG52" s="50" t="n">
        <v>45607</v>
      </c>
      <c r="AH52" s="46" t="inlineStr">
        <is>
          <t>ООО «Техноарматура»</t>
        </is>
      </c>
      <c r="AI52" s="46" t="inlineStr">
        <is>
          <t>РФ</t>
        </is>
      </c>
      <c r="AJ52" s="46" t="inlineStr">
        <is>
          <t>10UAA; tсраб=60 s; при dPmin=0.079 МПа; Характеристика: линейная; DNвх=150; DNвых=150; Max расход среды = 52.5 т/ч.
Материал присоединяемого трубопровода - 08Х18Н10Т; типоразмер трубы 168,3х10; патрубки соосны; тип присоединения - под приварку; строительная длина - не более 520 мм; демонтажный размер - не более 880 мм; рабочее давление 11 МПа, рабочая температура 350 °C; среда: горячая вода; альт. среда: сетевая вода.</t>
        </is>
      </c>
      <c r="AK52" s="45" t="inlineStr">
        <is>
          <t>ПИ;БКП-5;ОТВ, Инженер 4</t>
        </is>
      </c>
      <c r="AL52" s="47" t="n">
        <v>1609917</v>
      </c>
      <c r="AM52" s="45" t="inlineStr">
        <is>
          <t>Клапан регулирующий DN 150 PN 11 t 350 °C QA4 3CIIIв SS УХЛ3 ТУ 37-1047-2024</t>
        </is>
      </c>
      <c r="AN52" s="51" t="n">
        <v>20</v>
      </c>
      <c r="AO52" s="52" t="inlineStr">
        <is>
          <t>28.14.13.131</t>
        </is>
      </c>
      <c r="AP52" s="53" t="n">
        <v>2080087.06</v>
      </c>
      <c r="AQ52" s="54" t="n">
        <v>2080087.06</v>
      </c>
      <c r="AR52" s="54" t="n">
        <v>416017.41</v>
      </c>
      <c r="AS52" s="54" t="n">
        <v>2496104.47</v>
      </c>
      <c r="AU52" s="56">
        <f>ROUND(AB52,2)</f>
        <v/>
      </c>
      <c r="AV52" s="57">
        <f>ROUND(AU52*AA52,2)</f>
        <v/>
      </c>
      <c r="AW52" s="57">
        <f>ROUND(AV52*0.2,2)</f>
        <v/>
      </c>
      <c r="AX52" s="57">
        <f>AV52+AW52</f>
        <v/>
      </c>
      <c r="AY52" s="57">
        <f>AU52=AB52</f>
        <v/>
      </c>
      <c r="AZ52" s="57">
        <f>AV52=AC52</f>
        <v/>
      </c>
      <c r="BA52" s="57">
        <f>AW52=AD52</f>
        <v/>
      </c>
      <c r="BB52" s="57">
        <f>AX52=AE52</f>
        <v/>
      </c>
    </row>
    <row r="53" ht="120" customFormat="1" customHeight="1" s="55">
      <c r="A53" s="45" t="n">
        <v>48</v>
      </c>
      <c r="B53" s="45" t="inlineStr">
        <is>
          <t>2.ИСУП.17306650</t>
        </is>
      </c>
      <c r="C53" s="45" t="inlineStr">
        <is>
          <t>10JNB64AA212</t>
        </is>
      </c>
      <c r="D53" s="46" t="inlineStr">
        <is>
          <t>Клапан регулирующий проходной</t>
        </is>
      </c>
      <c r="E53" s="46" t="inlineStr">
        <is>
          <t>NVA-GCV-0125-CS-600#-E-01</t>
        </is>
      </c>
      <c r="F53" s="45" t="inlineStr">
        <is>
          <t>3CIIIв</t>
        </is>
      </c>
      <c r="G53" s="45" t="inlineStr">
        <is>
          <t>QA2</t>
        </is>
      </c>
      <c r="H53" s="46" t="n">
        <v>125</v>
      </c>
      <c r="I53" s="46" t="n">
        <v>0.6</v>
      </c>
      <c r="J53" s="46" t="n">
        <v>335</v>
      </c>
      <c r="K53" s="46" t="inlineStr">
        <is>
          <t>Продувочная вода; Альт. среда: обессоленная вода</t>
        </is>
      </c>
      <c r="L53" s="46" t="n">
        <v>150</v>
      </c>
      <c r="M53" s="46" t="n">
        <v>536</v>
      </c>
      <c r="N53" s="46" t="inlineStr">
        <is>
          <t>электропривод</t>
        </is>
      </c>
      <c r="O53" s="46" t="inlineStr">
        <is>
          <t>РПМ-80/30-УХЛ3</t>
        </is>
      </c>
      <c r="P53" s="46" t="inlineStr">
        <is>
          <t>0,37</t>
        </is>
      </c>
      <c r="Q53" s="46" t="inlineStr">
        <is>
          <t>нж/угл</t>
        </is>
      </c>
      <c r="R53" s="46" t="inlineStr">
        <is>
          <t>муфтовое</t>
        </is>
      </c>
      <c r="S53" s="46" t="inlineStr">
        <is>
          <t>TS-AES-GCV-148-QA</t>
        </is>
      </c>
      <c r="T53" s="45" t="inlineStr">
        <is>
          <t>2Н</t>
        </is>
      </c>
      <c r="U53" s="45" t="inlineStr">
        <is>
          <t>I</t>
        </is>
      </c>
      <c r="V53" s="45" t="inlineStr">
        <is>
          <t>AES-PAA1048; AES-PAA1048_B01_KZ_01</t>
        </is>
      </c>
      <c r="W53" s="45" t="inlineStr">
        <is>
          <t>РКД-АЭС-1-048</t>
        </is>
      </c>
      <c r="X53" s="45" t="inlineStr">
        <is>
          <t>01-01.4-10т (10UJA-MCA0048)</t>
        </is>
      </c>
      <c r="Y53" s="45" t="inlineStr">
        <is>
          <t>AES_11172544</t>
        </is>
      </c>
      <c r="Z53" s="45" t="inlineStr">
        <is>
          <t>оборудование</t>
        </is>
      </c>
      <c r="AA53" s="47" t="n">
        <v>1</v>
      </c>
      <c r="AB53" s="48" t="n">
        <v>1208286.51</v>
      </c>
      <c r="AC53" s="139" t="n">
        <v>1208286.51</v>
      </c>
      <c r="AD53" s="139" t="n">
        <v>241657.3</v>
      </c>
      <c r="AE53" s="139" t="n">
        <v>1449943.81</v>
      </c>
      <c r="AF53" s="45" t="inlineStr">
        <is>
          <t>Реакторное здание (10UJA)</t>
        </is>
      </c>
      <c r="AG53" s="50" t="n">
        <v>45487</v>
      </c>
      <c r="AH53" s="46" t="inlineStr">
        <is>
          <t>АО «Волгапроммаш»</t>
        </is>
      </c>
      <c r="AI53" s="46" t="inlineStr">
        <is>
          <t>Россия</t>
        </is>
      </c>
      <c r="AJ53" s="46" t="inlineStr">
        <is>
          <t>10UAA; tсраб=60 s; при dPmin=0.058 МПа; Характеристика: линейная; DNвх=125; DNвых=125; Max расход среды = 28.9 т/ч.
Материал присоединяемого трубопровода - 08Х18Н10Т; типоразмер трубы 139,7х9; патрубки соосны; тип присоединения - под приварку; строительная длина - не более 650 мм; демонтажный размер - не более 880 мм; рабочее давление 0.6 МПа, рабочая температура 335 °C; среда: продувочная вода; альт. среда: обессоленная вода.</t>
        </is>
      </c>
      <c r="AK53" s="45" t="inlineStr">
        <is>
          <t>ПИ;БКП-6;ОТВ, Инженер 2</t>
        </is>
      </c>
      <c r="AL53" s="47" t="n">
        <v>1610128</v>
      </c>
      <c r="AM53" s="45" t="inlineStr">
        <is>
          <t>Клапан регулирующий DN 125 PN 0.6 t 335 °C QA2 3CIIIв CS УХЛ3 ТУ 37-1048-2024</t>
        </is>
      </c>
      <c r="AN53" s="51" t="n">
        <v>20</v>
      </c>
      <c r="AO53" s="52" t="inlineStr">
        <is>
          <t>28.14.13.131</t>
        </is>
      </c>
      <c r="AP53" s="53" t="n">
        <v>1233763.78</v>
      </c>
      <c r="AQ53" s="54" t="n">
        <v>1233763.78</v>
      </c>
      <c r="AR53" s="54" t="n">
        <v>246752.76</v>
      </c>
      <c r="AS53" s="54" t="n">
        <v>1480516.54</v>
      </c>
      <c r="AU53" s="56">
        <f>ROUND(AB53,2)</f>
        <v/>
      </c>
      <c r="AV53" s="57">
        <f>ROUND(AU53*AA53,2)</f>
        <v/>
      </c>
      <c r="AW53" s="57">
        <f>ROUND(AV53*0.2,2)</f>
        <v/>
      </c>
      <c r="AX53" s="57">
        <f>AV53+AW53</f>
        <v/>
      </c>
      <c r="AY53" s="57">
        <f>AU53=AB53</f>
        <v/>
      </c>
      <c r="AZ53" s="57">
        <f>AV53=AC53</f>
        <v/>
      </c>
      <c r="BA53" s="57">
        <f>AW53=AD53</f>
        <v/>
      </c>
      <c r="BB53" s="57">
        <f>AX53=AE53</f>
        <v/>
      </c>
    </row>
    <row r="54" ht="120" customFormat="1" customHeight="1" s="55">
      <c r="A54" s="45" t="n">
        <v>49</v>
      </c>
      <c r="B54" s="45" t="inlineStr">
        <is>
          <t>2.ИСУП.17306785</t>
        </is>
      </c>
      <c r="C54" s="45" t="inlineStr">
        <is>
          <t>11UJA67AA213</t>
        </is>
      </c>
      <c r="D54" s="46" t="inlineStr">
        <is>
          <t>Клапан регулирующий</t>
        </is>
      </c>
      <c r="E54" s="46" t="inlineStr">
        <is>
          <t>NVA-GCV-0025-CS-150#-M-02</t>
        </is>
      </c>
      <c r="F54" s="45" t="inlineStr">
        <is>
          <t>3CIIIв</t>
        </is>
      </c>
      <c r="G54" s="45" t="inlineStr">
        <is>
          <t>QA4</t>
        </is>
      </c>
      <c r="H54" s="46" t="n">
        <v>25</v>
      </c>
      <c r="I54" s="46" t="n">
        <v>16</v>
      </c>
      <c r="J54" s="46" t="n">
        <v>250</v>
      </c>
      <c r="K54" s="46" t="inlineStr">
        <is>
          <t>Сжатый воздух; Альт. среда: азот</t>
        </is>
      </c>
      <c r="L54" s="46" t="inlineStr"/>
      <c r="M54" s="46" t="n">
        <v>427.2</v>
      </c>
      <c r="N54" s="46" t="inlineStr">
        <is>
          <t>ручной привод</t>
        </is>
      </c>
      <c r="O54" s="46" t="inlineStr">
        <is>
          <t>МЭП-400/25-У2</t>
        </is>
      </c>
      <c r="P54" s="46" t="inlineStr">
        <is>
          <t>0,045</t>
        </is>
      </c>
      <c r="Q54" s="46" t="inlineStr">
        <is>
          <t>угл</t>
        </is>
      </c>
      <c r="R54" s="46" t="inlineStr">
        <is>
          <t>под приварку</t>
        </is>
      </c>
      <c r="S54" s="46" t="inlineStr">
        <is>
          <t>TS-AES-GCV-149-QB</t>
        </is>
      </c>
      <c r="T54" s="45" t="inlineStr">
        <is>
          <t>2ЗЛ</t>
        </is>
      </c>
      <c r="U54" s="45" t="inlineStr">
        <is>
          <t>II</t>
        </is>
      </c>
      <c r="V54" s="45" t="inlineStr">
        <is>
          <t>AES-PAA1049; AES-PAA1049_B01_KZ_02</t>
        </is>
      </c>
      <c r="W54" s="45" t="inlineStr">
        <is>
          <t>ТУ 37-0149-00000000-2024</t>
        </is>
      </c>
      <c r="X54" s="45" t="inlineStr">
        <is>
          <t>01-01.5-22т (11UBA-MCA0049)</t>
        </is>
      </c>
      <c r="Y54" s="45" t="inlineStr">
        <is>
          <t>AES_11172597</t>
        </is>
      </c>
      <c r="Z54" s="45" t="inlineStr">
        <is>
          <t>оборудование</t>
        </is>
      </c>
      <c r="AA54" s="47" t="n">
        <v>1</v>
      </c>
      <c r="AB54" s="48" t="n">
        <v>1305260.53</v>
      </c>
      <c r="AC54" s="139" t="n">
        <v>1305260.53</v>
      </c>
      <c r="AD54" s="139" t="n">
        <v>261052.11</v>
      </c>
      <c r="AE54" s="139" t="n">
        <v>1566312.64</v>
      </c>
      <c r="AF54" s="45" t="inlineStr">
        <is>
          <t>Реакторное здание (10UJA)</t>
        </is>
      </c>
      <c r="AG54" s="50" t="n">
        <v>45457</v>
      </c>
      <c r="AH54" s="46" t="inlineStr">
        <is>
          <t>АО «Северная арматура»</t>
        </is>
      </c>
      <c r="AI54" s="46" t="inlineStr">
        <is>
          <t>РФ</t>
        </is>
      </c>
      <c r="AJ54" s="46" t="inlineStr">
        <is>
          <t>10UAA; tсраб=40 s; при dPmin=0.032 МПа; Характеристика: линейная; DNвх=25; DNвых=25; Max расход среды = 18.1 т/ч.
Материал присоединяемого трубопровода - 20; типоразмер трубы 33,7х3,2; патрубки соосны; тип присоединения - под приварку; строительная длина - не более 240 мм; демонтажный размер - не более 720 мм; рабочее давление 16 МПа, рабочая температура 250 °C; среда: сжатый воздух; альт. среда: азот.</t>
        </is>
      </c>
      <c r="AK54" s="45" t="inlineStr">
        <is>
          <t>ПИ;БКП-7;ОТВ, Инженер 2</t>
        </is>
      </c>
      <c r="AL54" s="47" t="n">
        <v>1610339</v>
      </c>
      <c r="AM54" s="45" t="inlineStr">
        <is>
          <t>Клапан регулирующий DN 25 PN 16 t 250 °C QA4 3CIIIв CS УХЛ3 ТУ 37-1049-2024</t>
        </is>
      </c>
      <c r="AN54" s="51" t="n">
        <v>20</v>
      </c>
      <c r="AO54" s="52" t="inlineStr">
        <is>
          <t>28.14.11.121</t>
        </is>
      </c>
      <c r="AP54" s="53" t="n">
        <v>1401151.16</v>
      </c>
      <c r="AQ54" s="54" t="n">
        <v>1401151.16</v>
      </c>
      <c r="AR54" s="54" t="n">
        <v>280230.23</v>
      </c>
      <c r="AS54" s="54" t="n">
        <v>1681381.39</v>
      </c>
      <c r="AU54" s="56">
        <f>ROUND(AB54,2)</f>
        <v/>
      </c>
      <c r="AV54" s="57">
        <f>ROUND(AU54*AA54,2)</f>
        <v/>
      </c>
      <c r="AW54" s="57">
        <f>ROUND(AV54*0.2,2)</f>
        <v/>
      </c>
      <c r="AX54" s="57">
        <f>AV54+AW54</f>
        <v/>
      </c>
      <c r="AY54" s="57">
        <f>AU54=AB54</f>
        <v/>
      </c>
      <c r="AZ54" s="57">
        <f>AV54=AC54</f>
        <v/>
      </c>
      <c r="BA54" s="57">
        <f>AW54=AD54</f>
        <v/>
      </c>
      <c r="BB54" s="57">
        <f>AX54=AE54</f>
        <v/>
      </c>
    </row>
    <row r="55" ht="216" customFormat="1" customHeight="1" s="55">
      <c r="A55" s="45" t="n">
        <v>50</v>
      </c>
      <c r="B55" s="45" t="inlineStr">
        <is>
          <t>2.ИСУП.17306895</t>
        </is>
      </c>
      <c r="C55" s="45" t="inlineStr">
        <is>
          <t>12LCQ70AA214</t>
        </is>
      </c>
      <c r="D55" s="46" t="inlineStr">
        <is>
          <t>Клапан запорно-регулирующий</t>
        </is>
      </c>
      <c r="E55" s="46" t="inlineStr">
        <is>
          <t>NVA-GCV-0100-CS-2500#-M-03</t>
        </is>
      </c>
      <c r="F55" s="45" t="inlineStr">
        <is>
          <t>2ВIIа</t>
        </is>
      </c>
      <c r="G55" s="45" t="inlineStr">
        <is>
          <t>QA4</t>
        </is>
      </c>
      <c r="H55" s="46" t="n">
        <v>100</v>
      </c>
      <c r="I55" s="46" t="n">
        <v>1.6</v>
      </c>
      <c r="J55" s="46" t="n">
        <v>290</v>
      </c>
      <c r="K55" s="46" t="inlineStr">
        <is>
          <t>Горячая вода; Альт. среда: сетевая вода</t>
        </is>
      </c>
      <c r="L55" s="46" t="inlineStr"/>
      <c r="M55" s="46" t="n">
        <v>1389.7</v>
      </c>
      <c r="N55" s="46" t="inlineStr">
        <is>
          <t>ручной привод</t>
        </is>
      </c>
      <c r="O55" s="46" t="inlineStr">
        <is>
          <t>ЭПА-250/60-У3</t>
        </is>
      </c>
      <c r="P55" s="46" t="inlineStr">
        <is>
          <t>0,37</t>
        </is>
      </c>
      <c r="Q55" s="46" t="inlineStr">
        <is>
          <t>нж</t>
        </is>
      </c>
      <c r="R55" s="46" t="inlineStr">
        <is>
          <t>под приварку</t>
        </is>
      </c>
      <c r="S55" s="46" t="inlineStr">
        <is>
          <t>TS-AES-GCV-150-QB</t>
        </is>
      </c>
      <c r="T55" s="45" t="inlineStr">
        <is>
          <t>3ЗЛ</t>
        </is>
      </c>
      <c r="U55" s="45" t="inlineStr">
        <is>
          <t>I</t>
        </is>
      </c>
      <c r="V55" s="45" t="inlineStr">
        <is>
          <t>AES-PAA1050; AES-PAA1050_B01_KZ_03</t>
        </is>
      </c>
      <c r="W55" s="45" t="inlineStr">
        <is>
          <t>-</t>
        </is>
      </c>
      <c r="X55" s="45" t="inlineStr">
        <is>
          <t>01-01.6-35т (12UBA-MCA0050)</t>
        </is>
      </c>
      <c r="Y55" s="45" t="inlineStr">
        <is>
          <t>AES_11172650</t>
        </is>
      </c>
      <c r="Z55" s="45" t="inlineStr">
        <is>
          <t>оборудование</t>
        </is>
      </c>
      <c r="AA55" s="47" t="n">
        <v>1</v>
      </c>
      <c r="AB55" s="48" t="n">
        <v>1057334.5</v>
      </c>
      <c r="AC55" s="139" t="n">
        <v>1057334.5</v>
      </c>
      <c r="AD55" s="139" t="n">
        <v>211466.9</v>
      </c>
      <c r="AE55" s="139" t="n">
        <v>1268801.4</v>
      </c>
      <c r="AF55" s="45" t="inlineStr">
        <is>
          <t>Насосная станция технической воды (10UQC)</t>
        </is>
      </c>
      <c r="AG55" s="50" t="n">
        <v>45577</v>
      </c>
      <c r="AH55" s="46" t="inlineStr">
        <is>
          <t>ООО «Индустрия клапанов»</t>
        </is>
      </c>
      <c r="AI55" s="46" t="inlineStr">
        <is>
          <t>Россия</t>
        </is>
      </c>
      <c r="AJ55" s="46" t="inlineStr">
        <is>
          <t>10UAA; tсраб=25 s; при dPmin=0.072 МПа; Характеристика: линейная; DNвх=100; DNвых=100; Max расход среды = 109.5 т/ч.
Материал присоединяемого трубопровода - 08Х18Н10Т; типоразмер трубы 114,3х8; патрубки соосны; тип присоединения - под приварку; строительная длина - не более 650 мм; демонтажный размер - не более 1050 мм; рабочее давление 1.6 МПа, рабочая температура 290 °C; среда: горячая вода; альт. среда: сетевая вода.</t>
        </is>
      </c>
      <c r="AK55" s="45" t="inlineStr">
        <is>
          <t>ПИ;БКП-1;ОТВ, Инженер 9</t>
        </is>
      </c>
      <c r="AL55" s="47" t="n">
        <v>1610550</v>
      </c>
      <c r="AM55" s="45" t="inlineStr">
        <is>
          <t>Клапан регулирующий DN 100 PN 1.6 t 290 °C QA4 2ВIIа CS УХЛ3 ТУ 37-1050-2024</t>
        </is>
      </c>
      <c r="AN55" s="51" t="n">
        <v>20</v>
      </c>
      <c r="AO55" s="52" t="inlineStr">
        <is>
          <t>28.14.11.121</t>
        </is>
      </c>
      <c r="AP55" s="53" t="n">
        <v>1120333.08</v>
      </c>
      <c r="AQ55" s="54" t="n">
        <v>1120333.08</v>
      </c>
      <c r="AR55" s="54" t="n">
        <v>224066.62</v>
      </c>
      <c r="AS55" s="54" t="n">
        <v>1344399.7</v>
      </c>
      <c r="AU55" s="56">
        <f>ROUND(AB55,2)</f>
        <v/>
      </c>
      <c r="AV55" s="57">
        <f>ROUND(AU55*AA55,2)</f>
        <v/>
      </c>
      <c r="AW55" s="57">
        <f>ROUND(AV55*0.2,2)</f>
        <v/>
      </c>
      <c r="AX55" s="57">
        <f>AV55+AW55</f>
        <v/>
      </c>
      <c r="AY55" s="57">
        <f>AU55=AB55</f>
        <v/>
      </c>
      <c r="AZ55" s="57">
        <f>AV55=AC55</f>
        <v/>
      </c>
      <c r="BA55" s="57">
        <f>AW55=AD55</f>
        <v/>
      </c>
      <c r="BB55" s="57">
        <f>AX55=AE55</f>
        <v/>
      </c>
    </row>
    <row r="56" ht="120" customFormat="1" customHeight="1" s="55">
      <c r="A56" s="45" t="n">
        <v>51</v>
      </c>
      <c r="B56" s="45" t="inlineStr">
        <is>
          <t>2.ИСУП.17306998</t>
        </is>
      </c>
      <c r="C56" s="45" t="inlineStr">
        <is>
          <t>10UJA73AA215</t>
        </is>
      </c>
      <c r="D56" s="46" t="inlineStr">
        <is>
          <t>Клапан запорно-регулирующий</t>
        </is>
      </c>
      <c r="E56" s="46" t="inlineStr">
        <is>
          <t>NVA-GCV-0125-SS-300#-E-01</t>
        </is>
      </c>
      <c r="F56" s="45" t="inlineStr">
        <is>
          <t>3CIIIа</t>
        </is>
      </c>
      <c r="G56" s="45" t="inlineStr">
        <is>
          <t>QA2</t>
        </is>
      </c>
      <c r="H56" s="46" t="n">
        <v>125</v>
      </c>
      <c r="I56" s="46" t="n">
        <v>6.3</v>
      </c>
      <c r="J56" s="46" t="n">
        <v>200</v>
      </c>
      <c r="K56" s="46" t="inlineStr">
        <is>
          <t>Горячая вода; Альт. среда: сетевая вода</t>
        </is>
      </c>
      <c r="L56" s="46" t="n">
        <v>48.3</v>
      </c>
      <c r="M56" s="46" t="n">
        <v>1257.5</v>
      </c>
      <c r="N56" s="46" t="inlineStr">
        <is>
          <t>ручной привод</t>
        </is>
      </c>
      <c r="O56" s="46" t="inlineStr">
        <is>
          <t>МЭП-400/25-У2</t>
        </is>
      </c>
      <c r="P56" s="46" t="inlineStr">
        <is>
          <t>0,06</t>
        </is>
      </c>
      <c r="Q56" s="46" t="inlineStr">
        <is>
          <t>нж/угл</t>
        </is>
      </c>
      <c r="R56" s="46" t="inlineStr">
        <is>
          <t>под приварку</t>
        </is>
      </c>
      <c r="S56" s="46" t="inlineStr">
        <is>
          <t>TS-AES-GCV-151-QA</t>
        </is>
      </c>
      <c r="T56" s="45" t="inlineStr">
        <is>
          <t>2ЗЛ</t>
        </is>
      </c>
      <c r="U56" s="45" t="inlineStr">
        <is>
          <t>I</t>
        </is>
      </c>
      <c r="V56" s="45" t="inlineStr">
        <is>
          <t>AES-PAA1051; AES-PAA1051_B01_KZ_04</t>
        </is>
      </c>
      <c r="W56" s="45" t="inlineStr">
        <is>
          <t>РКД-АЭС-1-051</t>
        </is>
      </c>
      <c r="X56" s="45" t="inlineStr">
        <is>
          <t>01-01.7-10т (10UKA-MCA0051)</t>
        </is>
      </c>
      <c r="Y56" s="45" t="inlineStr">
        <is>
          <t>AES_11172703</t>
        </is>
      </c>
      <c r="Z56" s="45" t="inlineStr">
        <is>
          <t>оборудование</t>
        </is>
      </c>
      <c r="AA56" s="47" t="n">
        <v>1</v>
      </c>
      <c r="AB56" s="48" t="n">
        <v>1359959.32</v>
      </c>
      <c r="AC56" s="139" t="n">
        <v>1359959.32</v>
      </c>
      <c r="AD56" s="139" t="n">
        <v>271991.86</v>
      </c>
      <c r="AE56" s="139" t="n">
        <v>1631951.18</v>
      </c>
      <c r="AF56" s="45" t="inlineStr">
        <is>
          <t>Корпус нормальной эксплуатации (10UCB)</t>
        </is>
      </c>
      <c r="AG56" s="50" t="n">
        <v>45607</v>
      </c>
      <c r="AH56" s="46" t="inlineStr">
        <is>
          <t>ООО «Техноарматура»</t>
        </is>
      </c>
      <c r="AI56" s="46" t="inlineStr">
        <is>
          <t>РФ</t>
        </is>
      </c>
      <c r="AJ56" s="46" t="inlineStr">
        <is>
          <t>10UAA; tсраб=40 s; при dPmin=0.078 МПа; Характеристика: линейная; DNвх=125; DNвых=125; Max расход среды = 141.2 т/ч.
Материал присоединяемого трубопровода - 08Х18Н10Т; типоразмер трубы 139,7х9; патрубки соосны; тип присоединения - под приварку; строительная длина - не более 320 мм; демонтажный размер - не более 720 мм; рабочее давление 6.3 МПа, рабочая температура 200 °C; среда: горячая вода; альт. среда: сетевая вода.</t>
        </is>
      </c>
      <c r="AK56" s="45" t="inlineStr">
        <is>
          <t>ПИ;БКП-6;ОТВ, Инженер 3</t>
        </is>
      </c>
      <c r="AL56" s="47" t="n">
        <v>1610761</v>
      </c>
      <c r="AM56" s="45" t="inlineStr">
        <is>
          <t>Клапан регулирующий DN 125 PN 6.3 t 200 °C QA2 3CIIIа SS УХЛ3 ТУ 37-1051-2024</t>
        </is>
      </c>
      <c r="AN56" s="51" t="n">
        <v>20</v>
      </c>
      <c r="AO56" s="52" t="inlineStr">
        <is>
          <t>28.14.11.121</t>
        </is>
      </c>
      <c r="AP56" s="53" t="n">
        <v>1400768.86</v>
      </c>
      <c r="AQ56" s="54" t="n">
        <v>1400768.86</v>
      </c>
      <c r="AR56" s="54" t="n">
        <v>280153.77</v>
      </c>
      <c r="AS56" s="54" t="n">
        <v>1680922.63</v>
      </c>
      <c r="AU56" s="56">
        <f>ROUND(AB56,2)</f>
        <v/>
      </c>
      <c r="AV56" s="57">
        <f>ROUND(AU56*AA56,2)</f>
        <v/>
      </c>
      <c r="AW56" s="57">
        <f>ROUND(AV56*0.2,2)</f>
        <v/>
      </c>
      <c r="AX56" s="57">
        <f>AV56+AW56</f>
        <v/>
      </c>
      <c r="AY56" s="57">
        <f>AU56=AB56</f>
        <v/>
      </c>
      <c r="AZ56" s="57">
        <f>AV56=AC56</f>
        <v/>
      </c>
      <c r="BA56" s="57">
        <f>AW56=AD56</f>
        <v/>
      </c>
      <c r="BB56" s="57">
        <f>AX56=AE56</f>
        <v/>
      </c>
    </row>
    <row r="57" ht="120" customFormat="1" customHeight="1" s="55">
      <c r="A57" s="45" t="n">
        <v>52</v>
      </c>
      <c r="B57" s="45" t="inlineStr">
        <is>
          <t>2.ИСУП.17307138</t>
        </is>
      </c>
      <c r="C57" s="45" t="inlineStr">
        <is>
          <t>11LCQ76AA216</t>
        </is>
      </c>
      <c r="D57" s="46" t="inlineStr">
        <is>
          <t>Клапан регулирующий</t>
        </is>
      </c>
      <c r="E57" s="46" t="inlineStr">
        <is>
          <t>NVA-GCV-0032-SS-300#-E-02</t>
        </is>
      </c>
      <c r="F57" s="45" t="inlineStr">
        <is>
          <t>4CIV</t>
        </is>
      </c>
      <c r="G57" s="45" t="inlineStr">
        <is>
          <t>QA2</t>
        </is>
      </c>
      <c r="H57" s="46" t="n">
        <v>32</v>
      </c>
      <c r="I57" s="46" t="n">
        <v>0.6</v>
      </c>
      <c r="J57" s="46" t="n">
        <v>150</v>
      </c>
      <c r="K57" s="46" t="inlineStr">
        <is>
          <t>Сжатый воздух; Альт. среда: азот</t>
        </is>
      </c>
      <c r="L57" s="46" t="inlineStr"/>
      <c r="M57" s="46" t="n">
        <v>456.4</v>
      </c>
      <c r="N57" s="46" t="inlineStr">
        <is>
          <t>ручной привод</t>
        </is>
      </c>
      <c r="O57" s="46" t="inlineStr">
        <is>
          <t>ЭПА-120/40-У3</t>
        </is>
      </c>
      <c r="P57" s="46" t="inlineStr">
        <is>
          <t>0,18</t>
        </is>
      </c>
      <c r="Q57" s="46" t="inlineStr">
        <is>
          <t>нж/угл</t>
        </is>
      </c>
      <c r="R57" s="46" t="inlineStr">
        <is>
          <t>фланцевое</t>
        </is>
      </c>
      <c r="S57" s="46" t="inlineStr">
        <is>
          <t>TS-AES-GCV-152-QB</t>
        </is>
      </c>
      <c r="T57" s="45" t="inlineStr">
        <is>
          <t>2Н</t>
        </is>
      </c>
      <c r="U57" s="45" t="inlineStr">
        <is>
          <t>II</t>
        </is>
      </c>
      <c r="V57" s="45" t="inlineStr">
        <is>
          <t>AES-PAA1052; AES-PAA1052_B01_KZ_05</t>
        </is>
      </c>
      <c r="W57" s="45" t="inlineStr">
        <is>
          <t>РКД-АЭС-1-052</t>
        </is>
      </c>
      <c r="X57" s="45" t="inlineStr">
        <is>
          <t>01-01.8-10т (11UKA-MCA0052)</t>
        </is>
      </c>
      <c r="Y57" s="45" t="inlineStr">
        <is>
          <t>AES_11172756</t>
        </is>
      </c>
      <c r="Z57" s="45" t="inlineStr">
        <is>
          <t>оборудование</t>
        </is>
      </c>
      <c r="AA57" s="47" t="n">
        <v>1</v>
      </c>
      <c r="AB57" s="48" t="n">
        <v>1203166.3</v>
      </c>
      <c r="AC57" s="139" t="n">
        <v>1203166.3</v>
      </c>
      <c r="AD57" s="139" t="n">
        <v>240633.26</v>
      </c>
      <c r="AE57" s="139" t="n">
        <v>1443799.56</v>
      </c>
      <c r="AF57" s="45" t="inlineStr">
        <is>
          <t>Здание вспомогательных систем (10UKA)</t>
        </is>
      </c>
      <c r="AG57" s="50" t="n">
        <v>45607</v>
      </c>
      <c r="AH57" s="46" t="inlineStr">
        <is>
          <t>ООО «Техноарматура»</t>
        </is>
      </c>
      <c r="AI57" s="46" t="inlineStr">
        <is>
          <t>Россия</t>
        </is>
      </c>
      <c r="AJ57" s="46" t="inlineStr">
        <is>
          <t>10UAA; tсраб=50 s; при dPmin=0.067 МПа; Характеристика: линейная; DNвх=32; DNвых=32; Max расход среды = 13.2 т/ч.
Материал присоединяемого трубопровода - 08Х18Н10Т; типоразмер трубы 42,4х3,5; патрубки соосны; тип присоединения - под приварку; строительная длина - не более 320 мм; демонтажный размер - не более 1050 мм; рабочее давление 0.6 МПа, рабочая температура 150 °C; среда: сжатый воздух; альт. среда: азот.</t>
        </is>
      </c>
      <c r="AK57" s="45" t="inlineStr">
        <is>
          <t>ПИ;БКП-8;ОТВ, Инженер 5</t>
        </is>
      </c>
      <c r="AL57" s="47" t="n">
        <v>1610972</v>
      </c>
      <c r="AM57" s="45" t="inlineStr">
        <is>
          <t>Клапан регулирующий DN 32 PN 0.6 t 150 °C QA2 4CIV SS УХЛ3 ТУ 37-1052-2024</t>
        </is>
      </c>
      <c r="AN57" s="51" t="n">
        <v>20</v>
      </c>
      <c r="AO57" s="52" t="inlineStr">
        <is>
          <t>28.14.11.121</t>
        </is>
      </c>
      <c r="AP57" s="53" t="n">
        <v>1288859.59</v>
      </c>
      <c r="AQ57" s="54" t="n">
        <v>1288859.59</v>
      </c>
      <c r="AR57" s="54" t="n">
        <v>257771.92</v>
      </c>
      <c r="AS57" s="54" t="n">
        <v>1546631.51</v>
      </c>
      <c r="AU57" s="56">
        <f>ROUND(AB57,2)</f>
        <v/>
      </c>
      <c r="AV57" s="57">
        <f>ROUND(AU57*AA57,2)</f>
        <v/>
      </c>
      <c r="AW57" s="57">
        <f>ROUND(AV57*0.2,2)</f>
        <v/>
      </c>
      <c r="AX57" s="57">
        <f>AV57+AW57</f>
        <v/>
      </c>
      <c r="AY57" s="57">
        <f>AU57=AB57</f>
        <v/>
      </c>
      <c r="AZ57" s="57">
        <f>AV57=AC57</f>
        <v/>
      </c>
      <c r="BA57" s="57">
        <f>AW57=AD57</f>
        <v/>
      </c>
      <c r="BB57" s="57">
        <f>AX57=AE57</f>
        <v/>
      </c>
    </row>
    <row r="58" ht="120" customFormat="1" customHeight="1" s="55">
      <c r="A58" s="45" t="n">
        <v>53</v>
      </c>
      <c r="B58" s="45" t="inlineStr">
        <is>
          <t>2.ИСУП.17307293</t>
        </is>
      </c>
      <c r="C58" s="45" t="inlineStr">
        <is>
          <t>12LCQ79AA217</t>
        </is>
      </c>
      <c r="D58" s="46" t="inlineStr">
        <is>
          <t>Клапан регулирующий</t>
        </is>
      </c>
      <c r="E58" s="46" t="inlineStr">
        <is>
          <t>NVA-GCV-0020-AS-2500#-E-03</t>
        </is>
      </c>
      <c r="F58" s="45" t="inlineStr">
        <is>
          <t>-</t>
        </is>
      </c>
      <c r="G58" s="45" t="inlineStr">
        <is>
          <t>QA3</t>
        </is>
      </c>
      <c r="H58" s="46" t="n">
        <v>20</v>
      </c>
      <c r="I58" s="46" t="n">
        <v>14</v>
      </c>
      <c r="J58" s="46" t="n">
        <v>290</v>
      </c>
      <c r="K58" s="46" t="inlineStr">
        <is>
          <t>Конденсат пара; Альт. среда: промывочный раствор</t>
        </is>
      </c>
      <c r="L58" s="46" t="n">
        <v>27.9</v>
      </c>
      <c r="M58" s="46" t="n">
        <v>325.4</v>
      </c>
      <c r="N58" s="46" t="inlineStr">
        <is>
          <t>ручной привод</t>
        </is>
      </c>
      <c r="O58" s="46" t="inlineStr">
        <is>
          <t>ЭПА-120/40-У3</t>
        </is>
      </c>
      <c r="P58" s="46" t="inlineStr">
        <is>
          <t>0,18</t>
        </is>
      </c>
      <c r="Q58" s="46" t="inlineStr">
        <is>
          <t>легир. сталь</t>
        </is>
      </c>
      <c r="R58" s="46" t="inlineStr">
        <is>
          <t>под приварку</t>
        </is>
      </c>
      <c r="S58" s="46" t="inlineStr">
        <is>
          <t>TS-AES-GCV-153-QC</t>
        </is>
      </c>
      <c r="T58" s="45" t="inlineStr">
        <is>
          <t>2ЗЛ</t>
        </is>
      </c>
      <c r="U58" s="45" t="inlineStr">
        <is>
          <t>III</t>
        </is>
      </c>
      <c r="V58" s="45" t="inlineStr">
        <is>
          <t>AES-PAA1053; AES-PAA1053_B01_KZ_06</t>
        </is>
      </c>
      <c r="W58" s="45" t="inlineStr">
        <is>
          <t>-</t>
        </is>
      </c>
      <c r="X58" s="45" t="inlineStr">
        <is>
          <t>01-01.9-10т (12UJA-MCA0053)</t>
        </is>
      </c>
      <c r="Y58" s="45" t="inlineStr">
        <is>
          <t>AES_11172809</t>
        </is>
      </c>
      <c r="Z58" s="45" t="inlineStr">
        <is>
          <t>оборудование</t>
        </is>
      </c>
      <c r="AA58" s="47" t="n">
        <v>1</v>
      </c>
      <c r="AB58" s="48" t="n">
        <v>1150757.46</v>
      </c>
      <c r="AC58" s="139" t="n">
        <v>1150757.46</v>
      </c>
      <c r="AD58" s="139" t="n">
        <v>230151.49</v>
      </c>
      <c r="AE58" s="139" t="n">
        <v>1380908.95</v>
      </c>
      <c r="AF58" s="45" t="inlineStr">
        <is>
          <t>Корпус нормальной эксплуатации (10UCB)</t>
        </is>
      </c>
      <c r="AG58" s="50" t="n">
        <v>45607</v>
      </c>
      <c r="AH58" s="46" t="inlineStr">
        <is>
          <t>ООО «Индустрия клапанов»</t>
        </is>
      </c>
      <c r="AI58" s="46" t="inlineStr">
        <is>
          <t>РФ</t>
        </is>
      </c>
      <c r="AJ58" s="46" t="inlineStr">
        <is>
          <t>10UAA; tсраб=25 s; при dPmin=0.083 МПа; Характеристика: линейная; DNвх=20; DNвых=20; Max расход среды = 6.6 т/ч.
Материал присоединяемого трубопровода - 20; типоразмер трубы 26,9х3,2; патрубки соосны; тип присоединения - под приварку; строительная длина - не более 320 мм; демонтажный размер - не более 880 мм; рабочее давление 14 МПа, рабочая температура 290 °C; среда: конденсат пара; альт. среда: промывочный раствор.</t>
        </is>
      </c>
      <c r="AK58" s="45" t="inlineStr">
        <is>
          <t>ПИ;БКП-4;ОТВ, Инженер 7</t>
        </is>
      </c>
      <c r="AL58" s="47" t="n">
        <v>1611183</v>
      </c>
      <c r="AM58" s="45" t="inlineStr">
        <is>
          <t>Клапан регулирующий DN 20 PN 14 t 290 °C QA3 - AS УХЛ3 ТУ 37-1053-2024</t>
        </is>
      </c>
      <c r="AN58" s="51" t="n">
        <v>20</v>
      </c>
      <c r="AO58" s="52" t="inlineStr">
        <is>
          <t>28.14.20.000</t>
        </is>
      </c>
      <c r="AP58" s="53" t="n">
        <v>1229991.9</v>
      </c>
      <c r="AQ58" s="54" t="n">
        <v>1229991.9</v>
      </c>
      <c r="AR58" s="54" t="n">
        <v>245998.38</v>
      </c>
      <c r="AS58" s="54" t="n">
        <v>1475990.28</v>
      </c>
      <c r="AU58" s="56">
        <f>ROUND(AB58,2)</f>
        <v/>
      </c>
      <c r="AV58" s="57">
        <f>ROUND(AU58*AA58,2)</f>
        <v/>
      </c>
      <c r="AW58" s="57">
        <f>ROUND(AV58*0.2,2)</f>
        <v/>
      </c>
      <c r="AX58" s="57">
        <f>AV58+AW58</f>
        <v/>
      </c>
      <c r="AY58" s="57">
        <f>AU58=AB58</f>
        <v/>
      </c>
      <c r="AZ58" s="57">
        <f>AV58=AC58</f>
        <v/>
      </c>
      <c r="BA58" s="57">
        <f>AW58=AD58</f>
        <v/>
      </c>
      <c r="BB58" s="57">
        <f>AX58=AE58</f>
        <v/>
      </c>
    </row>
    <row r="59" ht="120" customFormat="1" customHeight="1" s="55">
      <c r="A59" s="45" t="n">
        <v>54</v>
      </c>
      <c r="B59" s="45" t="inlineStr">
        <is>
          <t>2.ИСУП.17307491</t>
        </is>
      </c>
      <c r="C59" s="45" t="inlineStr">
        <is>
          <t>10SBP82AA218</t>
        </is>
      </c>
      <c r="D59" s="46" t="inlineStr">
        <is>
          <t>Клапан запорно-регулирующий</t>
        </is>
      </c>
      <c r="E59" s="46" t="inlineStr">
        <is>
          <t>NVA-GCV-0010-SS-900#-E-01</t>
        </is>
      </c>
      <c r="F59" s="45" t="inlineStr">
        <is>
          <t>2ВIIа</t>
        </is>
      </c>
      <c r="G59" s="45" t="inlineStr">
        <is>
          <t>QA2</t>
        </is>
      </c>
      <c r="H59" s="46" t="n">
        <v>10</v>
      </c>
      <c r="I59" s="46" t="n">
        <v>16</v>
      </c>
      <c r="J59" s="46" t="n">
        <v>200</v>
      </c>
      <c r="K59" s="46" t="inlineStr">
        <is>
          <t>Дренажная вода; Альт. среда: слабосолевой раствор</t>
        </is>
      </c>
      <c r="L59" s="46" t="n">
        <v>11.5</v>
      </c>
      <c r="M59" s="46" t="n">
        <v>117.7</v>
      </c>
      <c r="N59" s="46" t="inlineStr">
        <is>
          <t>электропривод</t>
        </is>
      </c>
      <c r="O59" s="46" t="inlineStr">
        <is>
          <t>МЭП-400/25-У2</t>
        </is>
      </c>
      <c r="P59" s="46" t="inlineStr">
        <is>
          <t>0,045</t>
        </is>
      </c>
      <c r="Q59" s="46" t="inlineStr">
        <is>
          <t>угл</t>
        </is>
      </c>
      <c r="R59" s="46" t="inlineStr">
        <is>
          <t>под приварку</t>
        </is>
      </c>
      <c r="S59" s="46" t="inlineStr">
        <is>
          <t>TS-AES-GCV-154-QC</t>
        </is>
      </c>
      <c r="T59" s="45" t="inlineStr">
        <is>
          <t>2Н</t>
        </is>
      </c>
      <c r="U59" s="45" t="inlineStr">
        <is>
          <t>III</t>
        </is>
      </c>
      <c r="V59" s="45" t="inlineStr">
        <is>
          <t>AES-PAA1054; AES-PAA1054_B01_KZ_07</t>
        </is>
      </c>
      <c r="W59" s="45" t="inlineStr">
        <is>
          <t>ТУ 37-0154-00000000-2024</t>
        </is>
      </c>
      <c r="X59" s="45" t="inlineStr">
        <is>
          <t>01-01.1-10т (10UJA-MCA0054)</t>
        </is>
      </c>
      <c r="Y59" s="45" t="inlineStr">
        <is>
          <t>AES_11172862</t>
        </is>
      </c>
      <c r="Z59" s="45" t="inlineStr">
        <is>
          <t>оборудование</t>
        </is>
      </c>
      <c r="AA59" s="47" t="n">
        <v>1</v>
      </c>
      <c r="AB59" s="48" t="n">
        <v>1454440.99</v>
      </c>
      <c r="AC59" s="139" t="n">
        <v>1454440.99</v>
      </c>
      <c r="AD59" s="139" t="n">
        <v>290888.2</v>
      </c>
      <c r="AE59" s="139" t="n">
        <v>1745329.19</v>
      </c>
      <c r="AF59" s="45" t="inlineStr">
        <is>
          <t>Здание вспомогательных систем (10UKA)</t>
        </is>
      </c>
      <c r="AG59" s="50" t="n">
        <v>45547</v>
      </c>
      <c r="AH59" s="46" t="inlineStr">
        <is>
          <t>ООО «Индустрия клапанов»</t>
        </is>
      </c>
      <c r="AI59" s="46" t="inlineStr">
        <is>
          <t>Россия</t>
        </is>
      </c>
      <c r="AJ59" s="46" t="inlineStr">
        <is>
          <t>10UAA; tсраб=50 s; при dPmin=0.028 МПа; Характеристика: линейная; DNвх=10; DNвых=10; Max расход среды = 3.6 т/ч.
Материал присоединяемого трубопровода - 20; типоразмер трубы 17,2х2,3; патрубки соосны; тип присоединения - под приварку; строительная длина - не более 240 мм; демонтажный размер - не более 720 мм; рабочее давление 16 МПа, рабочая температура 200 °C; среда: дренажная вода; альт. среда: слабосолевой раствор.</t>
        </is>
      </c>
      <c r="AK59" s="45" t="inlineStr">
        <is>
          <t>ПИ;БКП-8;ОТВ, Инженер 4</t>
        </is>
      </c>
      <c r="AL59" s="47" t="n">
        <v>1611394</v>
      </c>
      <c r="AM59" s="45" t="inlineStr">
        <is>
          <t>Клапан регулирующий DN 10 PN 16 t 200 °C QA2 2ВIIа SS УХЛ3 ТУ 37-1054-2024</t>
        </is>
      </c>
      <c r="AN59" s="51" t="n">
        <v>20</v>
      </c>
      <c r="AO59" s="52" t="inlineStr">
        <is>
          <t>28.14.20.000</t>
        </is>
      </c>
      <c r="AP59" s="53" t="n">
        <v>1504233.93</v>
      </c>
      <c r="AQ59" s="54" t="n">
        <v>1504233.93</v>
      </c>
      <c r="AR59" s="54" t="n">
        <v>300846.79</v>
      </c>
      <c r="AS59" s="54" t="n">
        <v>1805080.72</v>
      </c>
      <c r="AU59" s="56">
        <f>ROUND(AB59,2)</f>
        <v/>
      </c>
      <c r="AV59" s="57">
        <f>ROUND(AU59*AA59,2)</f>
        <v/>
      </c>
      <c r="AW59" s="57">
        <f>ROUND(AV59*0.2,2)</f>
        <v/>
      </c>
      <c r="AX59" s="57">
        <f>AV59+AW59</f>
        <v/>
      </c>
      <c r="AY59" s="57">
        <f>AU59=AB59</f>
        <v/>
      </c>
      <c r="AZ59" s="57">
        <f>AV59=AC59</f>
        <v/>
      </c>
      <c r="BA59" s="57">
        <f>AW59=AD59</f>
        <v/>
      </c>
      <c r="BB59" s="57">
        <f>AX59=AE59</f>
        <v/>
      </c>
    </row>
    <row r="60" ht="120" customFormat="1" customHeight="1" s="55">
      <c r="A60" s="45" t="n">
        <v>55</v>
      </c>
      <c r="B60" s="45" t="inlineStr">
        <is>
          <t>2.ИСУП.17307562</t>
        </is>
      </c>
      <c r="C60" s="45" t="inlineStr">
        <is>
          <t>11SBC85AA219</t>
        </is>
      </c>
      <c r="D60" s="46" t="inlineStr">
        <is>
          <t>Клапан регулирующий</t>
        </is>
      </c>
      <c r="E60" s="46" t="inlineStr">
        <is>
          <t>NVA-GCV-0025-AS-1500#-M-02</t>
        </is>
      </c>
      <c r="F60" s="45" t="inlineStr">
        <is>
          <t>4CIV</t>
        </is>
      </c>
      <c r="G60" s="45" t="inlineStr">
        <is>
          <t>QA2</t>
        </is>
      </c>
      <c r="H60" s="46" t="n">
        <v>25</v>
      </c>
      <c r="I60" s="46" t="n">
        <v>1.6</v>
      </c>
      <c r="J60" s="46" t="n">
        <v>290</v>
      </c>
      <c r="K60" s="46" t="inlineStr">
        <is>
          <t>Конденсат пара; Альт. среда: промывочный раствор</t>
        </is>
      </c>
      <c r="L60" s="46" t="n">
        <v>3.2</v>
      </c>
      <c r="M60" s="46" t="n">
        <v>199.3</v>
      </c>
      <c r="N60" s="46" t="inlineStr">
        <is>
          <t>электропривод</t>
        </is>
      </c>
      <c r="O60" s="46" t="inlineStr">
        <is>
          <t>ЭПА-250/60-У3</t>
        </is>
      </c>
      <c r="P60" s="46" t="inlineStr">
        <is>
          <t>0,09</t>
        </is>
      </c>
      <c r="Q60" s="46" t="inlineStr">
        <is>
          <t>угл</t>
        </is>
      </c>
      <c r="R60" s="46" t="inlineStr">
        <is>
          <t>муфтовое</t>
        </is>
      </c>
      <c r="S60" s="46" t="inlineStr">
        <is>
          <t>TS-AES-GCV-155-QB</t>
        </is>
      </c>
      <c r="T60" s="45" t="inlineStr">
        <is>
          <t>4Н</t>
        </is>
      </c>
      <c r="U60" s="45" t="inlineStr">
        <is>
          <t>III</t>
        </is>
      </c>
      <c r="V60" s="45" t="inlineStr">
        <is>
          <t>AES-PAA1055; AES-PAA1055_B01_KZ_08</t>
        </is>
      </c>
      <c r="W60" s="45" t="inlineStr">
        <is>
          <t>ТУ 37-0155-00000000-2024</t>
        </is>
      </c>
      <c r="X60" s="45" t="inlineStr">
        <is>
          <t>01-01.2-10т (11UJA-MCA0055)</t>
        </is>
      </c>
      <c r="Y60" s="45" t="inlineStr">
        <is>
          <t>AES_11172915</t>
        </is>
      </c>
      <c r="Z60" s="45" t="inlineStr">
        <is>
          <t>оборудование</t>
        </is>
      </c>
      <c r="AA60" s="47" t="n">
        <v>1</v>
      </c>
      <c r="AB60" s="48" t="n">
        <v>1590978.4</v>
      </c>
      <c r="AC60" s="139" t="n">
        <v>1590978.4</v>
      </c>
      <c r="AD60" s="139" t="n">
        <v>318195.68</v>
      </c>
      <c r="AE60" s="139" t="n">
        <v>1909174.08</v>
      </c>
      <c r="AF60" s="45" t="inlineStr">
        <is>
          <t>Здание вспомогательных систем (10UKA)</t>
        </is>
      </c>
      <c r="AG60" s="50" t="n">
        <v>45577</v>
      </c>
      <c r="AH60" s="46" t="inlineStr">
        <is>
          <t>ООО «Техноарматура»</t>
        </is>
      </c>
      <c r="AI60" s="46" t="inlineStr">
        <is>
          <t>РФ</t>
        </is>
      </c>
      <c r="AJ60" s="46" t="inlineStr">
        <is>
          <t>10UAA; tсраб=60 s; при dPmin=0.083 МПа; Характеристика: линейная; DNвх=25; DNвых=25; Max расход среды = 20.8 т/ч.
Материал присоединяемого трубопровода - 20; типоразмер трубы 33,7х3,2; патрубки соосны; тип присоединения - под приварку; строительная длина - не более 650 мм; демонтажный размер - не более 720 мм; рабочее давление 1.6 МПа, рабочая температура 290 °C; среда: конденсат пара; альт. среда: промывочный раствор.</t>
        </is>
      </c>
      <c r="AK60" s="45" t="inlineStr">
        <is>
          <t>ПИ;БКП-8;ОТВ, Инженер 8</t>
        </is>
      </c>
      <c r="AL60" s="47" t="n">
        <v>1611605</v>
      </c>
      <c r="AM60" s="45" t="inlineStr">
        <is>
          <t>Клапан регулирующий DN 25 PN 1.6 t 290 °C QA2 4CIV AS УХЛ3 ТУ 37-1055-2024</t>
        </is>
      </c>
      <c r="AN60" s="51" t="n">
        <v>20</v>
      </c>
      <c r="AO60" s="52" t="inlineStr">
        <is>
          <t>28.14.13.131</t>
        </is>
      </c>
      <c r="AP60" s="53" t="n">
        <v>1665390.17</v>
      </c>
      <c r="AQ60" s="54" t="n">
        <v>1665390.17</v>
      </c>
      <c r="AR60" s="54" t="n">
        <v>333078.03</v>
      </c>
      <c r="AS60" s="54" t="n">
        <v>1998468.2</v>
      </c>
      <c r="AU60" s="56">
        <f>ROUND(AB60,2)</f>
        <v/>
      </c>
      <c r="AV60" s="57">
        <f>ROUND(AU60*AA60,2)</f>
        <v/>
      </c>
      <c r="AW60" s="57">
        <f>ROUND(AV60*0.2,2)</f>
        <v/>
      </c>
      <c r="AX60" s="57">
        <f>AV60+AW60</f>
        <v/>
      </c>
      <c r="AY60" s="57">
        <f>AU60=AB60</f>
        <v/>
      </c>
      <c r="AZ60" s="57">
        <f>AV60=AC60</f>
        <v/>
      </c>
      <c r="BA60" s="57">
        <f>AW60=AD60</f>
        <v/>
      </c>
      <c r="BB60" s="57">
        <f>AX60=AE60</f>
        <v/>
      </c>
    </row>
    <row r="61" ht="120" customFormat="1" customHeight="1" s="55">
      <c r="A61" s="45" t="n">
        <v>56</v>
      </c>
      <c r="B61" s="45" t="inlineStr">
        <is>
          <t>2.ИСУП.17307736</t>
        </is>
      </c>
      <c r="C61" s="45" t="inlineStr">
        <is>
          <t>12KWB88AA220</t>
        </is>
      </c>
      <c r="D61" s="46" t="inlineStr">
        <is>
          <t>Клапан регулирующий</t>
        </is>
      </c>
      <c r="E61" s="46" t="inlineStr">
        <is>
          <t>NVA-GCV-0065-CS-150#-E-03</t>
        </is>
      </c>
      <c r="F61" s="45" t="inlineStr">
        <is>
          <t>4CIV</t>
        </is>
      </c>
      <c r="G61" s="45" t="inlineStr">
        <is>
          <t>QA3</t>
        </is>
      </c>
      <c r="H61" s="46" t="n">
        <v>65</v>
      </c>
      <c r="I61" s="46" t="n">
        <v>1.6</v>
      </c>
      <c r="J61" s="46" t="n">
        <v>350</v>
      </c>
      <c r="K61" s="46" t="inlineStr">
        <is>
          <t>Сжатый воздух; Альт. среда: азот</t>
        </is>
      </c>
      <c r="L61" s="46" t="inlineStr"/>
      <c r="M61" s="46" t="n">
        <v>668.5</v>
      </c>
      <c r="N61" s="46" t="inlineStr">
        <is>
          <t>ручной привод</t>
        </is>
      </c>
      <c r="O61" s="46" t="inlineStr">
        <is>
          <t>МЭП-400/25-У2</t>
        </is>
      </c>
      <c r="P61" s="46" t="inlineStr">
        <is>
          <t>0,25</t>
        </is>
      </c>
      <c r="Q61" s="46" t="inlineStr">
        <is>
          <t>легир. сталь</t>
        </is>
      </c>
      <c r="R61" s="46" t="inlineStr">
        <is>
          <t>фланцевое</t>
        </is>
      </c>
      <c r="S61" s="46" t="inlineStr">
        <is>
          <t>TS-AES-GCV-156-QA</t>
        </is>
      </c>
      <c r="T61" s="45" t="inlineStr">
        <is>
          <t>2Н</t>
        </is>
      </c>
      <c r="U61" s="45" t="inlineStr">
        <is>
          <t>I</t>
        </is>
      </c>
      <c r="V61" s="45" t="inlineStr">
        <is>
          <t>AES-PAA1056; AES-PAA1056_B01_KZ_09</t>
        </is>
      </c>
      <c r="W61" s="45" t="inlineStr">
        <is>
          <t>РКД-АЭС-1-056</t>
        </is>
      </c>
      <c r="X61" s="45" t="inlineStr">
        <is>
          <t>01-01.3-35т (12UKA-MCA0056)</t>
        </is>
      </c>
      <c r="Y61" s="45" t="inlineStr">
        <is>
          <t>AES_11172968</t>
        </is>
      </c>
      <c r="Z61" s="45" t="inlineStr">
        <is>
          <t>оборудование</t>
        </is>
      </c>
      <c r="AA61" s="47" t="n">
        <v>1</v>
      </c>
      <c r="AB61" s="48" t="n">
        <v>969706.1</v>
      </c>
      <c r="AC61" s="139" t="n">
        <v>969706.1</v>
      </c>
      <c r="AD61" s="139" t="n">
        <v>193941.22</v>
      </c>
      <c r="AE61" s="139" t="n">
        <v>1163647.32</v>
      </c>
      <c r="AF61" s="45" t="inlineStr">
        <is>
          <t>Реакторное здание (10UJA)</t>
        </is>
      </c>
      <c r="AG61" s="50" t="n">
        <v>45577</v>
      </c>
      <c r="AH61" s="46" t="inlineStr">
        <is>
          <t>ООО «Индустрия клапанов»</t>
        </is>
      </c>
      <c r="AI61" s="46" t="inlineStr">
        <is>
          <t>РФ</t>
        </is>
      </c>
      <c r="AJ61" s="46" t="inlineStr">
        <is>
          <t>10UAA; tсраб=40 s; при dPmin=0.052 МПа; Характеристика: линейная; DNвх=65; DNвых=65; Max расход среды = 67.8 т/ч.
Материал присоединяемого трубопровода - 20; типоразмер трубы 76,1х5; патрубки соосны; тип присоединения - под приварку; строительная длина - не более 650 мм; демонтажный размер - не более 720 мм; рабочее давление 1.6 МПа, рабочая температура 350 °C; среда: сжатый воздух; альт. среда: азот.</t>
        </is>
      </c>
      <c r="AK61" s="45" t="inlineStr">
        <is>
          <t>ПИ;БКП-3;ОТВ, Инженер 3</t>
        </is>
      </c>
      <c r="AL61" s="47" t="n">
        <v>1611816</v>
      </c>
      <c r="AM61" s="45" t="inlineStr">
        <is>
          <t>Клапан регулирующий DN 65 PN 1.6 t 350 °C QA3 4CIV CS УХЛ3 ТУ 37-1056-2024</t>
        </is>
      </c>
      <c r="AN61" s="51" t="n">
        <v>20</v>
      </c>
      <c r="AO61" s="52" t="inlineStr">
        <is>
          <t>28.14.11.121</t>
        </is>
      </c>
      <c r="AP61" s="53" t="n">
        <v>982754.54</v>
      </c>
      <c r="AQ61" s="54" t="n">
        <v>982754.54</v>
      </c>
      <c r="AR61" s="54" t="n">
        <v>196550.91</v>
      </c>
      <c r="AS61" s="54" t="n">
        <v>1179305.45</v>
      </c>
      <c r="AU61" s="56">
        <f>ROUND(AB61,2)</f>
        <v/>
      </c>
      <c r="AV61" s="57">
        <f>ROUND(AU61*AA61,2)</f>
        <v/>
      </c>
      <c r="AW61" s="57">
        <f>ROUND(AV61*0.2,2)</f>
        <v/>
      </c>
      <c r="AX61" s="57">
        <f>AV61+AW61</f>
        <v/>
      </c>
      <c r="AY61" s="57">
        <f>AU61=AB61</f>
        <v/>
      </c>
      <c r="AZ61" s="57">
        <f>AV61=AC61</f>
        <v/>
      </c>
      <c r="BA61" s="57">
        <f>AW61=AD61</f>
        <v/>
      </c>
      <c r="BB61" s="57">
        <f>AX61=AE61</f>
        <v/>
      </c>
    </row>
    <row r="62" ht="120" customFormat="1" customHeight="1" s="55">
      <c r="A62" s="45" t="n">
        <v>57</v>
      </c>
      <c r="B62" s="45" t="inlineStr">
        <is>
          <t>2.ИСУП.17307837</t>
        </is>
      </c>
      <c r="C62" s="45" t="inlineStr">
        <is>
          <t>10QKB91AA221</t>
        </is>
      </c>
      <c r="D62" s="46" t="inlineStr">
        <is>
          <t>Клапан регулирующий</t>
        </is>
      </c>
      <c r="E62" s="46" t="inlineStr">
        <is>
          <t>NVA-GCV-0150-AS-1500#-M-01</t>
        </is>
      </c>
      <c r="F62" s="45" t="inlineStr">
        <is>
          <t>2ВIIа</t>
        </is>
      </c>
      <c r="G62" s="45" t="inlineStr">
        <is>
          <t>QA3</t>
        </is>
      </c>
      <c r="H62" s="46" t="n">
        <v>150</v>
      </c>
      <c r="I62" s="46" t="n">
        <v>0.6</v>
      </c>
      <c r="J62" s="46" t="n">
        <v>250</v>
      </c>
      <c r="K62" s="46" t="inlineStr">
        <is>
          <t>Техническая вода; Альт. среда: обессоленная вода</t>
        </is>
      </c>
      <c r="L62" s="46" t="inlineStr"/>
      <c r="M62" s="46" t="n">
        <v>935</v>
      </c>
      <c r="N62" s="46" t="inlineStr">
        <is>
          <t>встроенный электропривод</t>
        </is>
      </c>
      <c r="O62" s="46" t="inlineStr">
        <is>
          <t>ЭПА-120/40-У3</t>
        </is>
      </c>
      <c r="P62" s="46" t="inlineStr">
        <is>
          <t>0,25</t>
        </is>
      </c>
      <c r="Q62" s="46" t="inlineStr">
        <is>
          <t>нж/угл</t>
        </is>
      </c>
      <c r="R62" s="46" t="inlineStr">
        <is>
          <t>муфтовое</t>
        </is>
      </c>
      <c r="S62" s="46" t="inlineStr">
        <is>
          <t>TS-AES-GCV-157-QC</t>
        </is>
      </c>
      <c r="T62" s="45" t="inlineStr">
        <is>
          <t>3Н</t>
        </is>
      </c>
      <c r="U62" s="45" t="inlineStr">
        <is>
          <t>II</t>
        </is>
      </c>
      <c r="V62" s="45" t="inlineStr">
        <is>
          <t>AES-PAA1057; AES-PAA1057_B01_KZ_10</t>
        </is>
      </c>
      <c r="W62" s="45" t="inlineStr">
        <is>
          <t>РКД-АЭС-1-057</t>
        </is>
      </c>
      <c r="X62" s="45" t="inlineStr">
        <is>
          <t>01-01.4-35т (10UBA-MCA0057)</t>
        </is>
      </c>
      <c r="Y62" s="45" t="inlineStr">
        <is>
          <t>AES_11173021</t>
        </is>
      </c>
      <c r="Z62" s="45" t="inlineStr">
        <is>
          <t>оборудование</t>
        </is>
      </c>
      <c r="AA62" s="47" t="n">
        <v>1</v>
      </c>
      <c r="AB62" s="48" t="n">
        <v>2009635.03</v>
      </c>
      <c r="AC62" s="139" t="n">
        <v>2009635.03</v>
      </c>
      <c r="AD62" s="139" t="n">
        <v>401926.98</v>
      </c>
      <c r="AE62" s="139" t="n">
        <v>2411562.01</v>
      </c>
      <c r="AF62" s="45" t="inlineStr">
        <is>
          <t>Реакторное здание (10UJA)</t>
        </is>
      </c>
      <c r="AG62" s="50" t="n">
        <v>45487</v>
      </c>
      <c r="AH62" s="46" t="inlineStr">
        <is>
          <t>ООО «Индустрия клапанов»</t>
        </is>
      </c>
      <c r="AI62" s="46" t="inlineStr">
        <is>
          <t>Россия</t>
        </is>
      </c>
      <c r="AJ62" s="46" t="inlineStr">
        <is>
          <t>10UAA; tсраб=50 s; при dPmin=0.053 МПа; Характеристика: линейная; DNвх=150; DNвых=150; Max расход среды = 151.8 т/ч.
Материал присоединяемого трубопровода - 08Х18Н10Т; типоразмер трубы 168,3х10; патрубки соосны; тип присоединения - под приварку; строительная длина - не более 320 мм; демонтажный размер - не более 880 мм; рабочее давление 0.6 МПа, рабочая температура 250 °C; среда: техническая вода; альт. среда: обессоленная вода.</t>
        </is>
      </c>
      <c r="AK62" s="45" t="inlineStr">
        <is>
          <t>ПИ;БКП-5;ОТВ, Инженер 5</t>
        </is>
      </c>
      <c r="AL62" s="47" t="n">
        <v>1612027</v>
      </c>
      <c r="AM62" s="45" t="inlineStr">
        <is>
          <t>Клапан регулирующий DN 150 PN 0.6 t 250 °C QA3 2ВIIа AS УХЛ3 ТУ 37-1057-2024</t>
        </is>
      </c>
      <c r="AN62" s="51" t="n">
        <v>20</v>
      </c>
      <c r="AO62" s="52" t="inlineStr">
        <is>
          <t>28.14.13.131</t>
        </is>
      </c>
      <c r="AP62" s="53" t="n">
        <v>2161332.37</v>
      </c>
      <c r="AQ62" s="54" t="n">
        <v>2161332.37</v>
      </c>
      <c r="AR62" s="54" t="n">
        <v>432266.47</v>
      </c>
      <c r="AS62" s="54" t="n">
        <v>2593598.84</v>
      </c>
      <c r="AU62" s="56">
        <f>ROUND(AB62,2)</f>
        <v/>
      </c>
      <c r="AV62" s="57">
        <f>ROUND(AU62*AA62,2)</f>
        <v/>
      </c>
      <c r="AW62" s="57">
        <f>ROUND(AV62*0.2,2)</f>
        <v/>
      </c>
      <c r="AX62" s="57">
        <f>AV62+AW62</f>
        <v/>
      </c>
      <c r="AY62" s="57">
        <f>AU62=AB62</f>
        <v/>
      </c>
      <c r="AZ62" s="57">
        <f>AV62=AC62</f>
        <v/>
      </c>
      <c r="BA62" s="57">
        <f>AW62=AD62</f>
        <v/>
      </c>
      <c r="BB62" s="57">
        <f>AX62=AE62</f>
        <v/>
      </c>
    </row>
    <row r="63" ht="20.4" customHeight="1">
      <c r="A63" s="58" t="n"/>
      <c r="B63" s="58" t="n"/>
      <c r="C63" s="58" t="n"/>
      <c r="D63" s="58" t="n"/>
      <c r="E63" s="58" t="n"/>
      <c r="F63" s="59" t="n"/>
      <c r="G63" s="59" t="n"/>
      <c r="H63" s="59" t="n"/>
      <c r="I63" s="59" t="n"/>
      <c r="J63" s="59" t="n"/>
      <c r="K63" s="59" t="n"/>
      <c r="L63" s="59" t="n"/>
      <c r="M63" s="60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22" t="n"/>
      <c r="Z63" s="22" t="inlineStr">
        <is>
          <t>Итого:</t>
        </is>
      </c>
      <c r="AA63" s="61" t="n">
        <v>57</v>
      </c>
      <c r="AB63" s="140" t="n"/>
      <c r="AC63" s="63" t="n">
        <v>99225000</v>
      </c>
      <c r="AD63" s="63" t="n">
        <v>19845000</v>
      </c>
      <c r="AE63" s="63" t="n">
        <v>119070000</v>
      </c>
      <c r="AF63" s="59" t="n"/>
      <c r="AG63" s="59" t="n"/>
      <c r="AH63" s="59" t="n"/>
      <c r="AI63" s="59" t="n"/>
      <c r="AJ63" s="58" t="n"/>
      <c r="AK63" s="58" t="n"/>
      <c r="AL63" s="18" t="n"/>
      <c r="AM63" s="18" t="n"/>
      <c r="AN63" s="64" t="n"/>
      <c r="AO63" s="20" t="n"/>
      <c r="AP63" s="20" t="n"/>
      <c r="AQ63" s="65">
        <f>SUM(AQ6:AQ62)</f>
        <v/>
      </c>
      <c r="AR63" s="65">
        <f>SUM(AR6:AR62)</f>
        <v/>
      </c>
      <c r="AS63" s="65">
        <f>SUM(AS6:AS62)</f>
        <v/>
      </c>
      <c r="AV63" s="66">
        <f>SUM(AV6:AV62)</f>
        <v/>
      </c>
      <c r="AW63" s="66">
        <f>SUM(AW6:AW62)</f>
        <v/>
      </c>
      <c r="AX63" s="66">
        <f>SUM(AX6:AX62)</f>
        <v/>
      </c>
      <c r="AZ63" s="57">
        <f>AV63=AC63</f>
        <v/>
      </c>
      <c r="BA63" s="57">
        <f>AW63=AD63</f>
        <v/>
      </c>
      <c r="BB63" s="57">
        <f>AX63=AE63</f>
        <v/>
      </c>
    </row>
    <row r="64" ht="15.6" customHeight="1">
      <c r="A64" s="67" t="n"/>
      <c r="B64" s="18" t="n"/>
      <c r="C64" s="68" t="n"/>
      <c r="D64" s="68" t="n"/>
      <c r="E64" s="67" t="n"/>
      <c r="F64" s="68" t="n"/>
      <c r="G64" s="68" t="n"/>
      <c r="H64" s="68" t="n"/>
      <c r="I64" s="68" t="n"/>
      <c r="J64" s="68" t="n"/>
      <c r="K64" s="68" t="n"/>
      <c r="L64" s="67" t="n"/>
      <c r="M64" s="67" t="n"/>
      <c r="N64" s="67" t="n"/>
      <c r="O64" s="68" t="n"/>
      <c r="P64" s="68" t="n"/>
      <c r="Q64" s="68" t="n"/>
      <c r="R64" s="69" t="n"/>
      <c r="S64" s="69" t="n"/>
      <c r="T64" s="68" t="n"/>
      <c r="U64" s="68" t="n"/>
      <c r="V64" s="69" t="n"/>
      <c r="W64" s="69" t="n"/>
      <c r="X64" s="68" t="n"/>
      <c r="Y64" s="141" t="n"/>
      <c r="Z64" s="58" t="n"/>
      <c r="AA64" s="68" t="n"/>
      <c r="AB64" s="141" t="n"/>
      <c r="AC64" s="18" t="n"/>
      <c r="AD64" s="71" t="n"/>
      <c r="AE64" s="71" t="n"/>
      <c r="AF64" s="59" t="n"/>
      <c r="AG64" s="59" t="n"/>
      <c r="AH64" s="59" t="n"/>
      <c r="AI64" s="59" t="n"/>
      <c r="AJ64" s="15" t="n"/>
      <c r="AK64" s="58" t="n"/>
      <c r="AL64" s="18" t="n"/>
      <c r="AM64" s="18" t="n"/>
      <c r="AN64" s="72" t="n"/>
      <c r="AO64" s="20" t="n"/>
      <c r="AP64" s="20" t="n"/>
      <c r="AQ64" s="20" t="n"/>
      <c r="AR64" s="20" t="n"/>
      <c r="AS64" s="20" t="n"/>
    </row>
    <row r="65" ht="28.95" customHeight="1">
      <c r="A65" s="67" t="n"/>
      <c r="B65" s="18" t="n"/>
      <c r="C65" s="68" t="n"/>
      <c r="D65" s="68" t="n"/>
      <c r="E65" s="67" t="n"/>
      <c r="F65" s="68" t="n"/>
      <c r="G65" s="68" t="n"/>
      <c r="H65" s="68" t="n"/>
      <c r="I65" s="68" t="n"/>
      <c r="J65" s="68" t="n"/>
      <c r="K65" s="68" t="n"/>
      <c r="L65" s="67" t="n"/>
      <c r="M65" s="67" t="n"/>
      <c r="N65" s="67" t="n"/>
      <c r="O65" s="68" t="n"/>
      <c r="P65" s="68" t="n"/>
      <c r="Q65" s="68" t="n"/>
      <c r="R65" s="69" t="n"/>
      <c r="S65" s="69" t="n"/>
      <c r="T65" s="68" t="n"/>
      <c r="U65" s="68" t="n"/>
      <c r="V65" s="69" t="n"/>
      <c r="W65" s="69" t="n"/>
      <c r="X65" s="68" t="n"/>
      <c r="Y65" s="141" t="n"/>
      <c r="Z65" s="58" t="n"/>
      <c r="AA65" s="68" t="n"/>
      <c r="AB65" s="73" t="inlineStr">
        <is>
          <t>ОБЩАЯ ЦЕНА ДОГОВОРА:</t>
        </is>
      </c>
      <c r="AC65" s="74" t="n">
        <v>99225000</v>
      </c>
      <c r="AD65" s="74" t="n">
        <v>19845000</v>
      </c>
      <c r="AE65" s="74" t="n">
        <v>119070000</v>
      </c>
      <c r="AF65" s="59" t="n"/>
      <c r="AG65" s="59" t="n"/>
      <c r="AH65" s="59" t="n"/>
      <c r="AI65" s="59" t="n"/>
      <c r="AJ65" s="15" t="n"/>
      <c r="AK65" s="58" t="n"/>
      <c r="AL65" s="18" t="n"/>
      <c r="AM65" s="18" t="n"/>
      <c r="AN65" s="75" t="n"/>
      <c r="AO65" s="20" t="n"/>
      <c r="AP65" s="20" t="n"/>
      <c r="AQ65" s="76">
        <f>SUM(AQ63:AQ64)</f>
        <v/>
      </c>
      <c r="AR65" s="76">
        <f>SUM(AR63:AR64)</f>
        <v/>
      </c>
      <c r="AS65" s="76">
        <f>SUM(AS63:AS64)</f>
        <v/>
      </c>
      <c r="AV65" s="66" t="n">
        <v>115042288</v>
      </c>
      <c r="AW65" s="66" t="n">
        <v>23008457.59999999</v>
      </c>
      <c r="AX65" s="66" t="n">
        <v>138050745.6</v>
      </c>
    </row>
    <row r="66" ht="25.2" customHeight="1">
      <c r="A66" s="67" t="n"/>
      <c r="B66" s="18" t="n"/>
      <c r="C66" s="68" t="n"/>
      <c r="D66" s="68" t="n"/>
      <c r="E66" s="67" t="n"/>
      <c r="F66" s="68" t="n"/>
      <c r="G66" s="68" t="n"/>
      <c r="H66" s="68" t="n"/>
      <c r="I66" s="68" t="n"/>
      <c r="J66" s="68" t="n"/>
      <c r="K66" s="68" t="n"/>
      <c r="L66" s="67" t="n"/>
      <c r="M66" s="67" t="n"/>
      <c r="N66" s="67" t="n"/>
      <c r="O66" s="68" t="n"/>
      <c r="P66" s="68" t="n"/>
      <c r="Q66" s="68" t="n"/>
      <c r="R66" s="69" t="n"/>
      <c r="S66" s="69" t="n"/>
      <c r="T66" s="68" t="n"/>
      <c r="U66" s="68" t="n"/>
      <c r="V66" s="69" t="n"/>
      <c r="W66" s="69" t="n"/>
      <c r="X66" s="68" t="n"/>
      <c r="Y66" s="141" t="n"/>
      <c r="Z66" s="58" t="n"/>
      <c r="AA66" s="68" t="n"/>
      <c r="AB66" s="141" t="n"/>
      <c r="AC66" s="18" t="n"/>
      <c r="AD66" s="71" t="n"/>
      <c r="AE66" s="71" t="n"/>
      <c r="AF66" s="59" t="n"/>
      <c r="AG66" s="59" t="n"/>
      <c r="AH66" s="59" t="n"/>
      <c r="AI66" s="59" t="n"/>
      <c r="AJ66" s="15" t="n"/>
      <c r="AK66" s="58" t="n"/>
      <c r="AL66" s="18" t="n"/>
      <c r="AM66" s="18" t="n"/>
      <c r="AN66" s="75" t="n"/>
      <c r="AO66" s="20" t="n"/>
      <c r="AP66" s="20" t="n"/>
      <c r="AQ66" s="20" t="n"/>
      <c r="AR66" s="20" t="n"/>
      <c r="AS66" s="20" t="n"/>
      <c r="AV66" s="66" t="n"/>
      <c r="AW66" s="66" t="n"/>
      <c r="AX66" s="66" t="n"/>
    </row>
    <row r="67" ht="27.6" customHeight="1">
      <c r="A67" s="7" t="n"/>
      <c r="B67" s="127" t="n"/>
      <c r="C67" s="77" t="n"/>
      <c r="D67" s="77" t="n"/>
      <c r="E67" s="77" t="n"/>
      <c r="F67" s="77" t="n"/>
      <c r="G67" s="7" t="n"/>
      <c r="H67" s="7" t="n"/>
      <c r="I67" s="77" t="n"/>
      <c r="J67" s="7" t="n"/>
      <c r="K67" s="7" t="n"/>
      <c r="L67" s="7" t="n"/>
      <c r="M67" s="7" t="n"/>
      <c r="N67" s="7" t="n"/>
      <c r="O67" s="7" t="n"/>
      <c r="P67" s="22" t="n"/>
      <c r="Q67" s="25" t="n"/>
      <c r="R67" s="7" t="n"/>
      <c r="S67" s="7" t="n"/>
      <c r="T67" s="7" t="n"/>
      <c r="U67" s="7" t="n"/>
      <c r="V67" s="7" t="n"/>
      <c r="W67" s="7" t="n"/>
      <c r="X67" s="7" t="n"/>
      <c r="Y67" s="7" t="n"/>
      <c r="Z67" s="58" t="n"/>
      <c r="AA67" s="22" t="inlineStr">
        <is>
          <t>Валюта договора:</t>
        </is>
      </c>
      <c r="AB67" s="78" t="inlineStr">
        <is>
          <t>Российский рубль (RUB)</t>
        </is>
      </c>
      <c r="AC67" s="60" t="n"/>
      <c r="AD67" s="60" t="n"/>
      <c r="AE67" s="60" t="n"/>
      <c r="AF67" s="59" t="n"/>
      <c r="AG67" s="59" t="n"/>
      <c r="AH67" s="59" t="n"/>
      <c r="AI67" s="59" t="n"/>
      <c r="AJ67" s="15" t="n"/>
      <c r="AK67" s="58" t="n"/>
      <c r="AL67" s="18" t="n"/>
      <c r="AM67" s="18" t="n"/>
      <c r="AN67" s="75" t="n"/>
      <c r="AO67" s="20" t="n"/>
      <c r="AP67" s="133" t="inlineStr">
        <is>
          <t>0 Информация приводиться справочно и может отличаться от информации на ЭТП в связи с различным порядком округления. Приоритет имеет информация  на ЭТП.</t>
        </is>
      </c>
      <c r="AV67" s="66">
        <f>AV63+AV65</f>
        <v/>
      </c>
      <c r="AW67" s="66">
        <f>AW63+AW65</f>
        <v/>
      </c>
      <c r="AX67" s="66">
        <f>AX63+AX65</f>
        <v/>
      </c>
    </row>
    <row r="68" ht="25.2" customHeight="1">
      <c r="A68" s="7" t="n"/>
      <c r="B68" s="127" t="inlineStr">
        <is>
          <t>* Данная информация носит справочный характер. Указывается для использования в информационной системе покупателя.</t>
        </is>
      </c>
      <c r="C68" s="77" t="n"/>
      <c r="D68" s="77" t="n"/>
      <c r="E68" s="77" t="n"/>
      <c r="F68" s="77" t="n"/>
      <c r="G68" s="7" t="n"/>
      <c r="H68" s="7" t="n"/>
      <c r="I68" s="77" t="n"/>
      <c r="J68" s="7" t="n"/>
      <c r="K68" s="7" t="n"/>
      <c r="L68" s="7" t="n"/>
      <c r="M68" s="7" t="n"/>
      <c r="N68" s="7" t="n"/>
      <c r="O68" s="7" t="n"/>
      <c r="P68" s="22" t="n"/>
      <c r="Q68" s="25" t="n"/>
      <c r="R68" s="7" t="n"/>
      <c r="S68" s="7" t="n"/>
      <c r="T68" s="7" t="n"/>
      <c r="U68" s="7" t="n"/>
      <c r="V68" s="7" t="n"/>
      <c r="W68" s="7" t="n"/>
      <c r="X68" s="7" t="n"/>
      <c r="Y68" s="7" t="n"/>
      <c r="Z68" s="58" t="n"/>
      <c r="AA68" s="22" t="n"/>
      <c r="AB68" s="6" t="n"/>
      <c r="AC68" s="60" t="n"/>
      <c r="AD68" s="60" t="n"/>
      <c r="AE68" s="60" t="n"/>
      <c r="AF68" s="59" t="n"/>
      <c r="AG68" s="59" t="n"/>
      <c r="AH68" s="59" t="n"/>
      <c r="AI68" s="59" t="n"/>
      <c r="AJ68" s="15" t="n"/>
      <c r="AK68" s="58" t="n"/>
      <c r="AL68" s="18" t="n"/>
      <c r="AM68" s="18" t="n"/>
      <c r="AN68" s="75" t="n"/>
      <c r="AO68" s="20" t="n"/>
    </row>
    <row r="69" ht="28.95" customHeight="1">
      <c r="A69" s="7" t="n"/>
      <c r="B69" s="77" t="n"/>
      <c r="C69" s="77" t="n"/>
      <c r="D69" s="77" t="n"/>
      <c r="E69" s="77" t="n"/>
      <c r="F69" s="77" t="n"/>
      <c r="G69" s="7" t="n"/>
      <c r="H69" s="7" t="n"/>
      <c r="I69" s="7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58" t="n"/>
      <c r="AA69" s="68" t="n"/>
      <c r="AB69" s="7" t="n"/>
      <c r="AC69" s="60" t="n"/>
      <c r="AD69" s="60" t="n"/>
      <c r="AE69" s="60" t="n"/>
      <c r="AF69" s="59" t="n"/>
      <c r="AG69" s="59" t="n"/>
      <c r="AH69" s="59" t="n"/>
      <c r="AI69" s="59" t="n"/>
      <c r="AJ69" s="15" t="n"/>
      <c r="AK69" s="58" t="n"/>
      <c r="AL69" s="18" t="n"/>
      <c r="AM69" s="18" t="n"/>
      <c r="AN69" s="75" t="n"/>
      <c r="AO69" s="20" t="n"/>
    </row>
    <row r="70" outlineLevel="1" ht="22.95" customHeight="1">
      <c r="A70" s="8" t="n"/>
      <c r="B70" s="79" t="inlineStr">
        <is>
          <t>Примечания:</t>
        </is>
      </c>
      <c r="C70" s="80" t="n"/>
      <c r="D70" s="80" t="n"/>
      <c r="E70" s="80" t="n"/>
      <c r="F70" s="80" t="n"/>
      <c r="G70" s="8" t="n"/>
      <c r="H70" s="8" t="n"/>
      <c r="I70" s="80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0" t="n"/>
      <c r="AA70" s="81" t="n"/>
      <c r="AB70" s="8" t="n"/>
      <c r="AC70" s="82" t="n"/>
      <c r="AD70" s="82" t="n"/>
      <c r="AE70" s="82" t="n"/>
      <c r="AF70" s="8" t="n"/>
      <c r="AG70" s="8" t="n"/>
      <c r="AH70" s="8" t="n"/>
      <c r="AI70" s="8" t="n"/>
      <c r="AK70" s="80" t="n"/>
      <c r="AN70" s="128" t="n"/>
      <c r="AO70" s="6" t="n"/>
      <c r="AP70" s="55" t="n"/>
      <c r="AQ70" s="55" t="n"/>
      <c r="AR70" s="55" t="n"/>
      <c r="AS70" s="55" t="n"/>
    </row>
    <row r="71" outlineLevel="1" ht="18" customHeight="1">
      <c r="A71" s="8" t="n"/>
      <c r="B71" s="131" t="inlineStr">
        <is>
          <t>1 При запросах ТКП и проведении закупочных процедур данная информация носит справочный характер, возможно применение "По типу" "Аналогов или Эквивалентов". Только для конкурентных закупок, не относится к форме закупки у Единственного поставщика.</t>
        </is>
      </c>
      <c r="C71" s="142" t="n"/>
      <c r="D71" s="142" t="n"/>
      <c r="E71" s="142" t="n"/>
      <c r="F71" s="142" t="n"/>
      <c r="G71" s="142" t="n"/>
      <c r="H71" s="142" t="n"/>
      <c r="I71" s="142" t="n"/>
      <c r="J71" s="142" t="n"/>
      <c r="K71" s="142" t="n"/>
      <c r="L71" s="142" t="n"/>
      <c r="M71" s="142" t="n"/>
      <c r="N71" s="142" t="n"/>
      <c r="O71" s="142" t="n"/>
      <c r="P71" s="142" t="n"/>
      <c r="Q71" s="142" t="n"/>
      <c r="R71" s="142" t="n"/>
      <c r="S71" s="142" t="n"/>
      <c r="T71" s="142" t="n"/>
      <c r="U71" s="142" t="n"/>
      <c r="V71" s="142" t="n"/>
      <c r="W71" s="142" t="n"/>
      <c r="X71" s="142" t="n"/>
      <c r="Y71" s="142" t="n"/>
      <c r="Z71" s="142" t="n"/>
      <c r="AA71" s="142" t="n"/>
      <c r="AB71" s="142" t="n"/>
      <c r="AC71" s="142" t="n"/>
      <c r="AD71" s="142" t="n"/>
      <c r="AE71" s="142" t="n"/>
      <c r="AF71" s="142" t="n"/>
      <c r="AG71" s="142" t="n"/>
      <c r="AH71" s="142" t="n"/>
      <c r="AI71" s="142" t="n"/>
      <c r="AJ71" s="142" t="n"/>
      <c r="AK71" s="142" t="n"/>
      <c r="AL71" s="142" t="n"/>
      <c r="AN71" s="129" t="n"/>
      <c r="AO71" s="84" t="n"/>
      <c r="AP71" s="84" t="n"/>
      <c r="AQ71" s="85" t="n"/>
      <c r="AR71" s="85" t="n"/>
      <c r="AS71" s="86" t="n"/>
    </row>
    <row r="72" outlineLevel="1" ht="25.2" customHeight="1">
      <c r="A72" s="8" t="n"/>
      <c r="B72" s="131" t="inlineStr">
        <is>
          <t>2 Данные ссылки указаны для целей заказчика и в целях закупочной документации не используются.</t>
        </is>
      </c>
      <c r="C72" s="142" t="n"/>
      <c r="D72" s="142" t="n"/>
      <c r="E72" s="142" t="n"/>
      <c r="F72" s="142" t="n"/>
      <c r="G72" s="142" t="n"/>
      <c r="H72" s="142" t="n"/>
      <c r="I72" s="142" t="n"/>
      <c r="J72" s="142" t="n"/>
      <c r="K72" s="142" t="n"/>
      <c r="L72" s="142" t="n"/>
      <c r="M72" s="142" t="n"/>
      <c r="N72" s="142" t="n"/>
      <c r="O72" s="142" t="n"/>
      <c r="P72" s="142" t="n"/>
      <c r="Q72" s="142" t="n"/>
      <c r="R72" s="142" t="n"/>
      <c r="S72" s="142" t="n"/>
      <c r="T72" s="142" t="n"/>
      <c r="U72" s="142" t="n"/>
      <c r="V72" s="142" t="n"/>
      <c r="W72" s="142" t="n"/>
      <c r="X72" s="142" t="n"/>
      <c r="Y72" s="142" t="n"/>
      <c r="Z72" s="142" t="n"/>
      <c r="AA72" s="142" t="n"/>
      <c r="AB72" s="142" t="n"/>
      <c r="AC72" s="142" t="n"/>
      <c r="AD72" s="142" t="n"/>
      <c r="AE72" s="142" t="n"/>
      <c r="AF72" s="142" t="n"/>
      <c r="AG72" s="142" t="n"/>
      <c r="AH72" s="142" t="n"/>
      <c r="AI72" s="142" t="n"/>
      <c r="AJ72" s="142" t="n"/>
      <c r="AK72" s="142" t="n"/>
      <c r="AL72" s="142" t="n"/>
      <c r="AN72" s="129" t="n"/>
      <c r="AO72" s="84" t="n"/>
      <c r="AP72" s="84" t="n"/>
      <c r="AQ72" s="85" t="n"/>
      <c r="AR72" s="85" t="n"/>
      <c r="AS72" s="86" t="n"/>
    </row>
    <row r="73" outlineLevel="1" ht="32.4" customHeight="1">
      <c r="A73" s="8" t="n"/>
      <c r="B73" s="131" t="inlineStr">
        <is>
          <t>3 Указаны рекомендованные значения и диапазоны</t>
        </is>
      </c>
      <c r="C73" s="142" t="n"/>
      <c r="D73" s="142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2" t="n"/>
      <c r="N73" s="142" t="n"/>
      <c r="O73" s="142" t="n"/>
      <c r="P73" s="142" t="n"/>
      <c r="Q73" s="142" t="n"/>
      <c r="R73" s="142" t="n"/>
      <c r="S73" s="142" t="n"/>
      <c r="T73" s="142" t="n"/>
      <c r="U73" s="142" t="n"/>
      <c r="V73" s="142" t="n"/>
      <c r="W73" s="142" t="n"/>
      <c r="X73" s="142" t="n"/>
      <c r="Y73" s="142" t="n"/>
      <c r="Z73" s="142" t="n"/>
      <c r="AA73" s="142" t="n"/>
      <c r="AB73" s="142" t="n"/>
      <c r="AC73" s="142" t="n"/>
      <c r="AD73" s="142" t="n"/>
      <c r="AE73" s="142" t="n"/>
      <c r="AF73" s="131" t="n"/>
      <c r="AG73" s="131" t="n"/>
      <c r="AH73" s="131" t="n"/>
      <c r="AI73" s="131" t="n"/>
      <c r="AJ73" s="131" t="n"/>
      <c r="AK73" s="131" t="n"/>
      <c r="AL73" s="131" t="n"/>
      <c r="AN73" s="129" t="n"/>
      <c r="AO73" s="84" t="n"/>
      <c r="AP73" s="84" t="n"/>
      <c r="AQ73" s="85" t="n"/>
      <c r="AR73" s="85" t="n"/>
      <c r="AS73" s="86" t="n"/>
    </row>
    <row r="74" outlineLevel="1" ht="32.4" customHeight="1">
      <c r="A74" s="8" t="n"/>
      <c r="B74" s="131" t="inlineStr">
        <is>
          <t>Климатическое исполнение – УХЛ, категория размещения -3, условия хранения – 5 (для арматуры с электроприводом) и 8 (для арматуры с ручным приводом): если не указано иное.</t>
        </is>
      </c>
      <c r="C74" s="142" t="n"/>
      <c r="D74" s="142" t="n"/>
      <c r="E74" s="142" t="n"/>
      <c r="F74" s="142" t="n"/>
      <c r="G74" s="142" t="n"/>
      <c r="H74" s="142" t="n"/>
      <c r="I74" s="142" t="n"/>
      <c r="J74" s="142" t="n"/>
      <c r="K74" s="142" t="n"/>
      <c r="L74" s="142" t="n"/>
      <c r="M74" s="142" t="n"/>
      <c r="N74" s="142" t="n"/>
      <c r="O74" s="142" t="n"/>
      <c r="P74" s="142" t="n"/>
      <c r="Q74" s="142" t="n"/>
      <c r="R74" s="142" t="n"/>
      <c r="S74" s="142" t="n"/>
      <c r="T74" s="142" t="n"/>
      <c r="U74" s="142" t="n"/>
      <c r="V74" s="142" t="n"/>
      <c r="W74" s="142" t="n"/>
      <c r="X74" s="142" t="n"/>
      <c r="Y74" s="142" t="n"/>
      <c r="Z74" s="142" t="n"/>
      <c r="AA74" s="142" t="n"/>
      <c r="AB74" s="142" t="n"/>
      <c r="AC74" s="142" t="n"/>
      <c r="AD74" s="142" t="n"/>
      <c r="AE74" s="142" t="n"/>
      <c r="AF74" s="131" t="n"/>
      <c r="AG74" s="131" t="n"/>
      <c r="AH74" s="131" t="n"/>
      <c r="AI74" s="131" t="n"/>
      <c r="AJ74" s="131" t="n"/>
      <c r="AK74" s="131" t="n"/>
      <c r="AL74" s="131" t="n"/>
      <c r="AN74" s="129" t="n"/>
      <c r="AO74" s="84" t="n"/>
      <c r="AP74" s="84" t="n"/>
      <c r="AQ74" s="85" t="n"/>
      <c r="AR74" s="85" t="n"/>
      <c r="AS74" s="86" t="n"/>
    </row>
    <row r="75" outlineLevel="1" ht="23.25" customHeight="1">
      <c r="A75" s="8" t="n"/>
      <c r="B75" s="131" t="n"/>
      <c r="C75" s="131" t="n"/>
      <c r="D75" s="131" t="n"/>
      <c r="E75" s="131" t="n"/>
      <c r="F75" s="131" t="n"/>
      <c r="G75" s="131" t="n"/>
      <c r="H75" s="131" t="n"/>
      <c r="I75" s="131" t="n"/>
      <c r="J75" s="131" t="n"/>
      <c r="K75" s="131" t="n"/>
      <c r="L75" s="131" t="n"/>
      <c r="M75" s="131" t="n"/>
      <c r="N75" s="131" t="n"/>
      <c r="O75" s="131" t="n"/>
      <c r="P75" s="131" t="n"/>
      <c r="Q75" s="131" t="n"/>
      <c r="R75" s="131" t="n"/>
      <c r="S75" s="131" t="n"/>
      <c r="T75" s="131" t="n"/>
      <c r="U75" s="131" t="n"/>
      <c r="V75" s="131" t="n"/>
      <c r="W75" s="131" t="n"/>
      <c r="X75" s="131" t="n"/>
      <c r="Y75" s="131" t="n"/>
      <c r="Z75" s="131" t="n"/>
      <c r="AA75" s="131" t="n"/>
      <c r="AB75" s="9" t="n"/>
      <c r="AC75" s="9" t="n"/>
      <c r="AD75" s="9" t="n"/>
      <c r="AE75" s="9" t="n"/>
      <c r="AF75" s="131" t="n"/>
      <c r="AG75" s="131" t="n"/>
      <c r="AH75" s="131" t="n"/>
      <c r="AI75" s="131" t="n"/>
      <c r="AJ75" s="131" t="n"/>
      <c r="AK75" s="131" t="n"/>
      <c r="AL75" s="131" t="n"/>
      <c r="AN75" s="129" t="n"/>
      <c r="AO75" s="84" t="n"/>
      <c r="AP75" s="84" t="n"/>
      <c r="AQ75" s="85" t="n"/>
      <c r="AR75" s="85" t="n"/>
      <c r="AS75" s="86" t="n"/>
    </row>
    <row r="76" ht="23.25" customHeight="1">
      <c r="A76" s="7" t="n"/>
      <c r="B76" s="18" t="n"/>
      <c r="C76" s="77" t="n"/>
      <c r="D76" s="77" t="n"/>
      <c r="E76" s="77" t="n"/>
      <c r="F76" s="77" t="n"/>
      <c r="G76" s="7" t="n"/>
      <c r="H76" s="7" t="n"/>
      <c r="I76" s="7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58" t="n"/>
      <c r="AA76" s="68" t="n"/>
      <c r="AB76" s="7" t="n"/>
      <c r="AC76" s="60" t="n"/>
      <c r="AD76" s="60" t="n"/>
      <c r="AE76" s="60" t="n"/>
      <c r="AF76" s="59" t="n"/>
      <c r="AG76" s="59" t="n"/>
      <c r="AH76" s="59" t="n"/>
      <c r="AI76" s="59" t="n"/>
      <c r="AJ76" s="15" t="n"/>
      <c r="AK76" s="58" t="n"/>
      <c r="AL76" s="18" t="n"/>
      <c r="AM76" s="18" t="n"/>
      <c r="AN76" s="75" t="n"/>
      <c r="AO76" s="87" t="n"/>
      <c r="AP76" s="87" t="n"/>
      <c r="AQ76" s="31" t="n"/>
      <c r="AR76" s="31" t="n"/>
      <c r="AS76" s="88" t="n"/>
    </row>
    <row r="77" ht="23.25" customHeight="1">
      <c r="A77" s="89" t="n"/>
      <c r="B77" s="90" t="n"/>
      <c r="C77" s="91" t="n"/>
      <c r="D77" s="91" t="n"/>
      <c r="E77" s="91" t="n"/>
      <c r="F77" s="91" t="n"/>
      <c r="G77" s="90" t="n"/>
      <c r="H77" s="90" t="n"/>
      <c r="I77" s="90" t="n"/>
      <c r="J77" s="90" t="n"/>
      <c r="K77" s="18" t="n"/>
      <c r="L77" s="90" t="n"/>
      <c r="M77" s="90" t="n"/>
      <c r="N77" s="90" t="n"/>
      <c r="O77" s="90" t="n"/>
      <c r="P77" s="92" t="n"/>
      <c r="Q77" s="92" t="inlineStr">
        <is>
          <t>ПОДПИСИ СТОРОН</t>
        </is>
      </c>
      <c r="R77" s="89" t="n"/>
      <c r="S77" s="90" t="n"/>
      <c r="T77" s="90" t="n"/>
      <c r="U77" s="90" t="n"/>
      <c r="V77" s="90" t="n"/>
      <c r="W77" s="90" t="n"/>
      <c r="X77" s="90" t="n"/>
      <c r="Y77" s="90" t="n"/>
      <c r="Z77" s="58" t="n"/>
      <c r="AA77" s="68" t="n"/>
      <c r="AB77" s="10" t="n"/>
      <c r="AC77" s="60" t="n"/>
      <c r="AD77" s="60" t="n"/>
      <c r="AE77" s="60" t="n"/>
      <c r="AF77" s="59" t="n"/>
      <c r="AG77" s="59" t="n"/>
      <c r="AH77" s="59" t="n"/>
      <c r="AI77" s="59" t="n"/>
      <c r="AJ77" s="15" t="n"/>
      <c r="AK77" s="58" t="n"/>
      <c r="AL77" s="18" t="n"/>
      <c r="AM77" s="18" t="n"/>
      <c r="AN77" s="93" t="n"/>
      <c r="AO77" s="94" t="n"/>
      <c r="AP77" s="94" t="n"/>
      <c r="AQ77" s="94" t="n"/>
      <c r="AR77" s="94" t="n"/>
      <c r="AS77" s="94" t="n"/>
    </row>
    <row r="78" ht="23.25" customFormat="1" customHeight="1" s="29">
      <c r="A78" s="95" t="n"/>
      <c r="B78" s="12" t="n"/>
      <c r="C78" s="96" t="n"/>
      <c r="D78" s="97" t="n"/>
      <c r="E78" s="98" t="inlineStr">
        <is>
          <t>Покупатель:</t>
        </is>
      </c>
      <c r="F78" s="99" t="n"/>
      <c r="G78" s="97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1" t="n"/>
      <c r="Q78" s="12" t="n"/>
      <c r="R78" s="16" t="n"/>
      <c r="S78" s="16" t="n"/>
      <c r="T78" s="16" t="n"/>
      <c r="U78" s="16" t="n"/>
      <c r="V78" s="16" t="n"/>
      <c r="W78" s="16" t="n"/>
      <c r="X78" s="12" t="n"/>
      <c r="Y78" s="95" t="n"/>
      <c r="Z78" s="95" t="n"/>
      <c r="AA78" s="99" t="inlineStr">
        <is>
          <t>Поставщик:</t>
        </is>
      </c>
      <c r="AB78" s="11" t="n"/>
      <c r="AC78" s="11" t="n"/>
      <c r="AD78" s="12" t="n"/>
      <c r="AE78" s="16" t="n"/>
      <c r="AF78" s="16" t="n"/>
      <c r="AG78" s="16" t="n"/>
      <c r="AH78" s="16" t="n"/>
      <c r="AI78" s="12" t="n"/>
      <c r="AJ78" s="100" t="n"/>
      <c r="AK78" s="95" t="n"/>
      <c r="AL78" s="16" t="n"/>
      <c r="AM78" s="11" t="n"/>
      <c r="AN78" s="101" t="n"/>
      <c r="AO78" s="95" t="n"/>
      <c r="AP78" s="95" t="n"/>
      <c r="AQ78" s="95" t="n"/>
      <c r="AR78" s="95" t="n"/>
      <c r="AS78" s="95" t="n"/>
    </row>
    <row r="79" ht="23.25" customFormat="1" customHeight="1" s="29">
      <c r="A79" s="95" t="n"/>
      <c r="B79" s="12" t="n"/>
      <c r="C79" s="96" t="n"/>
      <c r="D79" s="97" t="n"/>
      <c r="E79" s="102" t="n"/>
      <c r="F79" s="97" t="n"/>
      <c r="G79" s="97" t="n"/>
      <c r="H79" s="12" t="n"/>
      <c r="I79" s="12" t="n"/>
      <c r="J79" s="12" t="n"/>
      <c r="K79" s="12" t="inlineStr">
        <is>
          <t xml:space="preserve"> </t>
        </is>
      </c>
      <c r="L79" s="12" t="n"/>
      <c r="M79" s="12" t="n"/>
      <c r="N79" s="12" t="n"/>
      <c r="O79" s="12" t="n"/>
      <c r="P79" s="11" t="n"/>
      <c r="Q79" s="12" t="n"/>
      <c r="R79" s="16" t="n"/>
      <c r="S79" s="16" t="n"/>
      <c r="T79" s="16" t="n"/>
      <c r="U79" s="16" t="n"/>
      <c r="V79" s="16" t="n"/>
      <c r="W79" s="16" t="n"/>
      <c r="X79" s="12" t="n"/>
      <c r="Y79" s="95" t="n"/>
      <c r="Z79" s="95" t="n"/>
      <c r="AA79" s="102" t="inlineStr">
        <is>
          <t xml:space="preserve"> </t>
        </is>
      </c>
      <c r="AB79" s="11" t="n"/>
      <c r="AC79" s="11" t="n"/>
      <c r="AD79" s="12" t="n"/>
      <c r="AE79" s="16" t="n"/>
      <c r="AF79" s="16" t="n"/>
      <c r="AG79" s="16" t="n"/>
      <c r="AH79" s="16" t="n"/>
      <c r="AI79" s="12" t="n"/>
      <c r="AJ79" s="100" t="n"/>
      <c r="AK79" s="95" t="n"/>
      <c r="AL79" s="16" t="n"/>
      <c r="AM79" s="11" t="n"/>
      <c r="AN79" s="101" t="n"/>
      <c r="AO79" s="95" t="n"/>
      <c r="AP79" s="95" t="n"/>
      <c r="AQ79" s="95" t="n"/>
      <c r="AR79" s="95" t="n"/>
      <c r="AS79" s="95" t="n"/>
    </row>
    <row r="80" ht="23.25" customFormat="1" customHeight="1" s="29">
      <c r="A80" s="95" t="n"/>
      <c r="B80" s="12" t="n"/>
      <c r="C80" s="96" t="n"/>
      <c r="D80" s="96" t="n"/>
      <c r="E80" s="96" t="n"/>
      <c r="F80" s="96" t="n"/>
      <c r="G80" s="97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1" t="n"/>
      <c r="Q80" s="12" t="n"/>
      <c r="R80" s="16" t="n"/>
      <c r="S80" s="16" t="n"/>
      <c r="T80" s="16" t="n"/>
      <c r="U80" s="16" t="n"/>
      <c r="V80" s="16" t="n"/>
      <c r="W80" s="16" t="n"/>
      <c r="X80" s="133" t="n"/>
      <c r="Y80" s="133" t="n"/>
      <c r="Z80" s="133" t="n"/>
      <c r="AA80" s="11" t="n"/>
      <c r="AB80" s="12" t="n"/>
      <c r="AC80" s="12" t="n"/>
      <c r="AD80" s="12" t="n"/>
      <c r="AE80" s="16" t="n"/>
      <c r="AF80" s="16" t="n"/>
      <c r="AG80" s="16" t="n"/>
      <c r="AH80" s="16" t="n"/>
      <c r="AI80" s="12" t="n"/>
      <c r="AJ80" s="100" t="n"/>
      <c r="AK80" s="95" t="n"/>
      <c r="AL80" s="16" t="n"/>
      <c r="AM80" s="130" t="n"/>
      <c r="AN80" s="133" t="n"/>
      <c r="AO80" s="133" t="n"/>
      <c r="AP80" s="133" t="n"/>
      <c r="AQ80" s="133" t="n"/>
      <c r="AR80" s="133" t="n"/>
      <c r="AS80" s="133" t="n"/>
    </row>
    <row r="81" ht="23.25" customFormat="1" customHeight="1" s="29">
      <c r="A81" s="95" t="n"/>
      <c r="B81" s="12" t="n"/>
      <c r="C81" s="96" t="n"/>
      <c r="D81" s="103" t="n"/>
      <c r="E81" s="104" t="n"/>
      <c r="F81" s="104" t="n"/>
      <c r="G81" s="104" t="n"/>
      <c r="H81" s="104" t="n"/>
      <c r="I81" s="104" t="n"/>
      <c r="J81" s="104" t="n"/>
      <c r="K81" s="105" t="inlineStr">
        <is>
          <t xml:space="preserve"> </t>
        </is>
      </c>
      <c r="L81" s="12" t="n"/>
      <c r="M81" s="12" t="n"/>
      <c r="N81" s="12" t="n"/>
      <c r="O81" s="12" t="n"/>
      <c r="P81" s="11" t="n"/>
      <c r="Q81" s="12" t="n"/>
      <c r="R81" s="16" t="n"/>
      <c r="S81" s="16" t="n"/>
      <c r="T81" s="16" t="n"/>
      <c r="U81" s="16" t="n"/>
      <c r="V81" s="16" t="n"/>
      <c r="W81" s="16" t="n"/>
      <c r="X81" s="95" t="n"/>
      <c r="Y81" s="95" t="n"/>
      <c r="Z81" s="95" t="n"/>
      <c r="AA81" s="106" t="n"/>
      <c r="AB81" s="13" t="n"/>
      <c r="AC81" s="13" t="n"/>
      <c r="AD81" s="107" t="inlineStr">
        <is>
          <t xml:space="preserve"> </t>
        </is>
      </c>
      <c r="AE81" s="16" t="n"/>
      <c r="AF81" s="16" t="n"/>
      <c r="AG81" s="16" t="n"/>
      <c r="AH81" s="16" t="n"/>
      <c r="AI81" s="103" t="n"/>
      <c r="AJ81" s="100" t="n"/>
      <c r="AK81" s="95" t="n"/>
      <c r="AL81" s="16" t="n"/>
      <c r="AM81" s="108" t="n"/>
      <c r="AN81" s="95" t="n"/>
      <c r="AO81" s="95" t="n"/>
      <c r="AP81" s="95" t="n"/>
      <c r="AQ81" s="95" t="n"/>
      <c r="AR81" s="95" t="n"/>
      <c r="AS81" s="95" t="n"/>
    </row>
    <row r="82" ht="23.25" customFormat="1" customHeight="1" s="29">
      <c r="A82" s="95" t="n"/>
      <c r="B82" s="12" t="n"/>
      <c r="C82" s="96" t="n"/>
      <c r="D82" s="96" t="n"/>
      <c r="E82" s="96" t="n"/>
      <c r="F82" s="97" t="inlineStr">
        <is>
          <t>м.п.</t>
        </is>
      </c>
      <c r="G82" s="97" t="n"/>
      <c r="H82" s="12" t="n"/>
      <c r="I82" s="95" t="n"/>
      <c r="J82" s="12" t="n"/>
      <c r="K82" s="12" t="n"/>
      <c r="L82" s="12" t="n"/>
      <c r="M82" s="12" t="n"/>
      <c r="N82" s="12" t="n"/>
      <c r="O82" s="12" t="n"/>
      <c r="P82" s="11" t="n"/>
      <c r="Q82" s="12" t="n"/>
      <c r="R82" s="16" t="n"/>
      <c r="S82" s="16" t="n"/>
      <c r="T82" s="16" t="n"/>
      <c r="U82" s="16" t="n"/>
      <c r="V82" s="16" t="n"/>
      <c r="W82" s="16" t="n"/>
      <c r="X82" s="95" t="n"/>
      <c r="Y82" s="95" t="n"/>
      <c r="Z82" s="95" t="n"/>
      <c r="AA82" s="11" t="n"/>
      <c r="AB82" s="11" t="n"/>
      <c r="AC82" s="11" t="n"/>
      <c r="AD82" s="12" t="n"/>
      <c r="AE82" s="16" t="n"/>
      <c r="AF82" s="16" t="n"/>
      <c r="AG82" s="16" t="n"/>
      <c r="AH82" s="16" t="n"/>
      <c r="AI82" s="12" t="n"/>
      <c r="AJ82" s="100" t="n"/>
      <c r="AK82" s="95" t="n"/>
      <c r="AL82" s="16" t="n"/>
      <c r="AM82" s="109" t="n"/>
      <c r="AN82" s="95" t="n"/>
      <c r="AO82" s="95" t="n"/>
      <c r="AP82" s="95" t="n"/>
      <c r="AQ82" s="95" t="n"/>
      <c r="AR82" s="95" t="n"/>
      <c r="AS82" s="95" t="n"/>
    </row>
    <row r="83" ht="23.25" customHeight="1">
      <c r="A83" s="58" t="n"/>
      <c r="B83" s="58" t="n"/>
      <c r="C83" s="58" t="n"/>
      <c r="D83" s="58" t="n"/>
      <c r="E83" s="58" t="n"/>
      <c r="F83" s="59" t="n"/>
      <c r="G83" s="59" t="n"/>
      <c r="H83" s="59" t="n"/>
      <c r="I83" s="59" t="n"/>
      <c r="J83" s="59" t="n"/>
      <c r="K83" s="59" t="n"/>
      <c r="L83" s="59" t="n"/>
      <c r="M83" s="60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8" t="n"/>
      <c r="AA83" s="59" t="n"/>
      <c r="AB83" s="60" t="n"/>
      <c r="AC83" s="60" t="n"/>
      <c r="AD83" s="60" t="n"/>
      <c r="AE83" s="60" t="n"/>
      <c r="AF83" s="59" t="n"/>
      <c r="AG83" s="59" t="n"/>
      <c r="AH83" s="59" t="n"/>
      <c r="AI83" s="59" t="n"/>
      <c r="AJ83" s="15" t="n"/>
      <c r="AK83" s="58" t="n"/>
      <c r="AL83" s="18" t="n"/>
      <c r="AM83" s="110" t="n"/>
      <c r="AN83" s="68" t="n"/>
      <c r="AO83" s="133" t="n"/>
      <c r="AP83" s="133" t="n"/>
      <c r="AQ83" s="133" t="n"/>
      <c r="AR83" s="133" t="n"/>
      <c r="AS83" s="133" t="n"/>
    </row>
    <row r="84" ht="23.25" customHeight="1">
      <c r="A84" s="80" t="n"/>
      <c r="B84" s="80" t="n"/>
      <c r="C84" s="80" t="n"/>
      <c r="D84" s="80" t="n"/>
      <c r="E84" s="80" t="n"/>
      <c r="F84" s="8" t="n"/>
      <c r="G84" s="8" t="n"/>
      <c r="H84" s="8" t="n"/>
      <c r="I84" s="8" t="n"/>
      <c r="J84" s="8" t="n"/>
      <c r="K84" s="8" t="n"/>
      <c r="L84" s="8" t="n"/>
      <c r="M84" s="82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0" t="n"/>
      <c r="AA84" s="8" t="n"/>
      <c r="AB84" s="82" t="n"/>
      <c r="AC84" s="82" t="n"/>
      <c r="AD84" s="82" t="n"/>
      <c r="AE84" s="82" t="n"/>
      <c r="AF84" s="8" t="n"/>
      <c r="AG84" s="8" t="n"/>
      <c r="AH84" s="8" t="n"/>
      <c r="AI84" s="8" t="n"/>
      <c r="AK84" s="80" t="n"/>
      <c r="AN84" s="111" t="n"/>
      <c r="AO84" s="112" t="n"/>
      <c r="AP84" s="112" t="n"/>
      <c r="AQ84" s="112" t="n"/>
      <c r="AR84" s="112" t="n"/>
      <c r="AS84" s="112" t="n"/>
    </row>
    <row r="85" ht="23.25" customHeight="1">
      <c r="A85" s="80" t="n"/>
      <c r="B85" s="80" t="n"/>
      <c r="C85" s="80" t="n"/>
      <c r="D85" s="80" t="n"/>
      <c r="E85" s="80" t="n"/>
      <c r="F85" s="8" t="n"/>
      <c r="G85" s="8" t="n"/>
      <c r="H85" s="8" t="n"/>
      <c r="I85" s="8" t="n"/>
      <c r="J85" s="8" t="n"/>
      <c r="K85" s="8" t="n"/>
      <c r="L85" s="8" t="n"/>
      <c r="M85" s="82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0" t="n"/>
      <c r="AA85" s="8" t="n"/>
      <c r="AB85" s="82" t="n"/>
      <c r="AC85" s="82" t="n"/>
      <c r="AD85" s="82" t="n"/>
      <c r="AE85" s="82" t="n"/>
      <c r="AF85" s="8" t="n"/>
      <c r="AG85" s="8" t="n"/>
      <c r="AH85" s="8" t="n"/>
      <c r="AI85" s="8" t="n"/>
      <c r="AK85" s="80" t="n"/>
      <c r="AN85" s="111" t="n"/>
      <c r="AO85" s="112" t="n"/>
      <c r="AP85" s="112" t="n"/>
      <c r="AQ85" s="112" t="n"/>
      <c r="AR85" s="112" t="n"/>
      <c r="AS85" s="112" t="n"/>
    </row>
    <row r="86" ht="23.25" customHeight="1">
      <c r="A86" s="80" t="n"/>
      <c r="B86" s="80" t="n"/>
      <c r="C86" s="80" t="n"/>
      <c r="D86" s="80" t="n"/>
      <c r="E86" s="80" t="n"/>
      <c r="F86" s="8" t="n"/>
      <c r="G86" s="8" t="n"/>
      <c r="H86" s="8" t="n"/>
      <c r="I86" s="8" t="n"/>
      <c r="J86" s="8" t="n"/>
      <c r="K86" s="8" t="n"/>
      <c r="L86" s="8" t="n"/>
      <c r="M86" s="82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0" t="n"/>
      <c r="AA86" s="8" t="n"/>
      <c r="AB86" s="82" t="n"/>
      <c r="AC86" s="82" t="n"/>
      <c r="AD86" s="82" t="n"/>
      <c r="AE86" s="82" t="n"/>
      <c r="AF86" s="8" t="n"/>
      <c r="AG86" s="8" t="n"/>
      <c r="AH86" s="8" t="n"/>
      <c r="AI86" s="8" t="n"/>
      <c r="AK86" s="80" t="n"/>
      <c r="AN86" s="111" t="n"/>
      <c r="AO86" s="112" t="n"/>
      <c r="AP86" s="112" t="n"/>
      <c r="AQ86" s="112" t="n"/>
      <c r="AR86" s="112" t="n"/>
      <c r="AS86" s="112" t="n"/>
    </row>
    <row r="87" ht="29.25" customHeight="1">
      <c r="A87" s="80" t="n"/>
      <c r="B87" s="80" t="n"/>
      <c r="C87" s="80" t="n"/>
      <c r="D87" s="80" t="n"/>
      <c r="E87" s="80" t="n"/>
      <c r="F87" s="8" t="n"/>
      <c r="G87" s="8" t="n"/>
      <c r="H87" s="8" t="n"/>
      <c r="I87" s="8" t="n"/>
      <c r="J87" s="8" t="n"/>
      <c r="K87" s="8" t="n"/>
      <c r="L87" s="8" t="n"/>
      <c r="M87" s="82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0" t="n"/>
      <c r="AA87" s="8" t="n"/>
      <c r="AB87" s="82" t="n"/>
      <c r="AC87" s="82" t="n"/>
      <c r="AD87" s="82" t="n"/>
      <c r="AE87" s="82" t="n"/>
      <c r="AF87" s="8" t="n"/>
      <c r="AG87" s="8" t="n"/>
      <c r="AH87" s="8" t="n"/>
      <c r="AI87" s="8" t="n"/>
      <c r="AK87" s="80" t="n"/>
      <c r="AN87" s="111" t="n"/>
      <c r="AO87" s="6" t="n"/>
      <c r="AP87" s="6" t="n"/>
      <c r="AQ87" s="6" t="n"/>
      <c r="AR87" s="6" t="n"/>
      <c r="AS87" s="6" t="n"/>
    </row>
    <row r="88" ht="29.25" customHeight="1">
      <c r="A88" s="80" t="n"/>
      <c r="B88" s="80" t="n"/>
      <c r="C88" s="80" t="n"/>
      <c r="D88" s="80" t="n"/>
      <c r="E88" s="80" t="n"/>
      <c r="F88" s="8" t="n"/>
      <c r="G88" s="8" t="n"/>
      <c r="H88" s="8" t="n"/>
      <c r="I88" s="8" t="n"/>
      <c r="J88" s="8" t="n"/>
      <c r="K88" s="8" t="n"/>
      <c r="L88" s="8" t="n"/>
      <c r="M88" s="82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0" t="n"/>
      <c r="AA88" s="8" t="n"/>
      <c r="AB88" s="82" t="n"/>
      <c r="AC88" s="82" t="n"/>
      <c r="AD88" s="82" t="n"/>
      <c r="AE88" s="82" t="n"/>
      <c r="AF88" s="8" t="n"/>
      <c r="AG88" s="8" t="n"/>
      <c r="AH88" s="8" t="n"/>
      <c r="AI88" s="8" t="n"/>
      <c r="AK88" s="80" t="n"/>
      <c r="AN88" s="111" t="n"/>
      <c r="AO88" s="6" t="n"/>
      <c r="AP88" s="6" t="n"/>
      <c r="AQ88" s="6" t="n"/>
      <c r="AR88" s="6" t="n"/>
      <c r="AS88" s="6" t="n"/>
    </row>
    <row r="89" ht="29.25" customHeight="1">
      <c r="A89" s="80" t="n"/>
      <c r="B89" s="80" t="n"/>
      <c r="C89" s="80" t="n"/>
      <c r="D89" s="80" t="n"/>
      <c r="E89" s="80" t="n"/>
      <c r="F89" s="8" t="n"/>
      <c r="G89" s="8" t="n"/>
      <c r="H89" s="8" t="n"/>
      <c r="I89" s="8" t="n"/>
      <c r="J89" s="8" t="n"/>
      <c r="K89" s="8" t="n"/>
      <c r="L89" s="8" t="n"/>
      <c r="M89" s="82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0" t="n"/>
      <c r="AA89" s="8" t="n"/>
      <c r="AB89" s="82" t="n"/>
      <c r="AC89" s="82" t="n"/>
      <c r="AD89" s="82" t="n"/>
      <c r="AE89" s="82" t="n"/>
      <c r="AF89" s="8" t="n"/>
      <c r="AG89" s="8" t="n"/>
      <c r="AH89" s="8" t="n"/>
      <c r="AI89" s="8" t="n"/>
      <c r="AK89" s="80" t="n"/>
      <c r="AN89" s="111" t="n"/>
      <c r="AO89" s="6" t="n"/>
      <c r="AP89" s="6" t="n"/>
      <c r="AQ89" s="6" t="n"/>
      <c r="AR89" s="6" t="n"/>
      <c r="AS89" s="6" t="n"/>
    </row>
    <row r="90" ht="29.25" customHeight="1">
      <c r="A90" s="80" t="n"/>
      <c r="B90" s="80" t="n"/>
      <c r="C90" s="80" t="n"/>
      <c r="D90" s="80" t="n"/>
      <c r="E90" s="80" t="n"/>
      <c r="F90" s="8" t="n"/>
      <c r="G90" s="8" t="n"/>
      <c r="H90" s="8" t="n"/>
      <c r="I90" s="8" t="n"/>
      <c r="J90" s="8" t="n"/>
      <c r="K90" s="8" t="n"/>
      <c r="L90" s="8" t="n"/>
      <c r="M90" s="82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0" t="n"/>
      <c r="AA90" s="8" t="n"/>
      <c r="AB90" s="82" t="n"/>
      <c r="AC90" s="82" t="n"/>
      <c r="AD90" s="82" t="n"/>
      <c r="AE90" s="82" t="n"/>
      <c r="AF90" s="8" t="n"/>
      <c r="AG90" s="8" t="n"/>
      <c r="AH90" s="8" t="n"/>
      <c r="AI90" s="8" t="n"/>
      <c r="AK90" s="80" t="n"/>
      <c r="AN90" s="111" t="n"/>
      <c r="AO90" s="6" t="n"/>
      <c r="AP90" s="6" t="n"/>
      <c r="AQ90" s="6" t="n"/>
      <c r="AR90" s="6" t="n"/>
      <c r="AS90" s="6" t="n"/>
    </row>
    <row r="91" ht="29.25" customHeight="1">
      <c r="A91" s="80" t="n"/>
      <c r="B91" s="80" t="n"/>
      <c r="C91" s="80" t="n"/>
      <c r="D91" s="80" t="n"/>
      <c r="E91" s="80" t="n"/>
      <c r="F91" s="8" t="n"/>
      <c r="G91" s="8" t="n"/>
      <c r="H91" s="8" t="n"/>
      <c r="I91" s="8" t="n"/>
      <c r="J91" s="8" t="n"/>
      <c r="K91" s="8" t="n"/>
      <c r="L91" s="8" t="n"/>
      <c r="M91" s="82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0" t="n"/>
      <c r="AA91" s="8" t="n"/>
      <c r="AB91" s="82" t="n"/>
      <c r="AC91" s="82" t="n"/>
      <c r="AD91" s="82" t="n"/>
      <c r="AE91" s="82" t="n"/>
      <c r="AF91" s="8" t="n"/>
      <c r="AG91" s="8" t="n"/>
      <c r="AH91" s="8" t="n"/>
      <c r="AI91" s="8" t="n"/>
      <c r="AK91" s="80" t="n"/>
      <c r="AN91" s="111" t="n"/>
      <c r="AO91" s="6" t="n"/>
      <c r="AP91" s="6" t="n"/>
      <c r="AQ91" s="6" t="n"/>
      <c r="AR91" s="6" t="n"/>
      <c r="AS91" s="6" t="n"/>
    </row>
    <row r="92" ht="29.25" customHeight="1">
      <c r="A92" s="80" t="n"/>
      <c r="B92" s="80" t="n"/>
      <c r="C92" s="80" t="n"/>
      <c r="D92" s="80" t="n"/>
      <c r="E92" s="80" t="n"/>
      <c r="F92" s="8" t="n"/>
      <c r="G92" s="8" t="n"/>
      <c r="H92" s="8" t="n"/>
      <c r="I92" s="8" t="n"/>
      <c r="J92" s="8" t="n"/>
      <c r="K92" s="8" t="n"/>
      <c r="L92" s="8" t="n"/>
      <c r="M92" s="82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0" t="n"/>
      <c r="AA92" s="8" t="n"/>
      <c r="AB92" s="82" t="n"/>
      <c r="AC92" s="82" t="n"/>
      <c r="AD92" s="82" t="n"/>
      <c r="AE92" s="82" t="n"/>
      <c r="AF92" s="8" t="n"/>
      <c r="AG92" s="8" t="n"/>
      <c r="AH92" s="8" t="n"/>
      <c r="AI92" s="8" t="n"/>
      <c r="AK92" s="80" t="n"/>
      <c r="AN92" s="111" t="n"/>
      <c r="AO92" s="6" t="n"/>
      <c r="AP92" s="6" t="n"/>
      <c r="AQ92" s="6" t="n"/>
      <c r="AR92" s="6" t="n"/>
      <c r="AS92" s="6" t="n"/>
    </row>
    <row r="93" ht="29.25" customHeight="1">
      <c r="A93" s="80" t="n"/>
      <c r="B93" s="80" t="n"/>
      <c r="C93" s="80" t="n"/>
      <c r="D93" s="80" t="n"/>
      <c r="E93" s="80" t="n"/>
      <c r="F93" s="8" t="n"/>
      <c r="G93" s="8" t="n"/>
      <c r="H93" s="8" t="n"/>
      <c r="I93" s="8" t="n"/>
      <c r="J93" s="8" t="n"/>
      <c r="K93" s="8" t="n"/>
      <c r="L93" s="8" t="n"/>
      <c r="M93" s="82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0" t="n"/>
      <c r="AA93" s="8" t="n"/>
      <c r="AB93" s="82" t="n"/>
      <c r="AC93" s="82" t="n"/>
      <c r="AD93" s="82" t="n"/>
      <c r="AE93" s="82" t="n"/>
      <c r="AF93" s="8" t="n"/>
      <c r="AG93" s="8" t="n"/>
      <c r="AH93" s="8" t="n"/>
      <c r="AI93" s="8" t="n"/>
      <c r="AK93" s="80" t="n"/>
      <c r="AN93" s="111" t="n"/>
      <c r="AO93" s="6" t="n"/>
      <c r="AP93" s="6" t="n"/>
      <c r="AQ93" s="6" t="n"/>
      <c r="AR93" s="6" t="n"/>
      <c r="AS93" s="6" t="n"/>
    </row>
    <row r="94" ht="29.25" customHeight="1">
      <c r="A94" s="80" t="n"/>
      <c r="B94" s="80" t="n"/>
      <c r="C94" s="80" t="n"/>
      <c r="D94" s="80" t="n"/>
      <c r="E94" s="80" t="n"/>
      <c r="F94" s="8" t="n"/>
      <c r="G94" s="8" t="n"/>
      <c r="H94" s="8" t="n"/>
      <c r="I94" s="8" t="n"/>
      <c r="J94" s="8" t="n"/>
      <c r="K94" s="8" t="n"/>
      <c r="L94" s="8" t="n"/>
      <c r="M94" s="82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0" t="n"/>
      <c r="AA94" s="8" t="n"/>
      <c r="AB94" s="82" t="n"/>
      <c r="AC94" s="82" t="n"/>
      <c r="AD94" s="82" t="n"/>
      <c r="AE94" s="82" t="n"/>
      <c r="AF94" s="8" t="n"/>
      <c r="AG94" s="8" t="n"/>
      <c r="AH94" s="8" t="n"/>
      <c r="AI94" s="8" t="n"/>
      <c r="AK94" s="80" t="n"/>
      <c r="AN94" s="111" t="n"/>
      <c r="AO94" s="6" t="n"/>
      <c r="AP94" s="6" t="n"/>
      <c r="AQ94" s="6" t="n"/>
      <c r="AR94" s="6" t="n"/>
      <c r="AS94" s="6" t="n"/>
    </row>
    <row r="95" ht="29.25" customHeight="1">
      <c r="A95" s="80" t="n"/>
      <c r="B95" s="80" t="n"/>
      <c r="C95" s="80" t="n"/>
      <c r="D95" s="80" t="n"/>
      <c r="E95" s="80" t="n"/>
      <c r="F95" s="8" t="n"/>
      <c r="G95" s="8" t="n"/>
      <c r="H95" s="8" t="n"/>
      <c r="I95" s="8" t="n"/>
      <c r="J95" s="8" t="n"/>
      <c r="K95" s="8" t="n"/>
      <c r="L95" s="8" t="n"/>
      <c r="M95" s="82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0" t="n"/>
      <c r="AA95" s="8" t="n"/>
      <c r="AB95" s="82" t="n"/>
      <c r="AC95" s="82" t="n"/>
      <c r="AD95" s="82" t="n"/>
      <c r="AE95" s="82" t="n"/>
      <c r="AF95" s="8" t="n"/>
      <c r="AG95" s="8" t="n"/>
      <c r="AH95" s="8" t="n"/>
      <c r="AI95" s="8" t="n"/>
      <c r="AK95" s="80" t="n"/>
      <c r="AN95" s="111" t="n"/>
      <c r="AO95" s="6" t="n"/>
      <c r="AP95" s="6" t="n"/>
      <c r="AQ95" s="6" t="n"/>
      <c r="AR95" s="6" t="n"/>
      <c r="AS95" s="6" t="n"/>
    </row>
    <row r="96" ht="29.25" customHeight="1">
      <c r="A96" s="80" t="n"/>
      <c r="B96" s="80" t="n"/>
      <c r="C96" s="80" t="n"/>
      <c r="D96" s="80" t="n"/>
      <c r="E96" s="80" t="n"/>
      <c r="F96" s="8" t="n"/>
      <c r="G96" s="8" t="n"/>
      <c r="H96" s="8" t="n"/>
      <c r="I96" s="8" t="n"/>
      <c r="J96" s="8" t="n"/>
      <c r="K96" s="8" t="n"/>
      <c r="L96" s="8" t="n"/>
      <c r="M96" s="82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0" t="n"/>
      <c r="AA96" s="8" t="n"/>
      <c r="AB96" s="82" t="n"/>
      <c r="AC96" s="82" t="n"/>
      <c r="AD96" s="82" t="n"/>
      <c r="AE96" s="82" t="n"/>
      <c r="AF96" s="8" t="n"/>
      <c r="AG96" s="8" t="n"/>
      <c r="AH96" s="8" t="n"/>
      <c r="AI96" s="8" t="n"/>
      <c r="AK96" s="80" t="n"/>
      <c r="AN96" s="111" t="n"/>
      <c r="AO96" s="6" t="n"/>
      <c r="AP96" s="6" t="n"/>
      <c r="AQ96" s="6" t="n"/>
      <c r="AR96" s="6" t="n"/>
      <c r="AS96" s="6" t="n"/>
    </row>
    <row r="97" ht="29.25" customHeight="1">
      <c r="A97" s="80" t="n"/>
      <c r="B97" s="80" t="n"/>
      <c r="C97" s="80" t="n"/>
      <c r="D97" s="80" t="n"/>
      <c r="E97" s="80" t="n"/>
      <c r="F97" s="8" t="n"/>
      <c r="G97" s="8" t="n"/>
      <c r="H97" s="8" t="n"/>
      <c r="I97" s="8" t="n"/>
      <c r="J97" s="8" t="n"/>
      <c r="K97" s="8" t="n"/>
      <c r="L97" s="8" t="n"/>
      <c r="M97" s="82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0" t="n"/>
      <c r="AA97" s="8" t="n"/>
      <c r="AB97" s="82" t="n"/>
      <c r="AC97" s="82" t="n"/>
      <c r="AD97" s="82" t="n"/>
      <c r="AE97" s="82" t="n"/>
      <c r="AF97" s="8" t="n"/>
      <c r="AG97" s="8" t="n"/>
      <c r="AH97" s="8" t="n"/>
      <c r="AI97" s="8" t="n"/>
      <c r="AK97" s="80" t="n"/>
      <c r="AN97" s="111" t="n"/>
      <c r="AO97" s="6" t="n"/>
      <c r="AP97" s="6" t="n"/>
      <c r="AQ97" s="6" t="n"/>
      <c r="AR97" s="6" t="n"/>
      <c r="AS97" s="6" t="n"/>
    </row>
    <row r="98" ht="196.95" customHeight="1">
      <c r="A98" s="80" t="n"/>
      <c r="B98" s="80" t="n"/>
      <c r="C98" s="80" t="n"/>
      <c r="D98" s="80" t="n"/>
      <c r="E98" s="80" t="n"/>
      <c r="F98" s="8" t="n"/>
      <c r="G98" s="8" t="n"/>
      <c r="H98" s="8" t="n"/>
      <c r="I98" s="8" t="n"/>
      <c r="J98" s="8" t="n"/>
      <c r="K98" s="8" t="n"/>
      <c r="L98" s="8" t="n"/>
      <c r="M98" s="82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0" t="n"/>
      <c r="AA98" s="8" t="n"/>
      <c r="AB98" s="82" t="n"/>
      <c r="AC98" s="82" t="n"/>
      <c r="AD98" s="82" t="n"/>
      <c r="AE98" s="82" t="n"/>
      <c r="AF98" s="8" t="n"/>
      <c r="AG98" s="8" t="n"/>
      <c r="AH98" s="8" t="n"/>
      <c r="AI98" s="8" t="n"/>
      <c r="AK98" s="80" t="n"/>
      <c r="AN98" s="111" t="n"/>
      <c r="AO98" s="6" t="n"/>
      <c r="AP98" s="6" t="n"/>
      <c r="AQ98" s="6" t="n"/>
      <c r="AR98" s="6" t="n"/>
      <c r="AS98" s="6" t="n"/>
    </row>
    <row r="99" ht="196.95" customHeight="1">
      <c r="A99" s="80" t="n"/>
      <c r="B99" s="80" t="n"/>
      <c r="C99" s="80" t="n"/>
      <c r="D99" s="80" t="n"/>
      <c r="E99" s="80" t="n"/>
      <c r="F99" s="8" t="n"/>
      <c r="G99" s="8" t="n"/>
      <c r="H99" s="8" t="n"/>
      <c r="I99" s="8" t="n"/>
      <c r="J99" s="8" t="n"/>
      <c r="K99" s="8" t="n"/>
      <c r="L99" s="8" t="n"/>
      <c r="M99" s="82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0" t="n"/>
      <c r="AA99" s="8" t="n"/>
      <c r="AB99" s="82" t="n"/>
      <c r="AC99" s="82" t="n"/>
      <c r="AD99" s="82" t="n"/>
      <c r="AE99" s="82" t="n"/>
      <c r="AF99" s="8" t="n"/>
      <c r="AG99" s="8" t="n"/>
      <c r="AH99" s="8" t="n"/>
      <c r="AI99" s="8" t="n"/>
      <c r="AK99" s="80" t="n"/>
      <c r="AN99" s="111" t="n"/>
      <c r="AO99" s="6" t="n"/>
      <c r="AP99" s="6" t="n"/>
      <c r="AQ99" s="6" t="n"/>
      <c r="AR99" s="6" t="n"/>
      <c r="AS99" s="6" t="n"/>
    </row>
    <row r="100" ht="196.95" customHeight="1">
      <c r="A100" s="80" t="n"/>
      <c r="B100" s="80" t="n"/>
      <c r="C100" s="80" t="n"/>
      <c r="D100" s="80" t="n"/>
      <c r="E100" s="80" t="n"/>
      <c r="F100" s="8" t="n"/>
      <c r="G100" s="8" t="n"/>
      <c r="H100" s="8" t="n"/>
      <c r="I100" s="8" t="n"/>
      <c r="J100" s="8" t="n"/>
      <c r="K100" s="8" t="n"/>
      <c r="L100" s="8" t="n"/>
      <c r="M100" s="82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0" t="n"/>
      <c r="AA100" s="8" t="n"/>
      <c r="AB100" s="82" t="n"/>
      <c r="AC100" s="82" t="n"/>
      <c r="AD100" s="82" t="n"/>
      <c r="AE100" s="82" t="n"/>
      <c r="AF100" s="8" t="n"/>
      <c r="AG100" s="8" t="n"/>
      <c r="AH100" s="8" t="n"/>
      <c r="AI100" s="8" t="n"/>
      <c r="AK100" s="80" t="n"/>
      <c r="AN100" s="111" t="n"/>
      <c r="AO100" s="6" t="n"/>
      <c r="AP100" s="6" t="n"/>
      <c r="AQ100" s="6" t="n"/>
      <c r="AR100" s="6" t="n"/>
      <c r="AS100" s="6" t="n"/>
    </row>
    <row r="101" ht="196.95" customHeight="1">
      <c r="A101" s="80" t="n"/>
      <c r="B101" s="80" t="n"/>
      <c r="C101" s="80" t="n"/>
      <c r="D101" s="80" t="n"/>
      <c r="E101" s="80" t="n"/>
      <c r="F101" s="8" t="n"/>
      <c r="G101" s="8" t="n"/>
      <c r="H101" s="8" t="n"/>
      <c r="I101" s="8" t="n"/>
      <c r="J101" s="8" t="n"/>
      <c r="K101" s="8" t="n"/>
      <c r="L101" s="8" t="n"/>
      <c r="M101" s="82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0" t="n"/>
      <c r="AA101" s="8" t="n"/>
      <c r="AB101" s="82" t="n"/>
      <c r="AC101" s="82" t="n"/>
      <c r="AD101" s="82" t="n"/>
      <c r="AE101" s="82" t="n"/>
      <c r="AF101" s="8" t="n"/>
      <c r="AG101" s="8" t="n"/>
      <c r="AH101" s="8" t="n"/>
      <c r="AI101" s="8" t="n"/>
      <c r="AK101" s="80" t="n"/>
      <c r="AN101" s="111" t="n"/>
      <c r="AO101" s="6" t="n"/>
      <c r="AP101" s="6" t="n"/>
      <c r="AQ101" s="6" t="n"/>
      <c r="AR101" s="6" t="n"/>
      <c r="AS101" s="6" t="n"/>
    </row>
    <row r="102" ht="196.95" customHeight="1">
      <c r="A102" s="80" t="n"/>
      <c r="B102" s="80" t="n"/>
      <c r="C102" s="80" t="n"/>
      <c r="D102" s="80" t="n"/>
      <c r="E102" s="80" t="n"/>
      <c r="F102" s="8" t="n"/>
      <c r="G102" s="8" t="n"/>
      <c r="H102" s="8" t="n"/>
      <c r="I102" s="8" t="n"/>
      <c r="J102" s="8" t="n"/>
      <c r="K102" s="8" t="n"/>
      <c r="L102" s="8" t="n"/>
      <c r="M102" s="82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0" t="n"/>
      <c r="AA102" s="8" t="n"/>
      <c r="AB102" s="82" t="n"/>
      <c r="AC102" s="82" t="n"/>
      <c r="AD102" s="82" t="n"/>
      <c r="AE102" s="82" t="n"/>
      <c r="AF102" s="8" t="n"/>
      <c r="AG102" s="8" t="n"/>
      <c r="AH102" s="8" t="n"/>
      <c r="AI102" s="8" t="n"/>
      <c r="AK102" s="80" t="n"/>
      <c r="AN102" s="111" t="n"/>
      <c r="AO102" s="6" t="n"/>
      <c r="AP102" s="6" t="n"/>
      <c r="AQ102" s="6" t="n"/>
      <c r="AR102" s="6" t="n"/>
      <c r="AS102" s="6" t="n"/>
    </row>
    <row r="103" ht="196.95" customHeight="1">
      <c r="A103" s="80" t="n"/>
      <c r="B103" s="80" t="n"/>
      <c r="C103" s="80" t="n"/>
      <c r="D103" s="80" t="n"/>
      <c r="E103" s="80" t="n"/>
      <c r="F103" s="8" t="n"/>
      <c r="G103" s="8" t="n"/>
      <c r="H103" s="8" t="n"/>
      <c r="I103" s="8" t="n"/>
      <c r="J103" s="8" t="n"/>
      <c r="K103" s="8" t="n"/>
      <c r="L103" s="8" t="n"/>
      <c r="M103" s="82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0" t="n"/>
      <c r="AA103" s="8" t="n"/>
      <c r="AB103" s="82" t="n"/>
      <c r="AC103" s="82" t="n"/>
      <c r="AD103" s="82" t="n"/>
      <c r="AE103" s="82" t="n"/>
      <c r="AF103" s="8" t="n"/>
      <c r="AG103" s="8" t="n"/>
      <c r="AH103" s="8" t="n"/>
      <c r="AI103" s="8" t="n"/>
      <c r="AK103" s="80" t="n"/>
      <c r="AN103" s="111" t="n"/>
      <c r="AO103" s="6" t="n"/>
      <c r="AP103" s="6" t="n"/>
      <c r="AQ103" s="6" t="n"/>
      <c r="AR103" s="6" t="n"/>
      <c r="AS103" s="6" t="n"/>
    </row>
    <row r="104" ht="196.95" customHeight="1">
      <c r="A104" s="80" t="n"/>
      <c r="B104" s="80" t="n"/>
      <c r="C104" s="80" t="n"/>
      <c r="D104" s="80" t="n"/>
      <c r="E104" s="80" t="n"/>
      <c r="F104" s="8" t="n"/>
      <c r="G104" s="8" t="n"/>
      <c r="H104" s="8" t="n"/>
      <c r="I104" s="8" t="n"/>
      <c r="J104" s="8" t="n"/>
      <c r="K104" s="8" t="n"/>
      <c r="L104" s="8" t="n"/>
      <c r="M104" s="82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0" t="n"/>
      <c r="AA104" s="8" t="n"/>
      <c r="AB104" s="82" t="n"/>
      <c r="AC104" s="82" t="n"/>
      <c r="AD104" s="82" t="n"/>
      <c r="AE104" s="82" t="n"/>
      <c r="AF104" s="8" t="n"/>
      <c r="AG104" s="8" t="n"/>
      <c r="AH104" s="8" t="n"/>
      <c r="AI104" s="8" t="n"/>
      <c r="AK104" s="80" t="n"/>
      <c r="AN104" s="111" t="n"/>
      <c r="AO104" s="6" t="n"/>
      <c r="AP104" s="6" t="n"/>
      <c r="AQ104" s="6" t="n"/>
      <c r="AR104" s="6" t="n"/>
      <c r="AS104" s="6" t="n"/>
    </row>
    <row r="105" ht="196.95" customHeight="1">
      <c r="A105" s="80" t="n"/>
      <c r="B105" s="80" t="n"/>
      <c r="C105" s="80" t="n"/>
      <c r="D105" s="80" t="n"/>
      <c r="E105" s="80" t="n"/>
      <c r="F105" s="8" t="n"/>
      <c r="G105" s="8" t="n"/>
      <c r="H105" s="8" t="n"/>
      <c r="I105" s="8" t="n"/>
      <c r="J105" s="8" t="n"/>
      <c r="K105" s="8" t="n"/>
      <c r="L105" s="8" t="n"/>
      <c r="M105" s="82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0" t="n"/>
      <c r="AA105" s="8" t="n"/>
      <c r="AB105" s="82" t="n"/>
      <c r="AC105" s="82" t="n"/>
      <c r="AD105" s="82" t="n"/>
      <c r="AE105" s="82" t="n"/>
      <c r="AF105" s="8" t="n"/>
      <c r="AG105" s="8" t="n"/>
      <c r="AH105" s="8" t="n"/>
      <c r="AI105" s="8" t="n"/>
      <c r="AK105" s="80" t="n"/>
      <c r="AN105" s="111" t="n"/>
      <c r="AO105" s="6" t="n"/>
      <c r="AP105" s="6" t="n"/>
      <c r="AQ105" s="6" t="n"/>
      <c r="AR105" s="6" t="n"/>
      <c r="AS105" s="6" t="n"/>
    </row>
    <row r="106" ht="196.95" customHeight="1">
      <c r="A106" s="80" t="n"/>
      <c r="B106" s="80" t="n"/>
      <c r="C106" s="80" t="n"/>
      <c r="D106" s="80" t="n"/>
      <c r="E106" s="80" t="n"/>
      <c r="F106" s="8" t="n"/>
      <c r="G106" s="8" t="n"/>
      <c r="H106" s="8" t="n"/>
      <c r="I106" s="8" t="n"/>
      <c r="J106" s="8" t="n"/>
      <c r="K106" s="8" t="n"/>
      <c r="L106" s="8" t="n"/>
      <c r="M106" s="82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0" t="n"/>
      <c r="AA106" s="8" t="n"/>
      <c r="AB106" s="82" t="n"/>
      <c r="AC106" s="82" t="n"/>
      <c r="AD106" s="82" t="n"/>
      <c r="AE106" s="82" t="n"/>
      <c r="AF106" s="8" t="n"/>
      <c r="AG106" s="8" t="n"/>
      <c r="AH106" s="8" t="n"/>
      <c r="AI106" s="8" t="n"/>
      <c r="AK106" s="80" t="n"/>
      <c r="AN106" s="111" t="n"/>
      <c r="AO106" s="6" t="n"/>
      <c r="AP106" s="6" t="n"/>
      <c r="AQ106" s="6" t="n"/>
      <c r="AR106" s="6" t="n"/>
      <c r="AS106" s="6" t="n"/>
    </row>
    <row r="107" ht="196.95" customHeight="1">
      <c r="A107" s="80" t="n"/>
      <c r="B107" s="80" t="n"/>
      <c r="C107" s="80" t="n"/>
      <c r="D107" s="80" t="n"/>
      <c r="E107" s="80" t="n"/>
      <c r="F107" s="8" t="n"/>
      <c r="G107" s="8" t="n"/>
      <c r="H107" s="8" t="n"/>
      <c r="I107" s="8" t="n"/>
      <c r="J107" s="8" t="n"/>
      <c r="K107" s="8" t="n"/>
      <c r="L107" s="8" t="n"/>
      <c r="M107" s="82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0" t="n"/>
      <c r="AA107" s="8" t="n"/>
      <c r="AB107" s="82" t="n"/>
      <c r="AC107" s="82" t="n"/>
      <c r="AD107" s="82" t="n"/>
      <c r="AE107" s="82" t="n"/>
      <c r="AF107" s="8" t="n"/>
      <c r="AG107" s="8" t="n"/>
      <c r="AH107" s="8" t="n"/>
      <c r="AI107" s="8" t="n"/>
      <c r="AK107" s="80" t="n"/>
      <c r="AN107" s="111" t="n"/>
      <c r="AO107" s="6" t="n"/>
      <c r="AP107" s="6" t="n"/>
      <c r="AQ107" s="6" t="n"/>
      <c r="AR107" s="6" t="n"/>
      <c r="AS107" s="6" t="n"/>
    </row>
    <row r="108" ht="196.95" customHeight="1">
      <c r="A108" s="80" t="n"/>
      <c r="B108" s="80" t="n"/>
      <c r="C108" s="80" t="n"/>
      <c r="D108" s="80" t="n"/>
      <c r="E108" s="80" t="n"/>
      <c r="F108" s="8" t="n"/>
      <c r="G108" s="8" t="n"/>
      <c r="H108" s="8" t="n"/>
      <c r="I108" s="8" t="n"/>
      <c r="J108" s="8" t="n"/>
      <c r="K108" s="8" t="n"/>
      <c r="L108" s="8" t="n"/>
      <c r="M108" s="82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0" t="n"/>
      <c r="AA108" s="8" t="n"/>
      <c r="AB108" s="82" t="n"/>
      <c r="AC108" s="82" t="n"/>
      <c r="AD108" s="82" t="n"/>
      <c r="AE108" s="82" t="n"/>
      <c r="AF108" s="8" t="n"/>
      <c r="AG108" s="8" t="n"/>
      <c r="AH108" s="8" t="n"/>
      <c r="AI108" s="8" t="n"/>
      <c r="AK108" s="80" t="n"/>
      <c r="AN108" s="111" t="n"/>
      <c r="AO108" s="6" t="n"/>
      <c r="AP108" s="6" t="n"/>
      <c r="AQ108" s="6" t="n"/>
      <c r="AR108" s="6" t="n"/>
      <c r="AS108" s="6" t="n"/>
    </row>
    <row r="109" ht="196.95" customHeight="1">
      <c r="A109" s="80" t="n"/>
      <c r="B109" s="80" t="n"/>
      <c r="C109" s="80" t="n"/>
      <c r="D109" s="80" t="n"/>
      <c r="E109" s="80" t="n"/>
      <c r="F109" s="8" t="n"/>
      <c r="G109" s="8" t="n"/>
      <c r="H109" s="8" t="n"/>
      <c r="I109" s="8" t="n"/>
      <c r="J109" s="8" t="n"/>
      <c r="K109" s="8" t="n"/>
      <c r="L109" s="8" t="n"/>
      <c r="M109" s="82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0" t="n"/>
      <c r="AA109" s="8" t="n"/>
      <c r="AB109" s="82" t="n"/>
      <c r="AC109" s="82" t="n"/>
      <c r="AD109" s="82" t="n"/>
      <c r="AE109" s="82" t="n"/>
      <c r="AF109" s="8" t="n"/>
      <c r="AG109" s="8" t="n"/>
      <c r="AH109" s="8" t="n"/>
      <c r="AI109" s="8" t="n"/>
      <c r="AK109" s="80" t="n"/>
      <c r="AN109" s="111" t="n"/>
      <c r="AO109" s="6" t="n"/>
      <c r="AP109" s="6" t="n"/>
      <c r="AQ109" s="6" t="n"/>
      <c r="AR109" s="6" t="n"/>
      <c r="AS109" s="6" t="n"/>
    </row>
    <row r="110" ht="196.95" customHeight="1">
      <c r="A110" s="80" t="n"/>
      <c r="B110" s="80" t="n"/>
      <c r="C110" s="80" t="n"/>
      <c r="D110" s="80" t="n"/>
      <c r="E110" s="80" t="n"/>
      <c r="F110" s="8" t="n"/>
      <c r="G110" s="8" t="n"/>
      <c r="H110" s="8" t="n"/>
      <c r="I110" s="8" t="n"/>
      <c r="J110" s="8" t="n"/>
      <c r="K110" s="8" t="n"/>
      <c r="L110" s="8" t="n"/>
      <c r="M110" s="82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0" t="n"/>
      <c r="AA110" s="8" t="n"/>
      <c r="AB110" s="82" t="n"/>
      <c r="AC110" s="82" t="n"/>
      <c r="AD110" s="82" t="n"/>
      <c r="AE110" s="82" t="n"/>
      <c r="AF110" s="8" t="n"/>
      <c r="AG110" s="8" t="n"/>
      <c r="AH110" s="8" t="n"/>
      <c r="AI110" s="8" t="n"/>
      <c r="AK110" s="80" t="n"/>
      <c r="AN110" s="111" t="n"/>
      <c r="AO110" s="6" t="n"/>
      <c r="AP110" s="6" t="n"/>
      <c r="AQ110" s="6" t="n"/>
      <c r="AR110" s="6" t="n"/>
      <c r="AS110" s="6" t="n"/>
    </row>
    <row r="111" ht="196.95" customHeight="1">
      <c r="A111" s="80" t="n"/>
      <c r="B111" s="80" t="n"/>
      <c r="C111" s="80" t="n"/>
      <c r="D111" s="80" t="n"/>
      <c r="E111" s="80" t="n"/>
      <c r="F111" s="8" t="n"/>
      <c r="G111" s="8" t="n"/>
      <c r="H111" s="8" t="n"/>
      <c r="I111" s="8" t="n"/>
      <c r="J111" s="8" t="n"/>
      <c r="K111" s="8" t="n"/>
      <c r="L111" s="8" t="n"/>
      <c r="M111" s="82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0" t="n"/>
      <c r="AA111" s="8" t="n"/>
      <c r="AB111" s="82" t="n"/>
      <c r="AC111" s="82" t="n"/>
      <c r="AD111" s="82" t="n"/>
      <c r="AE111" s="82" t="n"/>
      <c r="AF111" s="8" t="n"/>
      <c r="AG111" s="8" t="n"/>
      <c r="AH111" s="8" t="n"/>
      <c r="AI111" s="8" t="n"/>
      <c r="AK111" s="80" t="n"/>
      <c r="AN111" s="111" t="n"/>
      <c r="AO111" s="6" t="n"/>
      <c r="AP111" s="6" t="n"/>
      <c r="AQ111" s="6" t="n"/>
      <c r="AR111" s="6" t="n"/>
      <c r="AS111" s="6" t="n"/>
    </row>
    <row r="112" ht="196.95" customHeight="1">
      <c r="A112" s="80" t="n"/>
      <c r="B112" s="80" t="n"/>
      <c r="C112" s="80" t="n"/>
      <c r="D112" s="80" t="n"/>
      <c r="E112" s="80" t="n"/>
      <c r="F112" s="8" t="n"/>
      <c r="G112" s="8" t="n"/>
      <c r="H112" s="8" t="n"/>
      <c r="I112" s="8" t="n"/>
      <c r="J112" s="8" t="n"/>
      <c r="K112" s="8" t="n"/>
      <c r="L112" s="8" t="n"/>
      <c r="M112" s="82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0" t="n"/>
      <c r="AA112" s="8" t="n"/>
      <c r="AB112" s="82" t="n"/>
      <c r="AC112" s="82" t="n"/>
      <c r="AD112" s="82" t="n"/>
      <c r="AE112" s="82" t="n"/>
      <c r="AF112" s="8" t="n"/>
      <c r="AG112" s="8" t="n"/>
      <c r="AH112" s="8" t="n"/>
      <c r="AI112" s="8" t="n"/>
      <c r="AK112" s="80" t="n"/>
      <c r="AN112" s="111" t="n"/>
      <c r="AO112" s="6" t="n"/>
      <c r="AP112" s="6" t="n"/>
      <c r="AQ112" s="6" t="n"/>
      <c r="AR112" s="6" t="n"/>
      <c r="AS112" s="6" t="n"/>
    </row>
    <row r="113" ht="196.95" customHeight="1">
      <c r="A113" s="80" t="n"/>
      <c r="B113" s="80" t="n"/>
      <c r="C113" s="80" t="n"/>
      <c r="D113" s="80" t="n"/>
      <c r="E113" s="80" t="n"/>
      <c r="F113" s="8" t="n"/>
      <c r="G113" s="8" t="n"/>
      <c r="H113" s="8" t="n"/>
      <c r="I113" s="8" t="n"/>
      <c r="J113" s="8" t="n"/>
      <c r="K113" s="8" t="n"/>
      <c r="L113" s="8" t="n"/>
      <c r="M113" s="82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0" t="n"/>
      <c r="AA113" s="8" t="n"/>
      <c r="AB113" s="82" t="n"/>
      <c r="AC113" s="82" t="n"/>
      <c r="AD113" s="82" t="n"/>
      <c r="AE113" s="82" t="n"/>
      <c r="AF113" s="8" t="n"/>
      <c r="AG113" s="8" t="n"/>
      <c r="AH113" s="8" t="n"/>
      <c r="AI113" s="8" t="n"/>
      <c r="AK113" s="80" t="n"/>
      <c r="AN113" s="111" t="n"/>
      <c r="AO113" s="6" t="n"/>
      <c r="AP113" s="6" t="n"/>
      <c r="AQ113" s="6" t="n"/>
      <c r="AR113" s="6" t="n"/>
      <c r="AS113" s="6" t="n"/>
    </row>
    <row r="114" ht="196.95" customHeight="1">
      <c r="A114" s="80" t="n"/>
      <c r="B114" s="80" t="n"/>
      <c r="C114" s="80" t="n"/>
      <c r="D114" s="80" t="n"/>
      <c r="E114" s="80" t="n"/>
      <c r="F114" s="8" t="n"/>
      <c r="G114" s="8" t="n"/>
      <c r="H114" s="8" t="n"/>
      <c r="I114" s="8" t="n"/>
      <c r="J114" s="8" t="n"/>
      <c r="K114" s="8" t="n"/>
      <c r="L114" s="8" t="n"/>
      <c r="M114" s="82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0" t="n"/>
      <c r="AA114" s="8" t="n"/>
      <c r="AB114" s="82" t="n"/>
      <c r="AC114" s="82" t="n"/>
      <c r="AD114" s="82" t="n"/>
      <c r="AE114" s="82" t="n"/>
      <c r="AF114" s="8" t="n"/>
      <c r="AG114" s="8" t="n"/>
      <c r="AH114" s="8" t="n"/>
      <c r="AI114" s="8" t="n"/>
      <c r="AK114" s="80" t="n"/>
      <c r="AN114" s="111" t="n"/>
      <c r="AO114" s="6" t="n"/>
      <c r="AP114" s="6" t="n"/>
      <c r="AQ114" s="6" t="n"/>
      <c r="AR114" s="6" t="n"/>
      <c r="AS114" s="6" t="n"/>
    </row>
    <row r="115" ht="196.95" customHeight="1">
      <c r="A115" s="80" t="n"/>
      <c r="B115" s="80" t="n"/>
      <c r="C115" s="80" t="n"/>
      <c r="D115" s="80" t="n"/>
      <c r="E115" s="80" t="n"/>
      <c r="F115" s="8" t="n"/>
      <c r="G115" s="8" t="n"/>
      <c r="H115" s="8" t="n"/>
      <c r="I115" s="8" t="n"/>
      <c r="J115" s="8" t="n"/>
      <c r="K115" s="8" t="n"/>
      <c r="L115" s="8" t="n"/>
      <c r="M115" s="82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0" t="n"/>
      <c r="AA115" s="8" t="n"/>
      <c r="AB115" s="82" t="n"/>
      <c r="AC115" s="82" t="n"/>
      <c r="AD115" s="82" t="n"/>
      <c r="AE115" s="82" t="n"/>
      <c r="AF115" s="8" t="n"/>
      <c r="AG115" s="8" t="n"/>
      <c r="AH115" s="8" t="n"/>
      <c r="AI115" s="8" t="n"/>
      <c r="AK115" s="80" t="n"/>
      <c r="AN115" s="111" t="n"/>
      <c r="AO115" s="6" t="n"/>
      <c r="AP115" s="6" t="n"/>
      <c r="AQ115" s="6" t="n"/>
      <c r="AR115" s="6" t="n"/>
      <c r="AS115" s="6" t="n"/>
    </row>
    <row r="116" ht="196.95" customHeight="1">
      <c r="A116" s="80" t="n"/>
      <c r="B116" s="80" t="n"/>
      <c r="C116" s="80" t="n"/>
      <c r="D116" s="80" t="n"/>
      <c r="E116" s="80" t="n"/>
      <c r="F116" s="8" t="n"/>
      <c r="G116" s="8" t="n"/>
      <c r="H116" s="8" t="n"/>
      <c r="I116" s="8" t="n"/>
      <c r="J116" s="8" t="n"/>
      <c r="K116" s="8" t="n"/>
      <c r="L116" s="8" t="n"/>
      <c r="M116" s="82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0" t="n"/>
      <c r="AA116" s="8" t="n"/>
      <c r="AB116" s="82" t="n"/>
      <c r="AC116" s="82" t="n"/>
      <c r="AD116" s="82" t="n"/>
      <c r="AE116" s="82" t="n"/>
      <c r="AF116" s="8" t="n"/>
      <c r="AG116" s="8" t="n"/>
      <c r="AH116" s="8" t="n"/>
      <c r="AI116" s="8" t="n"/>
      <c r="AK116" s="80" t="n"/>
      <c r="AN116" s="111" t="n"/>
      <c r="AO116" s="6" t="n"/>
      <c r="AP116" s="6" t="n"/>
      <c r="AQ116" s="6" t="n"/>
      <c r="AR116" s="6" t="n"/>
      <c r="AS116" s="6" t="n"/>
    </row>
    <row r="117" ht="196.95" customHeight="1">
      <c r="A117" s="80" t="n"/>
      <c r="B117" s="80" t="n"/>
      <c r="C117" s="80" t="n"/>
      <c r="D117" s="80" t="n"/>
      <c r="E117" s="80" t="n"/>
      <c r="F117" s="8" t="n"/>
      <c r="G117" s="8" t="n"/>
      <c r="H117" s="8" t="n"/>
      <c r="I117" s="8" t="n"/>
      <c r="J117" s="8" t="n"/>
      <c r="K117" s="8" t="n"/>
      <c r="L117" s="8" t="n"/>
      <c r="M117" s="82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0" t="n"/>
      <c r="AA117" s="8" t="n"/>
      <c r="AB117" s="82" t="n"/>
      <c r="AC117" s="82" t="n"/>
      <c r="AD117" s="82" t="n"/>
      <c r="AE117" s="82" t="n"/>
      <c r="AF117" s="8" t="n"/>
      <c r="AG117" s="8" t="n"/>
      <c r="AH117" s="8" t="n"/>
      <c r="AI117" s="8" t="n"/>
      <c r="AK117" s="80" t="n"/>
      <c r="AN117" s="111" t="n"/>
      <c r="AO117" s="6" t="n"/>
      <c r="AP117" s="6" t="n"/>
      <c r="AQ117" s="6" t="n"/>
      <c r="AR117" s="6" t="n"/>
      <c r="AS117" s="6" t="n"/>
    </row>
    <row r="118" ht="196.95" customHeight="1">
      <c r="A118" s="80" t="n"/>
      <c r="B118" s="80" t="n"/>
      <c r="C118" s="80" t="n"/>
      <c r="D118" s="80" t="n"/>
      <c r="E118" s="80" t="n"/>
      <c r="F118" s="8" t="n"/>
      <c r="G118" s="8" t="n"/>
      <c r="H118" s="8" t="n"/>
      <c r="I118" s="8" t="n"/>
      <c r="J118" s="8" t="n"/>
      <c r="K118" s="8" t="n"/>
      <c r="L118" s="8" t="n"/>
      <c r="M118" s="82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0" t="n"/>
      <c r="AA118" s="8" t="n"/>
      <c r="AB118" s="82" t="n"/>
      <c r="AC118" s="82" t="n"/>
      <c r="AD118" s="82" t="n"/>
      <c r="AE118" s="82" t="n"/>
      <c r="AF118" s="8" t="n"/>
      <c r="AG118" s="8" t="n"/>
      <c r="AH118" s="8" t="n"/>
      <c r="AI118" s="8" t="n"/>
      <c r="AK118" s="80" t="n"/>
      <c r="AN118" s="111" t="n"/>
      <c r="AO118" s="6" t="n"/>
      <c r="AP118" s="6" t="n"/>
      <c r="AQ118" s="6" t="n"/>
      <c r="AR118" s="6" t="n"/>
      <c r="AS118" s="6" t="n"/>
    </row>
    <row r="119" ht="196.95" customHeight="1">
      <c r="A119" s="113" t="n"/>
      <c r="B119" s="113" t="n"/>
      <c r="C119" s="113" t="n"/>
      <c r="D119" s="113" t="n"/>
      <c r="E119" s="113" t="n"/>
      <c r="F119" s="114" t="n"/>
      <c r="G119" s="114" t="n"/>
      <c r="H119" s="114" t="n"/>
      <c r="I119" s="114" t="n"/>
      <c r="J119" s="114" t="n"/>
      <c r="K119" s="114" t="n"/>
      <c r="L119" s="114" t="n"/>
      <c r="M119" s="115" t="n"/>
      <c r="N119" s="114" t="n"/>
      <c r="O119" s="114" t="n"/>
      <c r="P119" s="114" t="n"/>
      <c r="Q119" s="114" t="n"/>
      <c r="R119" s="114" t="n"/>
      <c r="S119" s="114" t="n"/>
      <c r="T119" s="114" t="n"/>
      <c r="U119" s="114" t="n"/>
      <c r="V119" s="114" t="n"/>
      <c r="W119" s="114" t="n"/>
      <c r="X119" s="114" t="n"/>
      <c r="Y119" s="114" t="n"/>
      <c r="Z119" s="113" t="n"/>
      <c r="AA119" s="114" t="n"/>
      <c r="AB119" s="115" t="n"/>
      <c r="AC119" s="115" t="n"/>
      <c r="AD119" s="115" t="n"/>
      <c r="AE119" s="115" t="n"/>
      <c r="AF119" s="114" t="n"/>
      <c r="AG119" s="114" t="n"/>
      <c r="AH119" s="114" t="n"/>
      <c r="AI119" s="114" t="n"/>
      <c r="AJ119" s="116" t="n"/>
      <c r="AK119" s="113" t="n"/>
      <c r="AL119" s="117" t="n"/>
      <c r="AM119" s="117" t="n"/>
      <c r="AN119" s="118" t="n"/>
      <c r="AO119" s="119" t="n"/>
      <c r="AP119" s="119" t="n"/>
      <c r="AQ119" s="119" t="n"/>
      <c r="AR119" s="119" t="n"/>
      <c r="AS119" s="119" t="n"/>
    </row>
    <row r="120" ht="196.95" customHeight="1">
      <c r="A120" s="80" t="n"/>
      <c r="B120" s="80" t="n"/>
      <c r="C120" s="80" t="n"/>
      <c r="D120" s="80" t="n"/>
      <c r="E120" s="80" t="n"/>
      <c r="F120" s="8" t="n"/>
      <c r="G120" s="8" t="n"/>
      <c r="H120" s="8" t="n"/>
      <c r="I120" s="8" t="n"/>
      <c r="J120" s="8" t="n"/>
      <c r="K120" s="8" t="n"/>
      <c r="L120" s="8" t="n"/>
      <c r="M120" s="82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0" t="n"/>
      <c r="AA120" s="8" t="n"/>
      <c r="AB120" s="82" t="n"/>
      <c r="AC120" s="82" t="n"/>
      <c r="AD120" s="82" t="n"/>
      <c r="AE120" s="82" t="n"/>
      <c r="AF120" s="8" t="n"/>
      <c r="AG120" s="8" t="n"/>
      <c r="AH120" s="8" t="n"/>
      <c r="AI120" s="8" t="n"/>
      <c r="AK120" s="80" t="n"/>
      <c r="AN120" s="111" t="n"/>
      <c r="AO120" s="6" t="n"/>
      <c r="AP120" s="6" t="n"/>
      <c r="AQ120" s="6" t="n"/>
      <c r="AR120" s="6" t="n"/>
      <c r="AS120" s="6" t="n"/>
    </row>
    <row r="121" ht="196.95" customHeight="1">
      <c r="A121" s="80" t="n"/>
      <c r="B121" s="80" t="n"/>
      <c r="C121" s="80" t="n"/>
      <c r="D121" s="80" t="n"/>
      <c r="E121" s="80" t="n"/>
      <c r="F121" s="8" t="n"/>
      <c r="G121" s="8" t="n"/>
      <c r="H121" s="8" t="n"/>
      <c r="I121" s="8" t="n"/>
      <c r="J121" s="8" t="n"/>
      <c r="K121" s="8" t="n"/>
      <c r="L121" s="8" t="n"/>
      <c r="M121" s="82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0" t="n"/>
      <c r="AA121" s="8" t="n"/>
      <c r="AB121" s="82" t="n"/>
      <c r="AC121" s="82" t="n"/>
      <c r="AD121" s="82" t="n"/>
      <c r="AE121" s="82" t="n"/>
      <c r="AF121" s="8" t="n"/>
      <c r="AG121" s="8" t="n"/>
      <c r="AH121" s="8" t="n"/>
      <c r="AI121" s="8" t="n"/>
      <c r="AK121" s="80" t="n"/>
      <c r="AN121" s="111" t="n"/>
      <c r="AO121" s="6" t="n"/>
      <c r="AP121" s="6" t="n"/>
      <c r="AQ121" s="6" t="n"/>
      <c r="AR121" s="6" t="n"/>
      <c r="AS121" s="6" t="n"/>
    </row>
    <row r="122" ht="196.95" customHeight="1">
      <c r="A122" s="80" t="n"/>
      <c r="B122" s="80" t="n"/>
      <c r="C122" s="80" t="n"/>
      <c r="D122" s="80" t="n"/>
      <c r="E122" s="80" t="n"/>
      <c r="F122" s="8" t="n"/>
      <c r="G122" s="8" t="n"/>
      <c r="H122" s="8" t="n"/>
      <c r="I122" s="8" t="n"/>
      <c r="J122" s="8" t="n"/>
      <c r="K122" s="8" t="n"/>
      <c r="L122" s="8" t="n"/>
      <c r="M122" s="82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0" t="n"/>
      <c r="AA122" s="8" t="n"/>
      <c r="AB122" s="82" t="n"/>
      <c r="AC122" s="82" t="n"/>
      <c r="AD122" s="82" t="n"/>
      <c r="AE122" s="82" t="n"/>
      <c r="AF122" s="8" t="n"/>
      <c r="AG122" s="8" t="n"/>
      <c r="AH122" s="8" t="n"/>
      <c r="AI122" s="8" t="n"/>
      <c r="AK122" s="80" t="n"/>
      <c r="AN122" s="111" t="n"/>
      <c r="AO122" s="6" t="n"/>
      <c r="AP122" s="6" t="n"/>
      <c r="AQ122" s="6" t="n"/>
      <c r="AR122" s="6" t="n"/>
      <c r="AS122" s="6" t="n"/>
    </row>
    <row r="123" ht="196.95" customHeight="1">
      <c r="A123" s="80" t="n"/>
      <c r="B123" s="80" t="n"/>
      <c r="C123" s="80" t="n"/>
      <c r="D123" s="80" t="n"/>
      <c r="E123" s="80" t="n"/>
      <c r="F123" s="8" t="n"/>
      <c r="G123" s="8" t="n"/>
      <c r="H123" s="8" t="n"/>
      <c r="I123" s="8" t="n"/>
      <c r="J123" s="8" t="n"/>
      <c r="K123" s="8" t="n"/>
      <c r="L123" s="8" t="n"/>
      <c r="M123" s="82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0" t="n"/>
      <c r="AA123" s="8" t="n"/>
      <c r="AB123" s="82" t="n"/>
      <c r="AC123" s="82" t="n"/>
      <c r="AD123" s="82" t="n"/>
      <c r="AE123" s="82" t="n"/>
      <c r="AF123" s="8" t="n"/>
      <c r="AG123" s="8" t="n"/>
      <c r="AH123" s="8" t="n"/>
      <c r="AI123" s="8" t="n"/>
      <c r="AK123" s="80" t="n"/>
      <c r="AN123" s="111" t="n"/>
      <c r="AO123" s="6" t="n"/>
      <c r="AP123" s="6" t="n"/>
      <c r="AQ123" s="6" t="n"/>
      <c r="AR123" s="6" t="n"/>
      <c r="AS123" s="6" t="n"/>
    </row>
    <row r="124" ht="196.95" customHeight="1">
      <c r="A124" s="80" t="n"/>
      <c r="B124" s="80" t="n"/>
      <c r="C124" s="80" t="n"/>
      <c r="D124" s="80" t="n"/>
      <c r="E124" s="80" t="n"/>
      <c r="F124" s="8" t="n"/>
      <c r="G124" s="8" t="n"/>
      <c r="H124" s="8" t="n"/>
      <c r="I124" s="8" t="n"/>
      <c r="J124" s="8" t="n"/>
      <c r="K124" s="8" t="n"/>
      <c r="L124" s="8" t="n"/>
      <c r="M124" s="82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0" t="n"/>
      <c r="AA124" s="8" t="n"/>
      <c r="AB124" s="82" t="n"/>
      <c r="AC124" s="82" t="n"/>
      <c r="AD124" s="82" t="n"/>
      <c r="AE124" s="82" t="n"/>
      <c r="AF124" s="8" t="n"/>
      <c r="AG124" s="8" t="n"/>
      <c r="AH124" s="8" t="n"/>
      <c r="AI124" s="8" t="n"/>
      <c r="AK124" s="80" t="n"/>
      <c r="AN124" s="111" t="n"/>
      <c r="AO124" s="6" t="n"/>
      <c r="AP124" s="6" t="n"/>
      <c r="AQ124" s="6" t="n"/>
      <c r="AR124" s="6" t="n"/>
      <c r="AS124" s="6" t="n"/>
    </row>
    <row r="125" ht="196.95" customHeight="1">
      <c r="A125" s="80" t="n"/>
      <c r="B125" s="80" t="n"/>
      <c r="C125" s="80" t="n"/>
      <c r="D125" s="80" t="n"/>
      <c r="E125" s="80" t="n"/>
      <c r="F125" s="8" t="n"/>
      <c r="G125" s="8" t="n"/>
      <c r="H125" s="8" t="n"/>
      <c r="I125" s="8" t="n"/>
      <c r="J125" s="8" t="n"/>
      <c r="K125" s="8" t="n"/>
      <c r="L125" s="8" t="n"/>
      <c r="M125" s="82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0" t="n"/>
      <c r="AA125" s="8" t="n"/>
      <c r="AB125" s="82" t="n"/>
      <c r="AC125" s="82" t="n"/>
      <c r="AD125" s="82" t="n"/>
      <c r="AE125" s="82" t="n"/>
      <c r="AF125" s="8" t="n"/>
      <c r="AG125" s="8" t="n"/>
      <c r="AH125" s="8" t="n"/>
      <c r="AI125" s="8" t="n"/>
      <c r="AK125" s="80" t="n"/>
      <c r="AN125" s="111" t="n"/>
      <c r="AO125" s="6" t="n"/>
      <c r="AP125" s="6" t="n"/>
      <c r="AQ125" s="6" t="n"/>
      <c r="AR125" s="6" t="n"/>
      <c r="AS125" s="6" t="n"/>
    </row>
    <row r="126" ht="196.95" customHeight="1">
      <c r="A126" s="80" t="n"/>
      <c r="B126" s="80" t="n"/>
      <c r="C126" s="80" t="n"/>
      <c r="D126" s="80" t="n"/>
      <c r="E126" s="80" t="n"/>
      <c r="F126" s="8" t="n"/>
      <c r="G126" s="8" t="n"/>
      <c r="H126" s="8" t="n"/>
      <c r="I126" s="8" t="n"/>
      <c r="J126" s="8" t="n"/>
      <c r="K126" s="8" t="n"/>
      <c r="L126" s="8" t="n"/>
      <c r="M126" s="82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0" t="n"/>
      <c r="AA126" s="8" t="n"/>
      <c r="AB126" s="82" t="n"/>
      <c r="AC126" s="82" t="n"/>
      <c r="AD126" s="82" t="n"/>
      <c r="AE126" s="82" t="n"/>
      <c r="AF126" s="8" t="n"/>
      <c r="AG126" s="8" t="n"/>
      <c r="AH126" s="8" t="n"/>
      <c r="AI126" s="8" t="n"/>
      <c r="AK126" s="80" t="n"/>
      <c r="AN126" s="111" t="n"/>
      <c r="AO126" s="6" t="n"/>
      <c r="AP126" s="6" t="n"/>
      <c r="AQ126" s="6" t="n"/>
      <c r="AR126" s="6" t="n"/>
      <c r="AS126" s="6" t="n"/>
    </row>
    <row r="127" ht="196.95" customHeight="1">
      <c r="A127" s="80" t="n"/>
      <c r="B127" s="80" t="n"/>
      <c r="C127" s="80" t="n"/>
      <c r="D127" s="80" t="n"/>
      <c r="E127" s="80" t="n"/>
      <c r="F127" s="8" t="n"/>
      <c r="G127" s="8" t="n"/>
      <c r="H127" s="8" t="n"/>
      <c r="I127" s="8" t="n"/>
      <c r="J127" s="8" t="n"/>
      <c r="K127" s="8" t="n"/>
      <c r="L127" s="8" t="n"/>
      <c r="M127" s="82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0" t="n"/>
      <c r="AA127" s="8" t="n"/>
      <c r="AB127" s="82" t="n"/>
      <c r="AC127" s="82" t="n"/>
      <c r="AD127" s="82" t="n"/>
      <c r="AE127" s="82" t="n"/>
      <c r="AF127" s="8" t="n"/>
      <c r="AG127" s="8" t="n"/>
      <c r="AH127" s="8" t="n"/>
      <c r="AI127" s="8" t="n"/>
      <c r="AK127" s="80" t="n"/>
      <c r="AN127" s="111" t="n"/>
      <c r="AO127" s="6" t="n"/>
      <c r="AP127" s="6" t="n"/>
      <c r="AQ127" s="6" t="n"/>
      <c r="AR127" s="6" t="n"/>
      <c r="AS127" s="6" t="n"/>
    </row>
    <row r="128" ht="196.95" customHeight="1">
      <c r="A128" s="80" t="n"/>
      <c r="B128" s="80" t="n"/>
      <c r="C128" s="80" t="n"/>
      <c r="D128" s="80" t="n"/>
      <c r="E128" s="80" t="n"/>
      <c r="F128" s="8" t="n"/>
      <c r="G128" s="8" t="n"/>
      <c r="H128" s="8" t="n"/>
      <c r="I128" s="8" t="n"/>
      <c r="J128" s="8" t="n"/>
      <c r="K128" s="8" t="n"/>
      <c r="L128" s="8" t="n"/>
      <c r="M128" s="82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0" t="n"/>
      <c r="AA128" s="8" t="n"/>
      <c r="AB128" s="82" t="n"/>
      <c r="AC128" s="82" t="n"/>
      <c r="AD128" s="82" t="n"/>
      <c r="AE128" s="82" t="n"/>
      <c r="AF128" s="8" t="n"/>
      <c r="AG128" s="8" t="n"/>
      <c r="AH128" s="8" t="n"/>
      <c r="AI128" s="8" t="n"/>
      <c r="AK128" s="80" t="n"/>
      <c r="AN128" s="111" t="n"/>
      <c r="AO128" s="6" t="n"/>
      <c r="AP128" s="6" t="n"/>
      <c r="AQ128" s="6" t="n"/>
      <c r="AR128" s="6" t="n"/>
      <c r="AS128" s="6" t="n"/>
    </row>
    <row r="129" ht="196.95" customHeight="1">
      <c r="A129" s="80" t="n"/>
      <c r="B129" s="80" t="n"/>
      <c r="C129" s="80" t="n"/>
      <c r="D129" s="80" t="n"/>
      <c r="E129" s="80" t="n"/>
      <c r="F129" s="8" t="n"/>
      <c r="G129" s="8" t="n"/>
      <c r="H129" s="8" t="n"/>
      <c r="I129" s="8" t="n"/>
      <c r="J129" s="8" t="n"/>
      <c r="K129" s="8" t="n"/>
      <c r="L129" s="8" t="n"/>
      <c r="M129" s="82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0" t="n"/>
      <c r="AA129" s="8" t="n"/>
      <c r="AB129" s="82" t="n"/>
      <c r="AC129" s="82" t="n"/>
      <c r="AD129" s="82" t="n"/>
      <c r="AE129" s="82" t="n"/>
      <c r="AF129" s="8" t="n"/>
      <c r="AG129" s="8" t="n"/>
      <c r="AH129" s="8" t="n"/>
      <c r="AI129" s="8" t="n"/>
      <c r="AK129" s="80" t="n"/>
      <c r="AN129" s="111" t="n"/>
      <c r="AO129" s="6" t="n"/>
      <c r="AP129" s="6" t="n"/>
      <c r="AQ129" s="6" t="n"/>
      <c r="AR129" s="6" t="n"/>
      <c r="AS129" s="6" t="n"/>
    </row>
    <row r="130" ht="196.95" customHeight="1">
      <c r="A130" s="80" t="n"/>
      <c r="B130" s="80" t="n"/>
      <c r="C130" s="80" t="n"/>
      <c r="D130" s="80" t="n"/>
      <c r="E130" s="80" t="n"/>
      <c r="F130" s="8" t="n"/>
      <c r="G130" s="8" t="n"/>
      <c r="H130" s="8" t="n"/>
      <c r="I130" s="8" t="n"/>
      <c r="J130" s="8" t="n"/>
      <c r="K130" s="8" t="n"/>
      <c r="L130" s="8" t="n"/>
      <c r="M130" s="82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0" t="n"/>
      <c r="AA130" s="8" t="n"/>
      <c r="AB130" s="82" t="n"/>
      <c r="AC130" s="82" t="n"/>
      <c r="AD130" s="82" t="n"/>
      <c r="AE130" s="82" t="n"/>
      <c r="AF130" s="8" t="n"/>
      <c r="AG130" s="8" t="n"/>
      <c r="AH130" s="8" t="n"/>
      <c r="AI130" s="8" t="n"/>
      <c r="AK130" s="80" t="n"/>
      <c r="AN130" s="111" t="n"/>
      <c r="AO130" s="6" t="n"/>
      <c r="AP130" s="6" t="n"/>
      <c r="AQ130" s="6" t="n"/>
      <c r="AR130" s="6" t="n"/>
      <c r="AS130" s="6" t="n"/>
    </row>
    <row r="131" ht="196.95" customHeight="1">
      <c r="A131" s="80" t="n"/>
      <c r="B131" s="80" t="n"/>
      <c r="C131" s="80" t="n"/>
      <c r="D131" s="80" t="n"/>
      <c r="E131" s="80" t="n"/>
      <c r="F131" s="8" t="n"/>
      <c r="G131" s="8" t="n"/>
      <c r="H131" s="8" t="n"/>
      <c r="I131" s="8" t="n"/>
      <c r="J131" s="8" t="n"/>
      <c r="K131" s="8" t="n"/>
      <c r="L131" s="8" t="n"/>
      <c r="M131" s="82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0" t="n"/>
      <c r="AA131" s="8" t="n"/>
      <c r="AB131" s="82" t="n"/>
      <c r="AC131" s="82" t="n"/>
      <c r="AD131" s="82" t="n"/>
      <c r="AE131" s="82" t="n"/>
      <c r="AF131" s="8" t="n"/>
      <c r="AG131" s="8" t="n"/>
      <c r="AH131" s="8" t="n"/>
      <c r="AI131" s="8" t="n"/>
      <c r="AK131" s="80" t="n"/>
      <c r="AN131" s="111" t="n"/>
      <c r="AO131" s="6" t="n"/>
      <c r="AP131" s="6" t="n"/>
      <c r="AQ131" s="6" t="n"/>
      <c r="AR131" s="6" t="n"/>
      <c r="AS131" s="6" t="n"/>
    </row>
    <row r="132" ht="196.95" customHeight="1">
      <c r="A132" s="80" t="n"/>
      <c r="B132" s="80" t="n"/>
      <c r="C132" s="80" t="n"/>
      <c r="D132" s="80" t="n"/>
      <c r="E132" s="80" t="n"/>
      <c r="F132" s="8" t="n"/>
      <c r="G132" s="8" t="n"/>
      <c r="H132" s="8" t="n"/>
      <c r="I132" s="8" t="n"/>
      <c r="J132" s="8" t="n"/>
      <c r="K132" s="8" t="n"/>
      <c r="L132" s="8" t="n"/>
      <c r="M132" s="82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0" t="n"/>
      <c r="AA132" s="8" t="n"/>
      <c r="AB132" s="82" t="n"/>
      <c r="AC132" s="82" t="n"/>
      <c r="AD132" s="82" t="n"/>
      <c r="AE132" s="82" t="n"/>
      <c r="AF132" s="8" t="n"/>
      <c r="AG132" s="8" t="n"/>
      <c r="AH132" s="8" t="n"/>
      <c r="AI132" s="8" t="n"/>
      <c r="AK132" s="80" t="n"/>
      <c r="AN132" s="111" t="n"/>
      <c r="AO132" s="6" t="n"/>
      <c r="AP132" s="6" t="n"/>
      <c r="AQ132" s="6" t="n"/>
      <c r="AR132" s="6" t="n"/>
      <c r="AS132" s="6" t="n"/>
    </row>
    <row r="133" ht="196.95" customHeight="1">
      <c r="A133" s="80" t="n"/>
      <c r="B133" s="80" t="n"/>
      <c r="C133" s="80" t="n"/>
      <c r="D133" s="80" t="n"/>
      <c r="E133" s="80" t="n"/>
      <c r="F133" s="8" t="n"/>
      <c r="G133" s="8" t="n"/>
      <c r="H133" s="8" t="n"/>
      <c r="I133" s="8" t="n"/>
      <c r="J133" s="8" t="n"/>
      <c r="K133" s="8" t="n"/>
      <c r="L133" s="8" t="n"/>
      <c r="M133" s="82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0" t="n"/>
      <c r="AA133" s="8" t="n"/>
      <c r="AB133" s="82" t="n"/>
      <c r="AC133" s="82" t="n"/>
      <c r="AD133" s="82" t="n"/>
      <c r="AE133" s="82" t="n"/>
      <c r="AF133" s="8" t="n"/>
      <c r="AG133" s="8" t="n"/>
      <c r="AH133" s="8" t="n"/>
      <c r="AI133" s="8" t="n"/>
      <c r="AK133" s="80" t="n"/>
      <c r="AN133" s="111" t="n"/>
      <c r="AO133" s="6" t="n"/>
      <c r="AP133" s="6" t="n"/>
      <c r="AQ133" s="6" t="n"/>
      <c r="AR133" s="6" t="n"/>
      <c r="AS133" s="6" t="n"/>
    </row>
    <row r="134" ht="196.95" customHeight="1">
      <c r="A134" s="80" t="n"/>
      <c r="B134" s="80" t="n"/>
      <c r="C134" s="80" t="n"/>
      <c r="D134" s="80" t="n"/>
      <c r="E134" s="80" t="n"/>
      <c r="F134" s="8" t="n"/>
      <c r="G134" s="8" t="n"/>
      <c r="H134" s="8" t="n"/>
      <c r="I134" s="8" t="n"/>
      <c r="J134" s="8" t="n"/>
      <c r="K134" s="8" t="n"/>
      <c r="L134" s="8" t="n"/>
      <c r="M134" s="82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0" t="n"/>
      <c r="AA134" s="8" t="n"/>
      <c r="AB134" s="82" t="n"/>
      <c r="AC134" s="82" t="n"/>
      <c r="AD134" s="82" t="n"/>
      <c r="AE134" s="82" t="n"/>
      <c r="AF134" s="8" t="n"/>
      <c r="AG134" s="8" t="n"/>
      <c r="AH134" s="8" t="n"/>
      <c r="AI134" s="8" t="n"/>
      <c r="AK134" s="80" t="n"/>
      <c r="AN134" s="111" t="n"/>
      <c r="AO134" s="6" t="n"/>
      <c r="AP134" s="6" t="n"/>
      <c r="AQ134" s="6" t="n"/>
      <c r="AR134" s="6" t="n"/>
      <c r="AS134" s="6" t="n"/>
    </row>
    <row r="135" ht="196.95" customHeight="1">
      <c r="A135" s="80" t="n"/>
      <c r="B135" s="80" t="n"/>
      <c r="C135" s="80" t="n"/>
      <c r="D135" s="80" t="n"/>
      <c r="E135" s="80" t="n"/>
      <c r="F135" s="8" t="n"/>
      <c r="G135" s="8" t="n"/>
      <c r="H135" s="8" t="n"/>
      <c r="I135" s="8" t="n"/>
      <c r="J135" s="8" t="n"/>
      <c r="K135" s="8" t="n"/>
      <c r="L135" s="8" t="n"/>
      <c r="M135" s="82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0" t="n"/>
      <c r="AA135" s="8" t="n"/>
      <c r="AB135" s="82" t="n"/>
      <c r="AC135" s="82" t="n"/>
      <c r="AD135" s="82" t="n"/>
      <c r="AE135" s="82" t="n"/>
      <c r="AF135" s="8" t="n"/>
      <c r="AG135" s="8" t="n"/>
      <c r="AH135" s="8" t="n"/>
      <c r="AI135" s="8" t="n"/>
      <c r="AK135" s="80" t="n"/>
      <c r="AN135" s="111" t="n"/>
      <c r="AO135" s="6" t="n"/>
      <c r="AP135" s="6" t="n"/>
      <c r="AQ135" s="6" t="n"/>
      <c r="AR135" s="6" t="n"/>
      <c r="AS135" s="6" t="n"/>
    </row>
    <row r="136" ht="196.95" customHeight="1">
      <c r="A136" s="80" t="n"/>
      <c r="B136" s="80" t="n"/>
      <c r="C136" s="80" t="n"/>
      <c r="D136" s="80" t="n"/>
      <c r="E136" s="80" t="n"/>
      <c r="F136" s="8" t="n"/>
      <c r="G136" s="8" t="n"/>
      <c r="H136" s="8" t="n"/>
      <c r="I136" s="8" t="n"/>
      <c r="J136" s="8" t="n"/>
      <c r="K136" s="8" t="n"/>
      <c r="L136" s="8" t="n"/>
      <c r="M136" s="82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0" t="n"/>
      <c r="AA136" s="8" t="n"/>
      <c r="AB136" s="82" t="n"/>
      <c r="AC136" s="82" t="n"/>
      <c r="AD136" s="82" t="n"/>
      <c r="AE136" s="82" t="n"/>
      <c r="AF136" s="8" t="n"/>
      <c r="AG136" s="8" t="n"/>
      <c r="AH136" s="8" t="n"/>
      <c r="AI136" s="8" t="n"/>
      <c r="AK136" s="80" t="n"/>
      <c r="AN136" s="111" t="n"/>
      <c r="AO136" s="6" t="n"/>
      <c r="AP136" s="6" t="n"/>
      <c r="AQ136" s="6" t="n"/>
      <c r="AR136" s="6" t="n"/>
      <c r="AS136" s="6" t="n"/>
    </row>
    <row r="137" ht="196.95" customHeight="1">
      <c r="A137" s="80" t="n"/>
      <c r="B137" s="80" t="n"/>
      <c r="C137" s="80" t="n"/>
      <c r="D137" s="80" t="n"/>
      <c r="E137" s="80" t="n"/>
      <c r="F137" s="8" t="n"/>
      <c r="G137" s="8" t="n"/>
      <c r="H137" s="8" t="n"/>
      <c r="I137" s="8" t="n"/>
      <c r="J137" s="8" t="n"/>
      <c r="K137" s="8" t="n"/>
      <c r="L137" s="8" t="n"/>
      <c r="M137" s="82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0" t="n"/>
      <c r="AA137" s="8" t="n"/>
      <c r="AB137" s="82" t="n"/>
      <c r="AC137" s="82" t="n"/>
      <c r="AD137" s="82" t="n"/>
      <c r="AE137" s="82" t="n"/>
      <c r="AF137" s="8" t="n"/>
      <c r="AG137" s="8" t="n"/>
      <c r="AH137" s="8" t="n"/>
      <c r="AI137" s="8" t="n"/>
      <c r="AK137" s="80" t="n"/>
      <c r="AN137" s="111" t="n"/>
      <c r="AO137" s="6" t="n"/>
      <c r="AP137" s="6" t="n"/>
      <c r="AQ137" s="6" t="n"/>
      <c r="AR137" s="6" t="n"/>
      <c r="AS137" s="6" t="n"/>
    </row>
    <row r="138" ht="196.95" customHeight="1">
      <c r="A138" s="80" t="n"/>
      <c r="B138" s="80" t="n"/>
      <c r="C138" s="80" t="n"/>
      <c r="D138" s="80" t="n"/>
      <c r="E138" s="80" t="n"/>
      <c r="F138" s="8" t="n"/>
      <c r="G138" s="8" t="n"/>
      <c r="H138" s="8" t="n"/>
      <c r="I138" s="8" t="n"/>
      <c r="J138" s="8" t="n"/>
      <c r="K138" s="8" t="n"/>
      <c r="L138" s="8" t="n"/>
      <c r="M138" s="82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0" t="n"/>
      <c r="AA138" s="8" t="n"/>
      <c r="AB138" s="82" t="n"/>
      <c r="AC138" s="82" t="n"/>
      <c r="AD138" s="82" t="n"/>
      <c r="AE138" s="82" t="n"/>
      <c r="AF138" s="8" t="n"/>
      <c r="AG138" s="8" t="n"/>
      <c r="AH138" s="8" t="n"/>
      <c r="AI138" s="8" t="n"/>
      <c r="AK138" s="80" t="n"/>
      <c r="AN138" s="111" t="n"/>
      <c r="AO138" s="6" t="n"/>
      <c r="AP138" s="6" t="n"/>
      <c r="AQ138" s="6" t="n"/>
      <c r="AR138" s="6" t="n"/>
      <c r="AS138" s="6" t="n"/>
    </row>
    <row r="139" ht="196.95" customHeight="1">
      <c r="A139" s="80" t="n"/>
      <c r="B139" s="80" t="n"/>
      <c r="C139" s="80" t="n"/>
      <c r="D139" s="80" t="n"/>
      <c r="E139" s="80" t="n"/>
      <c r="F139" s="8" t="n"/>
      <c r="G139" s="8" t="n"/>
      <c r="H139" s="8" t="n"/>
      <c r="I139" s="8" t="n"/>
      <c r="J139" s="8" t="n"/>
      <c r="K139" s="8" t="n"/>
      <c r="L139" s="8" t="n"/>
      <c r="M139" s="82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0" t="n"/>
      <c r="AA139" s="8" t="n"/>
      <c r="AB139" s="82" t="n"/>
      <c r="AC139" s="82" t="n"/>
      <c r="AD139" s="82" t="n"/>
      <c r="AE139" s="82" t="n"/>
      <c r="AF139" s="8" t="n"/>
      <c r="AG139" s="8" t="n"/>
      <c r="AH139" s="8" t="n"/>
      <c r="AI139" s="8" t="n"/>
      <c r="AK139" s="80" t="n"/>
      <c r="AN139" s="111" t="n"/>
      <c r="AO139" s="6" t="n"/>
      <c r="AP139" s="6" t="n"/>
      <c r="AQ139" s="6" t="n"/>
      <c r="AR139" s="6" t="n"/>
      <c r="AS139" s="6" t="n"/>
    </row>
    <row r="140" ht="196.95" customHeight="1">
      <c r="A140" s="80" t="n"/>
      <c r="B140" s="80" t="n"/>
      <c r="C140" s="80" t="n"/>
      <c r="D140" s="80" t="n"/>
      <c r="E140" s="80" t="n"/>
      <c r="F140" s="8" t="n"/>
      <c r="G140" s="8" t="n"/>
      <c r="H140" s="8" t="n"/>
      <c r="I140" s="8" t="n"/>
      <c r="J140" s="8" t="n"/>
      <c r="K140" s="8" t="n"/>
      <c r="L140" s="8" t="n"/>
      <c r="M140" s="82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0" t="n"/>
      <c r="AA140" s="8" t="n"/>
      <c r="AB140" s="82" t="n"/>
      <c r="AC140" s="82" t="n"/>
      <c r="AD140" s="82" t="n"/>
      <c r="AE140" s="82" t="n"/>
      <c r="AF140" s="8" t="n"/>
      <c r="AG140" s="8" t="n"/>
      <c r="AH140" s="8" t="n"/>
      <c r="AI140" s="8" t="n"/>
      <c r="AK140" s="80" t="n"/>
      <c r="AN140" s="111" t="n"/>
      <c r="AO140" s="6" t="n"/>
      <c r="AP140" s="6" t="n"/>
      <c r="AQ140" s="6" t="n"/>
      <c r="AR140" s="6" t="n"/>
      <c r="AS140" s="6" t="n"/>
    </row>
    <row r="141" ht="196.95" customHeight="1">
      <c r="A141" s="80" t="n"/>
      <c r="B141" s="80" t="n"/>
      <c r="C141" s="80" t="n"/>
      <c r="D141" s="80" t="n"/>
      <c r="E141" s="80" t="n"/>
      <c r="F141" s="8" t="n"/>
      <c r="G141" s="8" t="n"/>
      <c r="H141" s="8" t="n"/>
      <c r="I141" s="8" t="n"/>
      <c r="J141" s="8" t="n"/>
      <c r="K141" s="8" t="n"/>
      <c r="L141" s="8" t="n"/>
      <c r="M141" s="82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0" t="n"/>
      <c r="AA141" s="8" t="n"/>
      <c r="AB141" s="82" t="n"/>
      <c r="AC141" s="82" t="n"/>
      <c r="AD141" s="82" t="n"/>
      <c r="AE141" s="82" t="n"/>
      <c r="AF141" s="8" t="n"/>
      <c r="AG141" s="8" t="n"/>
      <c r="AH141" s="8" t="n"/>
      <c r="AI141" s="8" t="n"/>
      <c r="AK141" s="80" t="n"/>
      <c r="AN141" s="111" t="n"/>
      <c r="AO141" s="6" t="n"/>
      <c r="AP141" s="6" t="n"/>
      <c r="AQ141" s="6" t="n"/>
      <c r="AR141" s="6" t="n"/>
      <c r="AS141" s="6" t="n"/>
    </row>
    <row r="142" ht="196.95" customHeight="1">
      <c r="A142" s="80" t="n"/>
      <c r="B142" s="80" t="n"/>
      <c r="C142" s="80" t="n"/>
      <c r="D142" s="80" t="n"/>
      <c r="E142" s="80" t="n"/>
      <c r="F142" s="8" t="n"/>
      <c r="G142" s="8" t="n"/>
      <c r="H142" s="8" t="n"/>
      <c r="I142" s="8" t="n"/>
      <c r="J142" s="8" t="n"/>
      <c r="K142" s="8" t="n"/>
      <c r="L142" s="8" t="n"/>
      <c r="M142" s="82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0" t="n"/>
      <c r="AA142" s="8" t="n"/>
      <c r="AB142" s="82" t="n"/>
      <c r="AC142" s="82" t="n"/>
      <c r="AD142" s="82" t="n"/>
      <c r="AE142" s="82" t="n"/>
      <c r="AF142" s="8" t="n"/>
      <c r="AG142" s="8" t="n"/>
      <c r="AH142" s="8" t="n"/>
      <c r="AI142" s="8" t="n"/>
      <c r="AK142" s="80" t="n"/>
      <c r="AN142" s="111" t="n"/>
      <c r="AO142" s="6" t="n"/>
      <c r="AP142" s="6" t="n"/>
      <c r="AQ142" s="6" t="n"/>
      <c r="AR142" s="6" t="n"/>
      <c r="AS142" s="6" t="n"/>
    </row>
    <row r="143" ht="196.95" customHeight="1">
      <c r="A143" s="80" t="n"/>
      <c r="B143" s="80" t="n"/>
      <c r="C143" s="80" t="n"/>
      <c r="D143" s="80" t="n"/>
      <c r="E143" s="80" t="n"/>
      <c r="F143" s="8" t="n"/>
      <c r="G143" s="8" t="n"/>
      <c r="H143" s="8" t="n"/>
      <c r="I143" s="8" t="n"/>
      <c r="J143" s="8" t="n"/>
      <c r="K143" s="8" t="n"/>
      <c r="L143" s="8" t="n"/>
      <c r="M143" s="82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0" t="n"/>
      <c r="AA143" s="8" t="n"/>
      <c r="AB143" s="82" t="n"/>
      <c r="AC143" s="82" t="n"/>
      <c r="AD143" s="82" t="n"/>
      <c r="AE143" s="82" t="n"/>
      <c r="AF143" s="8" t="n"/>
      <c r="AG143" s="8" t="n"/>
      <c r="AH143" s="8" t="n"/>
      <c r="AI143" s="8" t="n"/>
      <c r="AK143" s="80" t="n"/>
      <c r="AN143" s="111" t="n"/>
      <c r="AO143" s="6" t="n"/>
      <c r="AP143" s="6" t="n"/>
      <c r="AQ143" s="6" t="n"/>
      <c r="AR143" s="6" t="n"/>
      <c r="AS143" s="6" t="n"/>
    </row>
    <row r="144" ht="196.95" customHeight="1">
      <c r="A144" s="80" t="n"/>
      <c r="B144" s="80" t="n"/>
      <c r="C144" s="80" t="n"/>
      <c r="D144" s="80" t="n"/>
      <c r="E144" s="80" t="n"/>
      <c r="F144" s="8" t="n"/>
      <c r="G144" s="8" t="n"/>
      <c r="H144" s="8" t="n"/>
      <c r="I144" s="8" t="n"/>
      <c r="J144" s="8" t="n"/>
      <c r="K144" s="8" t="n"/>
      <c r="L144" s="8" t="n"/>
      <c r="M144" s="82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0" t="n"/>
      <c r="AA144" s="8" t="n"/>
      <c r="AB144" s="82" t="n"/>
      <c r="AC144" s="82" t="n"/>
      <c r="AD144" s="82" t="n"/>
      <c r="AE144" s="82" t="n"/>
      <c r="AF144" s="8" t="n"/>
      <c r="AG144" s="8" t="n"/>
      <c r="AH144" s="8" t="n"/>
      <c r="AI144" s="8" t="n"/>
      <c r="AK144" s="80" t="n"/>
      <c r="AN144" s="111" t="n"/>
      <c r="AO144" s="6" t="n"/>
      <c r="AP144" s="6" t="n"/>
      <c r="AQ144" s="6" t="n"/>
      <c r="AR144" s="6" t="n"/>
      <c r="AS144" s="6" t="n"/>
    </row>
    <row r="145" ht="196.95" customHeight="1">
      <c r="A145" s="80" t="n"/>
      <c r="B145" s="80" t="n"/>
      <c r="C145" s="80" t="n"/>
      <c r="D145" s="80" t="n"/>
      <c r="E145" s="80" t="n"/>
      <c r="F145" s="8" t="n"/>
      <c r="G145" s="8" t="n"/>
      <c r="H145" s="8" t="n"/>
      <c r="I145" s="8" t="n"/>
      <c r="J145" s="8" t="n"/>
      <c r="K145" s="8" t="n"/>
      <c r="L145" s="8" t="n"/>
      <c r="M145" s="82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0" t="n"/>
      <c r="AA145" s="8" t="n"/>
      <c r="AB145" s="82" t="n"/>
      <c r="AC145" s="82" t="n"/>
      <c r="AD145" s="82" t="n"/>
      <c r="AE145" s="82" t="n"/>
      <c r="AF145" s="8" t="n"/>
      <c r="AG145" s="8" t="n"/>
      <c r="AH145" s="8" t="n"/>
      <c r="AI145" s="8" t="n"/>
      <c r="AK145" s="80" t="n"/>
      <c r="AN145" s="111" t="n"/>
      <c r="AO145" s="6" t="n"/>
      <c r="AP145" s="6" t="n"/>
      <c r="AQ145" s="6" t="n"/>
      <c r="AR145" s="6" t="n"/>
      <c r="AS145" s="6" t="n"/>
    </row>
    <row r="146" ht="196.95" customHeight="1">
      <c r="A146" s="80" t="n"/>
      <c r="B146" s="80" t="n"/>
      <c r="C146" s="80" t="n"/>
      <c r="D146" s="80" t="n"/>
      <c r="E146" s="80" t="n"/>
      <c r="F146" s="8" t="n"/>
      <c r="G146" s="8" t="n"/>
      <c r="H146" s="8" t="n"/>
      <c r="I146" s="8" t="n"/>
      <c r="J146" s="8" t="n"/>
      <c r="K146" s="8" t="n"/>
      <c r="L146" s="8" t="n"/>
      <c r="M146" s="82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0" t="n"/>
      <c r="AA146" s="8" t="n"/>
      <c r="AB146" s="82" t="n"/>
      <c r="AC146" s="82" t="n"/>
      <c r="AD146" s="82" t="n"/>
      <c r="AE146" s="82" t="n"/>
      <c r="AF146" s="8" t="n"/>
      <c r="AG146" s="8" t="n"/>
      <c r="AH146" s="8" t="n"/>
      <c r="AI146" s="8" t="n"/>
      <c r="AK146" s="80" t="n"/>
      <c r="AN146" s="111" t="n"/>
      <c r="AO146" s="6" t="n"/>
      <c r="AP146" s="6" t="n"/>
      <c r="AQ146" s="6" t="n"/>
      <c r="AR146" s="6" t="n"/>
      <c r="AS146" s="6" t="n"/>
    </row>
    <row r="147" ht="196.95" customHeight="1">
      <c r="A147" s="80" t="n"/>
      <c r="B147" s="80" t="n"/>
      <c r="C147" s="80" t="n"/>
      <c r="D147" s="80" t="n"/>
      <c r="E147" s="80" t="n"/>
      <c r="F147" s="8" t="n"/>
      <c r="G147" s="8" t="n"/>
      <c r="H147" s="8" t="n"/>
      <c r="I147" s="8" t="n"/>
      <c r="J147" s="8" t="n"/>
      <c r="K147" s="8" t="n"/>
      <c r="L147" s="8" t="n"/>
      <c r="M147" s="82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0" t="n"/>
      <c r="AA147" s="8" t="n"/>
      <c r="AB147" s="82" t="n"/>
      <c r="AC147" s="82" t="n"/>
      <c r="AD147" s="82" t="n"/>
      <c r="AE147" s="82" t="n"/>
      <c r="AF147" s="8" t="n"/>
      <c r="AG147" s="8" t="n"/>
      <c r="AH147" s="8" t="n"/>
      <c r="AI147" s="8" t="n"/>
      <c r="AK147" s="80" t="n"/>
      <c r="AN147" s="111" t="n"/>
    </row>
    <row r="148" ht="196.95" customHeight="1">
      <c r="A148" s="80" t="n"/>
      <c r="B148" s="80" t="n"/>
      <c r="C148" s="80" t="n"/>
      <c r="D148" s="80" t="n"/>
      <c r="E148" s="80" t="n"/>
      <c r="F148" s="8" t="n"/>
      <c r="G148" s="8" t="n"/>
      <c r="H148" s="8" t="n"/>
      <c r="I148" s="8" t="n"/>
      <c r="J148" s="8" t="n"/>
      <c r="K148" s="8" t="n"/>
      <c r="L148" s="8" t="n"/>
      <c r="M148" s="82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0" t="n"/>
      <c r="AA148" s="8" t="n"/>
      <c r="AB148" s="82" t="n"/>
      <c r="AC148" s="82" t="n"/>
      <c r="AD148" s="82" t="n"/>
      <c r="AE148" s="82" t="n"/>
      <c r="AF148" s="8" t="n"/>
      <c r="AG148" s="8" t="n"/>
      <c r="AH148" s="8" t="n"/>
      <c r="AI148" s="8" t="n"/>
      <c r="AK148" s="80" t="n"/>
      <c r="AN148" s="111" t="n"/>
    </row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 ht="196.95" customHeight="1">
      <c r="A1936" s="116" t="n"/>
      <c r="B1936" s="116" t="n"/>
      <c r="C1936" s="116" t="n"/>
      <c r="D1936" s="116" t="n"/>
      <c r="E1936" s="116" t="n"/>
      <c r="F1936" s="121" t="n"/>
      <c r="G1936" s="121" t="n"/>
      <c r="H1936" s="121" t="n"/>
      <c r="I1936" s="121" t="n"/>
      <c r="J1936" s="121" t="n"/>
      <c r="K1936" s="121" t="n"/>
      <c r="L1936" s="121" t="n"/>
      <c r="M1936" s="122" t="n"/>
      <c r="N1936" s="121" t="n"/>
      <c r="O1936" s="121" t="n"/>
      <c r="P1936" s="121" t="n"/>
      <c r="Q1936" s="121" t="n"/>
      <c r="R1936" s="121" t="n"/>
      <c r="S1936" s="121" t="n"/>
      <c r="T1936" s="121" t="n"/>
      <c r="U1936" s="121" t="n"/>
      <c r="V1936" s="121" t="n"/>
      <c r="W1936" s="121" t="n"/>
      <c r="X1936" s="121" t="n"/>
      <c r="Y1936" s="121" t="n"/>
      <c r="Z1936" s="116" t="n"/>
      <c r="AA1936" s="121" t="n"/>
      <c r="AB1936" s="122" t="n"/>
      <c r="AC1936" s="122" t="n"/>
      <c r="AD1936" s="122" t="n"/>
      <c r="AE1936" s="122" t="n"/>
      <c r="AF1936" s="121" t="n"/>
      <c r="AG1936" s="121" t="n"/>
      <c r="AH1936" s="121" t="n"/>
      <c r="AI1936" s="121" t="n"/>
      <c r="AJ1936" s="116" t="n"/>
      <c r="AK1936" s="116" t="n"/>
      <c r="AL1936" s="117" t="n"/>
      <c r="AM1936" s="117" t="n"/>
    </row>
    <row r="1937"/>
    <row r="1938"/>
    <row r="1939"/>
    <row r="1940"/>
    <row r="1941"/>
    <row r="1942"/>
    <row r="1943" ht="196.95" customHeight="1">
      <c r="C1943" s="124" t="n"/>
    </row>
  </sheetData>
  <autoFilter ref="A5:AS63"/>
  <mergeCells count="6">
    <mergeCell ref="AJ3:AK3"/>
    <mergeCell ref="B73:AE73"/>
    <mergeCell ref="B74:AE74"/>
    <mergeCell ref="B72:AL72"/>
    <mergeCell ref="B71:AL71"/>
    <mergeCell ref="AP67:AS69"/>
  </mergeCells>
  <conditionalFormatting sqref="AY6:BB62">
    <cfRule type="cellIs" priority="2" operator="equal" dxfId="0" stopIfTrue="1">
      <formula>FALSE</formula>
    </cfRule>
  </conditionalFormatting>
  <conditionalFormatting sqref="AZ63:BB63">
    <cfRule type="cellIs" priority="1" operator="equal" dxfId="0" stopIfTrue="1">
      <formula>FALSE</formula>
    </cfRule>
  </conditionalFormatting>
  <dataValidations disablePrompts="1" count="3">
    <dataValidation sqref="AB67" showDropDown="0" showInputMessage="1" showErrorMessage="1" allowBlank="1" type="list">
      <formula1>$AN$1:$AN$3</formula1>
    </dataValidation>
    <dataValidation sqref="E78" showDropDown="0" showInputMessage="1" showErrorMessage="1" allowBlank="1" type="list">
      <formula1>$AO$2:$AO$3</formula1>
    </dataValidation>
    <dataValidation sqref="Q67:Q68" showDropDown="0" showInputMessage="1" showErrorMessage="1" allowBlank="1" type="list">
      <formula1>$AF$1:$AF$3</formula1>
    </dataValidation>
  </dataValidations>
  <pageMargins left="0.3937007874015748" right="0.3937007874015748" top="0.5905511811023623" bottom="0.3937007874015748" header="0" footer="0"/>
  <pageSetup orientation="landscape" paperSize="8" scale="2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C13" sqref="C13"/>
    </sheetView>
  </sheetViews>
  <sheetFormatPr baseColWidth="8" defaultRowHeight="13.2"/>
  <cols>
    <col width="187.33203125" customWidth="1" min="1" max="1"/>
  </cols>
  <sheetData>
    <row r="1" ht="14.4" customHeight="1">
      <c r="A1" s="1" t="inlineStr">
        <is>
          <t>Инструкция по заполнению спецификаций</t>
        </is>
      </c>
    </row>
    <row r="2" ht="14.4" customHeight="1">
      <c r="A2" s="1" t="inlineStr">
        <is>
          <t>арматуры для АЭС.</t>
        </is>
      </c>
    </row>
    <row r="3" ht="14.4" customHeight="1">
      <c r="A3" s="2" t="inlineStr">
        <is>
          <t>(код шаблона: АЭС-АРМ)</t>
        </is>
      </c>
    </row>
    <row r="4" ht="14.4" customHeight="1">
      <c r="A4" s="1" t="n"/>
    </row>
    <row r="5" ht="28.8" customHeight="1">
      <c r="A5" s="3" t="inlineStr">
        <is>
          <t>В целях совершенствования процесса формирования договорных спецификаций, минимизации замечаний к спецификациям на этапе согласования и заключения договора разработаны шаблоны договорных спецификаций (в том числе спецификаций лотов) с предустановленными настройками форматирования диапазонов и отдельных ячеек спецификаций.</t>
        </is>
      </c>
    </row>
    <row r="6" ht="14.4" customHeight="1">
      <c r="A6" s="3" t="inlineStr">
        <is>
          <t>Предустановленные настройки помогают:</t>
        </is>
      </c>
    </row>
    <row r="7" ht="14.4" customHeight="1">
      <c r="A7" s="3" t="inlineStr">
        <is>
          <t>- минимизировать действия пользователей при заполнении данных в спецификациях;</t>
        </is>
      </c>
    </row>
    <row r="8" ht="14.4" customHeight="1">
      <c r="A8" s="3" t="inlineStr">
        <is>
          <t>- исключить математические ошибки при расчёте ценовых параметров спецификации;</t>
        </is>
      </c>
    </row>
    <row r="9" ht="14.4" customHeight="1">
      <c r="A9" s="3" t="inlineStr">
        <is>
          <t>- исключить дополнительные действия по редактированию проектов договорных спецификаций для обеспечения читаемости спецификаций при распечатке;</t>
        </is>
      </c>
    </row>
    <row r="10" ht="14.4" customHeight="1">
      <c r="A10" s="3" t="inlineStr">
        <is>
          <t>- исключить случайные изменения данных.</t>
        </is>
      </c>
    </row>
    <row r="11" ht="14.4" customHeight="1">
      <c r="A11" s="3" t="inlineStr">
        <is>
          <t>Для обеспечения сохранности настроек и их случайного изменения Excel-файлы проектов договорных спецификаций закрываются паролем.</t>
        </is>
      </c>
    </row>
    <row r="12" ht="28.8" customHeight="1">
      <c r="A12" s="3" t="inlineStr">
        <is>
          <t>Остаются доступными для редактирования диапазоны и отдельные ячейки спецификации, предусматривающие возможность их заполнения представителями Поставщика (участника закупочной процедуры) и ответственными, за заключение договора. лицами со стороны Покупателя.</t>
        </is>
      </c>
    </row>
    <row r="13" ht="14.4" customHeight="1">
      <c r="A13" s="1" t="inlineStr">
        <is>
          <t>Перечень полей доступных для редактирования:</t>
        </is>
      </c>
    </row>
    <row r="14" ht="14.4" customHeight="1">
      <c r="A14" s="4" t="inlineStr">
        <is>
          <t>Ячейки по строкам позиций спецификации, расположенные в столбцах:</t>
        </is>
      </c>
    </row>
    <row r="15" ht="14.4" customHeight="1">
      <c r="A15" s="3" t="inlineStr">
        <is>
          <t>«Наименование» (столбец 4) [D],</t>
        </is>
      </c>
    </row>
    <row r="16" ht="14.4" customHeight="1">
      <c r="A16" s="3" t="inlineStr">
        <is>
          <t xml:space="preserve"> «Тип, марка, модель, шифр» (столбец 5) [E],</t>
        </is>
      </c>
    </row>
    <row r="17" ht="14.4" customHeight="1">
      <c r="A17" s="3" t="inlineStr">
        <is>
          <t>ячейки, описывающие технических параметры арматуры (столбцы 8-19) [H]-[R],</t>
        </is>
      </c>
    </row>
    <row r="18" ht="14.4" customHeight="1">
      <c r="A18" s="3" t="inlineStr">
        <is>
          <t>«ТУ» (столбец 19) [S],</t>
        </is>
      </c>
    </row>
    <row r="19" ht="14.4" customHeight="1">
      <c r="A19" s="3" t="inlineStr">
        <is>
          <t>«Цена за единицу без НДС» (столбец 28) [AB],</t>
        </is>
      </c>
    </row>
    <row r="20" ht="14.4" customHeight="1">
      <c r="A20" s="3" t="inlineStr">
        <is>
          <t>«Завод-изготовитель» (столбец 34) [AH],</t>
        </is>
      </c>
    </row>
    <row r="21" ht="14.4" customHeight="1">
      <c r="A21" s="3" t="inlineStr">
        <is>
          <t>«Страна происхождения» (столбец 35) [AI],</t>
        </is>
      </c>
    </row>
    <row r="22" ht="14.4" customHeight="1">
      <c r="A22" s="3" t="inlineStr">
        <is>
          <t>«Примечание» (столбец 36) [AJ],</t>
        </is>
      </c>
    </row>
    <row r="23" ht="14.4" customHeight="1">
      <c r="A23" s="3" t="inlineStr">
        <is>
          <t>«Ставка НДС (%)» (первый столбец за областью печати) [AN].</t>
        </is>
      </c>
    </row>
    <row r="24" ht="14.4" customHeight="1">
      <c r="A24" s="4" t="inlineStr">
        <is>
          <t>Поля в шапке спецификации:</t>
        </is>
      </c>
    </row>
    <row r="25" ht="14.4" customHeight="1">
      <c r="A25" s="3" t="inlineStr">
        <is>
          <t>«Энергоблок:» [D] – заполняются на этапе формирования спецификации лота, определяют принадлежность спецификации к объекту строительства;</t>
        </is>
      </c>
    </row>
    <row r="26" ht="43.2" customHeight="1">
      <c r="A26" s="3" t="inlineStr">
        <is>
          <t>№ приложения [AM], № договора [AJ], дата заключения договора [AM] – заполняются реквизитами договора при оформлении договора со стороны Покупателя. В случае наличия собственного номера Поставщика поле, соответствующее номеру договора может быть заполнено Поставщиком при направлении оригинала Покупателю. В этом случае внешний (юридический) номер договора будет сложносоставной, образованный путём компиляции номеров Поставщика и Покупателя.</t>
        </is>
      </c>
    </row>
    <row r="27" ht="14.4" customHeight="1">
      <c r="A27" s="3" t="inlineStr">
        <is>
          <t>Поля в нижней части спецификации:</t>
        </is>
      </c>
    </row>
    <row r="28" ht="14.4" customHeight="1">
      <c r="A28" s="3" t="inlineStr">
        <is>
          <t>«Валюта договора» [AB] – обязательное для заполнения. Отражает валюту, в которой заключен договор и указаны цены за единицу и суммы по столбцам 28 [AB], 29 [AC], 30 [AD], 31 [AE];</t>
        </is>
      </c>
    </row>
    <row r="29" ht="14.4" customHeight="1">
      <c r="A29" s="3" t="inlineStr">
        <is>
          <t>Расшифровки подписей со стороны Покупателя и Поставщика [K], [AD].</t>
        </is>
      </c>
    </row>
    <row r="30" ht="14.4" customHeight="1">
      <c r="A30" s="3" t="n"/>
    </row>
    <row r="31" ht="14.4" customHeight="1">
      <c r="A31" s="5" t="inlineStr">
        <is>
          <t>Заполнение расчётных полей «Сумма без НДС» (ст.29) [AC], «Сумма НДС» (ст.30) [AD], «Сумма c НДС» (ст.31) [AE] происходит автоматически на основании данных из следующих полей:</t>
        </is>
      </c>
    </row>
    <row r="32" ht="14.4" customHeight="1">
      <c r="A32" s="3" t="inlineStr">
        <is>
          <t xml:space="preserve"> «Количество» (ст.27) [AA] – заполняется Покупателем в момент формирования проекта спецификации,</t>
        </is>
      </c>
    </row>
    <row r="33" ht="28.8" customHeight="1">
      <c r="A33" s="3" t="inlineStr">
        <is>
          <t>«Цена за единицу без НДС» (ст.28) [AB] – заполняется Поставщиком при направлении предложения в составе заявки на участие или преддоговорных переговоров. Значения должны быть указаны с точностью до десятичных знаков.</t>
        </is>
      </c>
    </row>
    <row r="34" ht="43.2" customHeight="1">
      <c r="A34" s="3" t="inlineStr">
        <is>
          <t>«Ставка НДС (%)» [AN] – заполняется целочисленными значениями, предзаполнена значением «20» - действующей ставкой НДС для большей части групп товаров на территории РФ. В случае наличия в спецификации позиций (в том числе услуг) имеющих льготную ставку налогообложения или не облагаемые налогом в соответствии с действующими правилами налогообложения требуется скорректировать значение в соответствующих строках.</t>
        </is>
      </c>
    </row>
    <row r="35" ht="28.8" customHeight="1">
      <c r="A35" s="3" t="inlineStr">
        <is>
          <t>Столбец [AM] является заключительным столбцом печатной области спецификации. Дальнейшие столбцы, начиная с [AN] носят вспомогательный характер и не предусматривают вывод в печатную версию спецификации.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7042</dc:creator>
  <dcterms:created xmlns:dcterms="http://purl.org/dc/terms/" xmlns:xsi="http://www.w3.org/2001/XMLSchema-instance" xsi:type="dcterms:W3CDTF">2009-07-03T06:40:27Z</dcterms:created>
  <dcterms:modified xmlns:dcterms="http://purl.org/dc/terms/" xmlns:xsi="http://www.w3.org/2001/XMLSchema-instance" xsi:type="dcterms:W3CDTF">2026-05-07T14:21:45Z</dcterms:modified>
  <cp:lastModifiedBy>Evgeniy Loginov</cp:lastModifiedBy>
  <cp:lastPrinted>2022-11-25T08:21:33Z</cp:lastPrinted>
</cp:coreProperties>
</file>